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slicers/slicer3.xml" ContentType="application/vnd.ms-excel.slicer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slicers/slicer4.xml" ContentType="application/vnd.ms-excel.slicer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slicers/slicer5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spcgob-my.sharepoint.com/personal/gerardo_noeller_sspc_gob_mx/Documents/Escritorio/"/>
    </mc:Choice>
  </mc:AlternateContent>
  <xr:revisionPtr revIDLastSave="17" documentId="8_{43102AAA-3823-4F07-93B7-841C8B32EBC9}" xr6:coauthVersionLast="47" xr6:coauthVersionMax="47" xr10:uidLastSave="{23EDA127-35A4-475C-9BD9-4C5CA680353D}"/>
  <bookViews>
    <workbookView xWindow="-120" yWindow="-120" windowWidth="29040" windowHeight="15720" xr2:uid="{9337A00E-8C8E-467F-AFEC-5A0065418C3D}"/>
  </bookViews>
  <sheets>
    <sheet name="Llamadas procedentes 911" sheetId="14" r:id="rId1"/>
    <sheet name="Llamadas procedentes 089" sheetId="13" r:id="rId2"/>
    <sheet name="Llamadas Ext_089" sheetId="20" r:id="rId3"/>
    <sheet name="Llamadas Ext_088" sheetId="21" r:id="rId4"/>
    <sheet name="Historico 911" sheetId="22" r:id="rId5"/>
    <sheet name="Historico 089" sheetId="24" r:id="rId6"/>
    <sheet name="PMI y Cámaras" sheetId="17" r:id="rId7"/>
    <sheet name="Registros Nacionales" sheetId="19" r:id="rId8"/>
    <sheet name="ext_INFORMACION GENERAL" sheetId="15" r:id="rId9"/>
  </sheets>
  <externalReferences>
    <externalReference r:id="rId10"/>
    <externalReference r:id="rId11"/>
    <externalReference r:id="rId12"/>
    <externalReference r:id="rId13"/>
  </externalReferences>
  <definedNames>
    <definedName name="_A65600">#REF!</definedName>
    <definedName name="_A66000">#REF!</definedName>
    <definedName name="_A67000">#REF!</definedName>
    <definedName name="_xlnm._FilterDatabase">#REF!</definedName>
    <definedName name="a">#REF!</definedName>
    <definedName name="aaff">#REF!</definedName>
    <definedName name="aff">#REF!</definedName>
    <definedName name="afff">#REF!</definedName>
    <definedName name="AGOSTO">#REF!</definedName>
    <definedName name="AGOSTO1">#REF!</definedName>
    <definedName name="AGS">#REF!</definedName>
    <definedName name="AGS0">#REF!</definedName>
    <definedName name="Aguascalientes">#REF!</definedName>
    <definedName name="_xlnm.Database">#REF!</definedName>
    <definedName name="BC">#REF!</definedName>
    <definedName name="BCS">#REF!</definedName>
    <definedName name="CAM">#REF!</definedName>
    <definedName name="CAMP">#REF!</definedName>
    <definedName name="Campeche">#REF!</definedName>
    <definedName name="CAPACITACIONFGE">[1]FGE!$A$456:$U$622</definedName>
    <definedName name="Categorías_de_gastos">#REF!</definedName>
    <definedName name="CDMX">#REF!</definedName>
    <definedName name="ceroo">#REF!</definedName>
    <definedName name="Chiapas">#REF!</definedName>
    <definedName name="chihc">#REF!</definedName>
    <definedName name="Chihuahua">#REF!</definedName>
    <definedName name="CHIS">#REF!</definedName>
    <definedName name="CK">#REF!</definedName>
    <definedName name="COAH">#REF!</definedName>
    <definedName name="Coahuila">#REF!</definedName>
    <definedName name="COL">#REF!</definedName>
    <definedName name="Colima">#REF!</definedName>
    <definedName name="control">[1]SESESP!$A$309:$V$542</definedName>
    <definedName name="ControlConfianza">#REF!</definedName>
    <definedName name="Database">#REF!</definedName>
    <definedName name="datosum">'[2]2015 ESTRUCTURA'!$N$56:$N$3552</definedName>
    <definedName name="DFSGDSFGSDFG">#REF!</definedName>
    <definedName name="DGO">#REF!</definedName>
    <definedName name="Durango">#REF!</definedName>
    <definedName name="e">#REF!</definedName>
    <definedName name="Edos">#REF!</definedName>
    <definedName name="EducationLevel">#REF!</definedName>
    <definedName name="EnglishAbility">#REF!</definedName>
    <definedName name="Est">#REF!</definedName>
    <definedName name="Estado">#REF!</definedName>
    <definedName name="Estados">#REF!</definedName>
    <definedName name="FAFA">#REF!</definedName>
    <definedName name="FASFADF">#REF!</definedName>
    <definedName name="FEB">#REF!</definedName>
    <definedName name="FF">#REF!</definedName>
    <definedName name="FFFF">#REF!</definedName>
    <definedName name="FORTALECIMIENTOFGE">[1]FGE!$A$1081:$V$1594</definedName>
    <definedName name="Gender">#REF!</definedName>
    <definedName name="Genero">#REF!</definedName>
    <definedName name="GRO">#REF!</definedName>
    <definedName name="GTO">#REF!</definedName>
    <definedName name="Guanajuato">#REF!</definedName>
    <definedName name="Guerrero">#REF!</definedName>
    <definedName name="HGO">#REF!</definedName>
    <definedName name="Hidalgo">#REF!</definedName>
    <definedName name="Jalisco">#REF!</definedName>
    <definedName name="joseluis">'[3]24 San Luis Potosi'!#REF!</definedName>
    <definedName name="JUSTICIA">[1]FGE!$A$146:$V$369</definedName>
    <definedName name="LGNSP">[1]FGE!$A$456:$U$622</definedName>
    <definedName name="MAYO">#REF!</definedName>
    <definedName name="MEX">#REF!</definedName>
    <definedName name="México">#REF!</definedName>
    <definedName name="MIC">#REF!</definedName>
    <definedName name="MICH">#REF!</definedName>
    <definedName name="Michoacán">#REF!</definedName>
    <definedName name="MiColumna">'[4]24 San Luis Potosi'!#REF!</definedName>
    <definedName name="MiFila">'[4]24 San Luis Potosi'!#REF!</definedName>
    <definedName name="MOR">#REF!</definedName>
    <definedName name="Morelos">#REF!</definedName>
    <definedName name="NAY">#REF!</definedName>
    <definedName name="Nayarit">#REF!</definedName>
    <definedName name="NL">#REF!</definedName>
    <definedName name="O164.">#REF!</definedName>
    <definedName name="OAX">#REF!</definedName>
    <definedName name="Oaxaca">#REF!</definedName>
    <definedName name="otrafila">'[3]24 San Luis Potosi'!#REF!</definedName>
    <definedName name="ParticipantAlternate">#REF!</definedName>
    <definedName name="penitenciario">[1]SSP!$A$2145:$V$2597</definedName>
    <definedName name="PERIODO">#REF!</definedName>
    <definedName name="POLICÍA_PREVENTIVO_ESTATAL">#REF!</definedName>
    <definedName name="PP">#REF!</definedName>
    <definedName name="PROFESIONALIZACION">[1]SESESP!$A$58:$V$307</definedName>
    <definedName name="Puebla">#REF!</definedName>
    <definedName name="QRO">#REF!</definedName>
    <definedName name="Qroo">#REF!</definedName>
    <definedName name="Querétaro">#REF!</definedName>
    <definedName name="RED">[1]C4!$A$55:$V$189</definedName>
    <definedName name="Reintegra">#REF!</definedName>
    <definedName name="Reintegros">'[4]24 San Luis Potosi'!#REF!</definedName>
    <definedName name="Reintegros3">#REF!</definedName>
    <definedName name="saldocero15">#REF!</definedName>
    <definedName name="SALDOCERO2015">#REF!</definedName>
    <definedName name="SegmentaciónDeDatos_Mes1">#N/A</definedName>
    <definedName name="SegmentaciónDeDatos_Mes2">#N/A</definedName>
    <definedName name="SegmentaciónDeDatos_Mes21">#N/A</definedName>
    <definedName name="SegmentaciónDeDatos_Mes3">#N/A</definedName>
    <definedName name="SegmentaciónDeDatos_Mes4">#N/A</definedName>
    <definedName name="SIN">#REF!</definedName>
    <definedName name="Sinaloa">#REF!</definedName>
    <definedName name="SLP">#REF!</definedName>
    <definedName name="SON">#REF!</definedName>
    <definedName name="Sonora">#REF!</definedName>
    <definedName name="TAB">#REF!</definedName>
    <definedName name="Tabasco">#REF!</definedName>
    <definedName name="TAM">#REF!</definedName>
    <definedName name="Tamaulipas">#REF!</definedName>
    <definedName name="TAMPS">#REF!</definedName>
    <definedName name="TLAX">#REF!</definedName>
    <definedName name="Tlaxcala">#REF!</definedName>
    <definedName name="UnitCommander">#REF!</definedName>
    <definedName name="VER">#REF!</definedName>
    <definedName name="Veracruz">#REF!</definedName>
    <definedName name="VettingType">#REF!</definedName>
    <definedName name="xxx">'[4]24 San Luis Potosi'!#REF!</definedName>
    <definedName name="YearsInPosition">#REF!</definedName>
    <definedName name="YUC">#REF!</definedName>
    <definedName name="Yucatán">#REF!</definedName>
    <definedName name="yyy">'[3]24 San Luis Potosi'!#REF!</definedName>
    <definedName name="ZAC">#REF!</definedName>
    <definedName name="Zacatecas">#REF!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4"/>
        <x14:slicerCache r:id="rId15"/>
        <x14:slicerCache r:id="rId16"/>
        <x14:slicerCache r:id="rId17"/>
        <x14:slicerCache r:id="rId1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24" l="1"/>
  <c r="L35" i="24"/>
  <c r="K35" i="24"/>
  <c r="J35" i="24"/>
  <c r="I35" i="24"/>
  <c r="H35" i="24"/>
  <c r="G35" i="24"/>
  <c r="F35" i="24"/>
  <c r="E35" i="24"/>
  <c r="D35" i="24"/>
  <c r="C35" i="24"/>
  <c r="B35" i="24"/>
  <c r="N34" i="24"/>
  <c r="N33" i="24"/>
  <c r="N32" i="24"/>
  <c r="N31" i="24"/>
  <c r="N30" i="24"/>
  <c r="N29" i="24"/>
  <c r="N28" i="24"/>
  <c r="N27" i="24"/>
  <c r="N26" i="24"/>
  <c r="N25" i="24"/>
  <c r="N24" i="24"/>
  <c r="N23" i="24"/>
  <c r="N22" i="24"/>
  <c r="N21" i="24"/>
  <c r="N20" i="24"/>
  <c r="N19" i="24"/>
  <c r="N18" i="24"/>
  <c r="N17" i="24"/>
  <c r="N16" i="24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G387" i="17"/>
  <c r="D387" i="17"/>
  <c r="E387" i="17"/>
  <c r="F387" i="17"/>
  <c r="C387" i="17"/>
  <c r="D388" i="21"/>
  <c r="E388" i="21"/>
  <c r="F388" i="21"/>
  <c r="G388" i="21"/>
  <c r="D387" i="20"/>
  <c r="E387" i="20"/>
  <c r="F387" i="20"/>
  <c r="G387" i="20"/>
  <c r="D387" i="13"/>
  <c r="D398" i="14"/>
  <c r="D167" i="14"/>
  <c r="D134" i="14"/>
  <c r="D101" i="14"/>
  <c r="D68" i="14"/>
  <c r="D35" i="14"/>
  <c r="N35" i="2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tc={4849E315-D07A-4C5A-B1BD-3CAE7718064B}</author>
    <author>tc={08257E03-2A73-4547-91B5-025BD8A9AB0D}</author>
    <author>tc={D29080BE-B1AB-4A0B-B03C-4FDDE5ABD5B9}</author>
  </authors>
  <commentList>
    <comment ref="G216" authorId="0" shapeId="0" xr:uid="{4849E315-D07A-4C5A-B1BD-3CAE7718064B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La entidad reporta fallas en su sistema de captura. </t>
      </text>
    </comment>
    <comment ref="G217" authorId="1" shapeId="0" xr:uid="{08257E03-2A73-4547-91B5-025BD8A9AB0D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La entidad reporta fallas en su sistema de captura. </t>
      </text>
    </comment>
    <comment ref="G218" authorId="2" shapeId="0" xr:uid="{D29080BE-B1AB-4A0B-B03C-4FDDE5ABD5B9}">
      <text>
        <t xml:space="preserve"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La entidad reporta fallas en su sistema de captura. 
</t>
      </text>
    </comment>
  </commentList>
</comments>
</file>

<file path=xl/sharedStrings.xml><?xml version="1.0" encoding="utf-8"?>
<sst xmlns="http://schemas.openxmlformats.org/spreadsheetml/2006/main" count="5333" uniqueCount="107">
  <si>
    <t>Llamadas procedentes a 911</t>
  </si>
  <si>
    <t>Entidad</t>
  </si>
  <si>
    <t>Mes</t>
  </si>
  <si>
    <t>Número</t>
  </si>
  <si>
    <t>TOTAL</t>
  </si>
  <si>
    <t>Aguascalientes</t>
  </si>
  <si>
    <t>Enero</t>
  </si>
  <si>
    <t>Baja California</t>
  </si>
  <si>
    <t>Baja California Sur</t>
  </si>
  <si>
    <t>Campeche</t>
  </si>
  <si>
    <t>Chiapas</t>
  </si>
  <si>
    <t>Chihuahua</t>
  </si>
  <si>
    <t>Ciudad de México</t>
  </si>
  <si>
    <t xml:space="preserve">Coahuila </t>
  </si>
  <si>
    <t>Colima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</si>
  <si>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</si>
  <si>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</si>
  <si>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</si>
  <si>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</si>
  <si>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</si>
  <si>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</si>
  <si>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</si>
  <si>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</si>
  <si>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</si>
  <si>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</si>
  <si>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</si>
  <si>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</si>
  <si>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</si>
  <si>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</si>
  <si>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</si>
  <si>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</si>
  <si>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</si>
  <si>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</si>
  <si>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</si>
  <si>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</si>
  <si>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</si>
  <si>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</si>
  <si>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</si>
  <si>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</si>
  <si>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</si>
  <si>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</si>
  <si>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</si>
  <si>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</si>
  <si>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</si>
  <si>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</si>
  <si>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</si>
  <si>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</si>
  <si>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</si>
  <si>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</si>
  <si>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Llamadas procedentes a 089</t>
  </si>
  <si>
    <t>0-8-9</t>
  </si>
  <si>
    <t xml:space="preserve">Baja California </t>
  </si>
  <si>
    <t>Coahuila</t>
  </si>
  <si>
    <t>Estado de México</t>
  </si>
  <si>
    <t>Nuevo Léon</t>
  </si>
  <si>
    <t>Total</t>
  </si>
  <si>
    <t>LLAMADAS POR EXTORSIÓN 0-8-9</t>
  </si>
  <si>
    <t>Total llamadas por extorsión</t>
  </si>
  <si>
    <t>Extorsiones consumadas</t>
  </si>
  <si>
    <t>Estorsiones no consumadas</t>
  </si>
  <si>
    <t>Denuncia de número que intentó engaño o extorsión pasada</t>
  </si>
  <si>
    <t>LLAMADAS POR EXTORSIÓN 088</t>
  </si>
  <si>
    <t>LLAMADAS POR EXTORSIÓN 0-8-8</t>
  </si>
  <si>
    <t>0-8-8</t>
  </si>
  <si>
    <t>Historico de llamadas 911 
2025</t>
  </si>
  <si>
    <t>Entidades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</si>
  <si>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</si>
  <si>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</si>
  <si>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</si>
  <si>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</si>
  <si>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</si>
  <si>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</si>
  <si>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</si>
  <si>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</si>
  <si>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</si>
  <si>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</si>
  <si>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</si>
  <si>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</si>
  <si>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Historico de llamadas 089
2025</t>
  </si>
  <si>
    <t>EQUIPO TECNOLÓGICO</t>
  </si>
  <si>
    <t>Total de PMI</t>
  </si>
  <si>
    <t>Total de cámaras</t>
  </si>
  <si>
    <t>Porcentaje de disponibilidad</t>
  </si>
  <si>
    <t>Total de lectores de placa</t>
  </si>
  <si>
    <t>Tiempo promedio de respuesta (policías)</t>
  </si>
  <si>
    <t>Redujeron significativamente el número de cámaras porque la empresa retiro toda su infraestructura, ahora se quedan solo con las propias</t>
  </si>
  <si>
    <t>SD</t>
  </si>
  <si>
    <t>Registro Nacional</t>
  </si>
  <si>
    <t>Observaciones</t>
  </si>
  <si>
    <r>
      <t>Registro Nacional de Personal de Seguridad Pública</t>
    </r>
    <r>
      <rPr>
        <vertAlign val="superscript"/>
        <sz val="10"/>
        <color rgb="FF000000"/>
        <rFont val="Aptos Narrow"/>
        <family val="2"/>
        <scheme val="minor"/>
      </rPr>
      <t>**</t>
    </r>
  </si>
  <si>
    <t>345,626 policías estatales.
Desagregación:
     231,635 Corporaciones Estatales de Seguridad Pública
     80,919 Fiscalías
     33,072 Prevención y Readaptación Social</t>
  </si>
  <si>
    <t>Fuente: Secretariado Ejecutivo del Sistema Nacional de Seguridad Pública, Centro Nacional de Información, Registro Nacional de Personal de Seguridad Pública conforme a la información suministrada por las entidades federativas y proporcionada por Plataforma México con fecha de corte al 31 mayo de 2026, según estatus en "activo".</t>
  </si>
  <si>
    <t>139,129 policías municipales</t>
  </si>
  <si>
    <t xml:space="preserve">     2,478 total de municipio (INEGI)
     1,809 total de municipios con estado de fuerza municipal
     669 municipios sin registros de estado de fuerza</t>
  </si>
  <si>
    <t>Base Nacional de Carpetas de Investigación de Personas Desaparecidas</t>
  </si>
  <si>
    <t>La aplicación de la Banci comenzó en abril 2026</t>
  </si>
  <si>
    <t>Servicio</t>
  </si>
  <si>
    <t>089</t>
  </si>
  <si>
    <t>EXTORSÓN 089</t>
  </si>
  <si>
    <t>Coahuila de Zaragoza</t>
  </si>
  <si>
    <t>Michoacán de Ocampo</t>
  </si>
  <si>
    <t>Veracruz de Ignacio de la Llave</t>
  </si>
  <si>
    <t>Total general</t>
  </si>
  <si>
    <t>EXTORSIÓN 088</t>
  </si>
  <si>
    <t>Acumulado de abril a junio 2026: es de 5,715
Correspondiente al mes de abril 2026:  es de 1,854
Correspondiente al mes de mayo 2026:  es de 1,866
Correspondiente al mes de junio 2026:  es de 1,995</t>
  </si>
  <si>
    <t>Información al 31 de julio</t>
  </si>
  <si>
    <t>*****Información pendiente de actualización*****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</si>
</sst>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Noto Sans"/>
      <family val="2"/>
    </font>
    <font>
      <b/>
      <sz val="10"/>
      <color theme="1"/>
      <name val="Noto Sans"/>
      <family val="2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rgb="FFFFFFFF"/>
      <name val="Noto Sans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vertAlign val="superscript"/>
      <sz val="10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0"/>
      <color rgb="FFFFFFFF"/>
      <name val="Noto Sans"/>
      <family val="2"/>
    </font>
    <font>
      <b/>
      <sz val="12"/>
      <color rgb="FFFFFFFF"/>
      <name val="Noto Sans"/>
      <family val="2"/>
    </font>
    <font>
      <sz val="11"/>
      <color theme="6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FC2CF"/>
        <bgColor rgb="FFEFC2CF"/>
      </patternFill>
    </fill>
    <fill>
      <patternFill patternType="solid">
        <fgColor rgb="FF6324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8ECEB"/>
        <bgColor rgb="FF000000"/>
      </patternFill>
    </fill>
    <fill>
      <patternFill patternType="solid">
        <fgColor rgb="FF0D3B32"/>
        <bgColor rgb="FF000000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/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/>
      <top style="hair">
        <color theme="4"/>
      </top>
      <bottom style="hair">
        <color theme="4"/>
      </bottom>
      <diagonal/>
    </border>
    <border>
      <left/>
      <right style="hair">
        <color theme="4"/>
      </right>
      <top style="hair">
        <color theme="4"/>
      </top>
      <bottom/>
      <diagonal/>
    </border>
    <border>
      <left style="hair">
        <color theme="4"/>
      </left>
      <right/>
      <top style="hair">
        <color theme="4"/>
      </top>
      <bottom style="thin">
        <color theme="4"/>
      </bottom>
      <diagonal/>
    </border>
    <border>
      <left/>
      <right/>
      <top style="hair">
        <color theme="4"/>
      </top>
      <bottom/>
      <diagonal/>
    </border>
    <border>
      <left/>
      <right/>
      <top style="hair">
        <color theme="4"/>
      </top>
      <bottom style="hair">
        <color theme="4"/>
      </bottom>
      <diagonal/>
    </border>
    <border>
      <left style="hair">
        <color theme="6"/>
      </left>
      <right style="hair">
        <color theme="6"/>
      </right>
      <top style="hair">
        <color theme="6"/>
      </top>
      <bottom style="hair">
        <color theme="6"/>
      </bottom>
      <diagonal/>
    </border>
    <border>
      <left style="hair">
        <color theme="6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6F7C79"/>
      </right>
      <top/>
      <bottom/>
      <diagonal/>
    </border>
    <border>
      <left/>
      <right/>
      <top/>
      <bottom style="medium">
        <color rgb="FF6F7C79"/>
      </bottom>
      <diagonal/>
    </border>
    <border>
      <left/>
      <right style="medium">
        <color rgb="FF6F7C79"/>
      </right>
      <top/>
      <bottom style="medium">
        <color rgb="FF6F7C79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0" applyFont="1"/>
    <xf numFmtId="0" fontId="3" fillId="0" borderId="1" xfId="0" applyFont="1" applyBorder="1"/>
    <xf numFmtId="0" fontId="6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17" fontId="6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8" fillId="2" borderId="0" xfId="0" applyFont="1" applyFill="1"/>
    <xf numFmtId="0" fontId="8" fillId="3" borderId="0" xfId="0" applyFont="1" applyFill="1"/>
    <xf numFmtId="0" fontId="6" fillId="4" borderId="5" xfId="0" applyFont="1" applyFill="1" applyBorder="1" applyAlignment="1">
      <alignment horizontal="center" vertical="center" wrapText="1"/>
    </xf>
    <xf numFmtId="0" fontId="0" fillId="4" borderId="5" xfId="0" applyFill="1" applyBorder="1"/>
    <xf numFmtId="0" fontId="0" fillId="4" borderId="7" xfId="0" applyFill="1" applyBorder="1"/>
    <xf numFmtId="0" fontId="5" fillId="5" borderId="0" xfId="0" applyFont="1" applyFill="1"/>
    <xf numFmtId="0" fontId="5" fillId="0" borderId="0" xfId="0" applyFont="1"/>
    <xf numFmtId="3" fontId="5" fillId="5" borderId="0" xfId="0" applyNumberFormat="1" applyFont="1" applyFill="1"/>
    <xf numFmtId="3" fontId="0" fillId="0" borderId="1" xfId="0" applyNumberForma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49" fontId="4" fillId="0" borderId="13" xfId="1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/>
    <xf numFmtId="0" fontId="3" fillId="0" borderId="16" xfId="0" applyFont="1" applyBorder="1"/>
    <xf numFmtId="0" fontId="0" fillId="0" borderId="1" xfId="0" applyBorder="1"/>
    <xf numFmtId="0" fontId="0" fillId="0" borderId="16" xfId="0" applyBorder="1"/>
    <xf numFmtId="0" fontId="3" fillId="0" borderId="17" xfId="0" applyFont="1" applyBorder="1"/>
    <xf numFmtId="0" fontId="0" fillId="0" borderId="11" xfId="0" applyBorder="1"/>
    <xf numFmtId="0" fontId="0" fillId="0" borderId="18" xfId="0" applyBorder="1"/>
    <xf numFmtId="3" fontId="0" fillId="0" borderId="1" xfId="0" applyNumberFormat="1" applyBorder="1"/>
    <xf numFmtId="0" fontId="3" fillId="7" borderId="15" xfId="0" applyFont="1" applyFill="1" applyBorder="1"/>
    <xf numFmtId="0" fontId="0" fillId="7" borderId="1" xfId="0" applyFill="1" applyBorder="1"/>
    <xf numFmtId="3" fontId="0" fillId="7" borderId="1" xfId="0" applyNumberFormat="1" applyFill="1" applyBorder="1"/>
    <xf numFmtId="0" fontId="9" fillId="6" borderId="10" xfId="0" applyFont="1" applyFill="1" applyBorder="1" applyAlignment="1">
      <alignment horizontal="center" vertical="center" wrapText="1"/>
    </xf>
    <xf numFmtId="9" fontId="0" fillId="0" borderId="0" xfId="4" applyFont="1"/>
    <xf numFmtId="21" fontId="0" fillId="0" borderId="0" xfId="0" applyNumberFormat="1"/>
    <xf numFmtId="21" fontId="0" fillId="0" borderId="16" xfId="0" applyNumberFormat="1" applyBorder="1"/>
    <xf numFmtId="0" fontId="3" fillId="0" borderId="20" xfId="0" applyFont="1" applyBorder="1"/>
    <xf numFmtId="0" fontId="3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3" fillId="0" borderId="0" xfId="0" applyFont="1" applyAlignment="1">
      <alignment horizontal="center"/>
    </xf>
    <xf numFmtId="0" fontId="14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/>
    </xf>
    <xf numFmtId="0" fontId="17" fillId="8" borderId="24" xfId="0" applyFont="1" applyFill="1" applyBorder="1" applyAlignment="1">
      <alignment horizontal="center"/>
    </xf>
    <xf numFmtId="0" fontId="16" fillId="8" borderId="20" xfId="0" applyFont="1" applyFill="1" applyBorder="1" applyAlignment="1">
      <alignment horizontal="center" vertical="center"/>
    </xf>
    <xf numFmtId="49" fontId="9" fillId="8" borderId="20" xfId="1" applyNumberFormat="1" applyFont="1" applyFill="1" applyBorder="1" applyAlignment="1">
      <alignment horizontal="center" vertical="center" wrapText="1"/>
    </xf>
    <xf numFmtId="0" fontId="15" fillId="8" borderId="11" xfId="0" applyFont="1" applyFill="1" applyBorder="1"/>
    <xf numFmtId="21" fontId="15" fillId="8" borderId="11" xfId="0" applyNumberFormat="1" applyFont="1" applyFill="1" applyBorder="1"/>
    <xf numFmtId="0" fontId="18" fillId="0" borderId="27" xfId="0" applyFont="1" applyBorder="1"/>
    <xf numFmtId="0" fontId="0" fillId="0" borderId="27" xfId="0" applyBorder="1"/>
    <xf numFmtId="0" fontId="14" fillId="9" borderId="27" xfId="0" applyFont="1" applyFill="1" applyBorder="1" applyAlignment="1">
      <alignment horizontal="center"/>
    </xf>
    <xf numFmtId="0" fontId="13" fillId="9" borderId="27" xfId="0" applyFont="1" applyFill="1" applyBorder="1" applyAlignment="1">
      <alignment horizontal="center"/>
    </xf>
    <xf numFmtId="0" fontId="13" fillId="9" borderId="27" xfId="0" applyFont="1" applyFill="1" applyBorder="1" applyAlignment="1">
      <alignment horizontal="right"/>
    </xf>
    <xf numFmtId="0" fontId="13" fillId="9" borderId="0" xfId="0" applyFont="1" applyFill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9" fontId="0" fillId="0" borderId="1" xfId="4" applyFont="1" applyBorder="1"/>
    <xf numFmtId="3" fontId="5" fillId="10" borderId="0" xfId="0" applyNumberFormat="1" applyFont="1" applyFill="1" applyAlignment="1">
      <alignment horizontal="right"/>
    </xf>
    <xf numFmtId="3" fontId="14" fillId="11" borderId="30" xfId="0" applyNumberFormat="1" applyFont="1" applyFill="1" applyBorder="1" applyAlignment="1">
      <alignment horizontal="right"/>
    </xf>
    <xf numFmtId="3" fontId="14" fillId="11" borderId="31" xfId="0" applyNumberFormat="1" applyFont="1" applyFill="1" applyBorder="1" applyAlignment="1">
      <alignment horizontal="right" vertical="center"/>
    </xf>
    <xf numFmtId="3" fontId="14" fillId="11" borderId="32" xfId="0" applyNumberFormat="1" applyFont="1" applyFill="1" applyBorder="1" applyAlignment="1">
      <alignment horizontal="right" vertical="center"/>
    </xf>
    <xf numFmtId="0" fontId="15" fillId="8" borderId="0" xfId="0" applyFont="1" applyFill="1" applyAlignment="1">
      <alignment horizontal="right"/>
    </xf>
    <xf numFmtId="0" fontId="15" fillId="8" borderId="0" xfId="0" applyFont="1" applyFill="1" applyAlignment="1">
      <alignment horizontal="center"/>
    </xf>
    <xf numFmtId="0" fontId="17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/>
    </xf>
    <xf numFmtId="0" fontId="17" fillId="8" borderId="25" xfId="0" applyFont="1" applyFill="1" applyBorder="1" applyAlignment="1">
      <alignment horizontal="center" wrapText="1"/>
    </xf>
    <xf numFmtId="0" fontId="17" fillId="8" borderId="23" xfId="0" applyFont="1" applyFill="1" applyBorder="1" applyAlignment="1">
      <alignment horizont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9" fillId="8" borderId="22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14" fillId="9" borderId="27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8" borderId="19" xfId="0" applyFont="1" applyFill="1" applyBorder="1" applyAlignment="1">
      <alignment horizontal="center"/>
    </xf>
    <xf numFmtId="0" fontId="15" fillId="8" borderId="17" xfId="0" applyFont="1" applyFill="1" applyBorder="1" applyAlignment="1">
      <alignment horizontal="center"/>
    </xf>
    <xf numFmtId="0" fontId="11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" fontId="7" fillId="0" borderId="2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7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" fontId="7" fillId="0" borderId="3" xfId="0" applyNumberFormat="1" applyFont="1" applyBorder="1" applyAlignment="1">
      <alignment horizontal="center" vertical="center"/>
    </xf>
    <xf numFmtId="17" fontId="7" fillId="0" borderId="4" xfId="0" applyNumberFormat="1" applyFont="1" applyBorder="1" applyAlignment="1">
      <alignment horizontal="center" vertical="center"/>
    </xf>
  </cellXfs>
  <cellStyles count="6">
    <cellStyle name="Millares 2" xfId="3" xr:uid="{EC3DB509-2943-487C-B89F-9529823ABA59}"/>
    <cellStyle name="Millares 2 2" xfId="5" xr:uid="{8B7DDA98-4AD7-41FC-B0D5-29A599BC6625}"/>
    <cellStyle name="Normal" xfId="0" builtinId="0"/>
    <cellStyle name="Normal 2" xfId="1" xr:uid="{E87DDB65-E839-41E8-A2AF-34CD9CE89E89}"/>
    <cellStyle name="Porcentaje" xfId="4" builtinId="5"/>
    <cellStyle name="Porcentaje 2" xfId="2" xr:uid="{12BC75B3-8E5F-407F-ADCB-4CCBFF21DCC7}"/>
  </cellStyles>
  <dxfs count="3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Noto Sans"/>
        <family val="2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textRotation="0" indent="0" justifyLastLine="0" shrinkToFit="0" readingOrder="0"/>
      <border diagonalUp="0" diagonalDown="0">
        <left style="hair">
          <color theme="4"/>
        </left>
        <right/>
        <top style="hair">
          <color theme="4"/>
        </top>
        <bottom style="hair">
          <color theme="4"/>
        </bottom>
        <vertical style="hair">
          <color theme="4"/>
        </vertical>
        <horizontal style="hair">
          <color theme="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textRotation="0" indent="0" justifyLastLine="0" shrinkToFit="0" readingOrder="0"/>
      <border diagonalUp="0" diagonalDown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  <vertical style="hair">
          <color theme="4"/>
        </vertical>
        <horizontal style="hair">
          <color theme="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textRotation="0" indent="0" justifyLastLine="0" shrinkToFit="0" readingOrder="0"/>
      <border diagonalUp="0" diagonalDown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  <vertical style="hair">
          <color theme="4"/>
        </vertical>
        <horizontal style="hair">
          <color theme="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textRotation="0" indent="0" justifyLastLine="0" shrinkToFit="0" readingOrder="0"/>
      <border diagonalUp="0" diagonalDown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  <vertical style="hair">
          <color theme="4"/>
        </vertical>
        <horizontal style="hair">
          <color theme="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  <vertical style="hair">
          <color theme="4"/>
        </vertical>
        <horizontal style="hair">
          <color theme="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textRotation="0" wrapText="0" indent="0" justifyLastLine="0" shrinkToFit="0" readingOrder="0"/>
      <border diagonalUp="0" diagonalDown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  <vertical style="hair">
          <color theme="4"/>
        </vertical>
        <horizontal style="hair">
          <color theme="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border diagonalUp="0" diagonalDown="0">
        <left/>
        <right style="hair">
          <color theme="4"/>
        </right>
        <top style="hair">
          <color theme="4"/>
        </top>
        <bottom style="hair">
          <color theme="4"/>
        </bottom>
        <vertical style="hair">
          <color theme="4"/>
        </vertical>
        <horizontal style="hair">
          <color theme="4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Noto Sans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Noto San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textRotation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textRotation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textRotation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numFmt numFmtId="1" formatCode="0"/>
      <alignment horizontal="center" textRotation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alignment horizontal="center" textRotation="0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 style="hair">
          <color theme="4"/>
        </top>
        <bottom style="hair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border diagonalUp="0" diagonalDown="0" outline="0">
        <left/>
        <right style="hair">
          <color theme="4"/>
        </right>
        <top style="hair">
          <color theme="4"/>
        </top>
        <bottom/>
      </border>
    </dxf>
    <dxf>
      <font>
        <strike val="0"/>
        <outline val="0"/>
        <shadow val="0"/>
        <u val="none"/>
        <vertAlign val="baseline"/>
        <sz val="10"/>
        <color theme="1"/>
        <name val="Noto Sans"/>
        <family val="2"/>
        <scheme val="none"/>
      </font>
      <border diagonalUp="0" diagonalDown="0">
        <left/>
        <right style="hair">
          <color theme="4"/>
        </right>
        <top style="hair">
          <color theme="4"/>
        </top>
        <bottom style="hair">
          <color theme="4"/>
        </bottom>
        <vertical style="hair">
          <color theme="4"/>
        </vertical>
        <horizontal style="hair">
          <color theme="4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Noto Sans"/>
        <family val="2"/>
        <scheme val="none"/>
      </font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Noto Sans"/>
        <family val="2"/>
        <scheme val="none"/>
      </font>
      <numFmt numFmtId="30" formatCode="@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theme="4"/>
        </left>
        <right style="hair">
          <color theme="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microsoft.com/office/2007/relationships/slicerCache" Target="slicerCaches/slicerCache5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microsoft.com/office/2007/relationships/slicerCache" Target="slicerCaches/slicerCache4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504825</xdr:colOff>
      <xdr:row>0</xdr:row>
      <xdr:rowOff>190500</xdr:rowOff>
    </xdr:from>
    <xdr:to>
      <xdr:col>9</xdr:col>
      <xdr:colOff>47625</xdr:colOff>
      <xdr:row>245</xdr:row>
      <xdr:rowOff>189442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es 3">
              <a:extLst>
                <a:ext uri="{FF2B5EF4-FFF2-40B4-BE49-F238E27FC236}">
                  <a16:creationId xmlns:a16="http://schemas.microsoft.com/office/drawing/2014/main" id="{E6E565DB-B4FB-9F8D-FDB0-17D34E08DA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9575" y="190500"/>
              <a:ext cx="1828800" cy="2676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359832</xdr:colOff>
      <xdr:row>1</xdr:row>
      <xdr:rowOff>56849</xdr:rowOff>
    </xdr:from>
    <xdr:to>
      <xdr:col>10</xdr:col>
      <xdr:colOff>664632</xdr:colOff>
      <xdr:row>11</xdr:row>
      <xdr:rowOff>172509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Mes 1">
              <a:extLst>
                <a:ext uri="{FF2B5EF4-FFF2-40B4-BE49-F238E27FC236}">
                  <a16:creationId xmlns:a16="http://schemas.microsoft.com/office/drawing/2014/main" id="{3366D028-DD40-471B-A0D3-E0F8B1236B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16749" y="257932"/>
              <a:ext cx="1828800" cy="2020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619126</xdr:colOff>
      <xdr:row>194</xdr:row>
      <xdr:rowOff>195263</xdr:rowOff>
    </xdr:from>
    <xdr:to>
      <xdr:col>11</xdr:col>
      <xdr:colOff>2445545</xdr:colOff>
      <xdr:row>207</xdr:row>
      <xdr:rowOff>42862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es 2">
              <a:extLst>
                <a:ext uri="{FF2B5EF4-FFF2-40B4-BE49-F238E27FC236}">
                  <a16:creationId xmlns:a16="http://schemas.microsoft.com/office/drawing/2014/main" id="{1EED2E70-0FD5-44B8-85AC-3D309FA9B8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06751" y="826294"/>
              <a:ext cx="1826419" cy="26336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883445</xdr:colOff>
      <xdr:row>2</xdr:row>
      <xdr:rowOff>57150</xdr:rowOff>
    </xdr:from>
    <xdr:to>
      <xdr:col>11</xdr:col>
      <xdr:colOff>1152526</xdr:colOff>
      <xdr:row>205</xdr:row>
      <xdr:rowOff>147637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es 5">
              <a:extLst>
                <a:ext uri="{FF2B5EF4-FFF2-40B4-BE49-F238E27FC236}">
                  <a16:creationId xmlns:a16="http://schemas.microsoft.com/office/drawing/2014/main" id="{1F62E50A-9C6E-4B9C-A41D-E09050C1D98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92226" y="819150"/>
              <a:ext cx="1828800" cy="26265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244060</xdr:colOff>
      <xdr:row>194</xdr:row>
      <xdr:rowOff>205317</xdr:rowOff>
    </xdr:from>
    <xdr:to>
      <xdr:col>13</xdr:col>
      <xdr:colOff>715547</xdr:colOff>
      <xdr:row>208</xdr:row>
      <xdr:rowOff>110067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es 4">
              <a:extLst>
                <a:ext uri="{FF2B5EF4-FFF2-40B4-BE49-F238E27FC236}">
                  <a16:creationId xmlns:a16="http://schemas.microsoft.com/office/drawing/2014/main" id="{0457F5AD-FFF7-4451-8819-53A0DEB15C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22060" y="872067"/>
              <a:ext cx="1828800" cy="2905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10.39.2.107/Mensual%20y%20trimestral/TABASCO/Copia%20de%20Estructura%20program&#225;tica%20presupuestal%20FASP%202017%2016-01-2016.xlsx" TargetMode="External"/><Relationship Id="rId1" Type="http://schemas.openxmlformats.org/officeDocument/2006/relationships/externalLinkPath" Target="/10.39.2.107/Mensual%20y%20trimestral/TABASCO/Copia%20de%20Estructura%20program&#225;tica%20presupuestal%20FASP%202017%2016-01-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LDO%20CERO%20ENERO-DIC%202016\11-NOV\FASP%202015%20NOV%201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10.237.159.128/mensual%20y%20trimestral/Users/dasanchez/AppData/Local/Microsoft/Windows/Temporary%20Internet%20Files/Content.Outlook/JZKSLYX7/PLANTILLA%20SSYE%202018%20Eredi%20-%202.xlsx" TargetMode="External"/><Relationship Id="rId1" Type="http://schemas.openxmlformats.org/officeDocument/2006/relationships/externalLinkPath" Target="/10.237.159.128/mensual%20y%20trimestral/Users/dasanchez/AppData/Local/Microsoft/Windows/Temporary%20Internet%20Files/Content.Outlook/JZKSLYX7/PLANTILLA%20SSYE%202018%20Eredi%20-%20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dasanchez/AppData/Local/Microsoft/Windows/Temporary%20Internet%20Files/Content.Outlook/JZKSLYX7/PLANTILLA%20SSYE%202018%20Eredi%20-%202.xlsx" TargetMode="External"/><Relationship Id="rId1" Type="http://schemas.openxmlformats.org/officeDocument/2006/relationships/externalLinkPath" Target="/Users/dasanchez/AppData/Local/Microsoft/Windows/Temporary%20Internet%20Files/Content.Outlook/JZKSLYX7/PLANTILLA%20SSYE%202018%20Eredi%20-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junto 2017"/>
      <sheetName val="CENEPRED"/>
      <sheetName val="C4"/>
      <sheetName val="SESESP"/>
      <sheetName val="SSP"/>
      <sheetName val="RESUMEN"/>
      <sheetName val="FGE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Hoja6"/>
      <sheetName val="Hoja7"/>
      <sheetName val="Hoja1"/>
      <sheetName val="PROG 2 PART 511"/>
      <sheetName val="PROGRAMA 3 PART 511"/>
      <sheetName val="2015 ESTRUCTURA"/>
      <sheetName val="CESP"/>
      <sheetName val="Hoja2"/>
      <sheetName val="2015 "/>
      <sheetName val="SSP "/>
      <sheetName val="EVALUACIONES"/>
      <sheetName val="FGE"/>
      <sheetName val="HTSJ"/>
      <sheetName val="JULIO 16 "/>
      <sheetName val="JUNIO 16 "/>
      <sheetName val="MAYO 16"/>
      <sheetName val="ABRIL 16"/>
      <sheetName val="MARZ 16"/>
      <sheetName val="FEB 16"/>
      <sheetName val="ENERO 16"/>
      <sheetName val="DIC 15"/>
      <sheetName val="NOV 15"/>
      <sheetName val="OCT 15"/>
      <sheetName val="SEP 15"/>
      <sheetName val="AGTO 15"/>
      <sheetName val="JUL 15"/>
      <sheetName val="JUN 15"/>
      <sheetName val="MAYO 15"/>
      <sheetName val="ABRIL 15"/>
      <sheetName val="Hoja4"/>
      <sheetName val="Hoja3"/>
      <sheetName val="Hoja8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RIGINAL 2018 "/>
      <sheetName val="24 San Luis Potosi"/>
      <sheetName val="25 Sinaloa"/>
      <sheetName val="26 Sonora"/>
      <sheetName val="28 Tamaulipas"/>
      <sheetName val="Evaluacion del Desempeño"/>
      <sheetName val="Formacion Inicial"/>
      <sheetName val="Control de Confianza"/>
      <sheetName val="InformacionCUP"/>
      <sheetName val="Competencias Basicas"/>
      <sheetName val="Nivel de Mando"/>
      <sheetName val="Puesto"/>
      <sheetName val="Centro de Trabajo"/>
      <sheetName val="Escolaridad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RIGINAL 2018 "/>
      <sheetName val="24 San Luis Potosi"/>
      <sheetName val="25 Sinaloa"/>
      <sheetName val="26 Sonora"/>
      <sheetName val="28 Tamaulipas"/>
      <sheetName val="Evaluacion del Desempeño"/>
      <sheetName val="Formacion Inicial"/>
      <sheetName val="Control de Confianza"/>
      <sheetName val="InformacionCUP"/>
      <sheetName val="Competencias Basicas"/>
      <sheetName val="Nivel de Mando"/>
      <sheetName val="Puesto"/>
      <sheetName val="Centro de Trabajo"/>
      <sheetName val="Escolaridad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ristofer Irving Chavero Becerril" id="{B6135F79-9E10-4974-BBD8-5B1E7322042A}" userId="S::christofer.chavero@sspc.gob.mx::cbc65a63-f07e-40d2-a6d1-77e9f1add5cd" providerId="AD"/>
</personList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3" xr10:uid="{A1A73F9F-377A-4173-9CBD-F20B92E43C7F}" sourceName="Mes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9B27EE8D-281F-44A1-BCC1-C43EDF00D68B}" sourceName="Mes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21" xr10:uid="{C88DC376-2036-4B24-8BB8-1363C3C7F0B3}" sourceName="Mes">
  <extLst>
    <x:ext xmlns:x15="http://schemas.microsoft.com/office/spreadsheetml/2010/11/main" uri="{2F2917AC-EB37-4324-AD4E-5DD8C200BD13}">
      <x15:tableSlicerCache tableId="3" column="7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2" xr10:uid="{78F3E9A5-8E23-4C71-813F-84EAB61E4C55}" sourceName="Mes">
  <extLst>
    <x:ext xmlns:x15="http://schemas.microsoft.com/office/spreadsheetml/2010/11/main" uri="{2F2917AC-EB37-4324-AD4E-5DD8C200BD13}">
      <x15:tableSlicerCache tableId="4" column="7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4" xr10:uid="{A38E0978-4759-45AA-A44F-11636039F139}" sourceName="Mes">
  <extLst>
    <x:ext xmlns:x15="http://schemas.microsoft.com/office/spreadsheetml/2010/11/main" uri="{2F2917AC-EB37-4324-AD4E-5DD8C200BD13}">
      <x15:tableSlicerCache tableId="6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3" xr10:uid="{F9DEAEF0-57FE-426A-9AC2-1469754FC40D}" cache="SegmentaciónDeDatos_Mes3" caption="Mes" startItem="4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1" xr10:uid="{D41EE4C8-C885-4D6C-B28D-6A13E790B151}" cache="SegmentaciónDeDatos_Mes1" caption="Mes" startItem="3" rowHeight="25717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2" xr10:uid="{971E87D9-FB20-497A-B783-792CBBA952F1}" cache="SegmentaciónDeDatos_Mes2" caption="Mes" rowHeight="25717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5" xr10:uid="{4A96CC79-D90C-493B-B320-DB3881B84885}" cache="SegmentaciónDeDatos_Mes4" caption="Mes" rowHeight="25717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4" xr10:uid="{CD5832FE-54BD-44BA-B4D9-0460FAC4F0EF}" cache="SegmentaciónDeDatos_Mes21" caption="Mes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129016-3C89-4D15-BD73-12498540D7A1}" name="Tabla1" displayName="Tabla1" ref="A2:D397" totalsRowShown="0">
  <autoFilter ref="A2:D397" xr:uid="{DD129016-3C89-4D15-BD73-12498540D7A1}">
    <filterColumn colId="1">
      <filters>
        <filter val="Agosto"/>
      </filters>
    </filterColumn>
  </autoFilter>
  <tableColumns count="4">
    <tableColumn id="1" xr3:uid="{217BDB2D-B426-43B1-AEF9-7ECFBFC5CA0E}" name="Entidad"/>
    <tableColumn id="2" xr3:uid="{B3A4F06C-E529-47B0-B589-FA053D593031}" name="Mes"/>
    <tableColumn id="3" xr3:uid="{16BDF6DB-4581-4A91-B826-694013CFC21A}" name="Número"/>
    <tableColumn id="4" xr3:uid="{7C37119D-BDB0-4994-972E-A6F8C9100ED1}" name="TOT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CDFB31-C8D8-4C65-8CB0-6101465A1696}" name="Tabla2" displayName="Tabla2" ref="A2:D386" totalsRowShown="0">
  <autoFilter ref="A2:D386" xr:uid="{EFCDFB31-C8D8-4C65-8CB0-6101465A1696}">
    <filterColumn colId="1">
      <filters>
        <filter val="Enero"/>
      </filters>
    </filterColumn>
  </autoFilter>
  <tableColumns count="4">
    <tableColumn id="1" xr3:uid="{E47E396B-28A7-444E-8DD4-77F988A9B2D9}" name="Entidad"/>
    <tableColumn id="2" xr3:uid="{248F281E-A75E-4ED3-8FE4-CAB1C7E3FFA7}" name="Mes" dataDxfId="38"/>
    <tableColumn id="3" xr3:uid="{A79E21F1-7BB9-418E-82A6-8232B4AD3049}" name="Número" dataDxfId="37"/>
    <tableColumn id="4" xr3:uid="{ABE58EA0-34D4-4E7F-A9BF-285C501B33BE}" name="TOTAL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605040-42D8-4E5D-84A3-9D45FE9F7DB5}" name="Tabla55" displayName="Tabla55" ref="A2:G386" totalsRowShown="0" headerRowDxfId="35" dataDxfId="34" headerRowCellStyle="Normal 2">
  <autoFilter ref="A2:G386" xr:uid="{29436644-4DD2-4844-9D19-2241AA17B70B}">
    <filterColumn colId="1">
      <filters>
        <filter val="Julio"/>
      </filters>
    </filterColumn>
  </autoFilter>
  <tableColumns count="7">
    <tableColumn id="1" xr3:uid="{17312742-7C80-48AE-ACB8-E4B18B2A5337}" name="Entidad" dataDxfId="33" totalsRowDxfId="32"/>
    <tableColumn id="7" xr3:uid="{CCE19CAD-B3D5-49EF-A9C8-1AAF32339F5E}" name="Mes" dataDxfId="31" totalsRowDxfId="30"/>
    <tableColumn id="2" xr3:uid="{57CCC3CD-0E49-4666-9912-D6CE5D922672}" name="Número" dataDxfId="29" totalsRowDxfId="28"/>
    <tableColumn id="3" xr3:uid="{AEAC16E6-15E6-4FA2-8BD9-6F8F95B76F21}" name="Total llamadas por extorsión" dataDxfId="27" totalsRowDxfId="26"/>
    <tableColumn id="4" xr3:uid="{1D68AE4B-8B7C-4BC0-AED9-2BC6D2B7F95C}" name="Extorsiones consumadas" dataDxfId="25" totalsRowDxfId="24"/>
    <tableColumn id="5" xr3:uid="{4A3813F4-AE33-4B8A-BF9E-4C021121F6C8}" name="Estorsiones no consumadas" dataDxfId="23" totalsRowDxfId="22"/>
    <tableColumn id="6" xr3:uid="{2DDA3BBE-3329-49D5-813E-FC0139346951}" name="Denuncia de número que intentó engaño o extorsión pasada" dataDxfId="21" totalsRowDxfId="20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FE46E8-142F-4DB2-B7A6-470AB55C2251}" name="Tabla57" displayName="Tabla57" ref="A3:G387" totalsRowShown="0" headerRowDxfId="19" dataDxfId="18" headerRowCellStyle="Normal 2">
  <autoFilter ref="A3:G387" xr:uid="{29436644-4DD2-4844-9D19-2241AA17B70B}">
    <filterColumn colId="1">
      <filters>
        <filter val="Julio"/>
      </filters>
    </filterColumn>
  </autoFilter>
  <tableColumns count="7">
    <tableColumn id="1" xr3:uid="{B600EC67-B50C-49AF-92EC-7DD2283BAEBC}" name="Entidad" dataDxfId="17"/>
    <tableColumn id="7" xr3:uid="{FC49CFC0-6CC9-4156-BCD1-55A7F1989E09}" name="Mes" dataDxfId="16"/>
    <tableColumn id="2" xr3:uid="{CB0B7B49-EF26-479B-B492-F636446AC60B}" name="Número" dataDxfId="15"/>
    <tableColumn id="3" xr3:uid="{882CEC7C-9258-4AD1-AEDC-D80DB1580848}" name="Total llamadas por extorsión" dataDxfId="14"/>
    <tableColumn id="4" xr3:uid="{2F97C301-29E3-4FFC-8A66-7D45D21355D2}" name="Extorsiones consumadas" dataDxfId="13"/>
    <tableColumn id="5" xr3:uid="{1291CD6A-F036-4DEB-811C-611FD500ED6B}" name="Estorsiones no consumadas" dataDxfId="12"/>
    <tableColumn id="6" xr3:uid="{EA133053-862B-4163-A5BB-76A778F1EA9E}" name="Denuncia de número que intentó engaño o extorsión pasada" dataDxfId="11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3F37EE-74F9-472A-AC5E-9C5497A2F074}" name="Tabla511124" displayName="Tabla511124" ref="A2:G386" totalsRowShown="0" headerRowDxfId="10" headerRowBorderDxfId="9" tableBorderDxfId="8" totalsRowBorderDxfId="7" headerRowCellStyle="Normal 2">
  <autoFilter ref="A2:G386" xr:uid="{29436644-4DD2-4844-9D19-2241AA17B70B}">
    <filterColumn colId="1">
      <filters>
        <filter val="Julio"/>
      </filters>
    </filterColumn>
  </autoFilter>
  <tableColumns count="7">
    <tableColumn id="1" xr3:uid="{30093E27-ECE9-4F5C-9AC2-E8D64167D54C}" name="Entidad" dataDxfId="6"/>
    <tableColumn id="7" xr3:uid="{4EF57D87-F46A-4373-8381-29CC83814CAA}" name="Mes" dataDxfId="5"/>
    <tableColumn id="3" xr3:uid="{09425ADE-E42B-400E-A6D6-A2724E4BDC26}" name="Total de PMI" dataDxfId="4"/>
    <tableColumn id="2" xr3:uid="{96CAF062-896E-454B-8C17-612E124D3080}" name="Total de cámaras" dataDxfId="3"/>
    <tableColumn id="4" xr3:uid="{E7BB11EA-7113-4759-A5AD-3315660160CD}" name="Porcentaje de disponibilidad" dataDxfId="2"/>
    <tableColumn id="8" xr3:uid="{EB62395D-3B09-4325-920B-985D9F8A3E97}" name="Total de lectores de placa" dataDxfId="1"/>
    <tableColumn id="6" xr3:uid="{9787F101-5BDE-4E27-9371-8B8D6E7A20FD}" name="Tiempo promedio de respuesta (policías)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691C32"/>
      </a:accent1>
      <a:accent2>
        <a:srgbClr val="9F2241"/>
      </a:accent2>
      <a:accent3>
        <a:srgbClr val="10312B"/>
      </a:accent3>
      <a:accent4>
        <a:srgbClr val="235B4E"/>
      </a:accent4>
      <a:accent5>
        <a:srgbClr val="BC955C"/>
      </a:accent5>
      <a:accent6>
        <a:srgbClr val="DDC9A3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16" dT="2026-08-07T20:43:22.98" personId="{B6135F79-9E10-4974-BBD8-5B1E7322042A}" id="{4849E315-D07A-4C5A-B1BD-3CAE7718064B}">
    <text xml:space="preserve">La entidad reporta fallas en su sistema de captura. </text>
  </threadedComment>
  <threadedComment ref="G217" dT="2026-08-07T20:43:33.48" personId="{B6135F79-9E10-4974-BBD8-5B1E7322042A}" id="{08257E03-2A73-4547-91B5-025BD8A9AB0D}">
    <text xml:space="preserve">La entidad reporta fallas en su sistema de captura. </text>
  </threadedComment>
  <threadedComment ref="G218" dT="2026-08-07T20:54:37.40" personId="{B6135F79-9E10-4974-BBD8-5B1E7322042A}" id="{D29080BE-B1AB-4A0B-B03C-4FDDE5ABD5B9}">
    <text xml:space="preserve">La entidad reporta fallas en su sistema de captura. 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6" Type="http://schemas.openxmlformats.org/officeDocument/2006/relationships/comments" Target="../comments1.xml"/><Relationship Id="rId5" Type="http://schemas.microsoft.com/office/2007/relationships/slicer" Target="../slicers/slicer5.xml"/><Relationship Id="rId4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C489-CB24-4F02-8120-94E8CB3851DB}">
  <dimension ref="A1:D398"/>
  <sheetViews>
    <sheetView showGridLines="0" tabSelected="1" zoomScale="90" zoomScaleNormal="90" workbookViewId="0">
      <selection activeCell="N228" sqref="N228"/>
    </sheetView>
  </sheetViews>
  <sheetFormatPr baseColWidth="10" defaultColWidth="11.42578125" defaultRowHeight="15" x14ac:dyDescent="0.25"/>
  <cols>
    <col min="1" max="1" width="20" customWidth="1"/>
    <col min="2" max="2" width="14.5703125" customWidth="1"/>
    <col min="3" max="3" width="17" customWidth="1"/>
    <col min="4" max="4" width="19.28515625" customWidth="1"/>
    <col min="11" max="11" width="32" bestFit="1" customWidth="1"/>
  </cols>
  <sheetData>
    <row r="1" spans="1:4" ht="15.75" x14ac:dyDescent="0.25">
      <c r="A1" s="76" t="s">
        <v>0</v>
      </c>
      <c r="B1" s="76"/>
      <c r="C1" s="76"/>
      <c r="D1" s="76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hidden="1" x14ac:dyDescent="0.25">
      <c r="A3" t="s">
        <v>5</v>
      </c>
      <c r="B3" t="s">
        <v>6</v>
      </c>
      <c r="C3">
        <v>911</v>
      </c>
      <c r="D3">
        <v>23471</v>
      </c>
    </row>
    <row r="4" spans="1:4" hidden="1" x14ac:dyDescent="0.25">
      <c r="A4" t="s">
        <v>7</v>
      </c>
      <c r="B4" t="s">
        <v>6</v>
      </c>
      <c r="C4">
        <v>911</v>
      </c>
      <c r="D4">
        <v>91143</v>
      </c>
    </row>
    <row r="5" spans="1:4" hidden="1" x14ac:dyDescent="0.25">
      <c r="A5" t="s">
        <v>8</v>
      </c>
      <c r="B5" t="s">
        <v>6</v>
      </c>
      <c r="C5">
        <v>911</v>
      </c>
      <c r="D5">
        <v>10952</v>
      </c>
    </row>
    <row r="6" spans="1:4" hidden="1" x14ac:dyDescent="0.25">
      <c r="A6" t="s">
        <v>9</v>
      </c>
      <c r="B6" t="s">
        <v>6</v>
      </c>
      <c r="C6">
        <v>911</v>
      </c>
      <c r="D6">
        <v>11888</v>
      </c>
    </row>
    <row r="7" spans="1:4" hidden="1" x14ac:dyDescent="0.25">
      <c r="A7" t="s">
        <v>10</v>
      </c>
      <c r="B7" t="s">
        <v>6</v>
      </c>
      <c r="C7">
        <v>911</v>
      </c>
      <c r="D7">
        <v>7767</v>
      </c>
    </row>
    <row r="8" spans="1:4" hidden="1" x14ac:dyDescent="0.25">
      <c r="A8" t="s">
        <v>11</v>
      </c>
      <c r="B8" t="s">
        <v>6</v>
      </c>
      <c r="C8">
        <v>911</v>
      </c>
      <c r="D8">
        <v>64099</v>
      </c>
    </row>
    <row r="9" spans="1:4" hidden="1" x14ac:dyDescent="0.25">
      <c r="A9" t="s">
        <v>12</v>
      </c>
      <c r="B9" t="s">
        <v>6</v>
      </c>
      <c r="C9">
        <v>911</v>
      </c>
      <c r="D9">
        <v>109771</v>
      </c>
    </row>
    <row r="10" spans="1:4" hidden="1" x14ac:dyDescent="0.25">
      <c r="A10" t="s">
        <v>13</v>
      </c>
      <c r="B10" t="s">
        <v>6</v>
      </c>
      <c r="C10">
        <v>911</v>
      </c>
      <c r="D10">
        <v>35363</v>
      </c>
    </row>
    <row r="11" spans="1:4" hidden="1" x14ac:dyDescent="0.25">
      <c r="A11" t="s">
        <v>14</v>
      </c>
      <c r="B11" t="s">
        <v>6</v>
      </c>
      <c r="C11">
        <v>911</v>
      </c>
      <c r="D11">
        <v>15016</v>
      </c>
    </row>
    <row r="12" spans="1:4" hidden="1" x14ac:dyDescent="0.25">
      <c r="A12" t="s">
        <v>15</v>
      </c>
      <c r="B12" t="s">
        <v>6</v>
      </c>
      <c r="C12">
        <v>911</v>
      </c>
      <c r="D12">
        <v>14924</v>
      </c>
    </row>
    <row r="13" spans="1:4" hidden="1" x14ac:dyDescent="0.25">
      <c r="A13" t="s">
        <v>16</v>
      </c>
      <c r="B13" t="s">
        <v>6</v>
      </c>
      <c r="C13">
        <v>911</v>
      </c>
      <c r="D13">
        <v>97322</v>
      </c>
    </row>
    <row r="14" spans="1:4" hidden="1" x14ac:dyDescent="0.25">
      <c r="A14" t="s">
        <v>17</v>
      </c>
      <c r="B14" t="s">
        <v>6</v>
      </c>
      <c r="C14">
        <v>911</v>
      </c>
      <c r="D14">
        <v>15652</v>
      </c>
    </row>
    <row r="15" spans="1:4" hidden="1" x14ac:dyDescent="0.25">
      <c r="A15" t="s">
        <v>18</v>
      </c>
      <c r="B15" t="s">
        <v>6</v>
      </c>
      <c r="C15">
        <v>911</v>
      </c>
      <c r="D15">
        <v>32330</v>
      </c>
    </row>
    <row r="16" spans="1:4" hidden="1" x14ac:dyDescent="0.25">
      <c r="A16" t="s">
        <v>19</v>
      </c>
      <c r="B16" t="s">
        <v>6</v>
      </c>
      <c r="C16">
        <v>911</v>
      </c>
      <c r="D16">
        <v>71493</v>
      </c>
    </row>
    <row r="17" spans="1:4" hidden="1" x14ac:dyDescent="0.25">
      <c r="A17" t="s">
        <v>20</v>
      </c>
      <c r="B17" t="s">
        <v>6</v>
      </c>
      <c r="C17">
        <v>911</v>
      </c>
      <c r="D17">
        <v>67813</v>
      </c>
    </row>
    <row r="18" spans="1:4" hidden="1" x14ac:dyDescent="0.25">
      <c r="A18" t="s">
        <v>21</v>
      </c>
      <c r="B18" t="s">
        <v>6</v>
      </c>
      <c r="C18">
        <v>911</v>
      </c>
      <c r="D18">
        <v>22024</v>
      </c>
    </row>
    <row r="19" spans="1:4" hidden="1" x14ac:dyDescent="0.25">
      <c r="A19" t="s">
        <v>22</v>
      </c>
      <c r="B19" t="s">
        <v>6</v>
      </c>
      <c r="C19">
        <v>911</v>
      </c>
      <c r="D19">
        <v>14191</v>
      </c>
    </row>
    <row r="20" spans="1:4" hidden="1" x14ac:dyDescent="0.25">
      <c r="A20" t="s">
        <v>23</v>
      </c>
      <c r="B20" t="s">
        <v>6</v>
      </c>
      <c r="C20">
        <v>911</v>
      </c>
      <c r="D20">
        <v>8235</v>
      </c>
    </row>
    <row r="21" spans="1:4" hidden="1" x14ac:dyDescent="0.25">
      <c r="A21" t="s">
        <v>24</v>
      </c>
      <c r="B21" t="s">
        <v>6</v>
      </c>
      <c r="C21">
        <v>911</v>
      </c>
      <c r="D21">
        <v>68824</v>
      </c>
    </row>
    <row r="22" spans="1:4" hidden="1" x14ac:dyDescent="0.25">
      <c r="A22" t="s">
        <v>25</v>
      </c>
      <c r="B22" t="s">
        <v>6</v>
      </c>
      <c r="C22">
        <v>911</v>
      </c>
      <c r="D22">
        <v>20026</v>
      </c>
    </row>
    <row r="23" spans="1:4" hidden="1" x14ac:dyDescent="0.25">
      <c r="A23" t="s">
        <v>26</v>
      </c>
      <c r="B23" t="s">
        <v>6</v>
      </c>
      <c r="C23">
        <v>911</v>
      </c>
      <c r="D23">
        <v>50382</v>
      </c>
    </row>
    <row r="24" spans="1:4" hidden="1" x14ac:dyDescent="0.25">
      <c r="A24" t="s">
        <v>27</v>
      </c>
      <c r="B24" t="s">
        <v>6</v>
      </c>
      <c r="C24">
        <v>911</v>
      </c>
      <c r="D24">
        <v>44462</v>
      </c>
    </row>
    <row r="25" spans="1:4" hidden="1" x14ac:dyDescent="0.25">
      <c r="A25" t="s">
        <v>28</v>
      </c>
      <c r="B25" t="s">
        <v>6</v>
      </c>
      <c r="C25">
        <v>911</v>
      </c>
      <c r="D25">
        <v>34886</v>
      </c>
    </row>
    <row r="26" spans="1:4" hidden="1" x14ac:dyDescent="0.25">
      <c r="A26" t="s">
        <v>29</v>
      </c>
      <c r="B26" t="s">
        <v>6</v>
      </c>
      <c r="C26">
        <v>911</v>
      </c>
      <c r="D26">
        <v>12694</v>
      </c>
    </row>
    <row r="27" spans="1:4" hidden="1" x14ac:dyDescent="0.25">
      <c r="A27" t="s">
        <v>30</v>
      </c>
      <c r="B27" t="s">
        <v>6</v>
      </c>
      <c r="C27">
        <v>911</v>
      </c>
      <c r="D27">
        <v>23879</v>
      </c>
    </row>
    <row r="28" spans="1:4" hidden="1" x14ac:dyDescent="0.25">
      <c r="A28" t="s">
        <v>31</v>
      </c>
      <c r="B28" t="s">
        <v>6</v>
      </c>
      <c r="C28">
        <v>911</v>
      </c>
      <c r="D28">
        <v>82889</v>
      </c>
    </row>
    <row r="29" spans="1:4" hidden="1" x14ac:dyDescent="0.25">
      <c r="A29" t="s">
        <v>32</v>
      </c>
      <c r="B29" t="s">
        <v>6</v>
      </c>
      <c r="C29">
        <v>911</v>
      </c>
      <c r="D29">
        <v>6520</v>
      </c>
    </row>
    <row r="30" spans="1:4" hidden="1" x14ac:dyDescent="0.25">
      <c r="A30" t="s">
        <v>33</v>
      </c>
      <c r="B30" t="s">
        <v>6</v>
      </c>
      <c r="C30">
        <v>911</v>
      </c>
      <c r="D30">
        <v>21379</v>
      </c>
    </row>
    <row r="31" spans="1:4" hidden="1" x14ac:dyDescent="0.25">
      <c r="A31" t="s">
        <v>34</v>
      </c>
      <c r="B31" t="s">
        <v>6</v>
      </c>
      <c r="C31">
        <v>911</v>
      </c>
      <c r="D31">
        <v>10817</v>
      </c>
    </row>
    <row r="32" spans="1:4" hidden="1" x14ac:dyDescent="0.25">
      <c r="A32" t="s">
        <v>35</v>
      </c>
      <c r="B32" t="s">
        <v>6</v>
      </c>
      <c r="C32">
        <v>911</v>
      </c>
      <c r="D32">
        <v>50198</v>
      </c>
    </row>
    <row r="33" spans="1:4" hidden="1" x14ac:dyDescent="0.25">
      <c r="A33" t="s">
        <v>36</v>
      </c>
      <c r="B33" t="s">
        <v>6</v>
      </c>
      <c r="C33">
        <v>911</v>
      </c>
      <c r="D33">
        <v>37499</v>
      </c>
    </row>
    <row r="34" spans="1:4" hidden="1" x14ac:dyDescent="0.25">
      <c r="A34" t="s">
        <v>37</v>
      </c>
      <c r="B34" t="s">
        <v>6</v>
      </c>
      <c r="C34">
        <v>911</v>
      </c>
      <c r="D34">
        <v>8434</v>
      </c>
    </row>
    <row r="35" spans="1:4" hidden="1" x14ac:dyDescent="0.25">
      <c r="A35" s="3" t="s">
        <v>4</v>
      </c>
      <c r="B35" s="3" t="s">
        <v>4</v>
      </c>
      <c r="C35">
        <v>911</v>
      </c>
      <c r="D35" s="3">
        <f>SUM(D3:D34)</f>
        <v>1186343</v>
      </c>
    </row>
    <row r="36" spans="1:4" hidden="1" x14ac:dyDescent="0.25">
      <c r="A36" t="s">
        <v>5</v>
      </c>
      <c r="B36" t="s">
        <v>38</v>
      </c>
      <c r="C36">
        <v>911</v>
      </c>
      <c r="D36">
        <v>23289</v>
      </c>
    </row>
    <row r="37" spans="1:4" hidden="1" x14ac:dyDescent="0.25">
      <c r="A37" t="s">
        <v>7</v>
      </c>
      <c r="B37" t="s">
        <v>38</v>
      </c>
      <c r="C37">
        <v>911</v>
      </c>
      <c r="D37">
        <v>88035</v>
      </c>
    </row>
    <row r="38" spans="1:4" hidden="1" x14ac:dyDescent="0.25">
      <c r="A38" t="s">
        <v>8</v>
      </c>
      <c r="B38" t="s">
        <v>38</v>
      </c>
      <c r="C38">
        <v>911</v>
      </c>
      <c r="D38">
        <v>10117</v>
      </c>
    </row>
    <row r="39" spans="1:4" hidden="1" x14ac:dyDescent="0.25">
      <c r="A39" t="s">
        <v>9</v>
      </c>
      <c r="B39" t="s">
        <v>38</v>
      </c>
      <c r="C39">
        <v>911</v>
      </c>
      <c r="D39">
        <v>11328</v>
      </c>
    </row>
    <row r="40" spans="1:4" hidden="1" x14ac:dyDescent="0.25">
      <c r="A40" t="s">
        <v>10</v>
      </c>
      <c r="B40" t="s">
        <v>38</v>
      </c>
      <c r="C40">
        <v>911</v>
      </c>
      <c r="D40">
        <v>15179</v>
      </c>
    </row>
    <row r="41" spans="1:4" hidden="1" x14ac:dyDescent="0.25">
      <c r="A41" t="s">
        <v>11</v>
      </c>
      <c r="B41" t="s">
        <v>38</v>
      </c>
      <c r="C41">
        <v>911</v>
      </c>
      <c r="D41">
        <v>64151</v>
      </c>
    </row>
    <row r="42" spans="1:4" hidden="1" x14ac:dyDescent="0.25">
      <c r="A42" t="s">
        <v>12</v>
      </c>
      <c r="B42" t="s">
        <v>38</v>
      </c>
      <c r="C42">
        <v>911</v>
      </c>
      <c r="D42">
        <v>104156</v>
      </c>
    </row>
    <row r="43" spans="1:4" hidden="1" x14ac:dyDescent="0.25">
      <c r="A43" t="s">
        <v>13</v>
      </c>
      <c r="B43" t="s">
        <v>38</v>
      </c>
      <c r="C43">
        <v>911</v>
      </c>
      <c r="D43">
        <v>38213</v>
      </c>
    </row>
    <row r="44" spans="1:4" hidden="1" x14ac:dyDescent="0.25">
      <c r="A44" t="s">
        <v>14</v>
      </c>
      <c r="B44" t="s">
        <v>38</v>
      </c>
      <c r="C44">
        <v>911</v>
      </c>
      <c r="D44">
        <v>13829</v>
      </c>
    </row>
    <row r="45" spans="1:4" hidden="1" x14ac:dyDescent="0.25">
      <c r="A45" t="s">
        <v>15</v>
      </c>
      <c r="B45" t="s">
        <v>38</v>
      </c>
      <c r="C45">
        <v>911</v>
      </c>
      <c r="D45">
        <v>13237</v>
      </c>
    </row>
    <row r="46" spans="1:4" hidden="1" x14ac:dyDescent="0.25">
      <c r="A46" t="s">
        <v>16</v>
      </c>
      <c r="B46" t="s">
        <v>38</v>
      </c>
      <c r="C46">
        <v>911</v>
      </c>
      <c r="D46">
        <v>96225</v>
      </c>
    </row>
    <row r="47" spans="1:4" hidden="1" x14ac:dyDescent="0.25">
      <c r="A47" t="s">
        <v>17</v>
      </c>
      <c r="B47" t="s">
        <v>38</v>
      </c>
      <c r="C47">
        <v>911</v>
      </c>
      <c r="D47">
        <v>15184</v>
      </c>
    </row>
    <row r="48" spans="1:4" hidden="1" x14ac:dyDescent="0.25">
      <c r="A48" t="s">
        <v>18</v>
      </c>
      <c r="B48" t="s">
        <v>38</v>
      </c>
      <c r="C48">
        <v>911</v>
      </c>
      <c r="D48">
        <v>32992</v>
      </c>
    </row>
    <row r="49" spans="1:4" hidden="1" x14ac:dyDescent="0.25">
      <c r="A49" t="s">
        <v>19</v>
      </c>
      <c r="B49" t="s">
        <v>38</v>
      </c>
      <c r="C49">
        <v>911</v>
      </c>
      <c r="D49">
        <v>71169</v>
      </c>
    </row>
    <row r="50" spans="1:4" hidden="1" x14ac:dyDescent="0.25">
      <c r="A50" t="s">
        <v>20</v>
      </c>
      <c r="B50" t="s">
        <v>38</v>
      </c>
      <c r="C50">
        <v>911</v>
      </c>
      <c r="D50">
        <v>67050</v>
      </c>
    </row>
    <row r="51" spans="1:4" hidden="1" x14ac:dyDescent="0.25">
      <c r="A51" t="s">
        <v>21</v>
      </c>
      <c r="B51" t="s">
        <v>38</v>
      </c>
      <c r="C51">
        <v>911</v>
      </c>
      <c r="D51">
        <v>22294</v>
      </c>
    </row>
    <row r="52" spans="1:4" hidden="1" x14ac:dyDescent="0.25">
      <c r="A52" t="s">
        <v>22</v>
      </c>
      <c r="B52" t="s">
        <v>38</v>
      </c>
      <c r="C52">
        <v>911</v>
      </c>
      <c r="D52">
        <v>12318</v>
      </c>
    </row>
    <row r="53" spans="1:4" hidden="1" x14ac:dyDescent="0.25">
      <c r="A53" t="s">
        <v>23</v>
      </c>
      <c r="B53" t="s">
        <v>38</v>
      </c>
      <c r="C53">
        <v>911</v>
      </c>
      <c r="D53">
        <v>7812</v>
      </c>
    </row>
    <row r="54" spans="1:4" hidden="1" x14ac:dyDescent="0.25">
      <c r="A54" t="s">
        <v>24</v>
      </c>
      <c r="B54" t="s">
        <v>38</v>
      </c>
      <c r="C54">
        <v>911</v>
      </c>
      <c r="D54">
        <v>93263</v>
      </c>
    </row>
    <row r="55" spans="1:4" hidden="1" x14ac:dyDescent="0.25">
      <c r="A55" t="s">
        <v>25</v>
      </c>
      <c r="B55" t="s">
        <v>38</v>
      </c>
      <c r="C55">
        <v>911</v>
      </c>
      <c r="D55">
        <v>18878</v>
      </c>
    </row>
    <row r="56" spans="1:4" hidden="1" x14ac:dyDescent="0.25">
      <c r="A56" t="s">
        <v>26</v>
      </c>
      <c r="B56" t="s">
        <v>38</v>
      </c>
      <c r="C56">
        <v>911</v>
      </c>
      <c r="D56">
        <v>45667</v>
      </c>
    </row>
    <row r="57" spans="1:4" hidden="1" x14ac:dyDescent="0.25">
      <c r="A57" t="s">
        <v>27</v>
      </c>
      <c r="B57" t="s">
        <v>38</v>
      </c>
      <c r="C57">
        <v>911</v>
      </c>
      <c r="D57">
        <v>43715</v>
      </c>
    </row>
    <row r="58" spans="1:4" hidden="1" x14ac:dyDescent="0.25">
      <c r="A58" t="s">
        <v>28</v>
      </c>
      <c r="B58" t="s">
        <v>38</v>
      </c>
      <c r="C58">
        <v>911</v>
      </c>
      <c r="D58">
        <v>32565</v>
      </c>
    </row>
    <row r="59" spans="1:4" hidden="1" x14ac:dyDescent="0.25">
      <c r="A59" t="s">
        <v>29</v>
      </c>
      <c r="B59" t="s">
        <v>38</v>
      </c>
      <c r="C59">
        <v>911</v>
      </c>
      <c r="D59">
        <v>11804</v>
      </c>
    </row>
    <row r="60" spans="1:4" hidden="1" x14ac:dyDescent="0.25">
      <c r="A60" t="s">
        <v>30</v>
      </c>
      <c r="B60" t="s">
        <v>38</v>
      </c>
      <c r="C60">
        <v>911</v>
      </c>
      <c r="D60">
        <v>22079</v>
      </c>
    </row>
    <row r="61" spans="1:4" hidden="1" x14ac:dyDescent="0.25">
      <c r="A61" t="s">
        <v>31</v>
      </c>
      <c r="B61" t="s">
        <v>38</v>
      </c>
      <c r="C61">
        <v>911</v>
      </c>
      <c r="D61">
        <v>81965</v>
      </c>
    </row>
    <row r="62" spans="1:4" hidden="1" x14ac:dyDescent="0.25">
      <c r="A62" t="s">
        <v>32</v>
      </c>
      <c r="B62" t="s">
        <v>38</v>
      </c>
      <c r="C62">
        <v>911</v>
      </c>
      <c r="D62">
        <v>6753</v>
      </c>
    </row>
    <row r="63" spans="1:4" hidden="1" x14ac:dyDescent="0.25">
      <c r="A63" t="s">
        <v>33</v>
      </c>
      <c r="B63" t="s">
        <v>38</v>
      </c>
      <c r="C63">
        <v>911</v>
      </c>
      <c r="D63">
        <v>22548</v>
      </c>
    </row>
    <row r="64" spans="1:4" hidden="1" x14ac:dyDescent="0.25">
      <c r="A64" t="s">
        <v>34</v>
      </c>
      <c r="B64" t="s">
        <v>38</v>
      </c>
      <c r="C64">
        <v>911</v>
      </c>
      <c r="D64">
        <v>11284</v>
      </c>
    </row>
    <row r="65" spans="1:4" hidden="1" x14ac:dyDescent="0.25">
      <c r="A65" t="s">
        <v>35</v>
      </c>
      <c r="B65" t="s">
        <v>38</v>
      </c>
      <c r="C65">
        <v>911</v>
      </c>
      <c r="D65">
        <v>51672</v>
      </c>
    </row>
    <row r="66" spans="1:4" hidden="1" x14ac:dyDescent="0.25">
      <c r="A66" t="s">
        <v>36</v>
      </c>
      <c r="B66" t="s">
        <v>38</v>
      </c>
      <c r="C66">
        <v>911</v>
      </c>
      <c r="D66">
        <v>39880</v>
      </c>
    </row>
    <row r="67" spans="1:4" hidden="1" x14ac:dyDescent="0.25">
      <c r="A67" t="s">
        <v>37</v>
      </c>
      <c r="B67" t="s">
        <v>38</v>
      </c>
      <c r="C67">
        <v>911</v>
      </c>
      <c r="D67">
        <v>8851</v>
      </c>
    </row>
    <row r="68" spans="1:4" hidden="1" x14ac:dyDescent="0.25">
      <c r="A68" s="3" t="s">
        <v>4</v>
      </c>
      <c r="B68" s="3" t="s">
        <v>4</v>
      </c>
      <c r="C68">
        <v>911</v>
      </c>
      <c r="D68" s="3">
        <f>SUM(D36:D67)</f>
        <v>1197502</v>
      </c>
    </row>
    <row r="69" spans="1:4" hidden="1" x14ac:dyDescent="0.25">
      <c r="A69" t="s">
        <v>5</v>
      </c>
      <c r="B69" t="s">
        <v>39</v>
      </c>
      <c r="C69">
        <v>911</v>
      </c>
      <c r="D69">
        <v>26868</v>
      </c>
    </row>
    <row r="70" spans="1:4" hidden="1" x14ac:dyDescent="0.25">
      <c r="A70" t="s">
        <v>7</v>
      </c>
      <c r="B70" t="s">
        <v>39</v>
      </c>
      <c r="C70">
        <v>911</v>
      </c>
      <c r="D70">
        <v>95533</v>
      </c>
    </row>
    <row r="71" spans="1:4" hidden="1" x14ac:dyDescent="0.25">
      <c r="A71" t="s">
        <v>8</v>
      </c>
      <c r="B71" t="s">
        <v>39</v>
      </c>
      <c r="C71">
        <v>911</v>
      </c>
      <c r="D71">
        <v>11606</v>
      </c>
    </row>
    <row r="72" spans="1:4" hidden="1" x14ac:dyDescent="0.25">
      <c r="A72" t="s">
        <v>9</v>
      </c>
      <c r="B72" t="s">
        <v>39</v>
      </c>
      <c r="C72">
        <v>911</v>
      </c>
      <c r="D72">
        <v>13112</v>
      </c>
    </row>
    <row r="73" spans="1:4" hidden="1" x14ac:dyDescent="0.25">
      <c r="A73" t="s">
        <v>10</v>
      </c>
      <c r="B73" t="s">
        <v>39</v>
      </c>
      <c r="C73">
        <v>911</v>
      </c>
      <c r="D73">
        <v>8553</v>
      </c>
    </row>
    <row r="74" spans="1:4" hidden="1" x14ac:dyDescent="0.25">
      <c r="A74" t="s">
        <v>11</v>
      </c>
      <c r="B74" t="s">
        <v>39</v>
      </c>
      <c r="C74">
        <v>911</v>
      </c>
      <c r="D74">
        <v>78614</v>
      </c>
    </row>
    <row r="75" spans="1:4" hidden="1" x14ac:dyDescent="0.25">
      <c r="A75" t="s">
        <v>12</v>
      </c>
      <c r="B75" t="s">
        <v>39</v>
      </c>
      <c r="C75">
        <v>911</v>
      </c>
      <c r="D75">
        <v>109088</v>
      </c>
    </row>
    <row r="76" spans="1:4" hidden="1" x14ac:dyDescent="0.25">
      <c r="A76" t="s">
        <v>13</v>
      </c>
      <c r="B76" t="s">
        <v>39</v>
      </c>
      <c r="C76">
        <v>911</v>
      </c>
      <c r="D76">
        <v>42957</v>
      </c>
    </row>
    <row r="77" spans="1:4" hidden="1" x14ac:dyDescent="0.25">
      <c r="A77" t="s">
        <v>14</v>
      </c>
      <c r="B77" t="s">
        <v>39</v>
      </c>
      <c r="C77">
        <v>911</v>
      </c>
      <c r="D77">
        <v>15848</v>
      </c>
    </row>
    <row r="78" spans="1:4" hidden="1" x14ac:dyDescent="0.25">
      <c r="A78" t="s">
        <v>15</v>
      </c>
      <c r="B78" t="s">
        <v>39</v>
      </c>
      <c r="C78">
        <v>911</v>
      </c>
      <c r="D78">
        <v>15318</v>
      </c>
    </row>
    <row r="79" spans="1:4" hidden="1" x14ac:dyDescent="0.25">
      <c r="A79" t="s">
        <v>16</v>
      </c>
      <c r="B79" t="s">
        <v>39</v>
      </c>
      <c r="C79">
        <v>911</v>
      </c>
      <c r="D79">
        <v>109763</v>
      </c>
    </row>
    <row r="80" spans="1:4" hidden="1" x14ac:dyDescent="0.25">
      <c r="A80" t="s">
        <v>17</v>
      </c>
      <c r="B80" t="s">
        <v>39</v>
      </c>
      <c r="C80">
        <v>911</v>
      </c>
      <c r="D80">
        <v>15089</v>
      </c>
    </row>
    <row r="81" spans="1:4" hidden="1" x14ac:dyDescent="0.25">
      <c r="A81" t="s">
        <v>18</v>
      </c>
      <c r="B81" t="s">
        <v>39</v>
      </c>
      <c r="C81">
        <v>911</v>
      </c>
      <c r="D81">
        <v>33866</v>
      </c>
    </row>
    <row r="82" spans="1:4" hidden="1" x14ac:dyDescent="0.25">
      <c r="A82" t="s">
        <v>19</v>
      </c>
      <c r="B82" t="s">
        <v>39</v>
      </c>
      <c r="C82">
        <v>911</v>
      </c>
      <c r="D82">
        <v>78599</v>
      </c>
    </row>
    <row r="83" spans="1:4" hidden="1" x14ac:dyDescent="0.25">
      <c r="A83" t="s">
        <v>20</v>
      </c>
      <c r="B83" t="s">
        <v>39</v>
      </c>
      <c r="C83">
        <v>911</v>
      </c>
      <c r="D83">
        <v>75118</v>
      </c>
    </row>
    <row r="84" spans="1:4" hidden="1" x14ac:dyDescent="0.25">
      <c r="A84" t="s">
        <v>21</v>
      </c>
      <c r="B84" t="s">
        <v>39</v>
      </c>
      <c r="C84">
        <v>911</v>
      </c>
      <c r="D84">
        <v>25618</v>
      </c>
    </row>
    <row r="85" spans="1:4" hidden="1" x14ac:dyDescent="0.25">
      <c r="A85" t="s">
        <v>22</v>
      </c>
      <c r="B85" t="s">
        <v>39</v>
      </c>
      <c r="C85">
        <v>911</v>
      </c>
      <c r="D85">
        <v>13694</v>
      </c>
    </row>
    <row r="86" spans="1:4" hidden="1" x14ac:dyDescent="0.25">
      <c r="A86" t="s">
        <v>23</v>
      </c>
      <c r="B86" t="s">
        <v>39</v>
      </c>
      <c r="C86">
        <v>911</v>
      </c>
      <c r="D86">
        <v>8867</v>
      </c>
    </row>
    <row r="87" spans="1:4" hidden="1" x14ac:dyDescent="0.25">
      <c r="A87" t="s">
        <v>24</v>
      </c>
      <c r="B87" t="s">
        <v>39</v>
      </c>
      <c r="C87">
        <v>911</v>
      </c>
      <c r="D87">
        <v>103892</v>
      </c>
    </row>
    <row r="88" spans="1:4" hidden="1" x14ac:dyDescent="0.25">
      <c r="A88" t="s">
        <v>25</v>
      </c>
      <c r="B88" t="s">
        <v>39</v>
      </c>
      <c r="C88">
        <v>911</v>
      </c>
      <c r="D88">
        <v>21950</v>
      </c>
    </row>
    <row r="89" spans="1:4" hidden="1" x14ac:dyDescent="0.25">
      <c r="A89" t="s">
        <v>26</v>
      </c>
      <c r="B89" t="s">
        <v>39</v>
      </c>
      <c r="C89">
        <v>911</v>
      </c>
      <c r="D89">
        <v>46346</v>
      </c>
    </row>
    <row r="90" spans="1:4" hidden="1" x14ac:dyDescent="0.25">
      <c r="A90" t="s">
        <v>27</v>
      </c>
      <c r="B90" t="s">
        <v>39</v>
      </c>
      <c r="C90">
        <v>911</v>
      </c>
      <c r="D90">
        <v>48952</v>
      </c>
    </row>
    <row r="91" spans="1:4" hidden="1" x14ac:dyDescent="0.25">
      <c r="A91" t="s">
        <v>28</v>
      </c>
      <c r="B91" t="s">
        <v>39</v>
      </c>
      <c r="C91">
        <v>911</v>
      </c>
      <c r="D91">
        <v>37361</v>
      </c>
    </row>
    <row r="92" spans="1:4" hidden="1" x14ac:dyDescent="0.25">
      <c r="A92" t="s">
        <v>29</v>
      </c>
      <c r="B92" t="s">
        <v>39</v>
      </c>
      <c r="C92">
        <v>911</v>
      </c>
      <c r="D92">
        <v>13314</v>
      </c>
    </row>
    <row r="93" spans="1:4" hidden="1" x14ac:dyDescent="0.25">
      <c r="A93" t="s">
        <v>30</v>
      </c>
      <c r="B93" t="s">
        <v>39</v>
      </c>
      <c r="C93">
        <v>911</v>
      </c>
      <c r="D93">
        <v>25590</v>
      </c>
    </row>
    <row r="94" spans="1:4" hidden="1" x14ac:dyDescent="0.25">
      <c r="A94" t="s">
        <v>31</v>
      </c>
      <c r="B94" t="s">
        <v>39</v>
      </c>
      <c r="C94">
        <v>911</v>
      </c>
      <c r="D94">
        <v>93170</v>
      </c>
    </row>
    <row r="95" spans="1:4" hidden="1" x14ac:dyDescent="0.25">
      <c r="A95" t="s">
        <v>32</v>
      </c>
      <c r="B95" t="s">
        <v>39</v>
      </c>
      <c r="C95">
        <v>911</v>
      </c>
      <c r="D95">
        <v>8431</v>
      </c>
    </row>
    <row r="96" spans="1:4" hidden="1" x14ac:dyDescent="0.25">
      <c r="A96" t="s">
        <v>33</v>
      </c>
      <c r="B96" t="s">
        <v>39</v>
      </c>
      <c r="C96">
        <v>911</v>
      </c>
      <c r="D96">
        <v>26047</v>
      </c>
    </row>
    <row r="97" spans="1:4" hidden="1" x14ac:dyDescent="0.25">
      <c r="A97" t="s">
        <v>34</v>
      </c>
      <c r="B97" t="s">
        <v>39</v>
      </c>
      <c r="C97">
        <v>911</v>
      </c>
      <c r="D97">
        <v>11789</v>
      </c>
    </row>
    <row r="98" spans="1:4" hidden="1" x14ac:dyDescent="0.25">
      <c r="A98" t="s">
        <v>35</v>
      </c>
      <c r="B98" t="s">
        <v>39</v>
      </c>
      <c r="C98">
        <v>911</v>
      </c>
      <c r="D98">
        <v>59796</v>
      </c>
    </row>
    <row r="99" spans="1:4" hidden="1" x14ac:dyDescent="0.25">
      <c r="A99" t="s">
        <v>36</v>
      </c>
      <c r="B99" t="s">
        <v>39</v>
      </c>
      <c r="C99">
        <v>911</v>
      </c>
      <c r="D99">
        <v>43787</v>
      </c>
    </row>
    <row r="100" spans="1:4" hidden="1" x14ac:dyDescent="0.25">
      <c r="A100" t="s">
        <v>37</v>
      </c>
      <c r="B100" t="s">
        <v>39</v>
      </c>
      <c r="C100">
        <v>911</v>
      </c>
      <c r="D100">
        <v>10047</v>
      </c>
    </row>
    <row r="101" spans="1:4" hidden="1" x14ac:dyDescent="0.25">
      <c r="A101" s="3" t="s">
        <v>4</v>
      </c>
      <c r="B101" s="3" t="s">
        <v>4</v>
      </c>
      <c r="C101">
        <v>911</v>
      </c>
      <c r="D101">
        <f>SUM(D69:D100)</f>
        <v>1328583</v>
      </c>
    </row>
    <row r="102" spans="1:4" hidden="1" x14ac:dyDescent="0.25">
      <c r="A102" t="s">
        <v>5</v>
      </c>
      <c r="B102" t="s">
        <v>40</v>
      </c>
      <c r="C102">
        <v>911</v>
      </c>
      <c r="D102" s="23">
        <v>26640</v>
      </c>
    </row>
    <row r="103" spans="1:4" hidden="1" x14ac:dyDescent="0.25">
      <c r="A103" t="s">
        <v>7</v>
      </c>
      <c r="B103" t="s">
        <v>40</v>
      </c>
      <c r="C103">
        <v>911</v>
      </c>
      <c r="D103" s="24">
        <v>86315</v>
      </c>
    </row>
    <row r="104" spans="1:4" hidden="1" x14ac:dyDescent="0.25">
      <c r="A104" t="s">
        <v>8</v>
      </c>
      <c r="B104" t="s">
        <v>40</v>
      </c>
      <c r="C104">
        <v>911</v>
      </c>
      <c r="D104" s="23">
        <v>11116</v>
      </c>
    </row>
    <row r="105" spans="1:4" hidden="1" x14ac:dyDescent="0.25">
      <c r="A105" t="s">
        <v>9</v>
      </c>
      <c r="B105" t="s">
        <v>40</v>
      </c>
      <c r="C105">
        <v>911</v>
      </c>
      <c r="D105" s="24">
        <v>13027</v>
      </c>
    </row>
    <row r="106" spans="1:4" hidden="1" x14ac:dyDescent="0.25">
      <c r="A106" t="s">
        <v>10</v>
      </c>
      <c r="B106" t="s">
        <v>40</v>
      </c>
      <c r="C106">
        <v>911</v>
      </c>
      <c r="D106" s="23">
        <v>8612</v>
      </c>
    </row>
    <row r="107" spans="1:4" hidden="1" x14ac:dyDescent="0.25">
      <c r="A107" t="s">
        <v>11</v>
      </c>
      <c r="B107" t="s">
        <v>40</v>
      </c>
      <c r="C107">
        <v>911</v>
      </c>
      <c r="D107" s="24">
        <v>73724</v>
      </c>
    </row>
    <row r="108" spans="1:4" hidden="1" x14ac:dyDescent="0.25">
      <c r="A108" t="s">
        <v>12</v>
      </c>
      <c r="B108" t="s">
        <v>40</v>
      </c>
      <c r="C108">
        <v>911</v>
      </c>
      <c r="D108" s="23">
        <v>107781</v>
      </c>
    </row>
    <row r="109" spans="1:4" hidden="1" x14ac:dyDescent="0.25">
      <c r="A109" t="s">
        <v>13</v>
      </c>
      <c r="B109" t="s">
        <v>40</v>
      </c>
      <c r="C109">
        <v>911</v>
      </c>
      <c r="D109" s="24">
        <v>39205</v>
      </c>
    </row>
    <row r="110" spans="1:4" hidden="1" x14ac:dyDescent="0.25">
      <c r="A110" t="s">
        <v>14</v>
      </c>
      <c r="B110" t="s">
        <v>40</v>
      </c>
      <c r="C110">
        <v>911</v>
      </c>
      <c r="D110" s="23">
        <v>14886</v>
      </c>
    </row>
    <row r="111" spans="1:4" hidden="1" x14ac:dyDescent="0.25">
      <c r="A111" t="s">
        <v>15</v>
      </c>
      <c r="B111" t="s">
        <v>40</v>
      </c>
      <c r="C111">
        <v>911</v>
      </c>
      <c r="D111" s="24">
        <v>17026</v>
      </c>
    </row>
    <row r="112" spans="1:4" hidden="1" x14ac:dyDescent="0.25">
      <c r="A112" t="s">
        <v>16</v>
      </c>
      <c r="B112" t="s">
        <v>40</v>
      </c>
      <c r="C112">
        <v>911</v>
      </c>
      <c r="D112" s="23">
        <v>108500</v>
      </c>
    </row>
    <row r="113" spans="1:4" hidden="1" x14ac:dyDescent="0.25">
      <c r="A113" t="s">
        <v>17</v>
      </c>
      <c r="B113" t="s">
        <v>40</v>
      </c>
      <c r="C113">
        <v>911</v>
      </c>
      <c r="D113" s="24">
        <v>19733</v>
      </c>
    </row>
    <row r="114" spans="1:4" hidden="1" x14ac:dyDescent="0.25">
      <c r="A114" t="s">
        <v>18</v>
      </c>
      <c r="B114" t="s">
        <v>40</v>
      </c>
      <c r="C114">
        <v>911</v>
      </c>
      <c r="D114" s="23">
        <v>34088</v>
      </c>
    </row>
    <row r="115" spans="1:4" hidden="1" x14ac:dyDescent="0.25">
      <c r="A115" t="s">
        <v>19</v>
      </c>
      <c r="B115" t="s">
        <v>40</v>
      </c>
      <c r="C115">
        <v>911</v>
      </c>
      <c r="D115" s="24">
        <v>73969</v>
      </c>
    </row>
    <row r="116" spans="1:4" hidden="1" x14ac:dyDescent="0.25">
      <c r="A116" t="s">
        <v>20</v>
      </c>
      <c r="B116" t="s">
        <v>40</v>
      </c>
      <c r="C116">
        <v>911</v>
      </c>
      <c r="D116" s="23">
        <v>77312</v>
      </c>
    </row>
    <row r="117" spans="1:4" hidden="1" x14ac:dyDescent="0.25">
      <c r="A117" t="s">
        <v>21</v>
      </c>
      <c r="B117" t="s">
        <v>40</v>
      </c>
      <c r="C117">
        <v>911</v>
      </c>
      <c r="D117" s="24">
        <v>24721</v>
      </c>
    </row>
    <row r="118" spans="1:4" hidden="1" x14ac:dyDescent="0.25">
      <c r="A118" t="s">
        <v>22</v>
      </c>
      <c r="B118" t="s">
        <v>40</v>
      </c>
      <c r="C118">
        <v>911</v>
      </c>
      <c r="D118" s="25">
        <v>15025</v>
      </c>
    </row>
    <row r="119" spans="1:4" hidden="1" x14ac:dyDescent="0.25">
      <c r="A119" t="s">
        <v>23</v>
      </c>
      <c r="B119" t="s">
        <v>40</v>
      </c>
      <c r="C119">
        <v>911</v>
      </c>
      <c r="D119" s="24">
        <v>8632</v>
      </c>
    </row>
    <row r="120" spans="1:4" hidden="1" x14ac:dyDescent="0.25">
      <c r="A120" t="s">
        <v>24</v>
      </c>
      <c r="B120" t="s">
        <v>40</v>
      </c>
      <c r="C120">
        <v>911</v>
      </c>
      <c r="D120" s="23">
        <v>88364</v>
      </c>
    </row>
    <row r="121" spans="1:4" hidden="1" x14ac:dyDescent="0.25">
      <c r="A121" t="s">
        <v>25</v>
      </c>
      <c r="B121" t="s">
        <v>40</v>
      </c>
      <c r="C121">
        <v>911</v>
      </c>
      <c r="D121" s="24">
        <v>22347</v>
      </c>
    </row>
    <row r="122" spans="1:4" hidden="1" x14ac:dyDescent="0.25">
      <c r="A122" t="s">
        <v>26</v>
      </c>
      <c r="B122" t="s">
        <v>40</v>
      </c>
      <c r="C122">
        <v>911</v>
      </c>
      <c r="D122" s="23">
        <v>15607</v>
      </c>
    </row>
    <row r="123" spans="1:4" hidden="1" x14ac:dyDescent="0.25">
      <c r="A123" t="s">
        <v>27</v>
      </c>
      <c r="B123" t="s">
        <v>40</v>
      </c>
      <c r="C123">
        <v>911</v>
      </c>
      <c r="D123" s="24">
        <v>46086</v>
      </c>
    </row>
    <row r="124" spans="1:4" hidden="1" x14ac:dyDescent="0.25">
      <c r="A124" t="s">
        <v>28</v>
      </c>
      <c r="B124" t="s">
        <v>40</v>
      </c>
      <c r="C124">
        <v>911</v>
      </c>
      <c r="D124" s="23">
        <v>37220</v>
      </c>
    </row>
    <row r="125" spans="1:4" hidden="1" x14ac:dyDescent="0.25">
      <c r="A125" t="s">
        <v>29</v>
      </c>
      <c r="B125" t="s">
        <v>40</v>
      </c>
      <c r="C125">
        <v>911</v>
      </c>
      <c r="D125" s="24">
        <v>12915</v>
      </c>
    </row>
    <row r="126" spans="1:4" hidden="1" x14ac:dyDescent="0.25">
      <c r="A126" t="s">
        <v>30</v>
      </c>
      <c r="B126" t="s">
        <v>40</v>
      </c>
      <c r="C126">
        <v>911</v>
      </c>
      <c r="D126" s="23">
        <v>25943</v>
      </c>
    </row>
    <row r="127" spans="1:4" hidden="1" x14ac:dyDescent="0.25">
      <c r="A127" t="s">
        <v>31</v>
      </c>
      <c r="B127" t="s">
        <v>40</v>
      </c>
      <c r="C127">
        <v>911</v>
      </c>
      <c r="D127" s="24">
        <v>87083</v>
      </c>
    </row>
    <row r="128" spans="1:4" hidden="1" x14ac:dyDescent="0.25">
      <c r="A128" t="s">
        <v>32</v>
      </c>
      <c r="B128" t="s">
        <v>40</v>
      </c>
      <c r="C128">
        <v>911</v>
      </c>
      <c r="D128" s="23">
        <v>8788</v>
      </c>
    </row>
    <row r="129" spans="1:4" hidden="1" x14ac:dyDescent="0.25">
      <c r="A129" t="s">
        <v>33</v>
      </c>
      <c r="B129" t="s">
        <v>40</v>
      </c>
      <c r="C129">
        <v>911</v>
      </c>
      <c r="D129" s="24">
        <v>23437</v>
      </c>
    </row>
    <row r="130" spans="1:4" hidden="1" x14ac:dyDescent="0.25">
      <c r="A130" t="s">
        <v>34</v>
      </c>
      <c r="B130" t="s">
        <v>40</v>
      </c>
      <c r="C130">
        <v>911</v>
      </c>
      <c r="D130" s="23">
        <v>11312</v>
      </c>
    </row>
    <row r="131" spans="1:4" hidden="1" x14ac:dyDescent="0.25">
      <c r="A131" t="s">
        <v>35</v>
      </c>
      <c r="B131" t="s">
        <v>40</v>
      </c>
      <c r="C131">
        <v>911</v>
      </c>
      <c r="D131" s="24">
        <v>56431</v>
      </c>
    </row>
    <row r="132" spans="1:4" hidden="1" x14ac:dyDescent="0.25">
      <c r="A132" t="s">
        <v>36</v>
      </c>
      <c r="B132" t="s">
        <v>40</v>
      </c>
      <c r="C132">
        <v>911</v>
      </c>
      <c r="D132" s="23">
        <v>42334</v>
      </c>
    </row>
    <row r="133" spans="1:4" hidden="1" x14ac:dyDescent="0.25">
      <c r="A133" t="s">
        <v>37</v>
      </c>
      <c r="B133" t="s">
        <v>40</v>
      </c>
      <c r="C133">
        <v>911</v>
      </c>
      <c r="D133" s="24">
        <v>10004</v>
      </c>
    </row>
    <row r="134" spans="1:4" hidden="1" x14ac:dyDescent="0.25">
      <c r="A134" s="3" t="s">
        <v>4</v>
      </c>
      <c r="B134" s="3" t="s">
        <v>4</v>
      </c>
      <c r="C134">
        <v>911</v>
      </c>
      <c r="D134" s="3">
        <f>SUM(D102:D133)</f>
        <v>1248183</v>
      </c>
    </row>
    <row r="135" spans="1:4" hidden="1" x14ac:dyDescent="0.25">
      <c r="A135" t="s">
        <v>5</v>
      </c>
      <c r="B135" t="s">
        <v>41</v>
      </c>
      <c r="C135">
        <v>911</v>
      </c>
      <c r="D135">
        <v>28035</v>
      </c>
    </row>
    <row r="136" spans="1:4" hidden="1" x14ac:dyDescent="0.25">
      <c r="A136" t="s">
        <v>7</v>
      </c>
      <c r="B136" t="s">
        <v>41</v>
      </c>
      <c r="C136">
        <v>911</v>
      </c>
      <c r="D136">
        <v>96211</v>
      </c>
    </row>
    <row r="137" spans="1:4" hidden="1" x14ac:dyDescent="0.25">
      <c r="A137" t="s">
        <v>8</v>
      </c>
      <c r="B137" t="s">
        <v>41</v>
      </c>
      <c r="C137">
        <v>911</v>
      </c>
      <c r="D137">
        <v>11689</v>
      </c>
    </row>
    <row r="138" spans="1:4" hidden="1" x14ac:dyDescent="0.25">
      <c r="A138" t="s">
        <v>9</v>
      </c>
      <c r="B138" t="s">
        <v>41</v>
      </c>
      <c r="C138">
        <v>911</v>
      </c>
      <c r="D138">
        <v>14058</v>
      </c>
    </row>
    <row r="139" spans="1:4" hidden="1" x14ac:dyDescent="0.25">
      <c r="A139" t="s">
        <v>10</v>
      </c>
      <c r="B139" t="s">
        <v>41</v>
      </c>
      <c r="C139">
        <v>911</v>
      </c>
      <c r="D139">
        <v>9760</v>
      </c>
    </row>
    <row r="140" spans="1:4" hidden="1" x14ac:dyDescent="0.25">
      <c r="A140" t="s">
        <v>11</v>
      </c>
      <c r="B140" t="s">
        <v>41</v>
      </c>
      <c r="C140">
        <v>911</v>
      </c>
      <c r="D140">
        <v>80605</v>
      </c>
    </row>
    <row r="141" spans="1:4" hidden="1" x14ac:dyDescent="0.25">
      <c r="A141" t="s">
        <v>12</v>
      </c>
      <c r="B141" t="s">
        <v>41</v>
      </c>
      <c r="C141">
        <v>911</v>
      </c>
      <c r="D141">
        <v>115543</v>
      </c>
    </row>
    <row r="142" spans="1:4" hidden="1" x14ac:dyDescent="0.25">
      <c r="A142" t="s">
        <v>13</v>
      </c>
      <c r="B142" t="s">
        <v>41</v>
      </c>
      <c r="C142">
        <v>911</v>
      </c>
      <c r="D142">
        <v>41143</v>
      </c>
    </row>
    <row r="143" spans="1:4" hidden="1" x14ac:dyDescent="0.25">
      <c r="A143" t="s">
        <v>14</v>
      </c>
      <c r="B143" t="s">
        <v>41</v>
      </c>
      <c r="C143">
        <v>911</v>
      </c>
      <c r="D143">
        <v>16583</v>
      </c>
    </row>
    <row r="144" spans="1:4" hidden="1" x14ac:dyDescent="0.25">
      <c r="A144" t="s">
        <v>15</v>
      </c>
      <c r="B144" t="s">
        <v>41</v>
      </c>
      <c r="C144">
        <v>911</v>
      </c>
      <c r="D144">
        <v>18410</v>
      </c>
    </row>
    <row r="145" spans="1:4" hidden="1" x14ac:dyDescent="0.25">
      <c r="A145" t="s">
        <v>16</v>
      </c>
      <c r="B145" t="s">
        <v>41</v>
      </c>
      <c r="C145">
        <v>911</v>
      </c>
      <c r="D145">
        <v>113409</v>
      </c>
    </row>
    <row r="146" spans="1:4" hidden="1" x14ac:dyDescent="0.25">
      <c r="A146" t="s">
        <v>17</v>
      </c>
      <c r="B146" t="s">
        <v>41</v>
      </c>
      <c r="C146">
        <v>911</v>
      </c>
      <c r="D146">
        <v>20672</v>
      </c>
    </row>
    <row r="147" spans="1:4" hidden="1" x14ac:dyDescent="0.25">
      <c r="A147" t="s">
        <v>18</v>
      </c>
      <c r="B147" t="s">
        <v>41</v>
      </c>
      <c r="C147">
        <v>911</v>
      </c>
      <c r="D147">
        <v>36475</v>
      </c>
    </row>
    <row r="148" spans="1:4" hidden="1" x14ac:dyDescent="0.25">
      <c r="A148" t="s">
        <v>19</v>
      </c>
      <c r="B148" t="s">
        <v>41</v>
      </c>
      <c r="C148">
        <v>911</v>
      </c>
      <c r="D148">
        <v>76082</v>
      </c>
    </row>
    <row r="149" spans="1:4" hidden="1" x14ac:dyDescent="0.25">
      <c r="A149" t="s">
        <v>20</v>
      </c>
      <c r="B149" t="s">
        <v>41</v>
      </c>
      <c r="C149">
        <v>911</v>
      </c>
      <c r="D149">
        <v>77510</v>
      </c>
    </row>
    <row r="150" spans="1:4" hidden="1" x14ac:dyDescent="0.25">
      <c r="A150" t="s">
        <v>21</v>
      </c>
      <c r="B150" t="s">
        <v>41</v>
      </c>
      <c r="C150">
        <v>911</v>
      </c>
      <c r="D150">
        <v>25197</v>
      </c>
    </row>
    <row r="151" spans="1:4" hidden="1" x14ac:dyDescent="0.25">
      <c r="A151" t="s">
        <v>22</v>
      </c>
      <c r="B151" t="s">
        <v>41</v>
      </c>
      <c r="C151">
        <v>911</v>
      </c>
      <c r="D151">
        <v>18537</v>
      </c>
    </row>
    <row r="152" spans="1:4" hidden="1" x14ac:dyDescent="0.25">
      <c r="A152" t="s">
        <v>23</v>
      </c>
      <c r="B152" t="s">
        <v>41</v>
      </c>
      <c r="C152">
        <v>911</v>
      </c>
      <c r="D152">
        <v>8949</v>
      </c>
    </row>
    <row r="153" spans="1:4" hidden="1" x14ac:dyDescent="0.25">
      <c r="A153" t="s">
        <v>24</v>
      </c>
      <c r="B153" t="s">
        <v>41</v>
      </c>
      <c r="C153">
        <v>911</v>
      </c>
      <c r="D153">
        <v>97778</v>
      </c>
    </row>
    <row r="154" spans="1:4" hidden="1" x14ac:dyDescent="0.25">
      <c r="A154" t="s">
        <v>25</v>
      </c>
      <c r="B154" t="s">
        <v>41</v>
      </c>
      <c r="C154">
        <v>911</v>
      </c>
      <c r="D154">
        <v>24423</v>
      </c>
    </row>
    <row r="155" spans="1:4" hidden="1" x14ac:dyDescent="0.25">
      <c r="A155" t="s">
        <v>26</v>
      </c>
      <c r="B155" t="s">
        <v>41</v>
      </c>
      <c r="C155">
        <v>911</v>
      </c>
      <c r="D155">
        <v>41245</v>
      </c>
    </row>
    <row r="156" spans="1:4" hidden="1" x14ac:dyDescent="0.25">
      <c r="A156" t="s">
        <v>27</v>
      </c>
      <c r="B156" t="s">
        <v>41</v>
      </c>
      <c r="C156">
        <v>911</v>
      </c>
      <c r="D156">
        <v>49442</v>
      </c>
    </row>
    <row r="157" spans="1:4" hidden="1" x14ac:dyDescent="0.25">
      <c r="A157" t="s">
        <v>28</v>
      </c>
      <c r="B157" t="s">
        <v>41</v>
      </c>
      <c r="C157">
        <v>911</v>
      </c>
      <c r="D157">
        <v>39817</v>
      </c>
    </row>
    <row r="158" spans="1:4" hidden="1" x14ac:dyDescent="0.25">
      <c r="A158" t="s">
        <v>29</v>
      </c>
      <c r="B158" t="s">
        <v>41</v>
      </c>
      <c r="C158">
        <v>911</v>
      </c>
      <c r="D158">
        <v>13580</v>
      </c>
    </row>
    <row r="159" spans="1:4" hidden="1" x14ac:dyDescent="0.25">
      <c r="A159" t="s">
        <v>30</v>
      </c>
      <c r="B159" t="s">
        <v>41</v>
      </c>
      <c r="C159">
        <v>911</v>
      </c>
      <c r="D159">
        <v>27707</v>
      </c>
    </row>
    <row r="160" spans="1:4" hidden="1" x14ac:dyDescent="0.25">
      <c r="A160" t="s">
        <v>31</v>
      </c>
      <c r="B160" t="s">
        <v>41</v>
      </c>
      <c r="C160">
        <v>911</v>
      </c>
      <c r="D160">
        <v>91856</v>
      </c>
    </row>
    <row r="161" spans="1:4" hidden="1" x14ac:dyDescent="0.25">
      <c r="A161" t="s">
        <v>32</v>
      </c>
      <c r="B161" t="s">
        <v>41</v>
      </c>
      <c r="C161">
        <v>911</v>
      </c>
      <c r="D161">
        <v>9234</v>
      </c>
    </row>
    <row r="162" spans="1:4" hidden="1" x14ac:dyDescent="0.25">
      <c r="A162" t="s">
        <v>33</v>
      </c>
      <c r="B162" t="s">
        <v>41</v>
      </c>
      <c r="C162">
        <v>911</v>
      </c>
      <c r="D162">
        <v>25800</v>
      </c>
    </row>
    <row r="163" spans="1:4" hidden="1" x14ac:dyDescent="0.25">
      <c r="A163" t="s">
        <v>34</v>
      </c>
      <c r="B163" t="s">
        <v>41</v>
      </c>
      <c r="C163">
        <v>911</v>
      </c>
      <c r="D163">
        <v>12638</v>
      </c>
    </row>
    <row r="164" spans="1:4" hidden="1" x14ac:dyDescent="0.25">
      <c r="A164" t="s">
        <v>35</v>
      </c>
      <c r="B164" t="s">
        <v>41</v>
      </c>
      <c r="C164">
        <v>911</v>
      </c>
      <c r="D164">
        <v>60146</v>
      </c>
    </row>
    <row r="165" spans="1:4" hidden="1" x14ac:dyDescent="0.25">
      <c r="A165" t="s">
        <v>36</v>
      </c>
      <c r="B165" t="s">
        <v>41</v>
      </c>
      <c r="C165">
        <v>911</v>
      </c>
      <c r="D165">
        <v>46544</v>
      </c>
    </row>
    <row r="166" spans="1:4" hidden="1" x14ac:dyDescent="0.25">
      <c r="A166" t="s">
        <v>37</v>
      </c>
      <c r="B166" t="s">
        <v>41</v>
      </c>
      <c r="C166">
        <v>911</v>
      </c>
      <c r="D166">
        <v>11137</v>
      </c>
    </row>
    <row r="167" spans="1:4" hidden="1" x14ac:dyDescent="0.25">
      <c r="A167" s="3" t="s">
        <v>4</v>
      </c>
      <c r="B167" s="3" t="s">
        <v>4</v>
      </c>
      <c r="C167">
        <v>911</v>
      </c>
      <c r="D167" s="3">
        <f>SUM(D135:D166)</f>
        <v>1360215</v>
      </c>
    </row>
    <row r="168" spans="1:4" hidden="1" x14ac:dyDescent="0.25">
      <c r="A168" t="s">
        <v>5</v>
      </c>
      <c r="B168" t="s">
        <v>42</v>
      </c>
      <c r="C168">
        <v>911</v>
      </c>
      <c r="D168">
        <v>23155</v>
      </c>
    </row>
    <row r="169" spans="1:4" hidden="1" x14ac:dyDescent="0.25">
      <c r="A169" t="s">
        <v>7</v>
      </c>
      <c r="B169" t="s">
        <v>42</v>
      </c>
      <c r="C169">
        <v>911</v>
      </c>
      <c r="D169">
        <v>91503</v>
      </c>
    </row>
    <row r="170" spans="1:4" hidden="1" x14ac:dyDescent="0.25">
      <c r="A170" t="s">
        <v>8</v>
      </c>
      <c r="B170" t="s">
        <v>42</v>
      </c>
      <c r="C170">
        <v>911</v>
      </c>
      <c r="D170">
        <v>10231</v>
      </c>
    </row>
    <row r="171" spans="1:4" hidden="1" x14ac:dyDescent="0.25">
      <c r="A171" t="s">
        <v>9</v>
      </c>
      <c r="B171" t="s">
        <v>42</v>
      </c>
      <c r="C171">
        <v>911</v>
      </c>
      <c r="D171">
        <v>12579</v>
      </c>
    </row>
    <row r="172" spans="1:4" hidden="1" x14ac:dyDescent="0.25">
      <c r="A172" t="s">
        <v>10</v>
      </c>
      <c r="B172" t="s">
        <v>42</v>
      </c>
      <c r="C172">
        <v>911</v>
      </c>
      <c r="D172">
        <v>9351</v>
      </c>
    </row>
    <row r="173" spans="1:4" hidden="1" x14ac:dyDescent="0.25">
      <c r="A173" t="s">
        <v>11</v>
      </c>
      <c r="B173" t="s">
        <v>42</v>
      </c>
      <c r="C173">
        <v>911</v>
      </c>
      <c r="D173">
        <v>80704</v>
      </c>
    </row>
    <row r="174" spans="1:4" hidden="1" x14ac:dyDescent="0.25">
      <c r="A174" t="s">
        <v>12</v>
      </c>
      <c r="B174" t="s">
        <v>42</v>
      </c>
      <c r="C174">
        <v>911</v>
      </c>
      <c r="D174">
        <v>115291</v>
      </c>
    </row>
    <row r="175" spans="1:4" hidden="1" x14ac:dyDescent="0.25">
      <c r="A175" t="s">
        <v>13</v>
      </c>
      <c r="B175" t="s">
        <v>42</v>
      </c>
      <c r="C175">
        <v>911</v>
      </c>
      <c r="D175">
        <v>40883</v>
      </c>
    </row>
    <row r="176" spans="1:4" hidden="1" x14ac:dyDescent="0.25">
      <c r="A176" t="s">
        <v>14</v>
      </c>
      <c r="B176" t="s">
        <v>42</v>
      </c>
      <c r="C176">
        <v>911</v>
      </c>
      <c r="D176">
        <v>16141</v>
      </c>
    </row>
    <row r="177" spans="1:4" hidden="1" x14ac:dyDescent="0.25">
      <c r="A177" t="s">
        <v>15</v>
      </c>
      <c r="B177" t="s">
        <v>42</v>
      </c>
      <c r="C177">
        <v>911</v>
      </c>
      <c r="D177">
        <v>18146</v>
      </c>
    </row>
    <row r="178" spans="1:4" hidden="1" x14ac:dyDescent="0.25">
      <c r="A178" t="s">
        <v>16</v>
      </c>
      <c r="B178" t="s">
        <v>42</v>
      </c>
      <c r="C178">
        <v>911</v>
      </c>
      <c r="D178">
        <v>99904</v>
      </c>
    </row>
    <row r="179" spans="1:4" hidden="1" x14ac:dyDescent="0.25">
      <c r="A179" t="s">
        <v>17</v>
      </c>
      <c r="B179" t="s">
        <v>42</v>
      </c>
      <c r="C179">
        <v>911</v>
      </c>
      <c r="D179">
        <v>13664</v>
      </c>
    </row>
    <row r="180" spans="1:4" hidden="1" x14ac:dyDescent="0.25">
      <c r="A180" t="s">
        <v>18</v>
      </c>
      <c r="B180" t="s">
        <v>42</v>
      </c>
      <c r="C180">
        <v>911</v>
      </c>
      <c r="D180">
        <v>33257</v>
      </c>
    </row>
    <row r="181" spans="1:4" hidden="1" x14ac:dyDescent="0.25">
      <c r="A181" t="s">
        <v>19</v>
      </c>
      <c r="B181" t="s">
        <v>42</v>
      </c>
      <c r="C181">
        <v>911</v>
      </c>
      <c r="D181">
        <v>67353</v>
      </c>
    </row>
    <row r="182" spans="1:4" hidden="1" x14ac:dyDescent="0.25">
      <c r="A182" t="s">
        <v>20</v>
      </c>
      <c r="B182" t="s">
        <v>42</v>
      </c>
      <c r="C182">
        <v>911</v>
      </c>
      <c r="D182">
        <v>75061</v>
      </c>
    </row>
    <row r="183" spans="1:4" hidden="1" x14ac:dyDescent="0.25">
      <c r="A183" t="s">
        <v>21</v>
      </c>
      <c r="B183" t="s">
        <v>42</v>
      </c>
      <c r="C183">
        <v>911</v>
      </c>
      <c r="D183">
        <v>23411</v>
      </c>
    </row>
    <row r="184" spans="1:4" hidden="1" x14ac:dyDescent="0.25">
      <c r="A184" t="s">
        <v>22</v>
      </c>
      <c r="B184" t="s">
        <v>42</v>
      </c>
      <c r="C184">
        <v>911</v>
      </c>
      <c r="D184">
        <v>17010</v>
      </c>
    </row>
    <row r="185" spans="1:4" hidden="1" x14ac:dyDescent="0.25">
      <c r="A185" t="s">
        <v>23</v>
      </c>
      <c r="B185" t="s">
        <v>42</v>
      </c>
      <c r="C185">
        <v>911</v>
      </c>
      <c r="D185">
        <v>8337</v>
      </c>
    </row>
    <row r="186" spans="1:4" hidden="1" x14ac:dyDescent="0.25">
      <c r="A186" t="s">
        <v>24</v>
      </c>
      <c r="B186" t="s">
        <v>42</v>
      </c>
      <c r="C186">
        <v>911</v>
      </c>
      <c r="D186">
        <v>104488</v>
      </c>
    </row>
    <row r="187" spans="1:4" hidden="1" x14ac:dyDescent="0.25">
      <c r="A187" t="s">
        <v>25</v>
      </c>
      <c r="B187" t="s">
        <v>42</v>
      </c>
      <c r="C187">
        <v>911</v>
      </c>
      <c r="D187">
        <v>20936</v>
      </c>
    </row>
    <row r="188" spans="1:4" hidden="1" x14ac:dyDescent="0.25">
      <c r="A188" t="s">
        <v>26</v>
      </c>
      <c r="B188" t="s">
        <v>42</v>
      </c>
      <c r="C188">
        <v>911</v>
      </c>
      <c r="D188">
        <v>43323</v>
      </c>
    </row>
    <row r="189" spans="1:4" hidden="1" x14ac:dyDescent="0.25">
      <c r="A189" t="s">
        <v>27</v>
      </c>
      <c r="B189" t="s">
        <v>42</v>
      </c>
      <c r="C189">
        <v>911</v>
      </c>
      <c r="D189">
        <v>42468</v>
      </c>
    </row>
    <row r="190" spans="1:4" hidden="1" x14ac:dyDescent="0.25">
      <c r="A190" t="s">
        <v>28</v>
      </c>
      <c r="B190" t="s">
        <v>42</v>
      </c>
      <c r="C190">
        <v>911</v>
      </c>
      <c r="D190">
        <v>51290</v>
      </c>
    </row>
    <row r="191" spans="1:4" hidden="1" x14ac:dyDescent="0.25">
      <c r="A191" t="s">
        <v>29</v>
      </c>
      <c r="B191" t="s">
        <v>42</v>
      </c>
      <c r="C191">
        <v>911</v>
      </c>
      <c r="D191">
        <v>12377</v>
      </c>
    </row>
    <row r="192" spans="1:4" hidden="1" x14ac:dyDescent="0.25">
      <c r="A192" t="s">
        <v>30</v>
      </c>
      <c r="B192" t="s">
        <v>42</v>
      </c>
      <c r="C192">
        <v>911</v>
      </c>
      <c r="D192">
        <v>26045</v>
      </c>
    </row>
    <row r="193" spans="1:4" hidden="1" x14ac:dyDescent="0.25">
      <c r="A193" t="s">
        <v>31</v>
      </c>
      <c r="B193" t="s">
        <v>42</v>
      </c>
      <c r="C193">
        <v>911</v>
      </c>
      <c r="D193">
        <v>90023</v>
      </c>
    </row>
    <row r="194" spans="1:4" hidden="1" x14ac:dyDescent="0.25">
      <c r="A194" t="s">
        <v>32</v>
      </c>
      <c r="B194" t="s">
        <v>42</v>
      </c>
      <c r="C194">
        <v>911</v>
      </c>
      <c r="D194">
        <v>7828</v>
      </c>
    </row>
    <row r="195" spans="1:4" hidden="1" x14ac:dyDescent="0.25">
      <c r="A195" t="s">
        <v>33</v>
      </c>
      <c r="B195" t="s">
        <v>42</v>
      </c>
      <c r="C195">
        <v>911</v>
      </c>
      <c r="D195">
        <v>24781</v>
      </c>
    </row>
    <row r="196" spans="1:4" hidden="1" x14ac:dyDescent="0.25">
      <c r="A196" t="s">
        <v>34</v>
      </c>
      <c r="B196" t="s">
        <v>42</v>
      </c>
      <c r="C196">
        <v>911</v>
      </c>
      <c r="D196">
        <v>11474</v>
      </c>
    </row>
    <row r="197" spans="1:4" hidden="1" x14ac:dyDescent="0.25">
      <c r="A197" t="s">
        <v>35</v>
      </c>
      <c r="B197" t="s">
        <v>42</v>
      </c>
      <c r="C197">
        <v>911</v>
      </c>
      <c r="D197">
        <v>56600</v>
      </c>
    </row>
    <row r="198" spans="1:4" hidden="1" x14ac:dyDescent="0.25">
      <c r="A198" t="s">
        <v>36</v>
      </c>
      <c r="B198" t="s">
        <v>42</v>
      </c>
      <c r="C198">
        <v>911</v>
      </c>
      <c r="D198">
        <v>42758</v>
      </c>
    </row>
    <row r="199" spans="1:4" hidden="1" x14ac:dyDescent="0.25">
      <c r="A199" t="s">
        <v>37</v>
      </c>
      <c r="B199" t="s">
        <v>42</v>
      </c>
      <c r="C199">
        <v>911</v>
      </c>
      <c r="D199">
        <v>9393</v>
      </c>
    </row>
    <row r="200" spans="1:4" hidden="1" x14ac:dyDescent="0.25">
      <c r="A200" s="3" t="s">
        <v>4</v>
      </c>
      <c r="B200" s="3" t="s">
        <v>4</v>
      </c>
      <c r="C200">
        <v>911</v>
      </c>
    </row>
    <row r="201" spans="1:4" hidden="1" x14ac:dyDescent="0.25">
      <c r="A201" t="s">
        <v>5</v>
      </c>
      <c r="B201" t="s">
        <v>43</v>
      </c>
      <c r="C201">
        <v>911</v>
      </c>
      <c r="D201">
        <v>25198</v>
      </c>
    </row>
    <row r="202" spans="1:4" hidden="1" x14ac:dyDescent="0.25">
      <c r="A202" t="s">
        <v>7</v>
      </c>
      <c r="B202" t="s">
        <v>43</v>
      </c>
      <c r="C202">
        <v>911</v>
      </c>
      <c r="D202">
        <v>95014</v>
      </c>
    </row>
    <row r="203" spans="1:4" hidden="1" x14ac:dyDescent="0.25">
      <c r="A203" t="s">
        <v>8</v>
      </c>
      <c r="B203" t="s">
        <v>43</v>
      </c>
      <c r="C203">
        <v>911</v>
      </c>
      <c r="D203">
        <v>12505</v>
      </c>
    </row>
    <row r="204" spans="1:4" hidden="1" x14ac:dyDescent="0.25">
      <c r="A204" t="s">
        <v>9</v>
      </c>
      <c r="B204" t="s">
        <v>43</v>
      </c>
      <c r="C204">
        <v>911</v>
      </c>
      <c r="D204">
        <v>12056</v>
      </c>
    </row>
    <row r="205" spans="1:4" hidden="1" x14ac:dyDescent="0.25">
      <c r="A205" t="s">
        <v>10</v>
      </c>
      <c r="B205" t="s">
        <v>43</v>
      </c>
      <c r="C205">
        <v>911</v>
      </c>
      <c r="D205">
        <v>9880</v>
      </c>
    </row>
    <row r="206" spans="1:4" hidden="1" x14ac:dyDescent="0.25">
      <c r="A206" t="s">
        <v>11</v>
      </c>
      <c r="B206" t="s">
        <v>43</v>
      </c>
      <c r="C206">
        <v>911</v>
      </c>
      <c r="D206">
        <v>78305</v>
      </c>
    </row>
    <row r="207" spans="1:4" hidden="1" x14ac:dyDescent="0.25">
      <c r="A207" t="s">
        <v>12</v>
      </c>
      <c r="B207" t="s">
        <v>43</v>
      </c>
      <c r="C207">
        <v>911</v>
      </c>
      <c r="D207">
        <v>120901</v>
      </c>
    </row>
    <row r="208" spans="1:4" hidden="1" x14ac:dyDescent="0.25">
      <c r="A208" t="s">
        <v>13</v>
      </c>
      <c r="B208" t="s">
        <v>43</v>
      </c>
      <c r="C208">
        <v>911</v>
      </c>
      <c r="D208">
        <v>42616</v>
      </c>
    </row>
    <row r="209" spans="1:4" hidden="1" x14ac:dyDescent="0.25">
      <c r="A209" t="s">
        <v>14</v>
      </c>
      <c r="B209" t="s">
        <v>43</v>
      </c>
      <c r="C209">
        <v>911</v>
      </c>
      <c r="D209">
        <v>15664</v>
      </c>
    </row>
    <row r="210" spans="1:4" hidden="1" x14ac:dyDescent="0.25">
      <c r="A210" t="s">
        <v>15</v>
      </c>
      <c r="B210" t="s">
        <v>43</v>
      </c>
      <c r="C210">
        <v>911</v>
      </c>
      <c r="D210">
        <v>17527</v>
      </c>
    </row>
    <row r="211" spans="1:4" hidden="1" x14ac:dyDescent="0.25">
      <c r="A211" t="s">
        <v>16</v>
      </c>
      <c r="B211" t="s">
        <v>43</v>
      </c>
      <c r="C211">
        <v>911</v>
      </c>
      <c r="D211">
        <v>103908</v>
      </c>
    </row>
    <row r="212" spans="1:4" hidden="1" x14ac:dyDescent="0.25">
      <c r="A212" t="s">
        <v>17</v>
      </c>
      <c r="B212" t="s">
        <v>43</v>
      </c>
      <c r="C212">
        <v>911</v>
      </c>
      <c r="D212">
        <v>14522</v>
      </c>
    </row>
    <row r="213" spans="1:4" hidden="1" x14ac:dyDescent="0.25">
      <c r="A213" t="s">
        <v>18</v>
      </c>
      <c r="B213" t="s">
        <v>43</v>
      </c>
      <c r="C213">
        <v>911</v>
      </c>
      <c r="D213">
        <v>35344</v>
      </c>
    </row>
    <row r="214" spans="1:4" hidden="1" x14ac:dyDescent="0.25">
      <c r="A214" t="s">
        <v>19</v>
      </c>
      <c r="B214" t="s">
        <v>43</v>
      </c>
      <c r="C214">
        <v>911</v>
      </c>
      <c r="D214">
        <v>72291</v>
      </c>
    </row>
    <row r="215" spans="1:4" hidden="1" x14ac:dyDescent="0.25">
      <c r="A215" t="s">
        <v>20</v>
      </c>
      <c r="B215" t="s">
        <v>43</v>
      </c>
      <c r="C215">
        <v>911</v>
      </c>
      <c r="D215">
        <v>77946</v>
      </c>
    </row>
    <row r="216" spans="1:4" hidden="1" x14ac:dyDescent="0.25">
      <c r="A216" t="s">
        <v>21</v>
      </c>
      <c r="B216" t="s">
        <v>43</v>
      </c>
      <c r="C216">
        <v>911</v>
      </c>
      <c r="D216">
        <v>23816</v>
      </c>
    </row>
    <row r="217" spans="1:4" hidden="1" x14ac:dyDescent="0.25">
      <c r="A217" t="s">
        <v>22</v>
      </c>
      <c r="B217" t="s">
        <v>43</v>
      </c>
      <c r="C217">
        <v>911</v>
      </c>
      <c r="D217">
        <v>17232</v>
      </c>
    </row>
    <row r="218" spans="1:4" hidden="1" x14ac:dyDescent="0.25">
      <c r="A218" t="s">
        <v>23</v>
      </c>
      <c r="B218" t="s">
        <v>43</v>
      </c>
      <c r="C218">
        <v>911</v>
      </c>
      <c r="D218">
        <v>8732</v>
      </c>
    </row>
    <row r="219" spans="1:4" hidden="1" x14ac:dyDescent="0.25">
      <c r="A219" t="s">
        <v>24</v>
      </c>
      <c r="B219" t="s">
        <v>43</v>
      </c>
      <c r="C219">
        <v>911</v>
      </c>
      <c r="D219">
        <v>98580</v>
      </c>
    </row>
    <row r="220" spans="1:4" hidden="1" x14ac:dyDescent="0.25">
      <c r="A220" t="s">
        <v>25</v>
      </c>
      <c r="B220" t="s">
        <v>43</v>
      </c>
      <c r="C220">
        <v>911</v>
      </c>
      <c r="D220">
        <v>21300</v>
      </c>
    </row>
    <row r="221" spans="1:4" hidden="1" x14ac:dyDescent="0.25">
      <c r="A221" t="s">
        <v>26</v>
      </c>
      <c r="B221" t="s">
        <v>43</v>
      </c>
      <c r="C221">
        <v>911</v>
      </c>
      <c r="D221">
        <v>44627</v>
      </c>
    </row>
    <row r="222" spans="1:4" hidden="1" x14ac:dyDescent="0.25">
      <c r="A222" t="s">
        <v>27</v>
      </c>
      <c r="B222" t="s">
        <v>43</v>
      </c>
      <c r="C222">
        <v>911</v>
      </c>
      <c r="D222">
        <v>42904</v>
      </c>
    </row>
    <row r="223" spans="1:4" hidden="1" x14ac:dyDescent="0.25">
      <c r="A223" t="s">
        <v>28</v>
      </c>
      <c r="B223" t="s">
        <v>43</v>
      </c>
      <c r="C223">
        <v>911</v>
      </c>
      <c r="D223">
        <v>43991</v>
      </c>
    </row>
    <row r="224" spans="1:4" hidden="1" x14ac:dyDescent="0.25">
      <c r="A224" t="s">
        <v>29</v>
      </c>
      <c r="B224" t="s">
        <v>43</v>
      </c>
      <c r="C224">
        <v>911</v>
      </c>
      <c r="D224">
        <v>13189</v>
      </c>
    </row>
    <row r="225" spans="1:4" hidden="1" x14ac:dyDescent="0.25">
      <c r="A225" t="s">
        <v>30</v>
      </c>
      <c r="B225" t="s">
        <v>43</v>
      </c>
      <c r="C225">
        <v>911</v>
      </c>
      <c r="D225">
        <v>27324</v>
      </c>
    </row>
    <row r="226" spans="1:4" hidden="1" x14ac:dyDescent="0.25">
      <c r="A226" t="s">
        <v>31</v>
      </c>
      <c r="B226" t="s">
        <v>43</v>
      </c>
      <c r="C226">
        <v>911</v>
      </c>
      <c r="D226">
        <v>89180</v>
      </c>
    </row>
    <row r="227" spans="1:4" hidden="1" x14ac:dyDescent="0.25">
      <c r="A227" t="s">
        <v>32</v>
      </c>
      <c r="B227" t="s">
        <v>43</v>
      </c>
      <c r="C227">
        <v>911</v>
      </c>
      <c r="D227">
        <v>8402</v>
      </c>
    </row>
    <row r="228" spans="1:4" hidden="1" x14ac:dyDescent="0.25">
      <c r="A228" t="s">
        <v>33</v>
      </c>
      <c r="B228" t="s">
        <v>43</v>
      </c>
      <c r="C228">
        <v>911</v>
      </c>
      <c r="D228">
        <v>25071</v>
      </c>
    </row>
    <row r="229" spans="1:4" hidden="1" x14ac:dyDescent="0.25">
      <c r="A229" t="s">
        <v>34</v>
      </c>
      <c r="B229" t="s">
        <v>43</v>
      </c>
      <c r="C229">
        <v>911</v>
      </c>
      <c r="D229">
        <v>11314</v>
      </c>
    </row>
    <row r="230" spans="1:4" hidden="1" x14ac:dyDescent="0.25">
      <c r="A230" t="s">
        <v>35</v>
      </c>
      <c r="B230" t="s">
        <v>43</v>
      </c>
      <c r="C230">
        <v>911</v>
      </c>
      <c r="D230">
        <v>56014</v>
      </c>
    </row>
    <row r="231" spans="1:4" hidden="1" x14ac:dyDescent="0.25">
      <c r="A231" t="s">
        <v>36</v>
      </c>
      <c r="B231" t="s">
        <v>43</v>
      </c>
      <c r="C231">
        <v>911</v>
      </c>
      <c r="D231">
        <v>42601</v>
      </c>
    </row>
    <row r="232" spans="1:4" hidden="1" x14ac:dyDescent="0.25">
      <c r="A232" t="s">
        <v>37</v>
      </c>
      <c r="B232" t="s">
        <v>43</v>
      </c>
      <c r="C232">
        <v>911</v>
      </c>
      <c r="D232">
        <v>9186</v>
      </c>
    </row>
    <row r="233" spans="1:4" hidden="1" x14ac:dyDescent="0.25">
      <c r="A233" s="3" t="s">
        <v>4</v>
      </c>
      <c r="B233" s="3" t="s">
        <v>4</v>
      </c>
      <c r="C233">
        <v>911</v>
      </c>
    </row>
    <row r="234" spans="1:4" x14ac:dyDescent="0.25">
      <c r="A234" t="s">
        <v>5</v>
      </c>
      <c r="B234" t="s">
        <v>44</v>
      </c>
      <c r="C234">
        <v>911</v>
      </c>
    </row>
    <row r="235" spans="1:4" x14ac:dyDescent="0.25">
      <c r="A235" t="s">
        <v>7</v>
      </c>
      <c r="B235" t="s">
        <v>44</v>
      </c>
      <c r="C235">
        <v>911</v>
      </c>
    </row>
    <row r="236" spans="1:4" x14ac:dyDescent="0.25">
      <c r="A236" t="s">
        <v>8</v>
      </c>
      <c r="B236" t="s">
        <v>44</v>
      </c>
      <c r="C236">
        <v>911</v>
      </c>
    </row>
    <row r="237" spans="1:4" x14ac:dyDescent="0.25">
      <c r="A237" t="s">
        <v>9</v>
      </c>
      <c r="B237" t="s">
        <v>44</v>
      </c>
      <c r="C237">
        <v>911</v>
      </c>
    </row>
    <row r="238" spans="1:4" x14ac:dyDescent="0.25">
      <c r="A238" t="s">
        <v>10</v>
      </c>
      <c r="B238" t="s">
        <v>44</v>
      </c>
      <c r="C238">
        <v>911</v>
      </c>
    </row>
    <row r="239" spans="1:4" x14ac:dyDescent="0.25">
      <c r="A239" t="s">
        <v>11</v>
      </c>
      <c r="B239" t="s">
        <v>44</v>
      </c>
      <c r="C239">
        <v>911</v>
      </c>
    </row>
    <row r="240" spans="1:4" x14ac:dyDescent="0.25">
      <c r="A240" t="s">
        <v>12</v>
      </c>
      <c r="B240" t="s">
        <v>44</v>
      </c>
      <c r="C240">
        <v>911</v>
      </c>
    </row>
    <row r="241" spans="1:3" x14ac:dyDescent="0.25">
      <c r="A241" t="s">
        <v>13</v>
      </c>
      <c r="B241" t="s">
        <v>44</v>
      </c>
      <c r="C241">
        <v>911</v>
      </c>
    </row>
    <row r="242" spans="1:3" x14ac:dyDescent="0.25">
      <c r="A242" t="s">
        <v>14</v>
      </c>
      <c r="B242" t="s">
        <v>44</v>
      </c>
      <c r="C242">
        <v>911</v>
      </c>
    </row>
    <row r="243" spans="1:3" x14ac:dyDescent="0.25">
      <c r="A243" t="s">
        <v>15</v>
      </c>
      <c r="B243" t="s">
        <v>44</v>
      </c>
      <c r="C243">
        <v>911</v>
      </c>
    </row>
    <row r="244" spans="1:3" x14ac:dyDescent="0.25">
      <c r="A244" t="s">
        <v>16</v>
      </c>
      <c r="B244" t="s">
        <v>44</v>
      </c>
      <c r="C244">
        <v>911</v>
      </c>
    </row>
    <row r="245" spans="1:3" x14ac:dyDescent="0.25">
      <c r="A245" t="s">
        <v>17</v>
      </c>
      <c r="B245" t="s">
        <v>44</v>
      </c>
      <c r="C245">
        <v>911</v>
      </c>
    </row>
    <row r="246" spans="1:3" x14ac:dyDescent="0.25">
      <c r="A246" t="s">
        <v>18</v>
      </c>
      <c r="B246" t="s">
        <v>44</v>
      </c>
      <c r="C246">
        <v>911</v>
      </c>
    </row>
    <row r="247" spans="1:3" x14ac:dyDescent="0.25">
      <c r="A247" t="s">
        <v>19</v>
      </c>
      <c r="B247" t="s">
        <v>44</v>
      </c>
      <c r="C247">
        <v>911</v>
      </c>
    </row>
    <row r="248" spans="1:3" x14ac:dyDescent="0.25">
      <c r="A248" t="s">
        <v>20</v>
      </c>
      <c r="B248" t="s">
        <v>44</v>
      </c>
      <c r="C248">
        <v>911</v>
      </c>
    </row>
    <row r="249" spans="1:3" x14ac:dyDescent="0.25">
      <c r="A249" t="s">
        <v>21</v>
      </c>
      <c r="B249" t="s">
        <v>44</v>
      </c>
      <c r="C249">
        <v>911</v>
      </c>
    </row>
    <row r="250" spans="1:3" x14ac:dyDescent="0.25">
      <c r="A250" t="s">
        <v>22</v>
      </c>
      <c r="B250" t="s">
        <v>44</v>
      </c>
      <c r="C250">
        <v>911</v>
      </c>
    </row>
    <row r="251" spans="1:3" x14ac:dyDescent="0.25">
      <c r="A251" t="s">
        <v>23</v>
      </c>
      <c r="B251" t="s">
        <v>44</v>
      </c>
      <c r="C251">
        <v>911</v>
      </c>
    </row>
    <row r="252" spans="1:3" x14ac:dyDescent="0.25">
      <c r="A252" t="s">
        <v>24</v>
      </c>
      <c r="B252" t="s">
        <v>44</v>
      </c>
      <c r="C252">
        <v>911</v>
      </c>
    </row>
    <row r="253" spans="1:3" x14ac:dyDescent="0.25">
      <c r="A253" t="s">
        <v>25</v>
      </c>
      <c r="B253" t="s">
        <v>44</v>
      </c>
      <c r="C253">
        <v>911</v>
      </c>
    </row>
    <row r="254" spans="1:3" x14ac:dyDescent="0.25">
      <c r="A254" t="s">
        <v>26</v>
      </c>
      <c r="B254" t="s">
        <v>44</v>
      </c>
      <c r="C254">
        <v>911</v>
      </c>
    </row>
    <row r="255" spans="1:3" x14ac:dyDescent="0.25">
      <c r="A255" t="s">
        <v>27</v>
      </c>
      <c r="B255" t="s">
        <v>44</v>
      </c>
      <c r="C255">
        <v>911</v>
      </c>
    </row>
    <row r="256" spans="1:3" x14ac:dyDescent="0.25">
      <c r="A256" t="s">
        <v>28</v>
      </c>
      <c r="B256" t="s">
        <v>44</v>
      </c>
      <c r="C256">
        <v>911</v>
      </c>
    </row>
    <row r="257" spans="1:3" x14ac:dyDescent="0.25">
      <c r="A257" t="s">
        <v>29</v>
      </c>
      <c r="B257" t="s">
        <v>44</v>
      </c>
      <c r="C257">
        <v>911</v>
      </c>
    </row>
    <row r="258" spans="1:3" x14ac:dyDescent="0.25">
      <c r="A258" t="s">
        <v>30</v>
      </c>
      <c r="B258" t="s">
        <v>44</v>
      </c>
      <c r="C258">
        <v>911</v>
      </c>
    </row>
    <row r="259" spans="1:3" x14ac:dyDescent="0.25">
      <c r="A259" t="s">
        <v>31</v>
      </c>
      <c r="B259" t="s">
        <v>44</v>
      </c>
      <c r="C259">
        <v>911</v>
      </c>
    </row>
    <row r="260" spans="1:3" x14ac:dyDescent="0.25">
      <c r="A260" t="s">
        <v>32</v>
      </c>
      <c r="B260" t="s">
        <v>44</v>
      </c>
      <c r="C260">
        <v>911</v>
      </c>
    </row>
    <row r="261" spans="1:3" x14ac:dyDescent="0.25">
      <c r="A261" t="s">
        <v>33</v>
      </c>
      <c r="B261" t="s">
        <v>44</v>
      </c>
      <c r="C261">
        <v>911</v>
      </c>
    </row>
    <row r="262" spans="1:3" x14ac:dyDescent="0.25">
      <c r="A262" t="s">
        <v>34</v>
      </c>
      <c r="B262" t="s">
        <v>44</v>
      </c>
      <c r="C262">
        <v>911</v>
      </c>
    </row>
    <row r="263" spans="1:3" x14ac:dyDescent="0.25">
      <c r="A263" t="s">
        <v>35</v>
      </c>
      <c r="B263" t="s">
        <v>44</v>
      </c>
      <c r="C263">
        <v>911</v>
      </c>
    </row>
    <row r="264" spans="1:3" x14ac:dyDescent="0.25">
      <c r="A264" t="s">
        <v>36</v>
      </c>
      <c r="B264" t="s">
        <v>44</v>
      </c>
      <c r="C264">
        <v>911</v>
      </c>
    </row>
    <row r="265" spans="1:3" x14ac:dyDescent="0.25">
      <c r="A265" t="s">
        <v>37</v>
      </c>
      <c r="B265" t="s">
        <v>44</v>
      </c>
      <c r="C265">
        <v>911</v>
      </c>
    </row>
    <row r="266" spans="1:3" hidden="1" x14ac:dyDescent="0.25">
      <c r="A266" s="3" t="s">
        <v>4</v>
      </c>
      <c r="B266" s="3" t="s">
        <v>4</v>
      </c>
      <c r="C266">
        <v>911</v>
      </c>
    </row>
    <row r="267" spans="1:3" hidden="1" x14ac:dyDescent="0.25">
      <c r="A267" t="s">
        <v>5</v>
      </c>
      <c r="B267" t="s">
        <v>45</v>
      </c>
      <c r="C267">
        <v>911</v>
      </c>
    </row>
    <row r="268" spans="1:3" hidden="1" x14ac:dyDescent="0.25">
      <c r="A268" t="s">
        <v>7</v>
      </c>
      <c r="B268" t="s">
        <v>45</v>
      </c>
      <c r="C268">
        <v>911</v>
      </c>
    </row>
    <row r="269" spans="1:3" hidden="1" x14ac:dyDescent="0.25">
      <c r="A269" t="s">
        <v>8</v>
      </c>
      <c r="B269" t="s">
        <v>45</v>
      </c>
      <c r="C269">
        <v>911</v>
      </c>
    </row>
    <row r="270" spans="1:3" hidden="1" x14ac:dyDescent="0.25">
      <c r="A270" t="s">
        <v>9</v>
      </c>
      <c r="B270" t="s">
        <v>45</v>
      </c>
      <c r="C270">
        <v>911</v>
      </c>
    </row>
    <row r="271" spans="1:3" hidden="1" x14ac:dyDescent="0.25">
      <c r="A271" t="s">
        <v>10</v>
      </c>
      <c r="B271" t="s">
        <v>45</v>
      </c>
      <c r="C271">
        <v>911</v>
      </c>
    </row>
    <row r="272" spans="1:3" hidden="1" x14ac:dyDescent="0.25">
      <c r="A272" t="s">
        <v>11</v>
      </c>
      <c r="B272" t="s">
        <v>45</v>
      </c>
      <c r="C272">
        <v>911</v>
      </c>
    </row>
    <row r="273" spans="1:3" hidden="1" x14ac:dyDescent="0.25">
      <c r="A273" t="s">
        <v>12</v>
      </c>
      <c r="B273" t="s">
        <v>45</v>
      </c>
      <c r="C273">
        <v>911</v>
      </c>
    </row>
    <row r="274" spans="1:3" hidden="1" x14ac:dyDescent="0.25">
      <c r="A274" t="s">
        <v>13</v>
      </c>
      <c r="B274" t="s">
        <v>45</v>
      </c>
      <c r="C274">
        <v>911</v>
      </c>
    </row>
    <row r="275" spans="1:3" hidden="1" x14ac:dyDescent="0.25">
      <c r="A275" t="s">
        <v>14</v>
      </c>
      <c r="B275" t="s">
        <v>45</v>
      </c>
      <c r="C275">
        <v>911</v>
      </c>
    </row>
    <row r="276" spans="1:3" hidden="1" x14ac:dyDescent="0.25">
      <c r="A276" t="s">
        <v>15</v>
      </c>
      <c r="B276" t="s">
        <v>45</v>
      </c>
      <c r="C276">
        <v>911</v>
      </c>
    </row>
    <row r="277" spans="1:3" hidden="1" x14ac:dyDescent="0.25">
      <c r="A277" t="s">
        <v>16</v>
      </c>
      <c r="B277" t="s">
        <v>45</v>
      </c>
      <c r="C277">
        <v>911</v>
      </c>
    </row>
    <row r="278" spans="1:3" hidden="1" x14ac:dyDescent="0.25">
      <c r="A278" t="s">
        <v>17</v>
      </c>
      <c r="B278" t="s">
        <v>45</v>
      </c>
      <c r="C278">
        <v>911</v>
      </c>
    </row>
    <row r="279" spans="1:3" hidden="1" x14ac:dyDescent="0.25">
      <c r="A279" t="s">
        <v>18</v>
      </c>
      <c r="B279" t="s">
        <v>45</v>
      </c>
      <c r="C279">
        <v>911</v>
      </c>
    </row>
    <row r="280" spans="1:3" hidden="1" x14ac:dyDescent="0.25">
      <c r="A280" t="s">
        <v>19</v>
      </c>
      <c r="B280" t="s">
        <v>45</v>
      </c>
      <c r="C280">
        <v>911</v>
      </c>
    </row>
    <row r="281" spans="1:3" hidden="1" x14ac:dyDescent="0.25">
      <c r="A281" t="s">
        <v>20</v>
      </c>
      <c r="B281" t="s">
        <v>45</v>
      </c>
      <c r="C281">
        <v>911</v>
      </c>
    </row>
    <row r="282" spans="1:3" hidden="1" x14ac:dyDescent="0.25">
      <c r="A282" t="s">
        <v>21</v>
      </c>
      <c r="B282" t="s">
        <v>45</v>
      </c>
      <c r="C282">
        <v>911</v>
      </c>
    </row>
    <row r="283" spans="1:3" hidden="1" x14ac:dyDescent="0.25">
      <c r="A283" t="s">
        <v>22</v>
      </c>
      <c r="B283" t="s">
        <v>45</v>
      </c>
      <c r="C283">
        <v>911</v>
      </c>
    </row>
    <row r="284" spans="1:3" hidden="1" x14ac:dyDescent="0.25">
      <c r="A284" t="s">
        <v>23</v>
      </c>
      <c r="B284" t="s">
        <v>45</v>
      </c>
      <c r="C284">
        <v>911</v>
      </c>
    </row>
    <row r="285" spans="1:3" hidden="1" x14ac:dyDescent="0.25">
      <c r="A285" t="s">
        <v>24</v>
      </c>
      <c r="B285" t="s">
        <v>45</v>
      </c>
      <c r="C285">
        <v>911</v>
      </c>
    </row>
    <row r="286" spans="1:3" hidden="1" x14ac:dyDescent="0.25">
      <c r="A286" t="s">
        <v>25</v>
      </c>
      <c r="B286" t="s">
        <v>45</v>
      </c>
      <c r="C286">
        <v>911</v>
      </c>
    </row>
    <row r="287" spans="1:3" hidden="1" x14ac:dyDescent="0.25">
      <c r="A287" t="s">
        <v>26</v>
      </c>
      <c r="B287" t="s">
        <v>45</v>
      </c>
      <c r="C287">
        <v>911</v>
      </c>
    </row>
    <row r="288" spans="1:3" hidden="1" x14ac:dyDescent="0.25">
      <c r="A288" t="s">
        <v>27</v>
      </c>
      <c r="B288" t="s">
        <v>45</v>
      </c>
      <c r="C288">
        <v>911</v>
      </c>
    </row>
    <row r="289" spans="1:3" hidden="1" x14ac:dyDescent="0.25">
      <c r="A289" t="s">
        <v>28</v>
      </c>
      <c r="B289" t="s">
        <v>45</v>
      </c>
      <c r="C289">
        <v>911</v>
      </c>
    </row>
    <row r="290" spans="1:3" hidden="1" x14ac:dyDescent="0.25">
      <c r="A290" t="s">
        <v>29</v>
      </c>
      <c r="B290" t="s">
        <v>45</v>
      </c>
      <c r="C290">
        <v>911</v>
      </c>
    </row>
    <row r="291" spans="1:3" hidden="1" x14ac:dyDescent="0.25">
      <c r="A291" t="s">
        <v>30</v>
      </c>
      <c r="B291" t="s">
        <v>45</v>
      </c>
      <c r="C291">
        <v>911</v>
      </c>
    </row>
    <row r="292" spans="1:3" hidden="1" x14ac:dyDescent="0.25">
      <c r="A292" t="s">
        <v>31</v>
      </c>
      <c r="B292" t="s">
        <v>45</v>
      </c>
      <c r="C292">
        <v>911</v>
      </c>
    </row>
    <row r="293" spans="1:3" hidden="1" x14ac:dyDescent="0.25">
      <c r="A293" t="s">
        <v>32</v>
      </c>
      <c r="B293" t="s">
        <v>45</v>
      </c>
      <c r="C293">
        <v>911</v>
      </c>
    </row>
    <row r="294" spans="1:3" hidden="1" x14ac:dyDescent="0.25">
      <c r="A294" t="s">
        <v>33</v>
      </c>
      <c r="B294" t="s">
        <v>45</v>
      </c>
      <c r="C294">
        <v>911</v>
      </c>
    </row>
    <row r="295" spans="1:3" hidden="1" x14ac:dyDescent="0.25">
      <c r="A295" t="s">
        <v>34</v>
      </c>
      <c r="B295" t="s">
        <v>45</v>
      </c>
      <c r="C295">
        <v>911</v>
      </c>
    </row>
    <row r="296" spans="1:3" hidden="1" x14ac:dyDescent="0.25">
      <c r="A296" t="s">
        <v>35</v>
      </c>
      <c r="B296" t="s">
        <v>45</v>
      </c>
      <c r="C296">
        <v>911</v>
      </c>
    </row>
    <row r="297" spans="1:3" hidden="1" x14ac:dyDescent="0.25">
      <c r="A297" t="s">
        <v>36</v>
      </c>
      <c r="B297" t="s">
        <v>45</v>
      </c>
      <c r="C297">
        <v>911</v>
      </c>
    </row>
    <row r="298" spans="1:3" hidden="1" x14ac:dyDescent="0.25">
      <c r="A298" t="s">
        <v>37</v>
      </c>
      <c r="B298" t="s">
        <v>45</v>
      </c>
      <c r="C298">
        <v>911</v>
      </c>
    </row>
    <row r="299" spans="1:3" hidden="1" x14ac:dyDescent="0.25">
      <c r="A299" s="3" t="s">
        <v>4</v>
      </c>
      <c r="B299" s="3" t="s">
        <v>4</v>
      </c>
      <c r="C299">
        <v>911</v>
      </c>
    </row>
    <row r="300" spans="1:3" hidden="1" x14ac:dyDescent="0.25">
      <c r="A300" t="s">
        <v>5</v>
      </c>
      <c r="B300" t="s">
        <v>46</v>
      </c>
      <c r="C300">
        <v>911</v>
      </c>
    </row>
    <row r="301" spans="1:3" hidden="1" x14ac:dyDescent="0.25">
      <c r="A301" t="s">
        <v>7</v>
      </c>
      <c r="B301" t="s">
        <v>46</v>
      </c>
      <c r="C301">
        <v>911</v>
      </c>
    </row>
    <row r="302" spans="1:3" hidden="1" x14ac:dyDescent="0.25">
      <c r="A302" t="s">
        <v>8</v>
      </c>
      <c r="B302" t="s">
        <v>46</v>
      </c>
      <c r="C302">
        <v>911</v>
      </c>
    </row>
    <row r="303" spans="1:3" hidden="1" x14ac:dyDescent="0.25">
      <c r="A303" t="s">
        <v>9</v>
      </c>
      <c r="B303" t="s">
        <v>46</v>
      </c>
      <c r="C303">
        <v>911</v>
      </c>
    </row>
    <row r="304" spans="1:3" hidden="1" x14ac:dyDescent="0.25">
      <c r="A304" t="s">
        <v>10</v>
      </c>
      <c r="B304" t="s">
        <v>46</v>
      </c>
      <c r="C304">
        <v>911</v>
      </c>
    </row>
    <row r="305" spans="1:3" hidden="1" x14ac:dyDescent="0.25">
      <c r="A305" t="s">
        <v>11</v>
      </c>
      <c r="B305" t="s">
        <v>46</v>
      </c>
      <c r="C305">
        <v>911</v>
      </c>
    </row>
    <row r="306" spans="1:3" hidden="1" x14ac:dyDescent="0.25">
      <c r="A306" t="s">
        <v>12</v>
      </c>
      <c r="B306" t="s">
        <v>46</v>
      </c>
      <c r="C306">
        <v>911</v>
      </c>
    </row>
    <row r="307" spans="1:3" hidden="1" x14ac:dyDescent="0.25">
      <c r="A307" t="s">
        <v>13</v>
      </c>
      <c r="B307" t="s">
        <v>46</v>
      </c>
      <c r="C307">
        <v>911</v>
      </c>
    </row>
    <row r="308" spans="1:3" hidden="1" x14ac:dyDescent="0.25">
      <c r="A308" t="s">
        <v>14</v>
      </c>
      <c r="B308" t="s">
        <v>46</v>
      </c>
      <c r="C308">
        <v>911</v>
      </c>
    </row>
    <row r="309" spans="1:3" hidden="1" x14ac:dyDescent="0.25">
      <c r="A309" t="s">
        <v>15</v>
      </c>
      <c r="B309" t="s">
        <v>46</v>
      </c>
      <c r="C309">
        <v>911</v>
      </c>
    </row>
    <row r="310" spans="1:3" hidden="1" x14ac:dyDescent="0.25">
      <c r="A310" t="s">
        <v>16</v>
      </c>
      <c r="B310" t="s">
        <v>46</v>
      </c>
      <c r="C310">
        <v>911</v>
      </c>
    </row>
    <row r="311" spans="1:3" hidden="1" x14ac:dyDescent="0.25">
      <c r="A311" t="s">
        <v>17</v>
      </c>
      <c r="B311" t="s">
        <v>46</v>
      </c>
      <c r="C311">
        <v>911</v>
      </c>
    </row>
    <row r="312" spans="1:3" hidden="1" x14ac:dyDescent="0.25">
      <c r="A312" t="s">
        <v>18</v>
      </c>
      <c r="B312" t="s">
        <v>46</v>
      </c>
      <c r="C312">
        <v>911</v>
      </c>
    </row>
    <row r="313" spans="1:3" hidden="1" x14ac:dyDescent="0.25">
      <c r="A313" t="s">
        <v>19</v>
      </c>
      <c r="B313" t="s">
        <v>46</v>
      </c>
      <c r="C313">
        <v>911</v>
      </c>
    </row>
    <row r="314" spans="1:3" hidden="1" x14ac:dyDescent="0.25">
      <c r="A314" t="s">
        <v>20</v>
      </c>
      <c r="B314" t="s">
        <v>46</v>
      </c>
      <c r="C314">
        <v>911</v>
      </c>
    </row>
    <row r="315" spans="1:3" hidden="1" x14ac:dyDescent="0.25">
      <c r="A315" t="s">
        <v>21</v>
      </c>
      <c r="B315" t="s">
        <v>46</v>
      </c>
      <c r="C315">
        <v>911</v>
      </c>
    </row>
    <row r="316" spans="1:3" hidden="1" x14ac:dyDescent="0.25">
      <c r="A316" t="s">
        <v>22</v>
      </c>
      <c r="B316" t="s">
        <v>46</v>
      </c>
      <c r="C316">
        <v>911</v>
      </c>
    </row>
    <row r="317" spans="1:3" hidden="1" x14ac:dyDescent="0.25">
      <c r="A317" t="s">
        <v>23</v>
      </c>
      <c r="B317" t="s">
        <v>46</v>
      </c>
      <c r="C317">
        <v>911</v>
      </c>
    </row>
    <row r="318" spans="1:3" hidden="1" x14ac:dyDescent="0.25">
      <c r="A318" t="s">
        <v>24</v>
      </c>
      <c r="B318" t="s">
        <v>46</v>
      </c>
      <c r="C318">
        <v>911</v>
      </c>
    </row>
    <row r="319" spans="1:3" hidden="1" x14ac:dyDescent="0.25">
      <c r="A319" t="s">
        <v>25</v>
      </c>
      <c r="B319" t="s">
        <v>46</v>
      </c>
      <c r="C319">
        <v>911</v>
      </c>
    </row>
    <row r="320" spans="1:3" hidden="1" x14ac:dyDescent="0.25">
      <c r="A320" t="s">
        <v>26</v>
      </c>
      <c r="B320" t="s">
        <v>46</v>
      </c>
      <c r="C320">
        <v>911</v>
      </c>
    </row>
    <row r="321" spans="1:3" hidden="1" x14ac:dyDescent="0.25">
      <c r="A321" t="s">
        <v>27</v>
      </c>
      <c r="B321" t="s">
        <v>46</v>
      </c>
      <c r="C321">
        <v>911</v>
      </c>
    </row>
    <row r="322" spans="1:3" hidden="1" x14ac:dyDescent="0.25">
      <c r="A322" t="s">
        <v>28</v>
      </c>
      <c r="B322" t="s">
        <v>46</v>
      </c>
      <c r="C322">
        <v>911</v>
      </c>
    </row>
    <row r="323" spans="1:3" hidden="1" x14ac:dyDescent="0.25">
      <c r="A323" t="s">
        <v>29</v>
      </c>
      <c r="B323" t="s">
        <v>46</v>
      </c>
      <c r="C323">
        <v>911</v>
      </c>
    </row>
    <row r="324" spans="1:3" hidden="1" x14ac:dyDescent="0.25">
      <c r="A324" t="s">
        <v>30</v>
      </c>
      <c r="B324" t="s">
        <v>46</v>
      </c>
      <c r="C324">
        <v>911</v>
      </c>
    </row>
    <row r="325" spans="1:3" hidden="1" x14ac:dyDescent="0.25">
      <c r="A325" t="s">
        <v>31</v>
      </c>
      <c r="B325" t="s">
        <v>46</v>
      </c>
      <c r="C325">
        <v>911</v>
      </c>
    </row>
    <row r="326" spans="1:3" hidden="1" x14ac:dyDescent="0.25">
      <c r="A326" t="s">
        <v>32</v>
      </c>
      <c r="B326" t="s">
        <v>46</v>
      </c>
      <c r="C326">
        <v>911</v>
      </c>
    </row>
    <row r="327" spans="1:3" hidden="1" x14ac:dyDescent="0.25">
      <c r="A327" t="s">
        <v>33</v>
      </c>
      <c r="B327" t="s">
        <v>46</v>
      </c>
      <c r="C327">
        <v>911</v>
      </c>
    </row>
    <row r="328" spans="1:3" hidden="1" x14ac:dyDescent="0.25">
      <c r="A328" t="s">
        <v>34</v>
      </c>
      <c r="B328" t="s">
        <v>46</v>
      </c>
      <c r="C328">
        <v>911</v>
      </c>
    </row>
    <row r="329" spans="1:3" hidden="1" x14ac:dyDescent="0.25">
      <c r="A329" t="s">
        <v>35</v>
      </c>
      <c r="B329" t="s">
        <v>46</v>
      </c>
      <c r="C329">
        <v>911</v>
      </c>
    </row>
    <row r="330" spans="1:3" hidden="1" x14ac:dyDescent="0.25">
      <c r="A330" t="s">
        <v>36</v>
      </c>
      <c r="B330" t="s">
        <v>46</v>
      </c>
      <c r="C330">
        <v>911</v>
      </c>
    </row>
    <row r="331" spans="1:3" hidden="1" x14ac:dyDescent="0.25">
      <c r="A331" t="s">
        <v>37</v>
      </c>
      <c r="B331" t="s">
        <v>46</v>
      </c>
      <c r="C331">
        <v>911</v>
      </c>
    </row>
    <row r="332" spans="1:3" hidden="1" x14ac:dyDescent="0.25">
      <c r="A332" s="3" t="s">
        <v>4</v>
      </c>
      <c r="B332" s="3" t="s">
        <v>4</v>
      </c>
      <c r="C332">
        <v>911</v>
      </c>
    </row>
    <row r="333" spans="1:3" hidden="1" x14ac:dyDescent="0.25">
      <c r="A333" t="s">
        <v>5</v>
      </c>
      <c r="B333" t="s">
        <v>47</v>
      </c>
      <c r="C333">
        <v>911</v>
      </c>
    </row>
    <row r="334" spans="1:3" hidden="1" x14ac:dyDescent="0.25">
      <c r="A334" t="s">
        <v>7</v>
      </c>
      <c r="B334" t="s">
        <v>47</v>
      </c>
      <c r="C334">
        <v>911</v>
      </c>
    </row>
    <row r="335" spans="1:3" hidden="1" x14ac:dyDescent="0.25">
      <c r="A335" t="s">
        <v>8</v>
      </c>
      <c r="B335" t="s">
        <v>47</v>
      </c>
      <c r="C335">
        <v>911</v>
      </c>
    </row>
    <row r="336" spans="1:3" hidden="1" x14ac:dyDescent="0.25">
      <c r="A336" t="s">
        <v>9</v>
      </c>
      <c r="B336" t="s">
        <v>47</v>
      </c>
      <c r="C336">
        <v>911</v>
      </c>
    </row>
    <row r="337" spans="1:3" hidden="1" x14ac:dyDescent="0.25">
      <c r="A337" t="s">
        <v>10</v>
      </c>
      <c r="B337" t="s">
        <v>47</v>
      </c>
      <c r="C337">
        <v>911</v>
      </c>
    </row>
    <row r="338" spans="1:3" hidden="1" x14ac:dyDescent="0.25">
      <c r="A338" t="s">
        <v>11</v>
      </c>
      <c r="B338" t="s">
        <v>47</v>
      </c>
      <c r="C338">
        <v>911</v>
      </c>
    </row>
    <row r="339" spans="1:3" hidden="1" x14ac:dyDescent="0.25">
      <c r="A339" t="s">
        <v>12</v>
      </c>
      <c r="B339" t="s">
        <v>47</v>
      </c>
      <c r="C339">
        <v>911</v>
      </c>
    </row>
    <row r="340" spans="1:3" hidden="1" x14ac:dyDescent="0.25">
      <c r="A340" t="s">
        <v>13</v>
      </c>
      <c r="B340" t="s">
        <v>47</v>
      </c>
      <c r="C340">
        <v>911</v>
      </c>
    </row>
    <row r="341" spans="1:3" hidden="1" x14ac:dyDescent="0.25">
      <c r="A341" t="s">
        <v>14</v>
      </c>
      <c r="B341" t="s">
        <v>47</v>
      </c>
      <c r="C341">
        <v>911</v>
      </c>
    </row>
    <row r="342" spans="1:3" hidden="1" x14ac:dyDescent="0.25">
      <c r="A342" t="s">
        <v>15</v>
      </c>
      <c r="B342" t="s">
        <v>47</v>
      </c>
      <c r="C342">
        <v>911</v>
      </c>
    </row>
    <row r="343" spans="1:3" hidden="1" x14ac:dyDescent="0.25">
      <c r="A343" t="s">
        <v>16</v>
      </c>
      <c r="B343" t="s">
        <v>47</v>
      </c>
      <c r="C343">
        <v>911</v>
      </c>
    </row>
    <row r="344" spans="1:3" hidden="1" x14ac:dyDescent="0.25">
      <c r="A344" t="s">
        <v>17</v>
      </c>
      <c r="B344" t="s">
        <v>47</v>
      </c>
      <c r="C344">
        <v>911</v>
      </c>
    </row>
    <row r="345" spans="1:3" hidden="1" x14ac:dyDescent="0.25">
      <c r="A345" t="s">
        <v>18</v>
      </c>
      <c r="B345" t="s">
        <v>47</v>
      </c>
      <c r="C345">
        <v>911</v>
      </c>
    </row>
    <row r="346" spans="1:3" hidden="1" x14ac:dyDescent="0.25">
      <c r="A346" t="s">
        <v>19</v>
      </c>
      <c r="B346" t="s">
        <v>47</v>
      </c>
      <c r="C346">
        <v>911</v>
      </c>
    </row>
    <row r="347" spans="1:3" hidden="1" x14ac:dyDescent="0.25">
      <c r="A347" t="s">
        <v>20</v>
      </c>
      <c r="B347" t="s">
        <v>47</v>
      </c>
      <c r="C347">
        <v>911</v>
      </c>
    </row>
    <row r="348" spans="1:3" hidden="1" x14ac:dyDescent="0.25">
      <c r="A348" t="s">
        <v>21</v>
      </c>
      <c r="B348" t="s">
        <v>47</v>
      </c>
      <c r="C348">
        <v>911</v>
      </c>
    </row>
    <row r="349" spans="1:3" hidden="1" x14ac:dyDescent="0.25">
      <c r="A349" t="s">
        <v>22</v>
      </c>
      <c r="B349" t="s">
        <v>47</v>
      </c>
      <c r="C349">
        <v>911</v>
      </c>
    </row>
    <row r="350" spans="1:3" hidden="1" x14ac:dyDescent="0.25">
      <c r="A350" t="s">
        <v>23</v>
      </c>
      <c r="B350" t="s">
        <v>47</v>
      </c>
      <c r="C350">
        <v>911</v>
      </c>
    </row>
    <row r="351" spans="1:3" hidden="1" x14ac:dyDescent="0.25">
      <c r="A351" t="s">
        <v>24</v>
      </c>
      <c r="B351" t="s">
        <v>47</v>
      </c>
      <c r="C351">
        <v>911</v>
      </c>
    </row>
    <row r="352" spans="1:3" hidden="1" x14ac:dyDescent="0.25">
      <c r="A352" t="s">
        <v>25</v>
      </c>
      <c r="B352" t="s">
        <v>47</v>
      </c>
      <c r="C352">
        <v>911</v>
      </c>
    </row>
    <row r="353" spans="1:3" hidden="1" x14ac:dyDescent="0.25">
      <c r="A353" t="s">
        <v>26</v>
      </c>
      <c r="B353" t="s">
        <v>47</v>
      </c>
      <c r="C353">
        <v>911</v>
      </c>
    </row>
    <row r="354" spans="1:3" hidden="1" x14ac:dyDescent="0.25">
      <c r="A354" t="s">
        <v>27</v>
      </c>
      <c r="B354" t="s">
        <v>47</v>
      </c>
      <c r="C354">
        <v>911</v>
      </c>
    </row>
    <row r="355" spans="1:3" hidden="1" x14ac:dyDescent="0.25">
      <c r="A355" t="s">
        <v>28</v>
      </c>
      <c r="B355" t="s">
        <v>47</v>
      </c>
      <c r="C355">
        <v>911</v>
      </c>
    </row>
    <row r="356" spans="1:3" hidden="1" x14ac:dyDescent="0.25">
      <c r="A356" t="s">
        <v>29</v>
      </c>
      <c r="B356" t="s">
        <v>47</v>
      </c>
      <c r="C356">
        <v>911</v>
      </c>
    </row>
    <row r="357" spans="1:3" hidden="1" x14ac:dyDescent="0.25">
      <c r="A357" t="s">
        <v>30</v>
      </c>
      <c r="B357" t="s">
        <v>47</v>
      </c>
      <c r="C357">
        <v>911</v>
      </c>
    </row>
    <row r="358" spans="1:3" hidden="1" x14ac:dyDescent="0.25">
      <c r="A358" t="s">
        <v>31</v>
      </c>
      <c r="B358" t="s">
        <v>47</v>
      </c>
      <c r="C358">
        <v>911</v>
      </c>
    </row>
    <row r="359" spans="1:3" hidden="1" x14ac:dyDescent="0.25">
      <c r="A359" t="s">
        <v>32</v>
      </c>
      <c r="B359" t="s">
        <v>47</v>
      </c>
      <c r="C359">
        <v>911</v>
      </c>
    </row>
    <row r="360" spans="1:3" hidden="1" x14ac:dyDescent="0.25">
      <c r="A360" t="s">
        <v>33</v>
      </c>
      <c r="B360" t="s">
        <v>47</v>
      </c>
      <c r="C360">
        <v>911</v>
      </c>
    </row>
    <row r="361" spans="1:3" hidden="1" x14ac:dyDescent="0.25">
      <c r="A361" t="s">
        <v>34</v>
      </c>
      <c r="B361" t="s">
        <v>47</v>
      </c>
      <c r="C361">
        <v>911</v>
      </c>
    </row>
    <row r="362" spans="1:3" hidden="1" x14ac:dyDescent="0.25">
      <c r="A362" t="s">
        <v>35</v>
      </c>
      <c r="B362" t="s">
        <v>47</v>
      </c>
      <c r="C362">
        <v>911</v>
      </c>
    </row>
    <row r="363" spans="1:3" hidden="1" x14ac:dyDescent="0.25">
      <c r="A363" t="s">
        <v>36</v>
      </c>
      <c r="B363" t="s">
        <v>47</v>
      </c>
      <c r="C363">
        <v>911</v>
      </c>
    </row>
    <row r="364" spans="1:3" hidden="1" x14ac:dyDescent="0.25">
      <c r="A364" t="s">
        <v>37</v>
      </c>
      <c r="B364" t="s">
        <v>47</v>
      </c>
      <c r="C364">
        <v>911</v>
      </c>
    </row>
    <row r="365" spans="1:3" hidden="1" x14ac:dyDescent="0.25">
      <c r="A365" s="3" t="s">
        <v>4</v>
      </c>
      <c r="B365" s="3" t="s">
        <v>4</v>
      </c>
      <c r="C365">
        <v>911</v>
      </c>
    </row>
    <row r="366" spans="1:3" hidden="1" x14ac:dyDescent="0.25">
      <c r="A366" t="s">
        <v>5</v>
      </c>
      <c r="B366" t="s">
        <v>48</v>
      </c>
      <c r="C366">
        <v>911</v>
      </c>
    </row>
    <row r="367" spans="1:3" hidden="1" x14ac:dyDescent="0.25">
      <c r="A367" t="s">
        <v>7</v>
      </c>
      <c r="B367" t="s">
        <v>48</v>
      </c>
      <c r="C367">
        <v>911</v>
      </c>
    </row>
    <row r="368" spans="1:3" hidden="1" x14ac:dyDescent="0.25">
      <c r="A368" t="s">
        <v>8</v>
      </c>
      <c r="B368" t="s">
        <v>48</v>
      </c>
      <c r="C368">
        <v>911</v>
      </c>
    </row>
    <row r="369" spans="1:3" hidden="1" x14ac:dyDescent="0.25">
      <c r="A369" t="s">
        <v>9</v>
      </c>
      <c r="B369" t="s">
        <v>48</v>
      </c>
      <c r="C369">
        <v>911</v>
      </c>
    </row>
    <row r="370" spans="1:3" hidden="1" x14ac:dyDescent="0.25">
      <c r="A370" t="s">
        <v>10</v>
      </c>
      <c r="B370" t="s">
        <v>48</v>
      </c>
      <c r="C370">
        <v>911</v>
      </c>
    </row>
    <row r="371" spans="1:3" hidden="1" x14ac:dyDescent="0.25">
      <c r="A371" t="s">
        <v>11</v>
      </c>
      <c r="B371" t="s">
        <v>48</v>
      </c>
      <c r="C371">
        <v>911</v>
      </c>
    </row>
    <row r="372" spans="1:3" hidden="1" x14ac:dyDescent="0.25">
      <c r="A372" t="s">
        <v>12</v>
      </c>
      <c r="B372" t="s">
        <v>48</v>
      </c>
      <c r="C372">
        <v>911</v>
      </c>
    </row>
    <row r="373" spans="1:3" hidden="1" x14ac:dyDescent="0.25">
      <c r="A373" t="s">
        <v>13</v>
      </c>
      <c r="B373" t="s">
        <v>48</v>
      </c>
      <c r="C373">
        <v>911</v>
      </c>
    </row>
    <row r="374" spans="1:3" hidden="1" x14ac:dyDescent="0.25">
      <c r="A374" t="s">
        <v>14</v>
      </c>
      <c r="B374" t="s">
        <v>48</v>
      </c>
      <c r="C374">
        <v>911</v>
      </c>
    </row>
    <row r="375" spans="1:3" hidden="1" x14ac:dyDescent="0.25">
      <c r="A375" t="s">
        <v>15</v>
      </c>
      <c r="B375" t="s">
        <v>48</v>
      </c>
      <c r="C375">
        <v>911</v>
      </c>
    </row>
    <row r="376" spans="1:3" hidden="1" x14ac:dyDescent="0.25">
      <c r="A376" t="s">
        <v>16</v>
      </c>
      <c r="B376" t="s">
        <v>48</v>
      </c>
      <c r="C376">
        <v>911</v>
      </c>
    </row>
    <row r="377" spans="1:3" hidden="1" x14ac:dyDescent="0.25">
      <c r="A377" t="s">
        <v>17</v>
      </c>
      <c r="B377" t="s">
        <v>48</v>
      </c>
      <c r="C377">
        <v>911</v>
      </c>
    </row>
    <row r="378" spans="1:3" hidden="1" x14ac:dyDescent="0.25">
      <c r="A378" t="s">
        <v>18</v>
      </c>
      <c r="B378" t="s">
        <v>48</v>
      </c>
      <c r="C378">
        <v>911</v>
      </c>
    </row>
    <row r="379" spans="1:3" hidden="1" x14ac:dyDescent="0.25">
      <c r="A379" t="s">
        <v>19</v>
      </c>
      <c r="B379" t="s">
        <v>48</v>
      </c>
      <c r="C379">
        <v>911</v>
      </c>
    </row>
    <row r="380" spans="1:3" hidden="1" x14ac:dyDescent="0.25">
      <c r="A380" t="s">
        <v>20</v>
      </c>
      <c r="B380" t="s">
        <v>48</v>
      </c>
      <c r="C380">
        <v>911</v>
      </c>
    </row>
    <row r="381" spans="1:3" hidden="1" x14ac:dyDescent="0.25">
      <c r="A381" t="s">
        <v>21</v>
      </c>
      <c r="B381" t="s">
        <v>48</v>
      </c>
      <c r="C381">
        <v>911</v>
      </c>
    </row>
    <row r="382" spans="1:3" hidden="1" x14ac:dyDescent="0.25">
      <c r="A382" t="s">
        <v>22</v>
      </c>
      <c r="B382" t="s">
        <v>48</v>
      </c>
      <c r="C382">
        <v>911</v>
      </c>
    </row>
    <row r="383" spans="1:3" hidden="1" x14ac:dyDescent="0.25">
      <c r="A383" t="s">
        <v>23</v>
      </c>
      <c r="B383" t="s">
        <v>48</v>
      </c>
      <c r="C383">
        <v>911</v>
      </c>
    </row>
    <row r="384" spans="1:3" hidden="1" x14ac:dyDescent="0.25">
      <c r="A384" t="s">
        <v>24</v>
      </c>
      <c r="B384" t="s">
        <v>48</v>
      </c>
      <c r="C384">
        <v>911</v>
      </c>
    </row>
    <row r="385" spans="1:4" hidden="1" x14ac:dyDescent="0.25">
      <c r="A385" t="s">
        <v>25</v>
      </c>
      <c r="B385" t="s">
        <v>48</v>
      </c>
      <c r="C385">
        <v>911</v>
      </c>
    </row>
    <row r="386" spans="1:4" hidden="1" x14ac:dyDescent="0.25">
      <c r="A386" t="s">
        <v>26</v>
      </c>
      <c r="B386" t="s">
        <v>48</v>
      </c>
      <c r="C386">
        <v>911</v>
      </c>
    </row>
    <row r="387" spans="1:4" hidden="1" x14ac:dyDescent="0.25">
      <c r="A387" t="s">
        <v>27</v>
      </c>
      <c r="B387" t="s">
        <v>48</v>
      </c>
      <c r="C387">
        <v>911</v>
      </c>
    </row>
    <row r="388" spans="1:4" hidden="1" x14ac:dyDescent="0.25">
      <c r="A388" t="s">
        <v>28</v>
      </c>
      <c r="B388" t="s">
        <v>48</v>
      </c>
      <c r="C388">
        <v>911</v>
      </c>
    </row>
    <row r="389" spans="1:4" hidden="1" x14ac:dyDescent="0.25">
      <c r="A389" t="s">
        <v>29</v>
      </c>
      <c r="B389" t="s">
        <v>48</v>
      </c>
      <c r="C389">
        <v>911</v>
      </c>
    </row>
    <row r="390" spans="1:4" hidden="1" x14ac:dyDescent="0.25">
      <c r="A390" t="s">
        <v>30</v>
      </c>
      <c r="B390" t="s">
        <v>48</v>
      </c>
      <c r="C390">
        <v>911</v>
      </c>
    </row>
    <row r="391" spans="1:4" hidden="1" x14ac:dyDescent="0.25">
      <c r="A391" t="s">
        <v>31</v>
      </c>
      <c r="B391" t="s">
        <v>48</v>
      </c>
      <c r="C391">
        <v>911</v>
      </c>
    </row>
    <row r="392" spans="1:4" hidden="1" x14ac:dyDescent="0.25">
      <c r="A392" t="s">
        <v>32</v>
      </c>
      <c r="B392" t="s">
        <v>48</v>
      </c>
      <c r="C392">
        <v>911</v>
      </c>
    </row>
    <row r="393" spans="1:4" hidden="1" x14ac:dyDescent="0.25">
      <c r="A393" t="s">
        <v>33</v>
      </c>
      <c r="B393" t="s">
        <v>48</v>
      </c>
      <c r="C393">
        <v>911</v>
      </c>
    </row>
    <row r="394" spans="1:4" hidden="1" x14ac:dyDescent="0.25">
      <c r="A394" t="s">
        <v>34</v>
      </c>
      <c r="B394" t="s">
        <v>48</v>
      </c>
      <c r="C394">
        <v>911</v>
      </c>
    </row>
    <row r="395" spans="1:4" hidden="1" x14ac:dyDescent="0.25">
      <c r="A395" t="s">
        <v>35</v>
      </c>
      <c r="B395" t="s">
        <v>48</v>
      </c>
      <c r="C395">
        <v>911</v>
      </c>
    </row>
    <row r="396" spans="1:4" hidden="1" x14ac:dyDescent="0.25">
      <c r="A396" t="s">
        <v>36</v>
      </c>
      <c r="B396" t="s">
        <v>48</v>
      </c>
      <c r="C396">
        <v>911</v>
      </c>
    </row>
    <row r="397" spans="1:4" hidden="1" x14ac:dyDescent="0.25">
      <c r="A397" t="s">
        <v>37</v>
      </c>
      <c r="B397" t="s">
        <v>48</v>
      </c>
      <c r="C397">
        <v>911</v>
      </c>
    </row>
    <row r="398" spans="1:4" ht="15.75" x14ac:dyDescent="0.25">
      <c r="A398" s="75" t="s">
        <v>4</v>
      </c>
      <c r="B398" s="75"/>
      <c r="C398" s="75"/>
      <c r="D398" s="55">
        <f>SUBTOTAL(9,Tabla1[TOTAL])</f>
        <v>0</v>
      </c>
    </row>
  </sheetData>
  <mergeCells count="2">
    <mergeCell ref="A398:C398"/>
    <mergeCell ref="A1:D1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73462-2756-479A-9CA1-0ABB7CC26AFB}">
  <dimension ref="A1:D387"/>
  <sheetViews>
    <sheetView showGridLines="0" zoomScale="90" zoomScaleNormal="90" workbookViewId="0">
      <selection activeCell="I217" sqref="I217"/>
    </sheetView>
  </sheetViews>
  <sheetFormatPr baseColWidth="10" defaultColWidth="11.42578125" defaultRowHeight="15" x14ac:dyDescent="0.25"/>
  <cols>
    <col min="1" max="1" width="19.42578125" customWidth="1"/>
    <col min="2" max="2" width="11.42578125" style="5" customWidth="1"/>
    <col min="3" max="3" width="12" style="5" customWidth="1"/>
    <col min="4" max="4" width="11.42578125" style="5" customWidth="1"/>
    <col min="5" max="5" width="11.28515625" customWidth="1"/>
    <col min="6" max="9" width="11.42578125" customWidth="1"/>
  </cols>
  <sheetData>
    <row r="1" spans="1:4" ht="15.75" x14ac:dyDescent="0.25">
      <c r="A1" s="76" t="s">
        <v>49</v>
      </c>
      <c r="B1" s="76"/>
      <c r="C1" s="76"/>
      <c r="D1" s="76"/>
    </row>
    <row r="2" spans="1:4" x14ac:dyDescent="0.25">
      <c r="A2" t="s">
        <v>1</v>
      </c>
      <c r="B2" s="5" t="s">
        <v>2</v>
      </c>
      <c r="C2" s="5" t="s">
        <v>3</v>
      </c>
      <c r="D2" s="5" t="s">
        <v>4</v>
      </c>
    </row>
    <row r="3" spans="1:4" x14ac:dyDescent="0.25">
      <c r="A3" t="s">
        <v>5</v>
      </c>
      <c r="B3" s="5" t="s">
        <v>6</v>
      </c>
      <c r="C3" s="5" t="s">
        <v>50</v>
      </c>
      <c r="D3" s="5">
        <v>62</v>
      </c>
    </row>
    <row r="4" spans="1:4" x14ac:dyDescent="0.25">
      <c r="A4" t="s">
        <v>51</v>
      </c>
      <c r="B4" s="5" t="s">
        <v>6</v>
      </c>
      <c r="C4" s="5" t="s">
        <v>50</v>
      </c>
      <c r="D4" s="5">
        <v>1469</v>
      </c>
    </row>
    <row r="5" spans="1:4" x14ac:dyDescent="0.25">
      <c r="A5" t="s">
        <v>8</v>
      </c>
      <c r="B5" s="5" t="s">
        <v>6</v>
      </c>
      <c r="C5" s="5" t="s">
        <v>50</v>
      </c>
      <c r="D5" s="5">
        <v>196</v>
      </c>
    </row>
    <row r="6" spans="1:4" x14ac:dyDescent="0.25">
      <c r="A6" t="s">
        <v>9</v>
      </c>
      <c r="B6" s="5" t="s">
        <v>6</v>
      </c>
      <c r="C6" s="5" t="s">
        <v>50</v>
      </c>
      <c r="D6" s="5">
        <v>123</v>
      </c>
    </row>
    <row r="7" spans="1:4" x14ac:dyDescent="0.25">
      <c r="A7" t="s">
        <v>52</v>
      </c>
      <c r="B7" s="5" t="s">
        <v>6</v>
      </c>
      <c r="C7" s="5" t="s">
        <v>50</v>
      </c>
      <c r="D7" s="5">
        <v>278</v>
      </c>
    </row>
    <row r="8" spans="1:4" x14ac:dyDescent="0.25">
      <c r="A8" t="s">
        <v>14</v>
      </c>
      <c r="B8" s="5" t="s">
        <v>6</v>
      </c>
      <c r="C8" s="5" t="s">
        <v>50</v>
      </c>
      <c r="D8" s="5">
        <v>344</v>
      </c>
    </row>
    <row r="9" spans="1:4" x14ac:dyDescent="0.25">
      <c r="A9" t="s">
        <v>10</v>
      </c>
      <c r="B9" s="5" t="s">
        <v>6</v>
      </c>
      <c r="C9" s="5" t="s">
        <v>50</v>
      </c>
      <c r="D9" s="5">
        <v>1210</v>
      </c>
    </row>
    <row r="10" spans="1:4" x14ac:dyDescent="0.25">
      <c r="A10" t="s">
        <v>11</v>
      </c>
      <c r="B10" s="5" t="s">
        <v>6</v>
      </c>
      <c r="C10" s="5" t="s">
        <v>50</v>
      </c>
      <c r="D10" s="5">
        <v>571</v>
      </c>
    </row>
    <row r="11" spans="1:4" x14ac:dyDescent="0.25">
      <c r="A11" t="s">
        <v>12</v>
      </c>
      <c r="B11" s="5" t="s">
        <v>6</v>
      </c>
      <c r="C11" s="5" t="s">
        <v>50</v>
      </c>
      <c r="D11" s="5">
        <v>9936</v>
      </c>
    </row>
    <row r="12" spans="1:4" x14ac:dyDescent="0.25">
      <c r="A12" t="s">
        <v>15</v>
      </c>
      <c r="B12" s="5" t="s">
        <v>6</v>
      </c>
      <c r="C12" s="5" t="s">
        <v>50</v>
      </c>
      <c r="D12" s="5">
        <v>204</v>
      </c>
    </row>
    <row r="13" spans="1:4" x14ac:dyDescent="0.25">
      <c r="A13" t="s">
        <v>16</v>
      </c>
      <c r="B13" s="5" t="s">
        <v>6</v>
      </c>
      <c r="C13" s="5" t="s">
        <v>50</v>
      </c>
      <c r="D13" s="5">
        <v>1329</v>
      </c>
    </row>
    <row r="14" spans="1:4" x14ac:dyDescent="0.25">
      <c r="A14" t="s">
        <v>17</v>
      </c>
      <c r="B14" s="5" t="s">
        <v>6</v>
      </c>
      <c r="C14" s="5" t="s">
        <v>50</v>
      </c>
      <c r="D14" s="5">
        <v>180</v>
      </c>
    </row>
    <row r="15" spans="1:4" x14ac:dyDescent="0.25">
      <c r="A15" t="s">
        <v>18</v>
      </c>
      <c r="B15" s="5" t="s">
        <v>6</v>
      </c>
      <c r="C15" s="5" t="s">
        <v>50</v>
      </c>
      <c r="D15" s="5">
        <v>747</v>
      </c>
    </row>
    <row r="16" spans="1:4" x14ac:dyDescent="0.25">
      <c r="A16" t="s">
        <v>19</v>
      </c>
      <c r="B16" s="5" t="s">
        <v>6</v>
      </c>
      <c r="C16" s="5" t="s">
        <v>50</v>
      </c>
      <c r="D16" s="5">
        <v>1596</v>
      </c>
    </row>
    <row r="17" spans="1:4" x14ac:dyDescent="0.25">
      <c r="A17" t="s">
        <v>53</v>
      </c>
      <c r="B17" s="5" t="s">
        <v>6</v>
      </c>
      <c r="C17" s="5" t="s">
        <v>50</v>
      </c>
      <c r="D17" s="5">
        <v>6376</v>
      </c>
    </row>
    <row r="18" spans="1:4" x14ac:dyDescent="0.25">
      <c r="A18" t="s">
        <v>21</v>
      </c>
      <c r="B18" s="5" t="s">
        <v>6</v>
      </c>
      <c r="C18" s="5" t="s">
        <v>50</v>
      </c>
      <c r="D18" s="5">
        <v>1177</v>
      </c>
    </row>
    <row r="19" spans="1:4" x14ac:dyDescent="0.25">
      <c r="A19" t="s">
        <v>22</v>
      </c>
      <c r="B19" s="5" t="s">
        <v>6</v>
      </c>
      <c r="C19" s="5" t="s">
        <v>50</v>
      </c>
      <c r="D19" s="5">
        <v>585</v>
      </c>
    </row>
    <row r="20" spans="1:4" x14ac:dyDescent="0.25">
      <c r="A20" t="s">
        <v>23</v>
      </c>
      <c r="B20" s="5" t="s">
        <v>6</v>
      </c>
      <c r="C20" s="5" t="s">
        <v>50</v>
      </c>
      <c r="D20" s="5">
        <v>223</v>
      </c>
    </row>
    <row r="21" spans="1:4" x14ac:dyDescent="0.25">
      <c r="A21" t="s">
        <v>54</v>
      </c>
      <c r="B21" s="5" t="s">
        <v>6</v>
      </c>
      <c r="C21" s="5" t="s">
        <v>50</v>
      </c>
      <c r="D21" s="5">
        <v>1720</v>
      </c>
    </row>
    <row r="22" spans="1:4" x14ac:dyDescent="0.25">
      <c r="A22" t="s">
        <v>25</v>
      </c>
      <c r="B22" s="5" t="s">
        <v>6</v>
      </c>
      <c r="C22" s="5" t="s">
        <v>50</v>
      </c>
      <c r="D22" s="5">
        <v>667</v>
      </c>
    </row>
    <row r="23" spans="1:4" x14ac:dyDescent="0.25">
      <c r="A23" t="s">
        <v>26</v>
      </c>
      <c r="B23" s="5" t="s">
        <v>6</v>
      </c>
      <c r="C23" s="5" t="s">
        <v>50</v>
      </c>
      <c r="D23" s="5">
        <v>741</v>
      </c>
    </row>
    <row r="24" spans="1:4" x14ac:dyDescent="0.25">
      <c r="A24" t="s">
        <v>27</v>
      </c>
      <c r="B24" s="5" t="s">
        <v>6</v>
      </c>
      <c r="C24" s="5" t="s">
        <v>50</v>
      </c>
      <c r="D24" s="5">
        <v>1170</v>
      </c>
    </row>
    <row r="25" spans="1:4" x14ac:dyDescent="0.25">
      <c r="A25" t="s">
        <v>28</v>
      </c>
      <c r="B25" s="5" t="s">
        <v>6</v>
      </c>
      <c r="C25" s="5" t="s">
        <v>50</v>
      </c>
      <c r="D25" s="5">
        <v>456</v>
      </c>
    </row>
    <row r="26" spans="1:4" x14ac:dyDescent="0.25">
      <c r="A26" t="s">
        <v>29</v>
      </c>
      <c r="B26" s="5" t="s">
        <v>6</v>
      </c>
      <c r="C26" s="5" t="s">
        <v>50</v>
      </c>
      <c r="D26" s="5">
        <v>173</v>
      </c>
    </row>
    <row r="27" spans="1:4" x14ac:dyDescent="0.25">
      <c r="A27" t="s">
        <v>30</v>
      </c>
      <c r="B27" s="5" t="s">
        <v>6</v>
      </c>
      <c r="C27" s="5" t="s">
        <v>50</v>
      </c>
      <c r="D27" s="5">
        <v>298</v>
      </c>
    </row>
    <row r="28" spans="1:4" x14ac:dyDescent="0.25">
      <c r="A28" t="s">
        <v>31</v>
      </c>
      <c r="B28" s="5" t="s">
        <v>6</v>
      </c>
      <c r="C28" s="5" t="s">
        <v>50</v>
      </c>
      <c r="D28" s="5">
        <v>1069</v>
      </c>
    </row>
    <row r="29" spans="1:4" x14ac:dyDescent="0.25">
      <c r="A29" t="s">
        <v>32</v>
      </c>
      <c r="B29" s="5" t="s">
        <v>6</v>
      </c>
      <c r="C29" s="5" t="s">
        <v>50</v>
      </c>
      <c r="D29" s="5">
        <v>492</v>
      </c>
    </row>
    <row r="30" spans="1:4" x14ac:dyDescent="0.25">
      <c r="A30" t="s">
        <v>33</v>
      </c>
      <c r="B30" s="5" t="s">
        <v>6</v>
      </c>
      <c r="C30" s="5" t="s">
        <v>50</v>
      </c>
      <c r="D30" s="5">
        <v>438</v>
      </c>
    </row>
    <row r="31" spans="1:4" x14ac:dyDescent="0.25">
      <c r="A31" t="s">
        <v>34</v>
      </c>
      <c r="B31" s="5" t="s">
        <v>6</v>
      </c>
      <c r="C31" s="5" t="s">
        <v>50</v>
      </c>
      <c r="D31" s="5">
        <v>477</v>
      </c>
    </row>
    <row r="32" spans="1:4" x14ac:dyDescent="0.25">
      <c r="A32" t="s">
        <v>35</v>
      </c>
      <c r="B32" s="5" t="s">
        <v>6</v>
      </c>
      <c r="C32" s="5" t="s">
        <v>50</v>
      </c>
      <c r="D32" s="5">
        <v>205</v>
      </c>
    </row>
    <row r="33" spans="1:4" x14ac:dyDescent="0.25">
      <c r="A33" t="s">
        <v>36</v>
      </c>
      <c r="B33" s="5" t="s">
        <v>6</v>
      </c>
      <c r="C33" s="5" t="s">
        <v>50</v>
      </c>
      <c r="D33" s="5">
        <v>177</v>
      </c>
    </row>
    <row r="34" spans="1:4" x14ac:dyDescent="0.25">
      <c r="A34" t="s">
        <v>37</v>
      </c>
      <c r="B34" s="5" t="s">
        <v>6</v>
      </c>
      <c r="C34" s="5" t="s">
        <v>50</v>
      </c>
      <c r="D34" s="5">
        <v>116</v>
      </c>
    </row>
    <row r="35" spans="1:4" hidden="1" x14ac:dyDescent="0.25">
      <c r="A35" t="s">
        <v>5</v>
      </c>
      <c r="B35" s="5" t="s">
        <v>38</v>
      </c>
      <c r="C35" s="5" t="s">
        <v>50</v>
      </c>
      <c r="D35" s="5">
        <v>69</v>
      </c>
    </row>
    <row r="36" spans="1:4" hidden="1" x14ac:dyDescent="0.25">
      <c r="A36" t="s">
        <v>51</v>
      </c>
      <c r="B36" s="5" t="s">
        <v>38</v>
      </c>
      <c r="C36" s="5" t="s">
        <v>50</v>
      </c>
      <c r="D36" s="5">
        <v>1475</v>
      </c>
    </row>
    <row r="37" spans="1:4" hidden="1" x14ac:dyDescent="0.25">
      <c r="A37" t="s">
        <v>8</v>
      </c>
      <c r="B37" s="5" t="s">
        <v>38</v>
      </c>
      <c r="C37" s="5" t="s">
        <v>50</v>
      </c>
      <c r="D37" s="5">
        <v>174</v>
      </c>
    </row>
    <row r="38" spans="1:4" hidden="1" x14ac:dyDescent="0.25">
      <c r="A38" t="s">
        <v>9</v>
      </c>
      <c r="B38" s="5" t="s">
        <v>38</v>
      </c>
      <c r="C38" s="5" t="s">
        <v>50</v>
      </c>
      <c r="D38" s="5">
        <v>117</v>
      </c>
    </row>
    <row r="39" spans="1:4" hidden="1" x14ac:dyDescent="0.25">
      <c r="A39" t="s">
        <v>52</v>
      </c>
      <c r="B39" s="5" t="s">
        <v>38</v>
      </c>
      <c r="C39" s="5" t="s">
        <v>50</v>
      </c>
      <c r="D39" s="5">
        <v>338</v>
      </c>
    </row>
    <row r="40" spans="1:4" hidden="1" x14ac:dyDescent="0.25">
      <c r="A40" t="s">
        <v>14</v>
      </c>
      <c r="B40" s="5" t="s">
        <v>38</v>
      </c>
      <c r="C40" s="5" t="s">
        <v>50</v>
      </c>
      <c r="D40" s="5">
        <v>286</v>
      </c>
    </row>
    <row r="41" spans="1:4" hidden="1" x14ac:dyDescent="0.25">
      <c r="A41" t="s">
        <v>10</v>
      </c>
      <c r="B41" s="5" t="s">
        <v>38</v>
      </c>
      <c r="C41" s="5" t="s">
        <v>50</v>
      </c>
      <c r="D41" s="5">
        <v>1150</v>
      </c>
    </row>
    <row r="42" spans="1:4" hidden="1" x14ac:dyDescent="0.25">
      <c r="A42" t="s">
        <v>11</v>
      </c>
      <c r="B42" s="5" t="s">
        <v>38</v>
      </c>
      <c r="C42" s="5" t="s">
        <v>50</v>
      </c>
      <c r="D42" s="5">
        <v>663</v>
      </c>
    </row>
    <row r="43" spans="1:4" hidden="1" x14ac:dyDescent="0.25">
      <c r="A43" t="s">
        <v>12</v>
      </c>
      <c r="B43" s="5" t="s">
        <v>38</v>
      </c>
      <c r="C43" s="5" t="s">
        <v>50</v>
      </c>
      <c r="D43" s="5">
        <v>8269</v>
      </c>
    </row>
    <row r="44" spans="1:4" hidden="1" x14ac:dyDescent="0.25">
      <c r="A44" t="s">
        <v>15</v>
      </c>
      <c r="B44" s="5" t="s">
        <v>38</v>
      </c>
      <c r="C44" s="5" t="s">
        <v>50</v>
      </c>
      <c r="D44" s="5">
        <v>191</v>
      </c>
    </row>
    <row r="45" spans="1:4" hidden="1" x14ac:dyDescent="0.25">
      <c r="A45" t="s">
        <v>16</v>
      </c>
      <c r="B45" s="5" t="s">
        <v>38</v>
      </c>
      <c r="C45" s="5" t="s">
        <v>50</v>
      </c>
      <c r="D45" s="5">
        <v>1233</v>
      </c>
    </row>
    <row r="46" spans="1:4" hidden="1" x14ac:dyDescent="0.25">
      <c r="A46" t="s">
        <v>17</v>
      </c>
      <c r="B46" s="5" t="s">
        <v>38</v>
      </c>
      <c r="C46" s="5" t="s">
        <v>50</v>
      </c>
      <c r="D46" s="5">
        <v>213</v>
      </c>
    </row>
    <row r="47" spans="1:4" hidden="1" x14ac:dyDescent="0.25">
      <c r="A47" t="s">
        <v>18</v>
      </c>
      <c r="B47" s="5" t="s">
        <v>38</v>
      </c>
      <c r="C47" s="5" t="s">
        <v>50</v>
      </c>
      <c r="D47" s="5">
        <v>812</v>
      </c>
    </row>
    <row r="48" spans="1:4" hidden="1" x14ac:dyDescent="0.25">
      <c r="A48" t="s">
        <v>19</v>
      </c>
      <c r="B48" s="5" t="s">
        <v>38</v>
      </c>
      <c r="C48" s="5" t="s">
        <v>50</v>
      </c>
      <c r="D48" s="5">
        <v>1557</v>
      </c>
    </row>
    <row r="49" spans="1:4" hidden="1" x14ac:dyDescent="0.25">
      <c r="A49" t="s">
        <v>53</v>
      </c>
      <c r="B49" s="5" t="s">
        <v>38</v>
      </c>
      <c r="C49" s="5" t="s">
        <v>50</v>
      </c>
      <c r="D49" s="5">
        <v>6853</v>
      </c>
    </row>
    <row r="50" spans="1:4" hidden="1" x14ac:dyDescent="0.25">
      <c r="A50" t="s">
        <v>21</v>
      </c>
      <c r="B50" s="5" t="s">
        <v>38</v>
      </c>
      <c r="C50" s="5" t="s">
        <v>50</v>
      </c>
      <c r="D50" s="5">
        <v>1287</v>
      </c>
    </row>
    <row r="51" spans="1:4" hidden="1" x14ac:dyDescent="0.25">
      <c r="A51" t="s">
        <v>22</v>
      </c>
      <c r="B51" s="5" t="s">
        <v>38</v>
      </c>
      <c r="C51" s="5" t="s">
        <v>50</v>
      </c>
      <c r="D51" s="5">
        <v>504</v>
      </c>
    </row>
    <row r="52" spans="1:4" hidden="1" x14ac:dyDescent="0.25">
      <c r="A52" t="s">
        <v>23</v>
      </c>
      <c r="B52" s="5" t="s">
        <v>38</v>
      </c>
      <c r="C52" s="5" t="s">
        <v>50</v>
      </c>
      <c r="D52" s="5">
        <v>100</v>
      </c>
    </row>
    <row r="53" spans="1:4" hidden="1" x14ac:dyDescent="0.25">
      <c r="A53" t="s">
        <v>54</v>
      </c>
      <c r="B53" s="5" t="s">
        <v>38</v>
      </c>
      <c r="C53" s="5" t="s">
        <v>50</v>
      </c>
      <c r="D53" s="5">
        <v>1797</v>
      </c>
    </row>
    <row r="54" spans="1:4" hidden="1" x14ac:dyDescent="0.25">
      <c r="A54" t="s">
        <v>25</v>
      </c>
      <c r="B54" s="5" t="s">
        <v>38</v>
      </c>
      <c r="C54" s="5" t="s">
        <v>50</v>
      </c>
      <c r="D54" s="5">
        <v>634</v>
      </c>
    </row>
    <row r="55" spans="1:4" hidden="1" x14ac:dyDescent="0.25">
      <c r="A55" t="s">
        <v>26</v>
      </c>
      <c r="B55" s="5" t="s">
        <v>38</v>
      </c>
      <c r="C55" s="5" t="s">
        <v>50</v>
      </c>
      <c r="D55" s="5">
        <v>891</v>
      </c>
    </row>
    <row r="56" spans="1:4" hidden="1" x14ac:dyDescent="0.25">
      <c r="A56" t="s">
        <v>27</v>
      </c>
      <c r="B56" s="5" t="s">
        <v>38</v>
      </c>
      <c r="C56" s="5" t="s">
        <v>50</v>
      </c>
      <c r="D56" s="5">
        <v>1170</v>
      </c>
    </row>
    <row r="57" spans="1:4" hidden="1" x14ac:dyDescent="0.25">
      <c r="A57" t="s">
        <v>28</v>
      </c>
      <c r="B57" s="5" t="s">
        <v>38</v>
      </c>
      <c r="C57" s="5" t="s">
        <v>50</v>
      </c>
      <c r="D57" s="5">
        <v>682</v>
      </c>
    </row>
    <row r="58" spans="1:4" hidden="1" x14ac:dyDescent="0.25">
      <c r="A58" t="s">
        <v>29</v>
      </c>
      <c r="B58" s="5" t="s">
        <v>38</v>
      </c>
      <c r="C58" s="5" t="s">
        <v>50</v>
      </c>
      <c r="D58" s="5">
        <v>175</v>
      </c>
    </row>
    <row r="59" spans="1:4" hidden="1" x14ac:dyDescent="0.25">
      <c r="A59" t="s">
        <v>30</v>
      </c>
      <c r="B59" s="5" t="s">
        <v>38</v>
      </c>
      <c r="C59" s="5" t="s">
        <v>50</v>
      </c>
      <c r="D59" s="5">
        <v>366</v>
      </c>
    </row>
    <row r="60" spans="1:4" hidden="1" x14ac:dyDescent="0.25">
      <c r="A60" t="s">
        <v>31</v>
      </c>
      <c r="B60" s="5" t="s">
        <v>38</v>
      </c>
      <c r="C60" s="5" t="s">
        <v>50</v>
      </c>
      <c r="D60" s="5">
        <v>1056</v>
      </c>
    </row>
    <row r="61" spans="1:4" hidden="1" x14ac:dyDescent="0.25">
      <c r="A61" t="s">
        <v>32</v>
      </c>
      <c r="B61" s="5" t="s">
        <v>38</v>
      </c>
      <c r="C61" s="5" t="s">
        <v>50</v>
      </c>
      <c r="D61" s="5">
        <v>423</v>
      </c>
    </row>
    <row r="62" spans="1:4" hidden="1" x14ac:dyDescent="0.25">
      <c r="A62" t="s">
        <v>33</v>
      </c>
      <c r="B62" s="5" t="s">
        <v>38</v>
      </c>
      <c r="C62" s="5" t="s">
        <v>50</v>
      </c>
      <c r="D62" s="5">
        <v>458</v>
      </c>
    </row>
    <row r="63" spans="1:4" hidden="1" x14ac:dyDescent="0.25">
      <c r="A63" t="s">
        <v>34</v>
      </c>
      <c r="B63" s="5" t="s">
        <v>38</v>
      </c>
      <c r="C63" s="5" t="s">
        <v>50</v>
      </c>
      <c r="D63" s="5">
        <v>468</v>
      </c>
    </row>
    <row r="64" spans="1:4" hidden="1" x14ac:dyDescent="0.25">
      <c r="A64" t="s">
        <v>35</v>
      </c>
      <c r="B64" s="5" t="s">
        <v>38</v>
      </c>
      <c r="C64" s="5" t="s">
        <v>50</v>
      </c>
      <c r="D64" s="5">
        <v>266</v>
      </c>
    </row>
    <row r="65" spans="1:4" hidden="1" x14ac:dyDescent="0.25">
      <c r="A65" t="s">
        <v>36</v>
      </c>
      <c r="B65" s="5" t="s">
        <v>38</v>
      </c>
      <c r="C65" s="5" t="s">
        <v>50</v>
      </c>
      <c r="D65" s="5">
        <v>171</v>
      </c>
    </row>
    <row r="66" spans="1:4" hidden="1" x14ac:dyDescent="0.25">
      <c r="A66" t="s">
        <v>37</v>
      </c>
      <c r="B66" s="5" t="s">
        <v>38</v>
      </c>
      <c r="C66" s="5" t="s">
        <v>50</v>
      </c>
      <c r="D66" s="5">
        <v>95</v>
      </c>
    </row>
    <row r="67" spans="1:4" hidden="1" x14ac:dyDescent="0.25">
      <c r="A67" t="s">
        <v>5</v>
      </c>
      <c r="B67" s="5" t="s">
        <v>39</v>
      </c>
      <c r="C67" s="5" t="s">
        <v>50</v>
      </c>
      <c r="D67" s="5">
        <v>94</v>
      </c>
    </row>
    <row r="68" spans="1:4" hidden="1" x14ac:dyDescent="0.25">
      <c r="A68" t="s">
        <v>51</v>
      </c>
      <c r="B68" s="5" t="s">
        <v>39</v>
      </c>
      <c r="C68" s="5" t="s">
        <v>50</v>
      </c>
      <c r="D68" s="5">
        <v>1475</v>
      </c>
    </row>
    <row r="69" spans="1:4" hidden="1" x14ac:dyDescent="0.25">
      <c r="A69" t="s">
        <v>8</v>
      </c>
      <c r="B69" s="5" t="s">
        <v>39</v>
      </c>
      <c r="C69" s="5" t="s">
        <v>50</v>
      </c>
      <c r="D69" s="5">
        <v>259</v>
      </c>
    </row>
    <row r="70" spans="1:4" hidden="1" x14ac:dyDescent="0.25">
      <c r="A70" t="s">
        <v>9</v>
      </c>
      <c r="B70" s="5" t="s">
        <v>39</v>
      </c>
      <c r="C70" s="5" t="s">
        <v>50</v>
      </c>
      <c r="D70" s="5">
        <v>139</v>
      </c>
    </row>
    <row r="71" spans="1:4" hidden="1" x14ac:dyDescent="0.25">
      <c r="A71" t="s">
        <v>52</v>
      </c>
      <c r="B71" s="5" t="s">
        <v>39</v>
      </c>
      <c r="C71" s="5" t="s">
        <v>50</v>
      </c>
      <c r="D71" s="5">
        <v>374</v>
      </c>
    </row>
    <row r="72" spans="1:4" hidden="1" x14ac:dyDescent="0.25">
      <c r="A72" t="s">
        <v>14</v>
      </c>
      <c r="B72" s="5" t="s">
        <v>39</v>
      </c>
      <c r="C72" s="5" t="s">
        <v>50</v>
      </c>
      <c r="D72" s="5">
        <v>425</v>
      </c>
    </row>
    <row r="73" spans="1:4" hidden="1" x14ac:dyDescent="0.25">
      <c r="A73" t="s">
        <v>10</v>
      </c>
      <c r="B73" s="5" t="s">
        <v>39</v>
      </c>
      <c r="C73" s="5" t="s">
        <v>50</v>
      </c>
      <c r="D73" s="5">
        <v>1149</v>
      </c>
    </row>
    <row r="74" spans="1:4" hidden="1" x14ac:dyDescent="0.25">
      <c r="A74" t="s">
        <v>11</v>
      </c>
      <c r="B74" s="5" t="s">
        <v>39</v>
      </c>
      <c r="C74" s="5" t="s">
        <v>50</v>
      </c>
      <c r="D74" s="5">
        <v>805</v>
      </c>
    </row>
    <row r="75" spans="1:4" hidden="1" x14ac:dyDescent="0.25">
      <c r="A75" t="s">
        <v>12</v>
      </c>
      <c r="B75" s="5" t="s">
        <v>39</v>
      </c>
      <c r="C75" s="5" t="s">
        <v>50</v>
      </c>
      <c r="D75" s="5">
        <v>9574</v>
      </c>
    </row>
    <row r="76" spans="1:4" hidden="1" x14ac:dyDescent="0.25">
      <c r="A76" t="s">
        <v>15</v>
      </c>
      <c r="B76" s="5" t="s">
        <v>39</v>
      </c>
      <c r="C76" s="5" t="s">
        <v>50</v>
      </c>
      <c r="D76" s="5">
        <v>242</v>
      </c>
    </row>
    <row r="77" spans="1:4" hidden="1" x14ac:dyDescent="0.25">
      <c r="A77" t="s">
        <v>16</v>
      </c>
      <c r="B77" s="5" t="s">
        <v>39</v>
      </c>
      <c r="C77" s="5" t="s">
        <v>50</v>
      </c>
      <c r="D77" s="5">
        <v>1568</v>
      </c>
    </row>
    <row r="78" spans="1:4" hidden="1" x14ac:dyDescent="0.25">
      <c r="A78" t="s">
        <v>17</v>
      </c>
      <c r="B78" s="5" t="s">
        <v>39</v>
      </c>
      <c r="C78" s="5" t="s">
        <v>50</v>
      </c>
      <c r="D78" s="5">
        <v>217</v>
      </c>
    </row>
    <row r="79" spans="1:4" hidden="1" x14ac:dyDescent="0.25">
      <c r="A79" t="s">
        <v>18</v>
      </c>
      <c r="B79" s="5" t="s">
        <v>39</v>
      </c>
      <c r="C79" s="5" t="s">
        <v>50</v>
      </c>
      <c r="D79" s="5">
        <v>945</v>
      </c>
    </row>
    <row r="80" spans="1:4" hidden="1" x14ac:dyDescent="0.25">
      <c r="A80" t="s">
        <v>19</v>
      </c>
      <c r="B80" s="5" t="s">
        <v>39</v>
      </c>
      <c r="C80" s="5" t="s">
        <v>50</v>
      </c>
      <c r="D80" s="5">
        <v>1929</v>
      </c>
    </row>
    <row r="81" spans="1:4" hidden="1" x14ac:dyDescent="0.25">
      <c r="A81" t="s">
        <v>53</v>
      </c>
      <c r="B81" s="5" t="s">
        <v>39</v>
      </c>
      <c r="C81" s="5" t="s">
        <v>50</v>
      </c>
      <c r="D81" s="5">
        <v>7819</v>
      </c>
    </row>
    <row r="82" spans="1:4" hidden="1" x14ac:dyDescent="0.25">
      <c r="A82" t="s">
        <v>21</v>
      </c>
      <c r="B82" s="5" t="s">
        <v>39</v>
      </c>
      <c r="C82" s="5" t="s">
        <v>50</v>
      </c>
      <c r="D82" s="5">
        <v>1460</v>
      </c>
    </row>
    <row r="83" spans="1:4" hidden="1" x14ac:dyDescent="0.25">
      <c r="A83" t="s">
        <v>22</v>
      </c>
      <c r="B83" s="5" t="s">
        <v>39</v>
      </c>
      <c r="C83" s="5" t="s">
        <v>50</v>
      </c>
      <c r="D83" s="5">
        <v>619</v>
      </c>
    </row>
    <row r="84" spans="1:4" hidden="1" x14ac:dyDescent="0.25">
      <c r="A84" t="s">
        <v>23</v>
      </c>
      <c r="B84" s="5" t="s">
        <v>39</v>
      </c>
      <c r="C84" s="5" t="s">
        <v>50</v>
      </c>
      <c r="D84" s="5">
        <v>218</v>
      </c>
    </row>
    <row r="85" spans="1:4" hidden="1" x14ac:dyDescent="0.25">
      <c r="A85" t="s">
        <v>54</v>
      </c>
      <c r="B85" s="5" t="s">
        <v>39</v>
      </c>
      <c r="C85" s="5" t="s">
        <v>50</v>
      </c>
      <c r="D85" s="5">
        <v>2224</v>
      </c>
    </row>
    <row r="86" spans="1:4" hidden="1" x14ac:dyDescent="0.25">
      <c r="A86" t="s">
        <v>25</v>
      </c>
      <c r="B86" s="5" t="s">
        <v>39</v>
      </c>
      <c r="C86" s="5" t="s">
        <v>50</v>
      </c>
      <c r="D86" s="5">
        <v>905</v>
      </c>
    </row>
    <row r="87" spans="1:4" hidden="1" x14ac:dyDescent="0.25">
      <c r="A87" t="s">
        <v>26</v>
      </c>
      <c r="B87" s="5" t="s">
        <v>39</v>
      </c>
      <c r="C87" s="5" t="s">
        <v>50</v>
      </c>
      <c r="D87" s="5">
        <v>851</v>
      </c>
    </row>
    <row r="88" spans="1:4" hidden="1" x14ac:dyDescent="0.25">
      <c r="A88" t="s">
        <v>27</v>
      </c>
      <c r="B88" s="5" t="s">
        <v>39</v>
      </c>
      <c r="C88" s="5" t="s">
        <v>50</v>
      </c>
      <c r="D88" s="5">
        <v>1685</v>
      </c>
    </row>
    <row r="89" spans="1:4" hidden="1" x14ac:dyDescent="0.25">
      <c r="A89" t="s">
        <v>28</v>
      </c>
      <c r="B89" s="5" t="s">
        <v>39</v>
      </c>
      <c r="C89" s="5" t="s">
        <v>50</v>
      </c>
      <c r="D89" s="5">
        <v>915</v>
      </c>
    </row>
    <row r="90" spans="1:4" hidden="1" x14ac:dyDescent="0.25">
      <c r="A90" t="s">
        <v>29</v>
      </c>
      <c r="B90" s="5" t="s">
        <v>39</v>
      </c>
      <c r="C90" s="5" t="s">
        <v>50</v>
      </c>
      <c r="D90" s="5">
        <v>186</v>
      </c>
    </row>
    <row r="91" spans="1:4" hidden="1" x14ac:dyDescent="0.25">
      <c r="A91" t="s">
        <v>30</v>
      </c>
      <c r="B91" s="5" t="s">
        <v>39</v>
      </c>
      <c r="C91" s="5" t="s">
        <v>50</v>
      </c>
      <c r="D91" s="5">
        <v>438</v>
      </c>
    </row>
    <row r="92" spans="1:4" hidden="1" x14ac:dyDescent="0.25">
      <c r="A92" t="s">
        <v>31</v>
      </c>
      <c r="B92" s="5" t="s">
        <v>39</v>
      </c>
      <c r="C92" s="5" t="s">
        <v>50</v>
      </c>
      <c r="D92" s="5">
        <v>925</v>
      </c>
    </row>
    <row r="93" spans="1:4" hidden="1" x14ac:dyDescent="0.25">
      <c r="A93" t="s">
        <v>32</v>
      </c>
      <c r="B93" s="5" t="s">
        <v>39</v>
      </c>
      <c r="C93" s="5" t="s">
        <v>50</v>
      </c>
      <c r="D93" s="5">
        <v>568</v>
      </c>
    </row>
    <row r="94" spans="1:4" hidden="1" x14ac:dyDescent="0.25">
      <c r="A94" t="s">
        <v>33</v>
      </c>
      <c r="B94" s="5" t="s">
        <v>39</v>
      </c>
      <c r="C94" s="5" t="s">
        <v>50</v>
      </c>
      <c r="D94" s="5">
        <v>543</v>
      </c>
    </row>
    <row r="95" spans="1:4" hidden="1" x14ac:dyDescent="0.25">
      <c r="A95" t="s">
        <v>34</v>
      </c>
      <c r="B95" s="5" t="s">
        <v>39</v>
      </c>
      <c r="C95" s="5" t="s">
        <v>50</v>
      </c>
      <c r="D95" s="5">
        <v>542</v>
      </c>
    </row>
    <row r="96" spans="1:4" hidden="1" x14ac:dyDescent="0.25">
      <c r="A96" t="s">
        <v>35</v>
      </c>
      <c r="B96" s="5" t="s">
        <v>39</v>
      </c>
      <c r="C96" s="5" t="s">
        <v>50</v>
      </c>
      <c r="D96" s="5">
        <v>264</v>
      </c>
    </row>
    <row r="97" spans="1:4" hidden="1" x14ac:dyDescent="0.25">
      <c r="A97" t="s">
        <v>36</v>
      </c>
      <c r="B97" s="5" t="s">
        <v>39</v>
      </c>
      <c r="C97" s="5" t="s">
        <v>50</v>
      </c>
      <c r="D97" s="5">
        <v>171</v>
      </c>
    </row>
    <row r="98" spans="1:4" hidden="1" x14ac:dyDescent="0.25">
      <c r="A98" t="s">
        <v>37</v>
      </c>
      <c r="B98" s="5" t="s">
        <v>39</v>
      </c>
      <c r="C98" s="5" t="s">
        <v>50</v>
      </c>
      <c r="D98" s="5">
        <v>114</v>
      </c>
    </row>
    <row r="99" spans="1:4" hidden="1" x14ac:dyDescent="0.25">
      <c r="A99" t="s">
        <v>5</v>
      </c>
      <c r="B99" s="5" t="s">
        <v>40</v>
      </c>
      <c r="C99" s="5" t="s">
        <v>50</v>
      </c>
      <c r="D99" s="5">
        <v>100</v>
      </c>
    </row>
    <row r="100" spans="1:4" hidden="1" x14ac:dyDescent="0.25">
      <c r="A100" t="s">
        <v>51</v>
      </c>
      <c r="B100" s="5" t="s">
        <v>40</v>
      </c>
      <c r="C100" s="5" t="s">
        <v>50</v>
      </c>
      <c r="D100" s="5">
        <v>1752</v>
      </c>
    </row>
    <row r="101" spans="1:4" hidden="1" x14ac:dyDescent="0.25">
      <c r="A101" t="s">
        <v>8</v>
      </c>
      <c r="B101" s="5" t="s">
        <v>40</v>
      </c>
      <c r="C101" s="5" t="s">
        <v>50</v>
      </c>
      <c r="D101" s="5">
        <v>200</v>
      </c>
    </row>
    <row r="102" spans="1:4" hidden="1" x14ac:dyDescent="0.25">
      <c r="A102" t="s">
        <v>9</v>
      </c>
      <c r="B102" s="5" t="s">
        <v>40</v>
      </c>
      <c r="C102" s="5" t="s">
        <v>50</v>
      </c>
      <c r="D102" s="5">
        <v>120</v>
      </c>
    </row>
    <row r="103" spans="1:4" hidden="1" x14ac:dyDescent="0.25">
      <c r="A103" t="s">
        <v>52</v>
      </c>
      <c r="B103" s="5" t="s">
        <v>40</v>
      </c>
      <c r="C103" s="5" t="s">
        <v>50</v>
      </c>
      <c r="D103" s="5">
        <v>346</v>
      </c>
    </row>
    <row r="104" spans="1:4" hidden="1" x14ac:dyDescent="0.25">
      <c r="A104" t="s">
        <v>14</v>
      </c>
      <c r="B104" s="5" t="s">
        <v>40</v>
      </c>
      <c r="C104" s="5" t="s">
        <v>50</v>
      </c>
      <c r="D104" s="5">
        <v>347</v>
      </c>
    </row>
    <row r="105" spans="1:4" hidden="1" x14ac:dyDescent="0.25">
      <c r="A105" t="s">
        <v>10</v>
      </c>
      <c r="B105" s="5" t="s">
        <v>40</v>
      </c>
      <c r="C105" s="5" t="s">
        <v>50</v>
      </c>
      <c r="D105" s="5">
        <v>1246</v>
      </c>
    </row>
    <row r="106" spans="1:4" hidden="1" x14ac:dyDescent="0.25">
      <c r="A106" t="s">
        <v>11</v>
      </c>
      <c r="B106" s="5" t="s">
        <v>40</v>
      </c>
      <c r="C106" s="5" t="s">
        <v>50</v>
      </c>
      <c r="D106" s="5">
        <v>842</v>
      </c>
    </row>
    <row r="107" spans="1:4" hidden="1" x14ac:dyDescent="0.25">
      <c r="A107" t="s">
        <v>12</v>
      </c>
      <c r="B107" s="5" t="s">
        <v>40</v>
      </c>
      <c r="C107" s="5" t="s">
        <v>50</v>
      </c>
      <c r="D107" s="5">
        <v>10180</v>
      </c>
    </row>
    <row r="108" spans="1:4" hidden="1" x14ac:dyDescent="0.25">
      <c r="A108" t="s">
        <v>15</v>
      </c>
      <c r="B108" s="5" t="s">
        <v>40</v>
      </c>
      <c r="C108" s="5" t="s">
        <v>50</v>
      </c>
      <c r="D108" s="5">
        <v>216</v>
      </c>
    </row>
    <row r="109" spans="1:4" hidden="1" x14ac:dyDescent="0.25">
      <c r="A109" t="s">
        <v>16</v>
      </c>
      <c r="B109" s="5" t="s">
        <v>40</v>
      </c>
      <c r="C109" s="5" t="s">
        <v>50</v>
      </c>
      <c r="D109" s="5">
        <v>1634</v>
      </c>
    </row>
    <row r="110" spans="1:4" hidden="1" x14ac:dyDescent="0.25">
      <c r="A110" t="s">
        <v>17</v>
      </c>
      <c r="B110" s="5" t="s">
        <v>40</v>
      </c>
      <c r="C110" s="5" t="s">
        <v>50</v>
      </c>
      <c r="D110" s="5">
        <v>217</v>
      </c>
    </row>
    <row r="111" spans="1:4" hidden="1" x14ac:dyDescent="0.25">
      <c r="A111" t="s">
        <v>18</v>
      </c>
      <c r="B111" s="5" t="s">
        <v>40</v>
      </c>
      <c r="C111" s="5" t="s">
        <v>50</v>
      </c>
      <c r="D111" s="5">
        <v>878</v>
      </c>
    </row>
    <row r="112" spans="1:4" hidden="1" x14ac:dyDescent="0.25">
      <c r="A112" t="s">
        <v>19</v>
      </c>
      <c r="B112" s="5" t="s">
        <v>40</v>
      </c>
      <c r="C112" s="5" t="s">
        <v>50</v>
      </c>
      <c r="D112" s="5">
        <v>2024</v>
      </c>
    </row>
    <row r="113" spans="1:4" hidden="1" x14ac:dyDescent="0.25">
      <c r="A113" t="s">
        <v>53</v>
      </c>
      <c r="B113" s="5" t="s">
        <v>40</v>
      </c>
      <c r="C113" s="5" t="s">
        <v>50</v>
      </c>
      <c r="D113" s="5">
        <v>8090</v>
      </c>
    </row>
    <row r="114" spans="1:4" hidden="1" x14ac:dyDescent="0.25">
      <c r="A114" t="s">
        <v>21</v>
      </c>
      <c r="B114" s="5" t="s">
        <v>40</v>
      </c>
      <c r="C114" s="5" t="s">
        <v>50</v>
      </c>
      <c r="D114" s="5">
        <v>1425</v>
      </c>
    </row>
    <row r="115" spans="1:4" hidden="1" x14ac:dyDescent="0.25">
      <c r="A115" t="s">
        <v>22</v>
      </c>
      <c r="B115" s="5" t="s">
        <v>40</v>
      </c>
      <c r="C115" s="5" t="s">
        <v>50</v>
      </c>
      <c r="D115" s="5">
        <v>752</v>
      </c>
    </row>
    <row r="116" spans="1:4" hidden="1" x14ac:dyDescent="0.25">
      <c r="A116" t="s">
        <v>23</v>
      </c>
      <c r="B116" s="5" t="s">
        <v>40</v>
      </c>
      <c r="C116" s="5" t="s">
        <v>50</v>
      </c>
      <c r="D116" s="5">
        <v>315</v>
      </c>
    </row>
    <row r="117" spans="1:4" hidden="1" x14ac:dyDescent="0.25">
      <c r="A117" t="s">
        <v>54</v>
      </c>
      <c r="B117" s="5" t="s">
        <v>40</v>
      </c>
      <c r="C117" s="5" t="s">
        <v>50</v>
      </c>
      <c r="D117" s="5">
        <v>2207</v>
      </c>
    </row>
    <row r="118" spans="1:4" hidden="1" x14ac:dyDescent="0.25">
      <c r="A118" t="s">
        <v>25</v>
      </c>
      <c r="B118" s="5" t="s">
        <v>40</v>
      </c>
      <c r="C118" s="5" t="s">
        <v>50</v>
      </c>
      <c r="D118" s="5">
        <v>962</v>
      </c>
    </row>
    <row r="119" spans="1:4" hidden="1" x14ac:dyDescent="0.25">
      <c r="A119" t="s">
        <v>26</v>
      </c>
      <c r="B119" s="5" t="s">
        <v>40</v>
      </c>
      <c r="C119" s="5" t="s">
        <v>50</v>
      </c>
      <c r="D119" s="5">
        <v>932</v>
      </c>
    </row>
    <row r="120" spans="1:4" hidden="1" x14ac:dyDescent="0.25">
      <c r="A120" t="s">
        <v>27</v>
      </c>
      <c r="B120" s="5" t="s">
        <v>40</v>
      </c>
      <c r="C120" s="5" t="s">
        <v>50</v>
      </c>
      <c r="D120" s="5">
        <v>1685</v>
      </c>
    </row>
    <row r="121" spans="1:4" hidden="1" x14ac:dyDescent="0.25">
      <c r="A121" t="s">
        <v>28</v>
      </c>
      <c r="B121" s="5" t="s">
        <v>40</v>
      </c>
      <c r="C121" s="5" t="s">
        <v>50</v>
      </c>
      <c r="D121" s="5">
        <v>926</v>
      </c>
    </row>
    <row r="122" spans="1:4" hidden="1" x14ac:dyDescent="0.25">
      <c r="A122" t="s">
        <v>29</v>
      </c>
      <c r="B122" s="5" t="s">
        <v>40</v>
      </c>
      <c r="C122" s="5" t="s">
        <v>50</v>
      </c>
      <c r="D122" s="5">
        <v>125</v>
      </c>
    </row>
    <row r="123" spans="1:4" hidden="1" x14ac:dyDescent="0.25">
      <c r="A123" t="s">
        <v>30</v>
      </c>
      <c r="B123" s="5" t="s">
        <v>40</v>
      </c>
      <c r="C123" s="5" t="s">
        <v>50</v>
      </c>
      <c r="D123" s="5">
        <v>555</v>
      </c>
    </row>
    <row r="124" spans="1:4" hidden="1" x14ac:dyDescent="0.25">
      <c r="A124" t="s">
        <v>31</v>
      </c>
      <c r="B124" s="5" t="s">
        <v>40</v>
      </c>
      <c r="C124" s="5" t="s">
        <v>50</v>
      </c>
      <c r="D124" s="5">
        <v>962</v>
      </c>
    </row>
    <row r="125" spans="1:4" hidden="1" x14ac:dyDescent="0.25">
      <c r="A125" t="s">
        <v>32</v>
      </c>
      <c r="B125" s="5" t="s">
        <v>40</v>
      </c>
      <c r="C125" s="5" t="s">
        <v>50</v>
      </c>
      <c r="D125" s="5">
        <v>575</v>
      </c>
    </row>
    <row r="126" spans="1:4" hidden="1" x14ac:dyDescent="0.25">
      <c r="A126" t="s">
        <v>33</v>
      </c>
      <c r="B126" s="5" t="s">
        <v>40</v>
      </c>
      <c r="C126" s="5" t="s">
        <v>50</v>
      </c>
      <c r="D126" s="5">
        <v>470</v>
      </c>
    </row>
    <row r="127" spans="1:4" hidden="1" x14ac:dyDescent="0.25">
      <c r="A127" t="s">
        <v>34</v>
      </c>
      <c r="B127" s="5" t="s">
        <v>40</v>
      </c>
      <c r="C127" s="5" t="s">
        <v>50</v>
      </c>
      <c r="D127" s="5">
        <v>521</v>
      </c>
    </row>
    <row r="128" spans="1:4" hidden="1" x14ac:dyDescent="0.25">
      <c r="A128" t="s">
        <v>35</v>
      </c>
      <c r="B128" s="5" t="s">
        <v>40</v>
      </c>
      <c r="C128" s="5" t="s">
        <v>50</v>
      </c>
      <c r="D128" s="5">
        <v>278</v>
      </c>
    </row>
    <row r="129" spans="1:4" hidden="1" x14ac:dyDescent="0.25">
      <c r="A129" t="s">
        <v>36</v>
      </c>
      <c r="B129" s="5" t="s">
        <v>40</v>
      </c>
      <c r="C129" s="5" t="s">
        <v>50</v>
      </c>
      <c r="D129" s="5">
        <v>149</v>
      </c>
    </row>
    <row r="130" spans="1:4" hidden="1" x14ac:dyDescent="0.25">
      <c r="A130" t="s">
        <v>37</v>
      </c>
      <c r="B130" s="5" t="s">
        <v>40</v>
      </c>
      <c r="C130" s="5" t="s">
        <v>50</v>
      </c>
      <c r="D130" s="5">
        <v>65</v>
      </c>
    </row>
    <row r="131" spans="1:4" hidden="1" x14ac:dyDescent="0.25">
      <c r="A131" t="s">
        <v>5</v>
      </c>
      <c r="B131" s="5" t="s">
        <v>41</v>
      </c>
      <c r="C131" s="5" t="s">
        <v>50</v>
      </c>
      <c r="D131" s="5">
        <v>304</v>
      </c>
    </row>
    <row r="132" spans="1:4" hidden="1" x14ac:dyDescent="0.25">
      <c r="A132" t="s">
        <v>51</v>
      </c>
      <c r="B132" s="5" t="s">
        <v>41</v>
      </c>
      <c r="C132" s="5" t="s">
        <v>50</v>
      </c>
      <c r="D132" s="5">
        <v>1654</v>
      </c>
    </row>
    <row r="133" spans="1:4" hidden="1" x14ac:dyDescent="0.25">
      <c r="A133" t="s">
        <v>8</v>
      </c>
      <c r="B133" s="5" t="s">
        <v>41</v>
      </c>
      <c r="C133" s="5" t="s">
        <v>50</v>
      </c>
      <c r="D133" s="5">
        <v>197</v>
      </c>
    </row>
    <row r="134" spans="1:4" hidden="1" x14ac:dyDescent="0.25">
      <c r="A134" t="s">
        <v>9</v>
      </c>
      <c r="B134" s="5" t="s">
        <v>41</v>
      </c>
      <c r="C134" s="5" t="s">
        <v>50</v>
      </c>
      <c r="D134" s="5">
        <v>235</v>
      </c>
    </row>
    <row r="135" spans="1:4" hidden="1" x14ac:dyDescent="0.25">
      <c r="A135" t="s">
        <v>52</v>
      </c>
      <c r="B135" s="5" t="s">
        <v>41</v>
      </c>
      <c r="C135" s="5" t="s">
        <v>50</v>
      </c>
      <c r="D135" s="5">
        <v>319</v>
      </c>
    </row>
    <row r="136" spans="1:4" hidden="1" x14ac:dyDescent="0.25">
      <c r="A136" t="s">
        <v>14</v>
      </c>
      <c r="B136" s="5" t="s">
        <v>41</v>
      </c>
      <c r="C136" s="5" t="s">
        <v>50</v>
      </c>
      <c r="D136" s="5">
        <v>401</v>
      </c>
    </row>
    <row r="137" spans="1:4" hidden="1" x14ac:dyDescent="0.25">
      <c r="A137" t="s">
        <v>10</v>
      </c>
      <c r="B137" s="5" t="s">
        <v>41</v>
      </c>
      <c r="C137" s="5" t="s">
        <v>50</v>
      </c>
      <c r="D137" s="5">
        <v>1209</v>
      </c>
    </row>
    <row r="138" spans="1:4" hidden="1" x14ac:dyDescent="0.25">
      <c r="A138" t="s">
        <v>11</v>
      </c>
      <c r="B138" s="5" t="s">
        <v>41</v>
      </c>
      <c r="C138" s="5" t="s">
        <v>50</v>
      </c>
      <c r="D138" s="5">
        <v>870</v>
      </c>
    </row>
    <row r="139" spans="1:4" hidden="1" x14ac:dyDescent="0.25">
      <c r="A139" t="s">
        <v>12</v>
      </c>
      <c r="B139" s="5" t="s">
        <v>41</v>
      </c>
      <c r="C139" s="5" t="s">
        <v>50</v>
      </c>
      <c r="D139" s="5">
        <v>10590</v>
      </c>
    </row>
    <row r="140" spans="1:4" hidden="1" x14ac:dyDescent="0.25">
      <c r="A140" t="s">
        <v>15</v>
      </c>
      <c r="B140" s="5" t="s">
        <v>41</v>
      </c>
      <c r="C140" s="5" t="s">
        <v>50</v>
      </c>
      <c r="D140" s="5">
        <v>205</v>
      </c>
    </row>
    <row r="141" spans="1:4" hidden="1" x14ac:dyDescent="0.25">
      <c r="A141" t="s">
        <v>16</v>
      </c>
      <c r="B141" s="5" t="s">
        <v>41</v>
      </c>
      <c r="C141" s="5" t="s">
        <v>50</v>
      </c>
      <c r="D141" s="5">
        <v>1620</v>
      </c>
    </row>
    <row r="142" spans="1:4" hidden="1" x14ac:dyDescent="0.25">
      <c r="A142" t="s">
        <v>17</v>
      </c>
      <c r="B142" s="5" t="s">
        <v>41</v>
      </c>
      <c r="C142" s="5" t="s">
        <v>50</v>
      </c>
      <c r="D142" s="5">
        <v>200</v>
      </c>
    </row>
    <row r="143" spans="1:4" hidden="1" x14ac:dyDescent="0.25">
      <c r="A143" t="s">
        <v>18</v>
      </c>
      <c r="B143" s="5" t="s">
        <v>41</v>
      </c>
      <c r="C143" s="5" t="s">
        <v>50</v>
      </c>
      <c r="D143" s="5">
        <v>866</v>
      </c>
    </row>
    <row r="144" spans="1:4" hidden="1" x14ac:dyDescent="0.25">
      <c r="A144" t="s">
        <v>19</v>
      </c>
      <c r="B144" s="5" t="s">
        <v>41</v>
      </c>
      <c r="C144" s="5" t="s">
        <v>50</v>
      </c>
      <c r="D144" s="5">
        <v>2033</v>
      </c>
    </row>
    <row r="145" spans="1:4" hidden="1" x14ac:dyDescent="0.25">
      <c r="A145" t="s">
        <v>53</v>
      </c>
      <c r="B145" s="5" t="s">
        <v>41</v>
      </c>
      <c r="C145" s="5" t="s">
        <v>50</v>
      </c>
      <c r="D145" s="5">
        <v>7409</v>
      </c>
    </row>
    <row r="146" spans="1:4" hidden="1" x14ac:dyDescent="0.25">
      <c r="A146" t="s">
        <v>21</v>
      </c>
      <c r="B146" s="5" t="s">
        <v>41</v>
      </c>
      <c r="C146" s="5" t="s">
        <v>50</v>
      </c>
      <c r="D146" s="5">
        <v>1296</v>
      </c>
    </row>
    <row r="147" spans="1:4" hidden="1" x14ac:dyDescent="0.25">
      <c r="A147" t="s">
        <v>22</v>
      </c>
      <c r="B147" s="5" t="s">
        <v>41</v>
      </c>
      <c r="C147" s="5" t="s">
        <v>50</v>
      </c>
      <c r="D147" s="5">
        <v>705</v>
      </c>
    </row>
    <row r="148" spans="1:4" hidden="1" x14ac:dyDescent="0.25">
      <c r="A148" t="s">
        <v>23</v>
      </c>
      <c r="B148" s="5" t="s">
        <v>41</v>
      </c>
      <c r="C148" s="5" t="s">
        <v>50</v>
      </c>
      <c r="D148" s="5">
        <v>242</v>
      </c>
    </row>
    <row r="149" spans="1:4" hidden="1" x14ac:dyDescent="0.25">
      <c r="A149" t="s">
        <v>54</v>
      </c>
      <c r="B149" s="5" t="s">
        <v>41</v>
      </c>
      <c r="C149" s="5" t="s">
        <v>50</v>
      </c>
      <c r="D149" s="5">
        <v>1976</v>
      </c>
    </row>
    <row r="150" spans="1:4" hidden="1" x14ac:dyDescent="0.25">
      <c r="A150" t="s">
        <v>25</v>
      </c>
      <c r="B150" s="5" t="s">
        <v>41</v>
      </c>
      <c r="C150" s="5" t="s">
        <v>50</v>
      </c>
      <c r="D150" s="5">
        <v>1022</v>
      </c>
    </row>
    <row r="151" spans="1:4" hidden="1" x14ac:dyDescent="0.25">
      <c r="A151" t="s">
        <v>26</v>
      </c>
      <c r="B151" s="5" t="s">
        <v>41</v>
      </c>
      <c r="C151" s="5" t="s">
        <v>50</v>
      </c>
      <c r="D151" s="5">
        <v>1113</v>
      </c>
    </row>
    <row r="152" spans="1:4" hidden="1" x14ac:dyDescent="0.25">
      <c r="A152" t="s">
        <v>27</v>
      </c>
      <c r="B152" s="5" t="s">
        <v>41</v>
      </c>
      <c r="C152" s="5" t="s">
        <v>50</v>
      </c>
      <c r="D152" s="5">
        <v>1170</v>
      </c>
    </row>
    <row r="153" spans="1:4" hidden="1" x14ac:dyDescent="0.25">
      <c r="A153" t="s">
        <v>28</v>
      </c>
      <c r="B153" s="5" t="s">
        <v>41</v>
      </c>
      <c r="C153" s="5" t="s">
        <v>50</v>
      </c>
      <c r="D153" s="5">
        <v>770</v>
      </c>
    </row>
    <row r="154" spans="1:4" hidden="1" x14ac:dyDescent="0.25">
      <c r="A154" t="s">
        <v>29</v>
      </c>
      <c r="B154" s="5" t="s">
        <v>41</v>
      </c>
      <c r="C154" s="5" t="s">
        <v>50</v>
      </c>
      <c r="D154" s="5">
        <v>70</v>
      </c>
    </row>
    <row r="155" spans="1:4" hidden="1" x14ac:dyDescent="0.25">
      <c r="A155" t="s">
        <v>30</v>
      </c>
      <c r="B155" s="5" t="s">
        <v>41</v>
      </c>
      <c r="C155" s="5" t="s">
        <v>50</v>
      </c>
      <c r="D155" s="5">
        <v>473</v>
      </c>
    </row>
    <row r="156" spans="1:4" hidden="1" x14ac:dyDescent="0.25">
      <c r="A156" t="s">
        <v>31</v>
      </c>
      <c r="B156" s="5" t="s">
        <v>41</v>
      </c>
      <c r="C156" s="5" t="s">
        <v>50</v>
      </c>
      <c r="D156" s="5">
        <v>904</v>
      </c>
    </row>
    <row r="157" spans="1:4" hidden="1" x14ac:dyDescent="0.25">
      <c r="A157" t="s">
        <v>32</v>
      </c>
      <c r="B157" s="5" t="s">
        <v>41</v>
      </c>
      <c r="C157" s="5" t="s">
        <v>50</v>
      </c>
      <c r="D157" s="5">
        <v>527</v>
      </c>
    </row>
    <row r="158" spans="1:4" hidden="1" x14ac:dyDescent="0.25">
      <c r="A158" t="s">
        <v>33</v>
      </c>
      <c r="B158" s="5" t="s">
        <v>41</v>
      </c>
      <c r="C158" s="5" t="s">
        <v>50</v>
      </c>
      <c r="D158" s="5">
        <v>442</v>
      </c>
    </row>
    <row r="159" spans="1:4" hidden="1" x14ac:dyDescent="0.25">
      <c r="A159" t="s">
        <v>34</v>
      </c>
      <c r="B159" s="5" t="s">
        <v>41</v>
      </c>
      <c r="C159" s="5" t="s">
        <v>50</v>
      </c>
      <c r="D159" s="5">
        <v>554</v>
      </c>
    </row>
    <row r="160" spans="1:4" hidden="1" x14ac:dyDescent="0.25">
      <c r="A160" t="s">
        <v>35</v>
      </c>
      <c r="B160" s="5" t="s">
        <v>41</v>
      </c>
      <c r="C160" s="5" t="s">
        <v>50</v>
      </c>
      <c r="D160" s="5">
        <v>234</v>
      </c>
    </row>
    <row r="161" spans="1:4" hidden="1" x14ac:dyDescent="0.25">
      <c r="A161" t="s">
        <v>36</v>
      </c>
      <c r="B161" s="5" t="s">
        <v>41</v>
      </c>
      <c r="C161" s="5" t="s">
        <v>50</v>
      </c>
      <c r="D161" s="5">
        <v>164</v>
      </c>
    </row>
    <row r="162" spans="1:4" hidden="1" x14ac:dyDescent="0.25">
      <c r="A162" t="s">
        <v>37</v>
      </c>
      <c r="B162" s="5" t="s">
        <v>41</v>
      </c>
      <c r="C162" s="5" t="s">
        <v>50</v>
      </c>
      <c r="D162" s="5">
        <v>73</v>
      </c>
    </row>
    <row r="163" spans="1:4" hidden="1" x14ac:dyDescent="0.25">
      <c r="A163" t="s">
        <v>5</v>
      </c>
      <c r="B163" s="5" t="s">
        <v>42</v>
      </c>
      <c r="C163" s="5" t="s">
        <v>50</v>
      </c>
      <c r="D163" s="5">
        <v>299</v>
      </c>
    </row>
    <row r="164" spans="1:4" hidden="1" x14ac:dyDescent="0.25">
      <c r="A164" t="s">
        <v>51</v>
      </c>
      <c r="B164" s="5" t="s">
        <v>42</v>
      </c>
      <c r="C164" s="5" t="s">
        <v>50</v>
      </c>
      <c r="D164" s="5">
        <v>1547</v>
      </c>
    </row>
    <row r="165" spans="1:4" hidden="1" x14ac:dyDescent="0.25">
      <c r="A165" t="s">
        <v>8</v>
      </c>
      <c r="B165" s="5" t="s">
        <v>42</v>
      </c>
      <c r="C165" s="5" t="s">
        <v>50</v>
      </c>
      <c r="D165" s="5">
        <v>158</v>
      </c>
    </row>
    <row r="166" spans="1:4" hidden="1" x14ac:dyDescent="0.25">
      <c r="A166" t="s">
        <v>9</v>
      </c>
      <c r="B166" s="5" t="s">
        <v>42</v>
      </c>
      <c r="C166" s="5" t="s">
        <v>50</v>
      </c>
      <c r="D166" s="5">
        <v>104</v>
      </c>
    </row>
    <row r="167" spans="1:4" hidden="1" x14ac:dyDescent="0.25">
      <c r="A167" t="s">
        <v>52</v>
      </c>
      <c r="B167" s="5" t="s">
        <v>42</v>
      </c>
      <c r="C167" s="5" t="s">
        <v>50</v>
      </c>
      <c r="D167" s="5">
        <v>361</v>
      </c>
    </row>
    <row r="168" spans="1:4" hidden="1" x14ac:dyDescent="0.25">
      <c r="A168" t="s">
        <v>14</v>
      </c>
      <c r="B168" s="5" t="s">
        <v>42</v>
      </c>
      <c r="C168" s="5" t="s">
        <v>50</v>
      </c>
      <c r="D168" s="5">
        <v>391</v>
      </c>
    </row>
    <row r="169" spans="1:4" hidden="1" x14ac:dyDescent="0.25">
      <c r="A169" t="s">
        <v>10</v>
      </c>
      <c r="B169" s="5" t="s">
        <v>42</v>
      </c>
      <c r="C169" s="5" t="s">
        <v>50</v>
      </c>
      <c r="D169" s="5">
        <v>1270</v>
      </c>
    </row>
    <row r="170" spans="1:4" hidden="1" x14ac:dyDescent="0.25">
      <c r="A170" t="s">
        <v>11</v>
      </c>
      <c r="B170" s="5" t="s">
        <v>42</v>
      </c>
      <c r="C170" s="5" t="s">
        <v>50</v>
      </c>
      <c r="D170" s="5">
        <v>736</v>
      </c>
    </row>
    <row r="171" spans="1:4" hidden="1" x14ac:dyDescent="0.25">
      <c r="A171" t="s">
        <v>12</v>
      </c>
      <c r="B171" s="5" t="s">
        <v>42</v>
      </c>
      <c r="C171" s="5" t="s">
        <v>50</v>
      </c>
      <c r="D171" s="5">
        <v>10159</v>
      </c>
    </row>
    <row r="172" spans="1:4" hidden="1" x14ac:dyDescent="0.25">
      <c r="A172" t="s">
        <v>15</v>
      </c>
      <c r="B172" s="5" t="s">
        <v>42</v>
      </c>
      <c r="C172" s="5" t="s">
        <v>50</v>
      </c>
      <c r="D172" s="5">
        <v>210</v>
      </c>
    </row>
    <row r="173" spans="1:4" hidden="1" x14ac:dyDescent="0.25">
      <c r="A173" t="s">
        <v>16</v>
      </c>
      <c r="B173" s="5" t="s">
        <v>42</v>
      </c>
      <c r="C173" s="5" t="s">
        <v>50</v>
      </c>
      <c r="D173" s="5">
        <v>994</v>
      </c>
    </row>
    <row r="174" spans="1:4" hidden="1" x14ac:dyDescent="0.25">
      <c r="A174" t="s">
        <v>17</v>
      </c>
      <c r="B174" s="5" t="s">
        <v>42</v>
      </c>
      <c r="C174" s="5" t="s">
        <v>50</v>
      </c>
      <c r="D174" s="5">
        <v>180</v>
      </c>
    </row>
    <row r="175" spans="1:4" hidden="1" x14ac:dyDescent="0.25">
      <c r="A175" t="s">
        <v>18</v>
      </c>
      <c r="B175" s="5" t="s">
        <v>42</v>
      </c>
      <c r="C175" s="5" t="s">
        <v>50</v>
      </c>
      <c r="D175" s="5">
        <v>765</v>
      </c>
    </row>
    <row r="176" spans="1:4" hidden="1" x14ac:dyDescent="0.25">
      <c r="A176" t="s">
        <v>19</v>
      </c>
      <c r="B176" s="5" t="s">
        <v>42</v>
      </c>
      <c r="C176" s="5" t="s">
        <v>50</v>
      </c>
      <c r="D176" s="5">
        <v>1682</v>
      </c>
    </row>
    <row r="177" spans="1:4" hidden="1" x14ac:dyDescent="0.25">
      <c r="A177" t="s">
        <v>53</v>
      </c>
      <c r="B177" s="5" t="s">
        <v>42</v>
      </c>
      <c r="C177" s="5" t="s">
        <v>50</v>
      </c>
      <c r="D177" s="5">
        <v>5875</v>
      </c>
    </row>
    <row r="178" spans="1:4" hidden="1" x14ac:dyDescent="0.25">
      <c r="A178" t="s">
        <v>21</v>
      </c>
      <c r="B178" s="5" t="s">
        <v>42</v>
      </c>
      <c r="C178" s="5" t="s">
        <v>50</v>
      </c>
      <c r="D178" s="5">
        <v>1411</v>
      </c>
    </row>
    <row r="179" spans="1:4" hidden="1" x14ac:dyDescent="0.25">
      <c r="A179" t="s">
        <v>22</v>
      </c>
      <c r="B179" s="5" t="s">
        <v>42</v>
      </c>
      <c r="C179" s="5" t="s">
        <v>50</v>
      </c>
      <c r="D179" s="5">
        <v>660</v>
      </c>
    </row>
    <row r="180" spans="1:4" hidden="1" x14ac:dyDescent="0.25">
      <c r="A180" t="s">
        <v>23</v>
      </c>
      <c r="B180" s="5" t="s">
        <v>42</v>
      </c>
      <c r="C180" s="5" t="s">
        <v>50</v>
      </c>
      <c r="D180" s="5">
        <v>223</v>
      </c>
    </row>
    <row r="181" spans="1:4" hidden="1" x14ac:dyDescent="0.25">
      <c r="A181" t="s">
        <v>54</v>
      </c>
      <c r="B181" s="5" t="s">
        <v>42</v>
      </c>
      <c r="C181" s="5" t="s">
        <v>50</v>
      </c>
      <c r="D181" s="5">
        <v>1760</v>
      </c>
    </row>
    <row r="182" spans="1:4" hidden="1" x14ac:dyDescent="0.25">
      <c r="A182" t="s">
        <v>25</v>
      </c>
      <c r="B182" s="5" t="s">
        <v>42</v>
      </c>
      <c r="C182" s="5" t="s">
        <v>50</v>
      </c>
      <c r="D182" s="5">
        <v>889</v>
      </c>
    </row>
    <row r="183" spans="1:4" hidden="1" x14ac:dyDescent="0.25">
      <c r="A183" t="s">
        <v>26</v>
      </c>
      <c r="B183" s="5" t="s">
        <v>42</v>
      </c>
      <c r="C183" s="5" t="s">
        <v>50</v>
      </c>
      <c r="D183" s="5">
        <v>1115</v>
      </c>
    </row>
    <row r="184" spans="1:4" hidden="1" x14ac:dyDescent="0.25">
      <c r="A184" t="s">
        <v>27</v>
      </c>
      <c r="B184" s="5" t="s">
        <v>42</v>
      </c>
      <c r="C184" s="5" t="s">
        <v>50</v>
      </c>
      <c r="D184" s="5">
        <v>1442</v>
      </c>
    </row>
    <row r="185" spans="1:4" hidden="1" x14ac:dyDescent="0.25">
      <c r="A185" t="s">
        <v>28</v>
      </c>
      <c r="B185" s="5" t="s">
        <v>42</v>
      </c>
      <c r="C185" s="5" t="s">
        <v>50</v>
      </c>
      <c r="D185" s="5">
        <v>789</v>
      </c>
    </row>
    <row r="186" spans="1:4" hidden="1" x14ac:dyDescent="0.25">
      <c r="A186" t="s">
        <v>29</v>
      </c>
      <c r="B186" s="5" t="s">
        <v>42</v>
      </c>
      <c r="C186" s="5" t="s">
        <v>50</v>
      </c>
      <c r="D186" s="5">
        <v>58</v>
      </c>
    </row>
    <row r="187" spans="1:4" hidden="1" x14ac:dyDescent="0.25">
      <c r="A187" t="s">
        <v>30</v>
      </c>
      <c r="B187" s="5" t="s">
        <v>42</v>
      </c>
      <c r="C187" s="5" t="s">
        <v>50</v>
      </c>
      <c r="D187" s="5">
        <v>475</v>
      </c>
    </row>
    <row r="188" spans="1:4" hidden="1" x14ac:dyDescent="0.25">
      <c r="A188" t="s">
        <v>31</v>
      </c>
      <c r="B188" s="5" t="s">
        <v>42</v>
      </c>
      <c r="C188" s="5" t="s">
        <v>50</v>
      </c>
      <c r="D188" s="5">
        <v>834</v>
      </c>
    </row>
    <row r="189" spans="1:4" hidden="1" x14ac:dyDescent="0.25">
      <c r="A189" t="s">
        <v>32</v>
      </c>
      <c r="B189" s="5" t="s">
        <v>42</v>
      </c>
      <c r="C189" s="5" t="s">
        <v>50</v>
      </c>
      <c r="D189" s="5">
        <v>409</v>
      </c>
    </row>
    <row r="190" spans="1:4" hidden="1" x14ac:dyDescent="0.25">
      <c r="A190" t="s">
        <v>33</v>
      </c>
      <c r="B190" s="5" t="s">
        <v>42</v>
      </c>
      <c r="C190" s="5" t="s">
        <v>50</v>
      </c>
      <c r="D190" s="5">
        <v>441</v>
      </c>
    </row>
    <row r="191" spans="1:4" hidden="1" x14ac:dyDescent="0.25">
      <c r="A191" t="s">
        <v>34</v>
      </c>
      <c r="B191" s="5" t="s">
        <v>42</v>
      </c>
      <c r="C191" s="5" t="s">
        <v>50</v>
      </c>
      <c r="D191" s="5">
        <v>566</v>
      </c>
    </row>
    <row r="192" spans="1:4" hidden="1" x14ac:dyDescent="0.25">
      <c r="A192" t="s">
        <v>35</v>
      </c>
      <c r="B192" s="5" t="s">
        <v>42</v>
      </c>
      <c r="C192" s="5" t="s">
        <v>50</v>
      </c>
      <c r="D192" s="5">
        <v>205</v>
      </c>
    </row>
    <row r="193" spans="1:4" hidden="1" x14ac:dyDescent="0.25">
      <c r="A193" t="s">
        <v>36</v>
      </c>
      <c r="B193" s="5" t="s">
        <v>42</v>
      </c>
      <c r="C193" s="5" t="s">
        <v>50</v>
      </c>
      <c r="D193" s="5">
        <v>231</v>
      </c>
    </row>
    <row r="194" spans="1:4" hidden="1" x14ac:dyDescent="0.25">
      <c r="A194" t="s">
        <v>37</v>
      </c>
      <c r="B194" s="5" t="s">
        <v>42</v>
      </c>
      <c r="C194" s="5" t="s">
        <v>50</v>
      </c>
      <c r="D194" s="5">
        <v>95</v>
      </c>
    </row>
    <row r="195" spans="1:4" hidden="1" x14ac:dyDescent="0.25">
      <c r="A195" t="s">
        <v>5</v>
      </c>
      <c r="B195" s="5" t="s">
        <v>43</v>
      </c>
      <c r="C195" s="5" t="s">
        <v>50</v>
      </c>
      <c r="D195" s="5">
        <v>261</v>
      </c>
    </row>
    <row r="196" spans="1:4" hidden="1" x14ac:dyDescent="0.25">
      <c r="A196" t="s">
        <v>51</v>
      </c>
      <c r="B196" s="5" t="s">
        <v>43</v>
      </c>
      <c r="C196" s="5" t="s">
        <v>50</v>
      </c>
      <c r="D196" s="5">
        <v>1654</v>
      </c>
    </row>
    <row r="197" spans="1:4" hidden="1" x14ac:dyDescent="0.25">
      <c r="A197" t="s">
        <v>8</v>
      </c>
      <c r="B197" s="5" t="s">
        <v>43</v>
      </c>
      <c r="C197" s="5" t="s">
        <v>50</v>
      </c>
      <c r="D197" s="5">
        <v>129</v>
      </c>
    </row>
    <row r="198" spans="1:4" hidden="1" x14ac:dyDescent="0.25">
      <c r="A198" t="s">
        <v>9</v>
      </c>
      <c r="B198" s="5" t="s">
        <v>43</v>
      </c>
      <c r="C198" s="5" t="s">
        <v>50</v>
      </c>
      <c r="D198" s="5">
        <v>136</v>
      </c>
    </row>
    <row r="199" spans="1:4" hidden="1" x14ac:dyDescent="0.25">
      <c r="A199" t="s">
        <v>52</v>
      </c>
      <c r="B199" s="5" t="s">
        <v>43</v>
      </c>
      <c r="C199" s="5" t="s">
        <v>50</v>
      </c>
      <c r="D199" s="5">
        <v>373</v>
      </c>
    </row>
    <row r="200" spans="1:4" hidden="1" x14ac:dyDescent="0.25">
      <c r="A200" t="s">
        <v>14</v>
      </c>
      <c r="B200" s="5" t="s">
        <v>43</v>
      </c>
      <c r="C200" s="5" t="s">
        <v>50</v>
      </c>
      <c r="D200" s="5">
        <v>342</v>
      </c>
    </row>
    <row r="201" spans="1:4" hidden="1" x14ac:dyDescent="0.25">
      <c r="A201" t="s">
        <v>10</v>
      </c>
      <c r="B201" s="5" t="s">
        <v>43</v>
      </c>
      <c r="C201" s="5" t="s">
        <v>50</v>
      </c>
      <c r="D201" s="5">
        <v>1267</v>
      </c>
    </row>
    <row r="202" spans="1:4" hidden="1" x14ac:dyDescent="0.25">
      <c r="A202" t="s">
        <v>11</v>
      </c>
      <c r="B202" s="5" t="s">
        <v>43</v>
      </c>
      <c r="C202" s="5" t="s">
        <v>50</v>
      </c>
      <c r="D202" s="5">
        <v>765</v>
      </c>
    </row>
    <row r="203" spans="1:4" hidden="1" x14ac:dyDescent="0.25">
      <c r="A203" t="s">
        <v>12</v>
      </c>
      <c r="B203" s="5" t="s">
        <v>43</v>
      </c>
      <c r="C203" s="5" t="s">
        <v>50</v>
      </c>
      <c r="D203" s="5">
        <v>9574</v>
      </c>
    </row>
    <row r="204" spans="1:4" hidden="1" x14ac:dyDescent="0.25">
      <c r="A204" t="s">
        <v>15</v>
      </c>
      <c r="B204" s="5" t="s">
        <v>43</v>
      </c>
      <c r="C204" s="5" t="s">
        <v>50</v>
      </c>
      <c r="D204" s="5">
        <v>232</v>
      </c>
    </row>
    <row r="205" spans="1:4" hidden="1" x14ac:dyDescent="0.25">
      <c r="A205" t="s">
        <v>16</v>
      </c>
      <c r="B205" s="5" t="s">
        <v>43</v>
      </c>
      <c r="C205" s="5" t="s">
        <v>50</v>
      </c>
      <c r="D205" s="5">
        <v>1477</v>
      </c>
    </row>
    <row r="206" spans="1:4" hidden="1" x14ac:dyDescent="0.25">
      <c r="A206" t="s">
        <v>17</v>
      </c>
      <c r="B206" s="5" t="s">
        <v>43</v>
      </c>
      <c r="C206" s="5" t="s">
        <v>50</v>
      </c>
      <c r="D206" s="5">
        <v>198</v>
      </c>
    </row>
    <row r="207" spans="1:4" hidden="1" x14ac:dyDescent="0.25">
      <c r="A207" t="s">
        <v>18</v>
      </c>
      <c r="B207" s="5" t="s">
        <v>43</v>
      </c>
      <c r="C207" s="5" t="s">
        <v>50</v>
      </c>
      <c r="D207" s="5">
        <v>842</v>
      </c>
    </row>
    <row r="208" spans="1:4" hidden="1" x14ac:dyDescent="0.25">
      <c r="A208" t="s">
        <v>19</v>
      </c>
      <c r="B208" s="5" t="s">
        <v>43</v>
      </c>
      <c r="C208" s="5" t="s">
        <v>50</v>
      </c>
      <c r="D208" s="5">
        <v>1712</v>
      </c>
    </row>
    <row r="209" spans="1:4" hidden="1" x14ac:dyDescent="0.25">
      <c r="A209" t="s">
        <v>53</v>
      </c>
      <c r="B209" s="5" t="s">
        <v>43</v>
      </c>
      <c r="C209" s="5" t="s">
        <v>50</v>
      </c>
      <c r="D209" s="5">
        <v>6956</v>
      </c>
    </row>
    <row r="210" spans="1:4" hidden="1" x14ac:dyDescent="0.25">
      <c r="A210" t="s">
        <v>21</v>
      </c>
      <c r="B210" s="5" t="s">
        <v>43</v>
      </c>
      <c r="C210" s="5" t="s">
        <v>50</v>
      </c>
      <c r="D210" s="5">
        <v>1641</v>
      </c>
    </row>
    <row r="211" spans="1:4" hidden="1" x14ac:dyDescent="0.25">
      <c r="A211" t="s">
        <v>22</v>
      </c>
      <c r="B211" s="5" t="s">
        <v>43</v>
      </c>
      <c r="C211" s="5" t="s">
        <v>50</v>
      </c>
      <c r="D211" s="5">
        <v>706</v>
      </c>
    </row>
    <row r="212" spans="1:4" hidden="1" x14ac:dyDescent="0.25">
      <c r="A212" t="s">
        <v>23</v>
      </c>
      <c r="B212" s="5" t="s">
        <v>43</v>
      </c>
      <c r="C212" s="5" t="s">
        <v>50</v>
      </c>
      <c r="D212" s="5">
        <v>231</v>
      </c>
    </row>
    <row r="213" spans="1:4" hidden="1" x14ac:dyDescent="0.25">
      <c r="A213" t="s">
        <v>54</v>
      </c>
      <c r="B213" s="5" t="s">
        <v>43</v>
      </c>
      <c r="C213" s="5" t="s">
        <v>50</v>
      </c>
      <c r="D213" s="5">
        <v>1789</v>
      </c>
    </row>
    <row r="214" spans="1:4" hidden="1" x14ac:dyDescent="0.25">
      <c r="A214" t="s">
        <v>25</v>
      </c>
      <c r="B214" s="5" t="s">
        <v>43</v>
      </c>
      <c r="C214" s="5" t="s">
        <v>50</v>
      </c>
      <c r="D214" s="5">
        <v>808</v>
      </c>
    </row>
    <row r="215" spans="1:4" hidden="1" x14ac:dyDescent="0.25">
      <c r="A215" t="s">
        <v>26</v>
      </c>
      <c r="B215" s="5" t="s">
        <v>43</v>
      </c>
      <c r="C215" s="5" t="s">
        <v>50</v>
      </c>
      <c r="D215" s="5">
        <v>1121</v>
      </c>
    </row>
    <row r="216" spans="1:4" hidden="1" x14ac:dyDescent="0.25">
      <c r="A216" t="s">
        <v>27</v>
      </c>
      <c r="B216" s="5" t="s">
        <v>43</v>
      </c>
      <c r="C216" s="5" t="s">
        <v>50</v>
      </c>
      <c r="D216" s="5">
        <v>1323</v>
      </c>
    </row>
    <row r="217" spans="1:4" hidden="1" x14ac:dyDescent="0.25">
      <c r="A217" t="s">
        <v>28</v>
      </c>
      <c r="B217" s="5" t="s">
        <v>43</v>
      </c>
      <c r="C217" s="5" t="s">
        <v>50</v>
      </c>
      <c r="D217" s="5">
        <v>753</v>
      </c>
    </row>
    <row r="218" spans="1:4" hidden="1" x14ac:dyDescent="0.25">
      <c r="A218" t="s">
        <v>29</v>
      </c>
      <c r="B218" s="5" t="s">
        <v>43</v>
      </c>
      <c r="C218" s="5" t="s">
        <v>50</v>
      </c>
      <c r="D218" s="5">
        <v>82</v>
      </c>
    </row>
    <row r="219" spans="1:4" hidden="1" x14ac:dyDescent="0.25">
      <c r="A219" t="s">
        <v>30</v>
      </c>
      <c r="B219" s="5" t="s">
        <v>43</v>
      </c>
      <c r="C219" s="5" t="s">
        <v>50</v>
      </c>
      <c r="D219" s="5">
        <v>555</v>
      </c>
    </row>
    <row r="220" spans="1:4" hidden="1" x14ac:dyDescent="0.25">
      <c r="A220" t="s">
        <v>31</v>
      </c>
      <c r="B220" s="5" t="s">
        <v>43</v>
      </c>
      <c r="C220" s="5" t="s">
        <v>50</v>
      </c>
      <c r="D220" s="5">
        <v>972</v>
      </c>
    </row>
    <row r="221" spans="1:4" hidden="1" x14ac:dyDescent="0.25">
      <c r="A221" t="s">
        <v>32</v>
      </c>
      <c r="B221" s="5" t="s">
        <v>43</v>
      </c>
      <c r="C221" s="5" t="s">
        <v>50</v>
      </c>
      <c r="D221" s="5">
        <v>428</v>
      </c>
    </row>
    <row r="222" spans="1:4" hidden="1" x14ac:dyDescent="0.25">
      <c r="A222" t="s">
        <v>33</v>
      </c>
      <c r="B222" s="5" t="s">
        <v>43</v>
      </c>
      <c r="C222" s="5" t="s">
        <v>50</v>
      </c>
      <c r="D222" s="5">
        <v>455</v>
      </c>
    </row>
    <row r="223" spans="1:4" hidden="1" x14ac:dyDescent="0.25">
      <c r="A223" t="s">
        <v>34</v>
      </c>
      <c r="B223" s="5" t="s">
        <v>43</v>
      </c>
      <c r="C223" s="5" t="s">
        <v>50</v>
      </c>
      <c r="D223" s="5">
        <v>582</v>
      </c>
    </row>
    <row r="224" spans="1:4" hidden="1" x14ac:dyDescent="0.25">
      <c r="A224" t="s">
        <v>35</v>
      </c>
      <c r="B224" s="5" t="s">
        <v>43</v>
      </c>
      <c r="C224" s="5" t="s">
        <v>50</v>
      </c>
      <c r="D224" s="5">
        <v>221</v>
      </c>
    </row>
    <row r="225" spans="1:4" hidden="1" x14ac:dyDescent="0.25">
      <c r="A225" t="s">
        <v>36</v>
      </c>
      <c r="B225" s="5" t="s">
        <v>43</v>
      </c>
      <c r="C225" s="5" t="s">
        <v>50</v>
      </c>
      <c r="D225" s="5">
        <v>212</v>
      </c>
    </row>
    <row r="226" spans="1:4" hidden="1" x14ac:dyDescent="0.25">
      <c r="A226" t="s">
        <v>37</v>
      </c>
      <c r="B226" s="5" t="s">
        <v>43</v>
      </c>
      <c r="C226" s="5" t="s">
        <v>50</v>
      </c>
      <c r="D226" s="5">
        <v>105</v>
      </c>
    </row>
    <row r="227" spans="1:4" hidden="1" x14ac:dyDescent="0.25">
      <c r="A227" t="s">
        <v>5</v>
      </c>
      <c r="B227" s="5" t="s">
        <v>44</v>
      </c>
      <c r="C227" s="5" t="s">
        <v>50</v>
      </c>
    </row>
    <row r="228" spans="1:4" hidden="1" x14ac:dyDescent="0.25">
      <c r="A228" t="s">
        <v>51</v>
      </c>
      <c r="B228" s="5" t="s">
        <v>44</v>
      </c>
      <c r="C228" s="5" t="s">
        <v>50</v>
      </c>
    </row>
    <row r="229" spans="1:4" hidden="1" x14ac:dyDescent="0.25">
      <c r="A229" t="s">
        <v>8</v>
      </c>
      <c r="B229" s="5" t="s">
        <v>44</v>
      </c>
      <c r="C229" s="5" t="s">
        <v>50</v>
      </c>
    </row>
    <row r="230" spans="1:4" hidden="1" x14ac:dyDescent="0.25">
      <c r="A230" t="s">
        <v>9</v>
      </c>
      <c r="B230" s="5" t="s">
        <v>44</v>
      </c>
      <c r="C230" s="5" t="s">
        <v>50</v>
      </c>
    </row>
    <row r="231" spans="1:4" hidden="1" x14ac:dyDescent="0.25">
      <c r="A231" t="s">
        <v>52</v>
      </c>
      <c r="B231" s="5" t="s">
        <v>44</v>
      </c>
      <c r="C231" s="5" t="s">
        <v>50</v>
      </c>
    </row>
    <row r="232" spans="1:4" hidden="1" x14ac:dyDescent="0.25">
      <c r="A232" t="s">
        <v>14</v>
      </c>
      <c r="B232" s="5" t="s">
        <v>44</v>
      </c>
      <c r="C232" s="5" t="s">
        <v>50</v>
      </c>
    </row>
    <row r="233" spans="1:4" hidden="1" x14ac:dyDescent="0.25">
      <c r="A233" t="s">
        <v>10</v>
      </c>
      <c r="B233" s="5" t="s">
        <v>44</v>
      </c>
      <c r="C233" s="5" t="s">
        <v>50</v>
      </c>
    </row>
    <row r="234" spans="1:4" hidden="1" x14ac:dyDescent="0.25">
      <c r="A234" t="s">
        <v>11</v>
      </c>
      <c r="B234" s="5" t="s">
        <v>44</v>
      </c>
      <c r="C234" s="5" t="s">
        <v>50</v>
      </c>
    </row>
    <row r="235" spans="1:4" hidden="1" x14ac:dyDescent="0.25">
      <c r="A235" t="s">
        <v>12</v>
      </c>
      <c r="B235" s="5" t="s">
        <v>44</v>
      </c>
      <c r="C235" s="5" t="s">
        <v>50</v>
      </c>
    </row>
    <row r="236" spans="1:4" hidden="1" x14ac:dyDescent="0.25">
      <c r="A236" t="s">
        <v>15</v>
      </c>
      <c r="B236" s="5" t="s">
        <v>44</v>
      </c>
      <c r="C236" s="5" t="s">
        <v>50</v>
      </c>
    </row>
    <row r="237" spans="1:4" hidden="1" x14ac:dyDescent="0.25">
      <c r="A237" t="s">
        <v>16</v>
      </c>
      <c r="B237" s="5" t="s">
        <v>44</v>
      </c>
      <c r="C237" s="5" t="s">
        <v>50</v>
      </c>
    </row>
    <row r="238" spans="1:4" hidden="1" x14ac:dyDescent="0.25">
      <c r="A238" t="s">
        <v>17</v>
      </c>
      <c r="B238" s="5" t="s">
        <v>44</v>
      </c>
      <c r="C238" s="5" t="s">
        <v>50</v>
      </c>
    </row>
    <row r="239" spans="1:4" hidden="1" x14ac:dyDescent="0.25">
      <c r="A239" t="s">
        <v>18</v>
      </c>
      <c r="B239" s="5" t="s">
        <v>44</v>
      </c>
      <c r="C239" s="5" t="s">
        <v>50</v>
      </c>
    </row>
    <row r="240" spans="1:4" hidden="1" x14ac:dyDescent="0.25">
      <c r="A240" t="s">
        <v>19</v>
      </c>
      <c r="B240" s="5" t="s">
        <v>44</v>
      </c>
      <c r="C240" s="5" t="s">
        <v>50</v>
      </c>
    </row>
    <row r="241" spans="1:3" hidden="1" x14ac:dyDescent="0.25">
      <c r="A241" t="s">
        <v>53</v>
      </c>
      <c r="B241" s="5" t="s">
        <v>44</v>
      </c>
      <c r="C241" s="5" t="s">
        <v>50</v>
      </c>
    </row>
    <row r="242" spans="1:3" hidden="1" x14ac:dyDescent="0.25">
      <c r="A242" t="s">
        <v>21</v>
      </c>
      <c r="B242" s="5" t="s">
        <v>44</v>
      </c>
      <c r="C242" s="5" t="s">
        <v>50</v>
      </c>
    </row>
    <row r="243" spans="1:3" hidden="1" x14ac:dyDescent="0.25">
      <c r="A243" t="s">
        <v>22</v>
      </c>
      <c r="B243" s="5" t="s">
        <v>44</v>
      </c>
      <c r="C243" s="5" t="s">
        <v>50</v>
      </c>
    </row>
    <row r="244" spans="1:3" hidden="1" x14ac:dyDescent="0.25">
      <c r="A244" t="s">
        <v>23</v>
      </c>
      <c r="B244" s="5" t="s">
        <v>44</v>
      </c>
      <c r="C244" s="5" t="s">
        <v>50</v>
      </c>
    </row>
    <row r="245" spans="1:3" hidden="1" x14ac:dyDescent="0.25">
      <c r="A245" t="s">
        <v>54</v>
      </c>
      <c r="B245" s="5" t="s">
        <v>44</v>
      </c>
      <c r="C245" s="5" t="s">
        <v>50</v>
      </c>
    </row>
    <row r="246" spans="1:3" hidden="1" x14ac:dyDescent="0.25">
      <c r="A246" t="s">
        <v>25</v>
      </c>
      <c r="B246" s="5" t="s">
        <v>44</v>
      </c>
      <c r="C246" s="5" t="s">
        <v>50</v>
      </c>
    </row>
    <row r="247" spans="1:3" hidden="1" x14ac:dyDescent="0.25">
      <c r="A247" t="s">
        <v>26</v>
      </c>
      <c r="B247" s="5" t="s">
        <v>44</v>
      </c>
      <c r="C247" s="5" t="s">
        <v>50</v>
      </c>
    </row>
    <row r="248" spans="1:3" hidden="1" x14ac:dyDescent="0.25">
      <c r="A248" t="s">
        <v>27</v>
      </c>
      <c r="B248" s="5" t="s">
        <v>44</v>
      </c>
      <c r="C248" s="5" t="s">
        <v>50</v>
      </c>
    </row>
    <row r="249" spans="1:3" hidden="1" x14ac:dyDescent="0.25">
      <c r="A249" t="s">
        <v>28</v>
      </c>
      <c r="B249" s="5" t="s">
        <v>44</v>
      </c>
      <c r="C249" s="5" t="s">
        <v>50</v>
      </c>
    </row>
    <row r="250" spans="1:3" hidden="1" x14ac:dyDescent="0.25">
      <c r="A250" t="s">
        <v>29</v>
      </c>
      <c r="B250" s="5" t="s">
        <v>44</v>
      </c>
      <c r="C250" s="5" t="s">
        <v>50</v>
      </c>
    </row>
    <row r="251" spans="1:3" hidden="1" x14ac:dyDescent="0.25">
      <c r="A251" t="s">
        <v>30</v>
      </c>
      <c r="B251" s="5" t="s">
        <v>44</v>
      </c>
      <c r="C251" s="5" t="s">
        <v>50</v>
      </c>
    </row>
    <row r="252" spans="1:3" hidden="1" x14ac:dyDescent="0.25">
      <c r="A252" t="s">
        <v>31</v>
      </c>
      <c r="B252" s="5" t="s">
        <v>44</v>
      </c>
      <c r="C252" s="5" t="s">
        <v>50</v>
      </c>
    </row>
    <row r="253" spans="1:3" hidden="1" x14ac:dyDescent="0.25">
      <c r="A253" t="s">
        <v>32</v>
      </c>
      <c r="B253" s="5" t="s">
        <v>44</v>
      </c>
      <c r="C253" s="5" t="s">
        <v>50</v>
      </c>
    </row>
    <row r="254" spans="1:3" hidden="1" x14ac:dyDescent="0.25">
      <c r="A254" t="s">
        <v>33</v>
      </c>
      <c r="B254" s="5" t="s">
        <v>44</v>
      </c>
      <c r="C254" s="5" t="s">
        <v>50</v>
      </c>
    </row>
    <row r="255" spans="1:3" hidden="1" x14ac:dyDescent="0.25">
      <c r="A255" t="s">
        <v>34</v>
      </c>
      <c r="B255" s="5" t="s">
        <v>44</v>
      </c>
      <c r="C255" s="5" t="s">
        <v>50</v>
      </c>
    </row>
    <row r="256" spans="1:3" hidden="1" x14ac:dyDescent="0.25">
      <c r="A256" t="s">
        <v>35</v>
      </c>
      <c r="B256" s="5" t="s">
        <v>44</v>
      </c>
      <c r="C256" s="5" t="s">
        <v>50</v>
      </c>
    </row>
    <row r="257" spans="1:3" hidden="1" x14ac:dyDescent="0.25">
      <c r="A257" t="s">
        <v>36</v>
      </c>
      <c r="B257" s="5" t="s">
        <v>44</v>
      </c>
      <c r="C257" s="5" t="s">
        <v>50</v>
      </c>
    </row>
    <row r="258" spans="1:3" hidden="1" x14ac:dyDescent="0.25">
      <c r="A258" t="s">
        <v>37</v>
      </c>
      <c r="B258" s="5" t="s">
        <v>44</v>
      </c>
      <c r="C258" s="5" t="s">
        <v>50</v>
      </c>
    </row>
    <row r="259" spans="1:3" hidden="1" x14ac:dyDescent="0.25">
      <c r="A259" t="s">
        <v>5</v>
      </c>
      <c r="B259" s="5" t="s">
        <v>45</v>
      </c>
      <c r="C259" s="5" t="s">
        <v>50</v>
      </c>
    </row>
    <row r="260" spans="1:3" hidden="1" x14ac:dyDescent="0.25">
      <c r="A260" t="s">
        <v>51</v>
      </c>
      <c r="B260" s="5" t="s">
        <v>45</v>
      </c>
      <c r="C260" s="5" t="s">
        <v>50</v>
      </c>
    </row>
    <row r="261" spans="1:3" hidden="1" x14ac:dyDescent="0.25">
      <c r="A261" t="s">
        <v>8</v>
      </c>
      <c r="B261" s="5" t="s">
        <v>45</v>
      </c>
      <c r="C261" s="5" t="s">
        <v>50</v>
      </c>
    </row>
    <row r="262" spans="1:3" hidden="1" x14ac:dyDescent="0.25">
      <c r="A262" t="s">
        <v>9</v>
      </c>
      <c r="B262" s="5" t="s">
        <v>45</v>
      </c>
      <c r="C262" s="5" t="s">
        <v>50</v>
      </c>
    </row>
    <row r="263" spans="1:3" hidden="1" x14ac:dyDescent="0.25">
      <c r="A263" t="s">
        <v>52</v>
      </c>
      <c r="B263" s="5" t="s">
        <v>45</v>
      </c>
      <c r="C263" s="5" t="s">
        <v>50</v>
      </c>
    </row>
    <row r="264" spans="1:3" hidden="1" x14ac:dyDescent="0.25">
      <c r="A264" t="s">
        <v>14</v>
      </c>
      <c r="B264" s="5" t="s">
        <v>45</v>
      </c>
      <c r="C264" s="5" t="s">
        <v>50</v>
      </c>
    </row>
    <row r="265" spans="1:3" hidden="1" x14ac:dyDescent="0.25">
      <c r="A265" t="s">
        <v>10</v>
      </c>
      <c r="B265" s="5" t="s">
        <v>45</v>
      </c>
      <c r="C265" s="5" t="s">
        <v>50</v>
      </c>
    </row>
    <row r="266" spans="1:3" hidden="1" x14ac:dyDescent="0.25">
      <c r="A266" t="s">
        <v>11</v>
      </c>
      <c r="B266" s="5" t="s">
        <v>45</v>
      </c>
      <c r="C266" s="5" t="s">
        <v>50</v>
      </c>
    </row>
    <row r="267" spans="1:3" hidden="1" x14ac:dyDescent="0.25">
      <c r="A267" t="s">
        <v>12</v>
      </c>
      <c r="B267" s="5" t="s">
        <v>45</v>
      </c>
      <c r="C267" s="5" t="s">
        <v>50</v>
      </c>
    </row>
    <row r="268" spans="1:3" hidden="1" x14ac:dyDescent="0.25">
      <c r="A268" t="s">
        <v>15</v>
      </c>
      <c r="B268" s="5" t="s">
        <v>45</v>
      </c>
      <c r="C268" s="5" t="s">
        <v>50</v>
      </c>
    </row>
    <row r="269" spans="1:3" hidden="1" x14ac:dyDescent="0.25">
      <c r="A269" t="s">
        <v>16</v>
      </c>
      <c r="B269" s="5" t="s">
        <v>45</v>
      </c>
      <c r="C269" s="5" t="s">
        <v>50</v>
      </c>
    </row>
    <row r="270" spans="1:3" hidden="1" x14ac:dyDescent="0.25">
      <c r="A270" t="s">
        <v>17</v>
      </c>
      <c r="B270" s="5" t="s">
        <v>45</v>
      </c>
      <c r="C270" s="5" t="s">
        <v>50</v>
      </c>
    </row>
    <row r="271" spans="1:3" hidden="1" x14ac:dyDescent="0.25">
      <c r="A271" t="s">
        <v>18</v>
      </c>
      <c r="B271" s="5" t="s">
        <v>45</v>
      </c>
      <c r="C271" s="5" t="s">
        <v>50</v>
      </c>
    </row>
    <row r="272" spans="1:3" hidden="1" x14ac:dyDescent="0.25">
      <c r="A272" t="s">
        <v>19</v>
      </c>
      <c r="B272" s="5" t="s">
        <v>45</v>
      </c>
      <c r="C272" s="5" t="s">
        <v>50</v>
      </c>
    </row>
    <row r="273" spans="1:3" hidden="1" x14ac:dyDescent="0.25">
      <c r="A273" t="s">
        <v>53</v>
      </c>
      <c r="B273" s="5" t="s">
        <v>45</v>
      </c>
      <c r="C273" s="5" t="s">
        <v>50</v>
      </c>
    </row>
    <row r="274" spans="1:3" hidden="1" x14ac:dyDescent="0.25">
      <c r="A274" t="s">
        <v>21</v>
      </c>
      <c r="B274" s="5" t="s">
        <v>45</v>
      </c>
      <c r="C274" s="5" t="s">
        <v>50</v>
      </c>
    </row>
    <row r="275" spans="1:3" hidden="1" x14ac:dyDescent="0.25">
      <c r="A275" t="s">
        <v>22</v>
      </c>
      <c r="B275" s="5" t="s">
        <v>45</v>
      </c>
      <c r="C275" s="5" t="s">
        <v>50</v>
      </c>
    </row>
    <row r="276" spans="1:3" hidden="1" x14ac:dyDescent="0.25">
      <c r="A276" t="s">
        <v>23</v>
      </c>
      <c r="B276" s="5" t="s">
        <v>45</v>
      </c>
      <c r="C276" s="5" t="s">
        <v>50</v>
      </c>
    </row>
    <row r="277" spans="1:3" hidden="1" x14ac:dyDescent="0.25">
      <c r="A277" t="s">
        <v>54</v>
      </c>
      <c r="B277" s="5" t="s">
        <v>45</v>
      </c>
      <c r="C277" s="5" t="s">
        <v>50</v>
      </c>
    </row>
    <row r="278" spans="1:3" hidden="1" x14ac:dyDescent="0.25">
      <c r="A278" t="s">
        <v>25</v>
      </c>
      <c r="B278" s="5" t="s">
        <v>45</v>
      </c>
      <c r="C278" s="5" t="s">
        <v>50</v>
      </c>
    </row>
    <row r="279" spans="1:3" hidden="1" x14ac:dyDescent="0.25">
      <c r="A279" t="s">
        <v>26</v>
      </c>
      <c r="B279" s="5" t="s">
        <v>45</v>
      </c>
      <c r="C279" s="5" t="s">
        <v>50</v>
      </c>
    </row>
    <row r="280" spans="1:3" hidden="1" x14ac:dyDescent="0.25">
      <c r="A280" t="s">
        <v>27</v>
      </c>
      <c r="B280" s="5" t="s">
        <v>45</v>
      </c>
      <c r="C280" s="5" t="s">
        <v>50</v>
      </c>
    </row>
    <row r="281" spans="1:3" hidden="1" x14ac:dyDescent="0.25">
      <c r="A281" t="s">
        <v>28</v>
      </c>
      <c r="B281" s="5" t="s">
        <v>45</v>
      </c>
      <c r="C281" s="5" t="s">
        <v>50</v>
      </c>
    </row>
    <row r="282" spans="1:3" hidden="1" x14ac:dyDescent="0.25">
      <c r="A282" t="s">
        <v>29</v>
      </c>
      <c r="B282" s="5" t="s">
        <v>45</v>
      </c>
      <c r="C282" s="5" t="s">
        <v>50</v>
      </c>
    </row>
    <row r="283" spans="1:3" hidden="1" x14ac:dyDescent="0.25">
      <c r="A283" t="s">
        <v>30</v>
      </c>
      <c r="B283" s="5" t="s">
        <v>45</v>
      </c>
      <c r="C283" s="5" t="s">
        <v>50</v>
      </c>
    </row>
    <row r="284" spans="1:3" hidden="1" x14ac:dyDescent="0.25">
      <c r="A284" t="s">
        <v>31</v>
      </c>
      <c r="B284" s="5" t="s">
        <v>45</v>
      </c>
      <c r="C284" s="5" t="s">
        <v>50</v>
      </c>
    </row>
    <row r="285" spans="1:3" hidden="1" x14ac:dyDescent="0.25">
      <c r="A285" t="s">
        <v>32</v>
      </c>
      <c r="B285" s="5" t="s">
        <v>45</v>
      </c>
      <c r="C285" s="5" t="s">
        <v>50</v>
      </c>
    </row>
    <row r="286" spans="1:3" hidden="1" x14ac:dyDescent="0.25">
      <c r="A286" t="s">
        <v>33</v>
      </c>
      <c r="B286" s="5" t="s">
        <v>45</v>
      </c>
      <c r="C286" s="5" t="s">
        <v>50</v>
      </c>
    </row>
    <row r="287" spans="1:3" hidden="1" x14ac:dyDescent="0.25">
      <c r="A287" t="s">
        <v>34</v>
      </c>
      <c r="B287" s="5" t="s">
        <v>45</v>
      </c>
      <c r="C287" s="5" t="s">
        <v>50</v>
      </c>
    </row>
    <row r="288" spans="1:3" hidden="1" x14ac:dyDescent="0.25">
      <c r="A288" t="s">
        <v>35</v>
      </c>
      <c r="B288" s="5" t="s">
        <v>45</v>
      </c>
      <c r="C288" s="5" t="s">
        <v>50</v>
      </c>
    </row>
    <row r="289" spans="1:3" hidden="1" x14ac:dyDescent="0.25">
      <c r="A289" t="s">
        <v>36</v>
      </c>
      <c r="B289" s="5" t="s">
        <v>45</v>
      </c>
      <c r="C289" s="5" t="s">
        <v>50</v>
      </c>
    </row>
    <row r="290" spans="1:3" hidden="1" x14ac:dyDescent="0.25">
      <c r="A290" t="s">
        <v>37</v>
      </c>
      <c r="B290" s="5" t="s">
        <v>45</v>
      </c>
      <c r="C290" s="5" t="s">
        <v>50</v>
      </c>
    </row>
    <row r="291" spans="1:3" hidden="1" x14ac:dyDescent="0.25">
      <c r="A291" t="s">
        <v>5</v>
      </c>
      <c r="B291" s="5" t="s">
        <v>46</v>
      </c>
      <c r="C291" s="5" t="s">
        <v>50</v>
      </c>
    </row>
    <row r="292" spans="1:3" hidden="1" x14ac:dyDescent="0.25">
      <c r="A292" t="s">
        <v>51</v>
      </c>
      <c r="B292" s="5" t="s">
        <v>46</v>
      </c>
      <c r="C292" s="5" t="s">
        <v>50</v>
      </c>
    </row>
    <row r="293" spans="1:3" hidden="1" x14ac:dyDescent="0.25">
      <c r="A293" t="s">
        <v>8</v>
      </c>
      <c r="B293" s="5" t="s">
        <v>46</v>
      </c>
      <c r="C293" s="5" t="s">
        <v>50</v>
      </c>
    </row>
    <row r="294" spans="1:3" hidden="1" x14ac:dyDescent="0.25">
      <c r="A294" t="s">
        <v>9</v>
      </c>
      <c r="B294" s="5" t="s">
        <v>46</v>
      </c>
      <c r="C294" s="5" t="s">
        <v>50</v>
      </c>
    </row>
    <row r="295" spans="1:3" hidden="1" x14ac:dyDescent="0.25">
      <c r="A295" t="s">
        <v>52</v>
      </c>
      <c r="B295" s="5" t="s">
        <v>46</v>
      </c>
      <c r="C295" s="5" t="s">
        <v>50</v>
      </c>
    </row>
    <row r="296" spans="1:3" hidden="1" x14ac:dyDescent="0.25">
      <c r="A296" t="s">
        <v>14</v>
      </c>
      <c r="B296" s="5" t="s">
        <v>46</v>
      </c>
      <c r="C296" s="5" t="s">
        <v>50</v>
      </c>
    </row>
    <row r="297" spans="1:3" hidden="1" x14ac:dyDescent="0.25">
      <c r="A297" t="s">
        <v>10</v>
      </c>
      <c r="B297" s="5" t="s">
        <v>46</v>
      </c>
      <c r="C297" s="5" t="s">
        <v>50</v>
      </c>
    </row>
    <row r="298" spans="1:3" hidden="1" x14ac:dyDescent="0.25">
      <c r="A298" t="s">
        <v>11</v>
      </c>
      <c r="B298" s="5" t="s">
        <v>46</v>
      </c>
      <c r="C298" s="5" t="s">
        <v>50</v>
      </c>
    </row>
    <row r="299" spans="1:3" hidden="1" x14ac:dyDescent="0.25">
      <c r="A299" t="s">
        <v>12</v>
      </c>
      <c r="B299" s="5" t="s">
        <v>46</v>
      </c>
      <c r="C299" s="5" t="s">
        <v>50</v>
      </c>
    </row>
    <row r="300" spans="1:3" hidden="1" x14ac:dyDescent="0.25">
      <c r="A300" t="s">
        <v>15</v>
      </c>
      <c r="B300" s="5" t="s">
        <v>46</v>
      </c>
      <c r="C300" s="5" t="s">
        <v>50</v>
      </c>
    </row>
    <row r="301" spans="1:3" hidden="1" x14ac:dyDescent="0.25">
      <c r="A301" t="s">
        <v>16</v>
      </c>
      <c r="B301" s="5" t="s">
        <v>46</v>
      </c>
      <c r="C301" s="5" t="s">
        <v>50</v>
      </c>
    </row>
    <row r="302" spans="1:3" hidden="1" x14ac:dyDescent="0.25">
      <c r="A302" t="s">
        <v>17</v>
      </c>
      <c r="B302" s="5" t="s">
        <v>46</v>
      </c>
      <c r="C302" s="5" t="s">
        <v>50</v>
      </c>
    </row>
    <row r="303" spans="1:3" hidden="1" x14ac:dyDescent="0.25">
      <c r="A303" t="s">
        <v>18</v>
      </c>
      <c r="B303" s="5" t="s">
        <v>46</v>
      </c>
      <c r="C303" s="5" t="s">
        <v>50</v>
      </c>
    </row>
    <row r="304" spans="1:3" hidden="1" x14ac:dyDescent="0.25">
      <c r="A304" t="s">
        <v>19</v>
      </c>
      <c r="B304" s="5" t="s">
        <v>46</v>
      </c>
      <c r="C304" s="5" t="s">
        <v>50</v>
      </c>
    </row>
    <row r="305" spans="1:3" hidden="1" x14ac:dyDescent="0.25">
      <c r="A305" t="s">
        <v>53</v>
      </c>
      <c r="B305" s="5" t="s">
        <v>46</v>
      </c>
      <c r="C305" s="5" t="s">
        <v>50</v>
      </c>
    </row>
    <row r="306" spans="1:3" hidden="1" x14ac:dyDescent="0.25">
      <c r="A306" t="s">
        <v>21</v>
      </c>
      <c r="B306" s="5" t="s">
        <v>46</v>
      </c>
      <c r="C306" s="5" t="s">
        <v>50</v>
      </c>
    </row>
    <row r="307" spans="1:3" hidden="1" x14ac:dyDescent="0.25">
      <c r="A307" t="s">
        <v>22</v>
      </c>
      <c r="B307" s="5" t="s">
        <v>46</v>
      </c>
      <c r="C307" s="5" t="s">
        <v>50</v>
      </c>
    </row>
    <row r="308" spans="1:3" hidden="1" x14ac:dyDescent="0.25">
      <c r="A308" t="s">
        <v>23</v>
      </c>
      <c r="B308" s="5" t="s">
        <v>46</v>
      </c>
      <c r="C308" s="5" t="s">
        <v>50</v>
      </c>
    </row>
    <row r="309" spans="1:3" hidden="1" x14ac:dyDescent="0.25">
      <c r="A309" t="s">
        <v>54</v>
      </c>
      <c r="B309" s="5" t="s">
        <v>46</v>
      </c>
      <c r="C309" s="5" t="s">
        <v>50</v>
      </c>
    </row>
    <row r="310" spans="1:3" hidden="1" x14ac:dyDescent="0.25">
      <c r="A310" t="s">
        <v>25</v>
      </c>
      <c r="B310" s="5" t="s">
        <v>46</v>
      </c>
      <c r="C310" s="5" t="s">
        <v>50</v>
      </c>
    </row>
    <row r="311" spans="1:3" hidden="1" x14ac:dyDescent="0.25">
      <c r="A311" t="s">
        <v>26</v>
      </c>
      <c r="B311" s="5" t="s">
        <v>46</v>
      </c>
      <c r="C311" s="5" t="s">
        <v>50</v>
      </c>
    </row>
    <row r="312" spans="1:3" hidden="1" x14ac:dyDescent="0.25">
      <c r="A312" t="s">
        <v>27</v>
      </c>
      <c r="B312" s="5" t="s">
        <v>46</v>
      </c>
      <c r="C312" s="5" t="s">
        <v>50</v>
      </c>
    </row>
    <row r="313" spans="1:3" hidden="1" x14ac:dyDescent="0.25">
      <c r="A313" t="s">
        <v>28</v>
      </c>
      <c r="B313" s="5" t="s">
        <v>46</v>
      </c>
      <c r="C313" s="5" t="s">
        <v>50</v>
      </c>
    </row>
    <row r="314" spans="1:3" hidden="1" x14ac:dyDescent="0.25">
      <c r="A314" t="s">
        <v>29</v>
      </c>
      <c r="B314" s="5" t="s">
        <v>46</v>
      </c>
      <c r="C314" s="5" t="s">
        <v>50</v>
      </c>
    </row>
    <row r="315" spans="1:3" hidden="1" x14ac:dyDescent="0.25">
      <c r="A315" t="s">
        <v>30</v>
      </c>
      <c r="B315" s="5" t="s">
        <v>46</v>
      </c>
      <c r="C315" s="5" t="s">
        <v>50</v>
      </c>
    </row>
    <row r="316" spans="1:3" hidden="1" x14ac:dyDescent="0.25">
      <c r="A316" t="s">
        <v>31</v>
      </c>
      <c r="B316" s="5" t="s">
        <v>46</v>
      </c>
      <c r="C316" s="5" t="s">
        <v>50</v>
      </c>
    </row>
    <row r="317" spans="1:3" hidden="1" x14ac:dyDescent="0.25">
      <c r="A317" t="s">
        <v>32</v>
      </c>
      <c r="B317" s="5" t="s">
        <v>46</v>
      </c>
      <c r="C317" s="5" t="s">
        <v>50</v>
      </c>
    </row>
    <row r="318" spans="1:3" hidden="1" x14ac:dyDescent="0.25">
      <c r="A318" t="s">
        <v>33</v>
      </c>
      <c r="B318" s="5" t="s">
        <v>46</v>
      </c>
      <c r="C318" s="5" t="s">
        <v>50</v>
      </c>
    </row>
    <row r="319" spans="1:3" hidden="1" x14ac:dyDescent="0.25">
      <c r="A319" t="s">
        <v>34</v>
      </c>
      <c r="B319" s="5" t="s">
        <v>46</v>
      </c>
      <c r="C319" s="5" t="s">
        <v>50</v>
      </c>
    </row>
    <row r="320" spans="1:3" hidden="1" x14ac:dyDescent="0.25">
      <c r="A320" t="s">
        <v>35</v>
      </c>
      <c r="B320" s="5" t="s">
        <v>46</v>
      </c>
      <c r="C320" s="5" t="s">
        <v>50</v>
      </c>
    </row>
    <row r="321" spans="1:3" hidden="1" x14ac:dyDescent="0.25">
      <c r="A321" t="s">
        <v>36</v>
      </c>
      <c r="B321" s="5" t="s">
        <v>46</v>
      </c>
      <c r="C321" s="5" t="s">
        <v>50</v>
      </c>
    </row>
    <row r="322" spans="1:3" hidden="1" x14ac:dyDescent="0.25">
      <c r="A322" t="s">
        <v>37</v>
      </c>
      <c r="B322" s="5" t="s">
        <v>46</v>
      </c>
      <c r="C322" s="5" t="s">
        <v>50</v>
      </c>
    </row>
    <row r="323" spans="1:3" hidden="1" x14ac:dyDescent="0.25">
      <c r="A323" t="s">
        <v>5</v>
      </c>
      <c r="B323" s="5" t="s">
        <v>47</v>
      </c>
      <c r="C323" s="5" t="s">
        <v>50</v>
      </c>
    </row>
    <row r="324" spans="1:3" hidden="1" x14ac:dyDescent="0.25">
      <c r="A324" t="s">
        <v>51</v>
      </c>
      <c r="B324" s="5" t="s">
        <v>47</v>
      </c>
      <c r="C324" s="5" t="s">
        <v>50</v>
      </c>
    </row>
    <row r="325" spans="1:3" hidden="1" x14ac:dyDescent="0.25">
      <c r="A325" t="s">
        <v>8</v>
      </c>
      <c r="B325" s="5" t="s">
        <v>47</v>
      </c>
      <c r="C325" s="5" t="s">
        <v>50</v>
      </c>
    </row>
    <row r="326" spans="1:3" hidden="1" x14ac:dyDescent="0.25">
      <c r="A326" t="s">
        <v>9</v>
      </c>
      <c r="B326" s="5" t="s">
        <v>47</v>
      </c>
      <c r="C326" s="5" t="s">
        <v>50</v>
      </c>
    </row>
    <row r="327" spans="1:3" hidden="1" x14ac:dyDescent="0.25">
      <c r="A327" t="s">
        <v>52</v>
      </c>
      <c r="B327" s="5" t="s">
        <v>47</v>
      </c>
      <c r="C327" s="5" t="s">
        <v>50</v>
      </c>
    </row>
    <row r="328" spans="1:3" hidden="1" x14ac:dyDescent="0.25">
      <c r="A328" t="s">
        <v>14</v>
      </c>
      <c r="B328" s="5" t="s">
        <v>47</v>
      </c>
      <c r="C328" s="5" t="s">
        <v>50</v>
      </c>
    </row>
    <row r="329" spans="1:3" hidden="1" x14ac:dyDescent="0.25">
      <c r="A329" t="s">
        <v>10</v>
      </c>
      <c r="B329" s="5" t="s">
        <v>47</v>
      </c>
      <c r="C329" s="5" t="s">
        <v>50</v>
      </c>
    </row>
    <row r="330" spans="1:3" hidden="1" x14ac:dyDescent="0.25">
      <c r="A330" t="s">
        <v>11</v>
      </c>
      <c r="B330" s="5" t="s">
        <v>47</v>
      </c>
      <c r="C330" s="5" t="s">
        <v>50</v>
      </c>
    </row>
    <row r="331" spans="1:3" hidden="1" x14ac:dyDescent="0.25">
      <c r="A331" t="s">
        <v>12</v>
      </c>
      <c r="B331" s="5" t="s">
        <v>47</v>
      </c>
      <c r="C331" s="5" t="s">
        <v>50</v>
      </c>
    </row>
    <row r="332" spans="1:3" hidden="1" x14ac:dyDescent="0.25">
      <c r="A332" t="s">
        <v>15</v>
      </c>
      <c r="B332" s="5" t="s">
        <v>47</v>
      </c>
      <c r="C332" s="5" t="s">
        <v>50</v>
      </c>
    </row>
    <row r="333" spans="1:3" hidden="1" x14ac:dyDescent="0.25">
      <c r="A333" t="s">
        <v>16</v>
      </c>
      <c r="B333" s="5" t="s">
        <v>47</v>
      </c>
      <c r="C333" s="5" t="s">
        <v>50</v>
      </c>
    </row>
    <row r="334" spans="1:3" hidden="1" x14ac:dyDescent="0.25">
      <c r="A334" t="s">
        <v>17</v>
      </c>
      <c r="B334" s="5" t="s">
        <v>47</v>
      </c>
      <c r="C334" s="5" t="s">
        <v>50</v>
      </c>
    </row>
    <row r="335" spans="1:3" hidden="1" x14ac:dyDescent="0.25">
      <c r="A335" t="s">
        <v>18</v>
      </c>
      <c r="B335" s="5" t="s">
        <v>47</v>
      </c>
      <c r="C335" s="5" t="s">
        <v>50</v>
      </c>
    </row>
    <row r="336" spans="1:3" hidden="1" x14ac:dyDescent="0.25">
      <c r="A336" t="s">
        <v>19</v>
      </c>
      <c r="B336" s="5" t="s">
        <v>47</v>
      </c>
      <c r="C336" s="5" t="s">
        <v>50</v>
      </c>
    </row>
    <row r="337" spans="1:3" hidden="1" x14ac:dyDescent="0.25">
      <c r="A337" t="s">
        <v>53</v>
      </c>
      <c r="B337" s="5" t="s">
        <v>47</v>
      </c>
      <c r="C337" s="5" t="s">
        <v>50</v>
      </c>
    </row>
    <row r="338" spans="1:3" hidden="1" x14ac:dyDescent="0.25">
      <c r="A338" t="s">
        <v>21</v>
      </c>
      <c r="B338" s="5" t="s">
        <v>47</v>
      </c>
      <c r="C338" s="5" t="s">
        <v>50</v>
      </c>
    </row>
    <row r="339" spans="1:3" hidden="1" x14ac:dyDescent="0.25">
      <c r="A339" t="s">
        <v>22</v>
      </c>
      <c r="B339" s="5" t="s">
        <v>47</v>
      </c>
      <c r="C339" s="5" t="s">
        <v>50</v>
      </c>
    </row>
    <row r="340" spans="1:3" hidden="1" x14ac:dyDescent="0.25">
      <c r="A340" t="s">
        <v>23</v>
      </c>
      <c r="B340" s="5" t="s">
        <v>47</v>
      </c>
      <c r="C340" s="5" t="s">
        <v>50</v>
      </c>
    </row>
    <row r="341" spans="1:3" hidden="1" x14ac:dyDescent="0.25">
      <c r="A341" t="s">
        <v>54</v>
      </c>
      <c r="B341" s="5" t="s">
        <v>47</v>
      </c>
      <c r="C341" s="5" t="s">
        <v>50</v>
      </c>
    </row>
    <row r="342" spans="1:3" hidden="1" x14ac:dyDescent="0.25">
      <c r="A342" t="s">
        <v>25</v>
      </c>
      <c r="B342" s="5" t="s">
        <v>47</v>
      </c>
      <c r="C342" s="5" t="s">
        <v>50</v>
      </c>
    </row>
    <row r="343" spans="1:3" hidden="1" x14ac:dyDescent="0.25">
      <c r="A343" t="s">
        <v>26</v>
      </c>
      <c r="B343" s="5" t="s">
        <v>47</v>
      </c>
      <c r="C343" s="5" t="s">
        <v>50</v>
      </c>
    </row>
    <row r="344" spans="1:3" hidden="1" x14ac:dyDescent="0.25">
      <c r="A344" t="s">
        <v>27</v>
      </c>
      <c r="B344" s="5" t="s">
        <v>47</v>
      </c>
      <c r="C344" s="5" t="s">
        <v>50</v>
      </c>
    </row>
    <row r="345" spans="1:3" hidden="1" x14ac:dyDescent="0.25">
      <c r="A345" t="s">
        <v>28</v>
      </c>
      <c r="B345" s="5" t="s">
        <v>47</v>
      </c>
      <c r="C345" s="5" t="s">
        <v>50</v>
      </c>
    </row>
    <row r="346" spans="1:3" hidden="1" x14ac:dyDescent="0.25">
      <c r="A346" t="s">
        <v>29</v>
      </c>
      <c r="B346" s="5" t="s">
        <v>47</v>
      </c>
      <c r="C346" s="5" t="s">
        <v>50</v>
      </c>
    </row>
    <row r="347" spans="1:3" hidden="1" x14ac:dyDescent="0.25">
      <c r="A347" t="s">
        <v>30</v>
      </c>
      <c r="B347" s="5" t="s">
        <v>47</v>
      </c>
      <c r="C347" s="5" t="s">
        <v>50</v>
      </c>
    </row>
    <row r="348" spans="1:3" hidden="1" x14ac:dyDescent="0.25">
      <c r="A348" t="s">
        <v>31</v>
      </c>
      <c r="B348" s="5" t="s">
        <v>47</v>
      </c>
      <c r="C348" s="5" t="s">
        <v>50</v>
      </c>
    </row>
    <row r="349" spans="1:3" hidden="1" x14ac:dyDescent="0.25">
      <c r="A349" t="s">
        <v>32</v>
      </c>
      <c r="B349" s="5" t="s">
        <v>47</v>
      </c>
      <c r="C349" s="5" t="s">
        <v>50</v>
      </c>
    </row>
    <row r="350" spans="1:3" hidden="1" x14ac:dyDescent="0.25">
      <c r="A350" t="s">
        <v>33</v>
      </c>
      <c r="B350" s="5" t="s">
        <v>47</v>
      </c>
      <c r="C350" s="5" t="s">
        <v>50</v>
      </c>
    </row>
    <row r="351" spans="1:3" hidden="1" x14ac:dyDescent="0.25">
      <c r="A351" t="s">
        <v>34</v>
      </c>
      <c r="B351" s="5" t="s">
        <v>47</v>
      </c>
      <c r="C351" s="5" t="s">
        <v>50</v>
      </c>
    </row>
    <row r="352" spans="1:3" hidden="1" x14ac:dyDescent="0.25">
      <c r="A352" t="s">
        <v>35</v>
      </c>
      <c r="B352" s="5" t="s">
        <v>47</v>
      </c>
      <c r="C352" s="5" t="s">
        <v>50</v>
      </c>
    </row>
    <row r="353" spans="1:3" hidden="1" x14ac:dyDescent="0.25">
      <c r="A353" t="s">
        <v>36</v>
      </c>
      <c r="B353" s="5" t="s">
        <v>47</v>
      </c>
      <c r="C353" s="5" t="s">
        <v>50</v>
      </c>
    </row>
    <row r="354" spans="1:3" hidden="1" x14ac:dyDescent="0.25">
      <c r="A354" t="s">
        <v>37</v>
      </c>
      <c r="B354" s="5" t="s">
        <v>47</v>
      </c>
      <c r="C354" s="5" t="s">
        <v>50</v>
      </c>
    </row>
    <row r="355" spans="1:3" hidden="1" x14ac:dyDescent="0.25">
      <c r="A355" t="s">
        <v>5</v>
      </c>
      <c r="B355" s="5" t="s">
        <v>48</v>
      </c>
      <c r="C355" s="5" t="s">
        <v>50</v>
      </c>
    </row>
    <row r="356" spans="1:3" hidden="1" x14ac:dyDescent="0.25">
      <c r="A356" t="s">
        <v>51</v>
      </c>
      <c r="B356" s="5" t="s">
        <v>48</v>
      </c>
      <c r="C356" s="5" t="s">
        <v>50</v>
      </c>
    </row>
    <row r="357" spans="1:3" hidden="1" x14ac:dyDescent="0.25">
      <c r="A357" t="s">
        <v>8</v>
      </c>
      <c r="B357" s="5" t="s">
        <v>48</v>
      </c>
      <c r="C357" s="5" t="s">
        <v>50</v>
      </c>
    </row>
    <row r="358" spans="1:3" hidden="1" x14ac:dyDescent="0.25">
      <c r="A358" t="s">
        <v>9</v>
      </c>
      <c r="B358" s="5" t="s">
        <v>48</v>
      </c>
      <c r="C358" s="5" t="s">
        <v>50</v>
      </c>
    </row>
    <row r="359" spans="1:3" hidden="1" x14ac:dyDescent="0.25">
      <c r="A359" t="s">
        <v>52</v>
      </c>
      <c r="B359" s="5" t="s">
        <v>48</v>
      </c>
      <c r="C359" s="5" t="s">
        <v>50</v>
      </c>
    </row>
    <row r="360" spans="1:3" hidden="1" x14ac:dyDescent="0.25">
      <c r="A360" t="s">
        <v>14</v>
      </c>
      <c r="B360" s="5" t="s">
        <v>48</v>
      </c>
      <c r="C360" s="5" t="s">
        <v>50</v>
      </c>
    </row>
    <row r="361" spans="1:3" hidden="1" x14ac:dyDescent="0.25">
      <c r="A361" t="s">
        <v>10</v>
      </c>
      <c r="B361" s="5" t="s">
        <v>48</v>
      </c>
      <c r="C361" s="5" t="s">
        <v>50</v>
      </c>
    </row>
    <row r="362" spans="1:3" hidden="1" x14ac:dyDescent="0.25">
      <c r="A362" t="s">
        <v>11</v>
      </c>
      <c r="B362" s="5" t="s">
        <v>48</v>
      </c>
      <c r="C362" s="5" t="s">
        <v>50</v>
      </c>
    </row>
    <row r="363" spans="1:3" hidden="1" x14ac:dyDescent="0.25">
      <c r="A363" t="s">
        <v>12</v>
      </c>
      <c r="B363" s="5" t="s">
        <v>48</v>
      </c>
      <c r="C363" s="5" t="s">
        <v>50</v>
      </c>
    </row>
    <row r="364" spans="1:3" hidden="1" x14ac:dyDescent="0.25">
      <c r="A364" t="s">
        <v>15</v>
      </c>
      <c r="B364" s="5" t="s">
        <v>48</v>
      </c>
      <c r="C364" s="5" t="s">
        <v>50</v>
      </c>
    </row>
    <row r="365" spans="1:3" hidden="1" x14ac:dyDescent="0.25">
      <c r="A365" t="s">
        <v>16</v>
      </c>
      <c r="B365" s="5" t="s">
        <v>48</v>
      </c>
      <c r="C365" s="5" t="s">
        <v>50</v>
      </c>
    </row>
    <row r="366" spans="1:3" hidden="1" x14ac:dyDescent="0.25">
      <c r="A366" t="s">
        <v>17</v>
      </c>
      <c r="B366" s="5" t="s">
        <v>48</v>
      </c>
      <c r="C366" s="5" t="s">
        <v>50</v>
      </c>
    </row>
    <row r="367" spans="1:3" hidden="1" x14ac:dyDescent="0.25">
      <c r="A367" t="s">
        <v>18</v>
      </c>
      <c r="B367" s="5" t="s">
        <v>48</v>
      </c>
      <c r="C367" s="5" t="s">
        <v>50</v>
      </c>
    </row>
    <row r="368" spans="1:3" hidden="1" x14ac:dyDescent="0.25">
      <c r="A368" t="s">
        <v>19</v>
      </c>
      <c r="B368" s="5" t="s">
        <v>48</v>
      </c>
      <c r="C368" s="5" t="s">
        <v>50</v>
      </c>
    </row>
    <row r="369" spans="1:3" hidden="1" x14ac:dyDescent="0.25">
      <c r="A369" t="s">
        <v>53</v>
      </c>
      <c r="B369" s="5" t="s">
        <v>48</v>
      </c>
      <c r="C369" s="5" t="s">
        <v>50</v>
      </c>
    </row>
    <row r="370" spans="1:3" hidden="1" x14ac:dyDescent="0.25">
      <c r="A370" t="s">
        <v>21</v>
      </c>
      <c r="B370" s="5" t="s">
        <v>48</v>
      </c>
      <c r="C370" s="5" t="s">
        <v>50</v>
      </c>
    </row>
    <row r="371" spans="1:3" hidden="1" x14ac:dyDescent="0.25">
      <c r="A371" t="s">
        <v>22</v>
      </c>
      <c r="B371" s="5" t="s">
        <v>48</v>
      </c>
      <c r="C371" s="5" t="s">
        <v>50</v>
      </c>
    </row>
    <row r="372" spans="1:3" hidden="1" x14ac:dyDescent="0.25">
      <c r="A372" t="s">
        <v>23</v>
      </c>
      <c r="B372" s="5" t="s">
        <v>48</v>
      </c>
      <c r="C372" s="5" t="s">
        <v>50</v>
      </c>
    </row>
    <row r="373" spans="1:3" hidden="1" x14ac:dyDescent="0.25">
      <c r="A373" t="s">
        <v>54</v>
      </c>
      <c r="B373" s="5" t="s">
        <v>48</v>
      </c>
      <c r="C373" s="5" t="s">
        <v>50</v>
      </c>
    </row>
    <row r="374" spans="1:3" hidden="1" x14ac:dyDescent="0.25">
      <c r="A374" t="s">
        <v>25</v>
      </c>
      <c r="B374" s="5" t="s">
        <v>48</v>
      </c>
      <c r="C374" s="5" t="s">
        <v>50</v>
      </c>
    </row>
    <row r="375" spans="1:3" hidden="1" x14ac:dyDescent="0.25">
      <c r="A375" t="s">
        <v>26</v>
      </c>
      <c r="B375" s="5" t="s">
        <v>48</v>
      </c>
      <c r="C375" s="5" t="s">
        <v>50</v>
      </c>
    </row>
    <row r="376" spans="1:3" hidden="1" x14ac:dyDescent="0.25">
      <c r="A376" t="s">
        <v>27</v>
      </c>
      <c r="B376" s="5" t="s">
        <v>48</v>
      </c>
      <c r="C376" s="5" t="s">
        <v>50</v>
      </c>
    </row>
    <row r="377" spans="1:3" hidden="1" x14ac:dyDescent="0.25">
      <c r="A377" t="s">
        <v>28</v>
      </c>
      <c r="B377" s="5" t="s">
        <v>48</v>
      </c>
      <c r="C377" s="5" t="s">
        <v>50</v>
      </c>
    </row>
    <row r="378" spans="1:3" hidden="1" x14ac:dyDescent="0.25">
      <c r="A378" t="s">
        <v>29</v>
      </c>
      <c r="B378" s="5" t="s">
        <v>48</v>
      </c>
      <c r="C378" s="5" t="s">
        <v>50</v>
      </c>
    </row>
    <row r="379" spans="1:3" hidden="1" x14ac:dyDescent="0.25">
      <c r="A379" t="s">
        <v>30</v>
      </c>
      <c r="B379" s="5" t="s">
        <v>48</v>
      </c>
      <c r="C379" s="5" t="s">
        <v>50</v>
      </c>
    </row>
    <row r="380" spans="1:3" hidden="1" x14ac:dyDescent="0.25">
      <c r="A380" t="s">
        <v>31</v>
      </c>
      <c r="B380" s="5" t="s">
        <v>48</v>
      </c>
      <c r="C380" s="5" t="s">
        <v>50</v>
      </c>
    </row>
    <row r="381" spans="1:3" hidden="1" x14ac:dyDescent="0.25">
      <c r="A381" t="s">
        <v>32</v>
      </c>
      <c r="B381" s="5" t="s">
        <v>48</v>
      </c>
      <c r="C381" s="5" t="s">
        <v>50</v>
      </c>
    </row>
    <row r="382" spans="1:3" hidden="1" x14ac:dyDescent="0.25">
      <c r="A382" t="s">
        <v>33</v>
      </c>
      <c r="B382" s="5" t="s">
        <v>48</v>
      </c>
      <c r="C382" s="5" t="s">
        <v>50</v>
      </c>
    </row>
    <row r="383" spans="1:3" hidden="1" x14ac:dyDescent="0.25">
      <c r="A383" t="s">
        <v>34</v>
      </c>
      <c r="B383" s="5" t="s">
        <v>48</v>
      </c>
      <c r="C383" s="5" t="s">
        <v>50</v>
      </c>
    </row>
    <row r="384" spans="1:3" hidden="1" x14ac:dyDescent="0.25">
      <c r="A384" t="s">
        <v>35</v>
      </c>
      <c r="B384" s="5" t="s">
        <v>48</v>
      </c>
      <c r="C384" s="5" t="s">
        <v>50</v>
      </c>
    </row>
    <row r="385" spans="1:4" hidden="1" x14ac:dyDescent="0.25">
      <c r="A385" t="s">
        <v>36</v>
      </c>
      <c r="B385" s="5" t="s">
        <v>48</v>
      </c>
      <c r="C385" s="5" t="s">
        <v>50</v>
      </c>
    </row>
    <row r="386" spans="1:4" hidden="1" x14ac:dyDescent="0.25">
      <c r="A386" t="s">
        <v>37</v>
      </c>
      <c r="B386" s="5" t="s">
        <v>48</v>
      </c>
      <c r="C386" s="5" t="s">
        <v>50</v>
      </c>
    </row>
    <row r="387" spans="1:4" ht="15.75" x14ac:dyDescent="0.25">
      <c r="A387" s="75" t="s">
        <v>55</v>
      </c>
      <c r="B387" s="75"/>
      <c r="C387" s="75"/>
      <c r="D387" s="54">
        <f>+SUBTOTAL(9,Tabla2[TOTAL])</f>
        <v>34805</v>
      </c>
    </row>
  </sheetData>
  <mergeCells count="2">
    <mergeCell ref="A387:C387"/>
    <mergeCell ref="A1:D1"/>
  </mergeCells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22EDA-ACC5-41BC-A7A5-D62CAEEE86CB}">
  <dimension ref="A1:O387"/>
  <sheetViews>
    <sheetView showGridLines="0" zoomScale="80" zoomScaleNormal="80" workbookViewId="0">
      <pane ySplit="2" topLeftCell="A195" activePane="bottomLeft" state="frozen"/>
      <selection pane="bottomLeft" activeCell="E387" sqref="E387:F387"/>
    </sheetView>
  </sheetViews>
  <sheetFormatPr baseColWidth="10" defaultColWidth="11.42578125" defaultRowHeight="17.25" x14ac:dyDescent="0.4"/>
  <cols>
    <col min="1" max="1" width="23.42578125" style="1" customWidth="1"/>
    <col min="2" max="2" width="23.42578125" style="53" customWidth="1"/>
    <col min="3" max="3" width="11.42578125" style="53" customWidth="1"/>
    <col min="4" max="6" width="21.28515625" style="53" customWidth="1"/>
    <col min="7" max="7" width="31.28515625" style="53" customWidth="1"/>
    <col min="8" max="9" width="11.42578125" style="1"/>
    <col min="10" max="10" width="18.140625" style="1" bestFit="1" customWidth="1"/>
    <col min="11" max="11" width="35" style="1" bestFit="1" customWidth="1"/>
    <col min="12" max="12" width="38.7109375" style="1" customWidth="1"/>
    <col min="13" max="13" width="32" style="1" customWidth="1"/>
    <col min="14" max="16384" width="11.42578125" style="1"/>
  </cols>
  <sheetData>
    <row r="1" spans="1:7" ht="21.75" customHeight="1" x14ac:dyDescent="0.4">
      <c r="A1" s="77" t="s">
        <v>56</v>
      </c>
      <c r="B1" s="78"/>
      <c r="C1" s="78"/>
      <c r="D1" s="78"/>
      <c r="E1" s="78"/>
      <c r="F1" s="78"/>
      <c r="G1" s="78"/>
    </row>
    <row r="2" spans="1:7" ht="28.5" customHeight="1" x14ac:dyDescent="0.4">
      <c r="A2" s="57" t="s">
        <v>1</v>
      </c>
      <c r="B2" s="57" t="s">
        <v>2</v>
      </c>
      <c r="C2" s="57" t="s">
        <v>3</v>
      </c>
      <c r="D2" s="58" t="s">
        <v>57</v>
      </c>
      <c r="E2" s="58" t="s">
        <v>58</v>
      </c>
      <c r="F2" s="58" t="s">
        <v>59</v>
      </c>
      <c r="G2" s="58" t="s">
        <v>60</v>
      </c>
    </row>
    <row r="3" spans="1:7" hidden="1" x14ac:dyDescent="0.4">
      <c r="A3" s="49" t="s">
        <v>5</v>
      </c>
      <c r="B3" s="50" t="s">
        <v>6</v>
      </c>
      <c r="C3" s="51" t="s">
        <v>50</v>
      </c>
      <c r="D3" s="50">
        <v>63</v>
      </c>
      <c r="E3" s="50">
        <v>16</v>
      </c>
      <c r="F3" s="50">
        <v>47</v>
      </c>
      <c r="G3" s="50"/>
    </row>
    <row r="4" spans="1:7" hidden="1" x14ac:dyDescent="0.4">
      <c r="A4" s="49" t="s">
        <v>51</v>
      </c>
      <c r="B4" s="50" t="s">
        <v>6</v>
      </c>
      <c r="C4" s="51" t="s">
        <v>50</v>
      </c>
      <c r="D4" s="50">
        <v>983</v>
      </c>
      <c r="E4" s="50">
        <v>103</v>
      </c>
      <c r="F4" s="50">
        <v>880</v>
      </c>
      <c r="G4" s="50"/>
    </row>
    <row r="5" spans="1:7" hidden="1" x14ac:dyDescent="0.4">
      <c r="A5" s="49" t="s">
        <v>8</v>
      </c>
      <c r="B5" s="50" t="s">
        <v>6</v>
      </c>
      <c r="C5" s="51" t="s">
        <v>50</v>
      </c>
      <c r="D5" s="50">
        <v>148</v>
      </c>
      <c r="E5" s="50">
        <v>2</v>
      </c>
      <c r="F5" s="50">
        <v>128</v>
      </c>
      <c r="G5" s="50">
        <v>18</v>
      </c>
    </row>
    <row r="6" spans="1:7" hidden="1" x14ac:dyDescent="0.4">
      <c r="A6" s="49" t="s">
        <v>9</v>
      </c>
      <c r="B6" s="50" t="s">
        <v>6</v>
      </c>
      <c r="C6" s="51" t="s">
        <v>50</v>
      </c>
      <c r="D6" s="50">
        <v>35</v>
      </c>
      <c r="E6" s="50">
        <v>4</v>
      </c>
      <c r="F6" s="50">
        <v>21</v>
      </c>
      <c r="G6" s="50">
        <v>10</v>
      </c>
    </row>
    <row r="7" spans="1:7" hidden="1" x14ac:dyDescent="0.4">
      <c r="A7" s="49" t="s">
        <v>10</v>
      </c>
      <c r="B7" s="50" t="s">
        <v>6</v>
      </c>
      <c r="C7" s="51" t="s">
        <v>50</v>
      </c>
      <c r="D7" s="50">
        <v>295</v>
      </c>
      <c r="E7" s="50">
        <v>26</v>
      </c>
      <c r="F7" s="50">
        <v>242</v>
      </c>
      <c r="G7" s="50">
        <v>27</v>
      </c>
    </row>
    <row r="8" spans="1:7" hidden="1" x14ac:dyDescent="0.4">
      <c r="A8" s="49" t="s">
        <v>11</v>
      </c>
      <c r="B8" s="50" t="s">
        <v>6</v>
      </c>
      <c r="C8" s="51" t="s">
        <v>50</v>
      </c>
      <c r="D8" s="50">
        <v>88</v>
      </c>
      <c r="E8" s="50">
        <v>5</v>
      </c>
      <c r="F8" s="50">
        <v>79</v>
      </c>
      <c r="G8" s="50">
        <v>4</v>
      </c>
    </row>
    <row r="9" spans="1:7" hidden="1" x14ac:dyDescent="0.4">
      <c r="A9" s="49" t="s">
        <v>12</v>
      </c>
      <c r="B9" s="50" t="s">
        <v>6</v>
      </c>
      <c r="C9" s="51" t="s">
        <v>50</v>
      </c>
      <c r="D9" s="50">
        <v>2715</v>
      </c>
      <c r="E9" s="50">
        <v>270</v>
      </c>
      <c r="F9" s="50">
        <v>2378</v>
      </c>
      <c r="G9" s="50">
        <v>67</v>
      </c>
    </row>
    <row r="10" spans="1:7" hidden="1" x14ac:dyDescent="0.4">
      <c r="A10" s="49" t="s">
        <v>52</v>
      </c>
      <c r="B10" s="50" t="s">
        <v>6</v>
      </c>
      <c r="C10" s="51" t="s">
        <v>50</v>
      </c>
      <c r="D10" s="50">
        <v>127</v>
      </c>
      <c r="E10" s="50">
        <v>14</v>
      </c>
      <c r="F10" s="50">
        <v>101</v>
      </c>
      <c r="G10" s="50">
        <v>12</v>
      </c>
    </row>
    <row r="11" spans="1:7" hidden="1" x14ac:dyDescent="0.4">
      <c r="A11" s="49" t="s">
        <v>14</v>
      </c>
      <c r="B11" s="50" t="s">
        <v>6</v>
      </c>
      <c r="C11" s="51" t="s">
        <v>50</v>
      </c>
      <c r="D11" s="50">
        <v>110</v>
      </c>
      <c r="E11" s="50">
        <v>12</v>
      </c>
      <c r="F11" s="50">
        <v>94</v>
      </c>
      <c r="G11" s="50">
        <v>4</v>
      </c>
    </row>
    <row r="12" spans="1:7" hidden="1" x14ac:dyDescent="0.4">
      <c r="A12" s="49" t="s">
        <v>15</v>
      </c>
      <c r="B12" s="50" t="s">
        <v>6</v>
      </c>
      <c r="C12" s="51" t="s">
        <v>50</v>
      </c>
      <c r="D12" s="50">
        <v>167</v>
      </c>
      <c r="E12" s="50">
        <v>34</v>
      </c>
      <c r="F12" s="50">
        <v>90</v>
      </c>
      <c r="G12" s="50">
        <v>43</v>
      </c>
    </row>
    <row r="13" spans="1:7" hidden="1" x14ac:dyDescent="0.4">
      <c r="A13" s="49" t="s">
        <v>16</v>
      </c>
      <c r="B13" s="50" t="s">
        <v>6</v>
      </c>
      <c r="C13" s="51" t="s">
        <v>50</v>
      </c>
      <c r="D13" s="50">
        <v>946</v>
      </c>
      <c r="E13" s="50">
        <v>151</v>
      </c>
      <c r="F13" s="50">
        <v>793</v>
      </c>
      <c r="G13" s="50">
        <v>2</v>
      </c>
    </row>
    <row r="14" spans="1:7" hidden="1" x14ac:dyDescent="0.4">
      <c r="A14" s="49" t="s">
        <v>17</v>
      </c>
      <c r="B14" s="50" t="s">
        <v>6</v>
      </c>
      <c r="C14" s="51" t="s">
        <v>50</v>
      </c>
      <c r="D14" s="50">
        <v>171</v>
      </c>
      <c r="E14" s="50">
        <v>35</v>
      </c>
      <c r="F14" s="50">
        <v>109</v>
      </c>
      <c r="G14" s="50">
        <v>27</v>
      </c>
    </row>
    <row r="15" spans="1:7" hidden="1" x14ac:dyDescent="0.4">
      <c r="A15" s="49" t="s">
        <v>18</v>
      </c>
      <c r="B15" s="50" t="s">
        <v>6</v>
      </c>
      <c r="C15" s="51" t="s">
        <v>50</v>
      </c>
      <c r="D15" s="50">
        <v>549</v>
      </c>
      <c r="E15" s="50">
        <v>80</v>
      </c>
      <c r="F15" s="50">
        <v>433</v>
      </c>
      <c r="G15" s="50">
        <v>36</v>
      </c>
    </row>
    <row r="16" spans="1:7" hidden="1" x14ac:dyDescent="0.4">
      <c r="A16" s="49" t="s">
        <v>19</v>
      </c>
      <c r="B16" s="50" t="s">
        <v>6</v>
      </c>
      <c r="C16" s="51" t="s">
        <v>50</v>
      </c>
      <c r="D16" s="50">
        <v>1263</v>
      </c>
      <c r="E16" s="50">
        <v>90</v>
      </c>
      <c r="F16" s="50">
        <v>989</v>
      </c>
      <c r="G16" s="50">
        <v>184</v>
      </c>
    </row>
    <row r="17" spans="1:15" hidden="1" x14ac:dyDescent="0.4">
      <c r="A17" s="49" t="s">
        <v>53</v>
      </c>
      <c r="B17" s="50" t="s">
        <v>6</v>
      </c>
      <c r="C17" s="51" t="s">
        <v>50</v>
      </c>
      <c r="D17" s="50">
        <v>3288</v>
      </c>
      <c r="E17" s="50">
        <v>330</v>
      </c>
      <c r="F17" s="50">
        <v>2586</v>
      </c>
      <c r="G17" s="50">
        <v>372</v>
      </c>
    </row>
    <row r="18" spans="1:15" hidden="1" x14ac:dyDescent="0.4">
      <c r="A18" s="49" t="s">
        <v>21</v>
      </c>
      <c r="B18" s="50" t="s">
        <v>6</v>
      </c>
      <c r="C18" s="51" t="s">
        <v>50</v>
      </c>
      <c r="D18" s="50">
        <v>433</v>
      </c>
      <c r="E18" s="50">
        <v>86</v>
      </c>
      <c r="F18" s="50">
        <v>302</v>
      </c>
      <c r="G18" s="50">
        <v>45</v>
      </c>
      <c r="J18"/>
      <c r="K18"/>
      <c r="L18"/>
    </row>
    <row r="19" spans="1:15" hidden="1" x14ac:dyDescent="0.4">
      <c r="A19" s="49" t="s">
        <v>22</v>
      </c>
      <c r="B19" s="50" t="s">
        <v>6</v>
      </c>
      <c r="C19" s="51" t="s">
        <v>50</v>
      </c>
      <c r="D19" s="50">
        <v>368</v>
      </c>
      <c r="E19" s="50">
        <v>77</v>
      </c>
      <c r="F19" s="50">
        <v>217</v>
      </c>
      <c r="G19" s="50">
        <v>74</v>
      </c>
      <c r="J19"/>
      <c r="K19"/>
      <c r="L19"/>
      <c r="M19"/>
      <c r="N19"/>
      <c r="O19"/>
    </row>
    <row r="20" spans="1:15" hidden="1" x14ac:dyDescent="0.4">
      <c r="A20" s="49" t="s">
        <v>23</v>
      </c>
      <c r="B20" s="50" t="s">
        <v>6</v>
      </c>
      <c r="C20" s="51" t="s">
        <v>50</v>
      </c>
      <c r="D20" s="50">
        <v>160</v>
      </c>
      <c r="E20" s="50">
        <v>34</v>
      </c>
      <c r="F20" s="50">
        <v>103</v>
      </c>
      <c r="G20" s="50">
        <v>23</v>
      </c>
      <c r="J20"/>
      <c r="K20"/>
      <c r="L20"/>
      <c r="M20"/>
      <c r="N20"/>
      <c r="O20"/>
    </row>
    <row r="21" spans="1:15" hidden="1" x14ac:dyDescent="0.4">
      <c r="A21" s="49" t="s">
        <v>54</v>
      </c>
      <c r="B21" s="50" t="s">
        <v>6</v>
      </c>
      <c r="C21" s="51" t="s">
        <v>50</v>
      </c>
      <c r="D21" s="50">
        <v>1089</v>
      </c>
      <c r="E21" s="50">
        <v>60</v>
      </c>
      <c r="F21" s="50">
        <v>913</v>
      </c>
      <c r="G21" s="50">
        <v>116</v>
      </c>
      <c r="J21"/>
      <c r="K21"/>
      <c r="L21"/>
      <c r="M21"/>
      <c r="N21"/>
      <c r="O21"/>
    </row>
    <row r="22" spans="1:15" hidden="1" x14ac:dyDescent="0.4">
      <c r="A22" s="49" t="s">
        <v>25</v>
      </c>
      <c r="B22" s="50" t="s">
        <v>6</v>
      </c>
      <c r="C22" s="51" t="s">
        <v>50</v>
      </c>
      <c r="D22" s="50">
        <v>440</v>
      </c>
      <c r="E22" s="50">
        <v>74</v>
      </c>
      <c r="F22" s="50">
        <v>317</v>
      </c>
      <c r="G22" s="50">
        <v>49</v>
      </c>
      <c r="J22"/>
      <c r="K22"/>
      <c r="L22"/>
      <c r="M22"/>
      <c r="N22"/>
      <c r="O22"/>
    </row>
    <row r="23" spans="1:15" hidden="1" x14ac:dyDescent="0.4">
      <c r="A23" s="49" t="s">
        <v>26</v>
      </c>
      <c r="B23" s="50" t="s">
        <v>6</v>
      </c>
      <c r="C23" s="51" t="s">
        <v>50</v>
      </c>
      <c r="D23" s="50">
        <v>741</v>
      </c>
      <c r="E23" s="50">
        <v>94</v>
      </c>
      <c r="F23" s="50">
        <v>582</v>
      </c>
      <c r="G23" s="50">
        <v>65</v>
      </c>
      <c r="J23"/>
      <c r="K23"/>
      <c r="L23"/>
      <c r="M23"/>
      <c r="N23"/>
      <c r="O23"/>
    </row>
    <row r="24" spans="1:15" hidden="1" x14ac:dyDescent="0.4">
      <c r="A24" s="49" t="s">
        <v>27</v>
      </c>
      <c r="B24" s="50" t="s">
        <v>6</v>
      </c>
      <c r="C24" s="51" t="s">
        <v>50</v>
      </c>
      <c r="D24" s="50">
        <v>699</v>
      </c>
      <c r="E24" s="50">
        <v>109</v>
      </c>
      <c r="F24" s="50">
        <v>401</v>
      </c>
      <c r="G24" s="50">
        <v>189</v>
      </c>
      <c r="J24"/>
      <c r="K24"/>
      <c r="L24"/>
      <c r="M24"/>
      <c r="N24"/>
      <c r="O24"/>
    </row>
    <row r="25" spans="1:15" hidden="1" x14ac:dyDescent="0.4">
      <c r="A25" s="49" t="s">
        <v>28</v>
      </c>
      <c r="B25" s="50" t="s">
        <v>6</v>
      </c>
      <c r="C25" s="51" t="s">
        <v>50</v>
      </c>
      <c r="D25" s="50">
        <v>490</v>
      </c>
      <c r="E25" s="50">
        <v>88</v>
      </c>
      <c r="F25" s="50">
        <v>331</v>
      </c>
      <c r="G25" s="50">
        <v>71</v>
      </c>
      <c r="J25"/>
      <c r="K25"/>
      <c r="L25"/>
      <c r="M25"/>
      <c r="N25"/>
      <c r="O25"/>
    </row>
    <row r="26" spans="1:15" hidden="1" x14ac:dyDescent="0.4">
      <c r="A26" s="49" t="s">
        <v>29</v>
      </c>
      <c r="B26" s="50" t="s">
        <v>6</v>
      </c>
      <c r="C26" s="51" t="s">
        <v>50</v>
      </c>
      <c r="D26" s="50">
        <v>26</v>
      </c>
      <c r="E26" s="50">
        <v>5</v>
      </c>
      <c r="F26" s="50">
        <v>17</v>
      </c>
      <c r="G26" s="50">
        <v>4</v>
      </c>
      <c r="J26"/>
      <c r="K26"/>
      <c r="L26"/>
      <c r="M26"/>
      <c r="N26"/>
      <c r="O26"/>
    </row>
    <row r="27" spans="1:15" hidden="1" x14ac:dyDescent="0.4">
      <c r="A27" s="49" t="s">
        <v>30</v>
      </c>
      <c r="B27" s="50" t="s">
        <v>6</v>
      </c>
      <c r="C27" s="51" t="s">
        <v>50</v>
      </c>
      <c r="D27" s="50">
        <v>36</v>
      </c>
      <c r="E27" s="50">
        <v>9</v>
      </c>
      <c r="F27" s="50">
        <v>26</v>
      </c>
      <c r="G27" s="50">
        <v>1</v>
      </c>
      <c r="J27"/>
      <c r="K27"/>
      <c r="L27"/>
      <c r="M27"/>
      <c r="N27"/>
      <c r="O27"/>
    </row>
    <row r="28" spans="1:15" hidden="1" x14ac:dyDescent="0.4">
      <c r="A28" s="49" t="s">
        <v>31</v>
      </c>
      <c r="B28" s="50" t="s">
        <v>6</v>
      </c>
      <c r="C28" s="51" t="s">
        <v>50</v>
      </c>
      <c r="D28" s="50">
        <v>41</v>
      </c>
      <c r="E28" s="50">
        <v>5</v>
      </c>
      <c r="F28" s="50">
        <v>28</v>
      </c>
      <c r="G28" s="50">
        <v>8</v>
      </c>
      <c r="J28"/>
      <c r="K28"/>
      <c r="L28"/>
      <c r="M28"/>
      <c r="N28"/>
      <c r="O28"/>
    </row>
    <row r="29" spans="1:15" hidden="1" x14ac:dyDescent="0.4">
      <c r="A29" s="49" t="s">
        <v>32</v>
      </c>
      <c r="B29" s="50" t="s">
        <v>6</v>
      </c>
      <c r="C29" s="51" t="s">
        <v>50</v>
      </c>
      <c r="D29" s="50">
        <v>27</v>
      </c>
      <c r="E29" s="50">
        <v>8</v>
      </c>
      <c r="F29" s="50">
        <v>15</v>
      </c>
      <c r="G29" s="50">
        <v>4</v>
      </c>
      <c r="J29"/>
      <c r="K29"/>
      <c r="L29"/>
      <c r="M29"/>
      <c r="N29"/>
      <c r="O29"/>
    </row>
    <row r="30" spans="1:15" hidden="1" x14ac:dyDescent="0.4">
      <c r="A30" s="49" t="s">
        <v>33</v>
      </c>
      <c r="B30" s="50" t="s">
        <v>6</v>
      </c>
      <c r="C30" s="51" t="s">
        <v>50</v>
      </c>
      <c r="D30" s="50">
        <v>161</v>
      </c>
      <c r="E30" s="50">
        <v>17</v>
      </c>
      <c r="F30" s="50">
        <v>64</v>
      </c>
      <c r="G30" s="50">
        <v>80</v>
      </c>
      <c r="J30"/>
      <c r="K30"/>
      <c r="L30"/>
      <c r="M30"/>
      <c r="N30"/>
      <c r="O30"/>
    </row>
    <row r="31" spans="1:15" hidden="1" x14ac:dyDescent="0.4">
      <c r="A31" s="49" t="s">
        <v>34</v>
      </c>
      <c r="B31" s="50" t="s">
        <v>6</v>
      </c>
      <c r="C31" s="51" t="s">
        <v>50</v>
      </c>
      <c r="D31" s="50">
        <v>326</v>
      </c>
      <c r="E31" s="50">
        <v>42</v>
      </c>
      <c r="F31" s="50">
        <v>236</v>
      </c>
      <c r="G31" s="50">
        <v>48</v>
      </c>
      <c r="J31"/>
      <c r="K31"/>
      <c r="L31"/>
      <c r="M31"/>
      <c r="N31"/>
      <c r="O31"/>
    </row>
    <row r="32" spans="1:15" hidden="1" x14ac:dyDescent="0.4">
      <c r="A32" s="49" t="s">
        <v>35</v>
      </c>
      <c r="B32" s="50" t="s">
        <v>6</v>
      </c>
      <c r="C32" s="51" t="s">
        <v>50</v>
      </c>
      <c r="D32" s="50">
        <v>1059</v>
      </c>
      <c r="E32" s="50">
        <v>93</v>
      </c>
      <c r="F32" s="50">
        <v>828</v>
      </c>
      <c r="G32" s="50">
        <v>138</v>
      </c>
      <c r="J32"/>
      <c r="K32"/>
      <c r="L32"/>
      <c r="M32"/>
      <c r="N32"/>
      <c r="O32"/>
    </row>
    <row r="33" spans="1:15" hidden="1" x14ac:dyDescent="0.4">
      <c r="A33" s="49" t="s">
        <v>36</v>
      </c>
      <c r="B33" s="50" t="s">
        <v>6</v>
      </c>
      <c r="C33" s="51" t="s">
        <v>50</v>
      </c>
      <c r="D33" s="50">
        <v>69</v>
      </c>
      <c r="E33" s="50">
        <v>10</v>
      </c>
      <c r="F33" s="50">
        <v>48</v>
      </c>
      <c r="G33" s="50">
        <v>11</v>
      </c>
      <c r="J33"/>
      <c r="K33"/>
      <c r="L33"/>
      <c r="M33"/>
      <c r="N33"/>
      <c r="O33"/>
    </row>
    <row r="34" spans="1:15" hidden="1" x14ac:dyDescent="0.4">
      <c r="A34" s="49" t="s">
        <v>37</v>
      </c>
      <c r="B34" s="50" t="s">
        <v>6</v>
      </c>
      <c r="C34" s="51" t="s">
        <v>50</v>
      </c>
      <c r="D34" s="50">
        <v>78</v>
      </c>
      <c r="E34" s="50">
        <v>16</v>
      </c>
      <c r="F34" s="50">
        <v>1</v>
      </c>
      <c r="G34" s="50">
        <v>61</v>
      </c>
      <c r="J34"/>
      <c r="K34"/>
      <c r="L34"/>
    </row>
    <row r="35" spans="1:15" hidden="1" x14ac:dyDescent="0.4">
      <c r="A35" s="49" t="s">
        <v>5</v>
      </c>
      <c r="B35" s="50" t="s">
        <v>38</v>
      </c>
      <c r="C35" s="51" t="s">
        <v>50</v>
      </c>
      <c r="D35" s="50">
        <v>69</v>
      </c>
      <c r="E35" s="50">
        <v>16</v>
      </c>
      <c r="F35" s="50">
        <v>52</v>
      </c>
      <c r="G35" s="50">
        <v>1</v>
      </c>
      <c r="J35"/>
      <c r="K35"/>
      <c r="L35"/>
    </row>
    <row r="36" spans="1:15" hidden="1" x14ac:dyDescent="0.4">
      <c r="A36" s="49" t="s">
        <v>51</v>
      </c>
      <c r="B36" s="50" t="s">
        <v>38</v>
      </c>
      <c r="C36" s="51" t="s">
        <v>50</v>
      </c>
      <c r="D36" s="50">
        <v>964</v>
      </c>
      <c r="E36" s="50">
        <v>97</v>
      </c>
      <c r="F36" s="50">
        <v>867</v>
      </c>
      <c r="G36" s="50"/>
      <c r="J36"/>
      <c r="K36"/>
    </row>
    <row r="37" spans="1:15" hidden="1" x14ac:dyDescent="0.4">
      <c r="A37" s="49" t="s">
        <v>8</v>
      </c>
      <c r="B37" s="50" t="s">
        <v>38</v>
      </c>
      <c r="C37" s="51" t="s">
        <v>50</v>
      </c>
      <c r="D37" s="50">
        <v>141</v>
      </c>
      <c r="E37" s="50">
        <v>1</v>
      </c>
      <c r="F37" s="50">
        <v>117</v>
      </c>
      <c r="G37" s="50">
        <v>23</v>
      </c>
      <c r="J37"/>
      <c r="K37"/>
    </row>
    <row r="38" spans="1:15" hidden="1" x14ac:dyDescent="0.4">
      <c r="A38" s="49" t="s">
        <v>9</v>
      </c>
      <c r="B38" s="50" t="s">
        <v>38</v>
      </c>
      <c r="C38" s="51" t="s">
        <v>50</v>
      </c>
      <c r="D38" s="50">
        <v>35</v>
      </c>
      <c r="E38" s="50">
        <v>7</v>
      </c>
      <c r="F38" s="50">
        <v>20</v>
      </c>
      <c r="G38" s="50">
        <v>8</v>
      </c>
      <c r="J38"/>
      <c r="K38"/>
    </row>
    <row r="39" spans="1:15" hidden="1" x14ac:dyDescent="0.4">
      <c r="A39" s="49" t="s">
        <v>10</v>
      </c>
      <c r="B39" s="50" t="s">
        <v>38</v>
      </c>
      <c r="C39" s="51" t="s">
        <v>50</v>
      </c>
      <c r="D39" s="50">
        <v>252</v>
      </c>
      <c r="E39" s="50">
        <v>41</v>
      </c>
      <c r="F39" s="50">
        <v>200</v>
      </c>
      <c r="G39" s="50">
        <v>11</v>
      </c>
      <c r="J39"/>
      <c r="K39"/>
    </row>
    <row r="40" spans="1:15" hidden="1" x14ac:dyDescent="0.4">
      <c r="A40" s="49" t="s">
        <v>11</v>
      </c>
      <c r="B40" s="50" t="s">
        <v>38</v>
      </c>
      <c r="C40" s="51" t="s">
        <v>50</v>
      </c>
      <c r="D40" s="50">
        <v>123</v>
      </c>
      <c r="E40" s="50">
        <v>8</v>
      </c>
      <c r="F40" s="50">
        <v>114</v>
      </c>
      <c r="G40" s="50">
        <v>1</v>
      </c>
      <c r="J40"/>
      <c r="K40"/>
    </row>
    <row r="41" spans="1:15" hidden="1" x14ac:dyDescent="0.4">
      <c r="A41" s="49" t="s">
        <v>12</v>
      </c>
      <c r="B41" s="50" t="s">
        <v>38</v>
      </c>
      <c r="C41" s="51" t="s">
        <v>50</v>
      </c>
      <c r="D41" s="50">
        <v>2136</v>
      </c>
      <c r="E41" s="50">
        <v>216</v>
      </c>
      <c r="F41" s="50">
        <v>1848</v>
      </c>
      <c r="G41" s="50">
        <v>72</v>
      </c>
      <c r="J41"/>
      <c r="K41"/>
    </row>
    <row r="42" spans="1:15" hidden="1" x14ac:dyDescent="0.4">
      <c r="A42" s="49" t="s">
        <v>52</v>
      </c>
      <c r="B42" s="50" t="s">
        <v>38</v>
      </c>
      <c r="C42" s="51" t="s">
        <v>50</v>
      </c>
      <c r="D42" s="50">
        <v>134</v>
      </c>
      <c r="E42" s="50">
        <v>20</v>
      </c>
      <c r="F42" s="50">
        <v>91</v>
      </c>
      <c r="G42" s="50">
        <v>23</v>
      </c>
      <c r="J42"/>
      <c r="K42"/>
    </row>
    <row r="43" spans="1:15" hidden="1" x14ac:dyDescent="0.4">
      <c r="A43" s="49" t="s">
        <v>14</v>
      </c>
      <c r="B43" s="50" t="s">
        <v>38</v>
      </c>
      <c r="C43" s="51" t="s">
        <v>50</v>
      </c>
      <c r="D43" s="50">
        <v>104</v>
      </c>
      <c r="E43" s="50">
        <v>2</v>
      </c>
      <c r="F43" s="50">
        <v>94</v>
      </c>
      <c r="G43" s="50">
        <v>8</v>
      </c>
      <c r="J43"/>
      <c r="K43"/>
    </row>
    <row r="44" spans="1:15" hidden="1" x14ac:dyDescent="0.4">
      <c r="A44" s="49" t="s">
        <v>15</v>
      </c>
      <c r="B44" s="50" t="s">
        <v>38</v>
      </c>
      <c r="C44" s="51" t="s">
        <v>50</v>
      </c>
      <c r="D44" s="50">
        <v>157</v>
      </c>
      <c r="E44" s="50">
        <v>38</v>
      </c>
      <c r="F44" s="50">
        <v>99</v>
      </c>
      <c r="G44" s="50">
        <v>20</v>
      </c>
      <c r="J44"/>
      <c r="K44"/>
    </row>
    <row r="45" spans="1:15" hidden="1" x14ac:dyDescent="0.4">
      <c r="A45" s="49" t="s">
        <v>16</v>
      </c>
      <c r="B45" s="50" t="s">
        <v>38</v>
      </c>
      <c r="C45" s="51" t="s">
        <v>50</v>
      </c>
      <c r="D45" s="50">
        <v>877</v>
      </c>
      <c r="E45" s="50">
        <v>122</v>
      </c>
      <c r="F45" s="50">
        <v>755</v>
      </c>
      <c r="G45" s="50"/>
      <c r="J45"/>
      <c r="K45"/>
    </row>
    <row r="46" spans="1:15" hidden="1" x14ac:dyDescent="0.4">
      <c r="A46" s="49" t="s">
        <v>17</v>
      </c>
      <c r="B46" s="50" t="s">
        <v>38</v>
      </c>
      <c r="C46" s="51" t="s">
        <v>50</v>
      </c>
      <c r="D46" s="50">
        <v>193</v>
      </c>
      <c r="E46" s="50">
        <v>36</v>
      </c>
      <c r="F46" s="50">
        <v>124</v>
      </c>
      <c r="G46" s="50">
        <v>33</v>
      </c>
      <c r="J46"/>
      <c r="K46"/>
    </row>
    <row r="47" spans="1:15" hidden="1" x14ac:dyDescent="0.4">
      <c r="A47" s="49" t="s">
        <v>18</v>
      </c>
      <c r="B47" s="50" t="s">
        <v>38</v>
      </c>
      <c r="C47" s="51" t="s">
        <v>50</v>
      </c>
      <c r="D47" s="50">
        <v>670</v>
      </c>
      <c r="E47" s="50">
        <v>101</v>
      </c>
      <c r="F47" s="50">
        <v>529</v>
      </c>
      <c r="G47" s="50">
        <v>40</v>
      </c>
      <c r="J47"/>
      <c r="K47"/>
    </row>
    <row r="48" spans="1:15" hidden="1" x14ac:dyDescent="0.4">
      <c r="A48" s="49" t="s">
        <v>19</v>
      </c>
      <c r="B48" s="50" t="s">
        <v>38</v>
      </c>
      <c r="C48" s="51" t="s">
        <v>50</v>
      </c>
      <c r="D48" s="50">
        <v>1128</v>
      </c>
      <c r="E48" s="50">
        <v>102</v>
      </c>
      <c r="F48" s="50">
        <v>852</v>
      </c>
      <c r="G48" s="50">
        <v>174</v>
      </c>
      <c r="J48"/>
      <c r="K48"/>
    </row>
    <row r="49" spans="1:11" hidden="1" x14ac:dyDescent="0.4">
      <c r="A49" s="49" t="s">
        <v>53</v>
      </c>
      <c r="B49" s="50" t="s">
        <v>38</v>
      </c>
      <c r="C49" s="51" t="s">
        <v>50</v>
      </c>
      <c r="D49" s="50">
        <v>3416</v>
      </c>
      <c r="E49" s="50">
        <v>382</v>
      </c>
      <c r="F49" s="50">
        <v>2641</v>
      </c>
      <c r="G49" s="50">
        <v>393</v>
      </c>
      <c r="J49"/>
      <c r="K49"/>
    </row>
    <row r="50" spans="1:11" hidden="1" x14ac:dyDescent="0.4">
      <c r="A50" s="49" t="s">
        <v>21</v>
      </c>
      <c r="B50" s="50" t="s">
        <v>38</v>
      </c>
      <c r="C50" s="51" t="s">
        <v>50</v>
      </c>
      <c r="D50" s="50">
        <v>429</v>
      </c>
      <c r="E50" s="50">
        <v>119</v>
      </c>
      <c r="F50" s="50">
        <v>248</v>
      </c>
      <c r="G50" s="50">
        <v>62</v>
      </c>
      <c r="J50"/>
      <c r="K50"/>
    </row>
    <row r="51" spans="1:11" hidden="1" x14ac:dyDescent="0.4">
      <c r="A51" s="49" t="s">
        <v>22</v>
      </c>
      <c r="B51" s="50" t="s">
        <v>38</v>
      </c>
      <c r="C51" s="51" t="s">
        <v>50</v>
      </c>
      <c r="D51" s="50">
        <v>308</v>
      </c>
      <c r="E51" s="50">
        <v>43</v>
      </c>
      <c r="F51" s="50">
        <v>198</v>
      </c>
      <c r="G51" s="50">
        <v>67</v>
      </c>
      <c r="J51"/>
      <c r="K51"/>
    </row>
    <row r="52" spans="1:11" hidden="1" x14ac:dyDescent="0.4">
      <c r="A52" s="49" t="s">
        <v>23</v>
      </c>
      <c r="B52" s="50" t="s">
        <v>38</v>
      </c>
      <c r="C52" s="51" t="s">
        <v>50</v>
      </c>
      <c r="D52" s="50">
        <v>137</v>
      </c>
      <c r="E52" s="50">
        <v>29</v>
      </c>
      <c r="F52" s="50">
        <v>83</v>
      </c>
      <c r="G52" s="50">
        <v>25</v>
      </c>
    </row>
    <row r="53" spans="1:11" hidden="1" x14ac:dyDescent="0.4">
      <c r="A53" s="49" t="s">
        <v>54</v>
      </c>
      <c r="B53" s="50" t="s">
        <v>38</v>
      </c>
      <c r="C53" s="51" t="s">
        <v>50</v>
      </c>
      <c r="D53" s="50">
        <v>1069</v>
      </c>
      <c r="E53" s="50">
        <v>47</v>
      </c>
      <c r="F53" s="50">
        <v>915</v>
      </c>
      <c r="G53" s="50">
        <v>107</v>
      </c>
    </row>
    <row r="54" spans="1:11" hidden="1" x14ac:dyDescent="0.4">
      <c r="A54" s="49" t="s">
        <v>25</v>
      </c>
      <c r="B54" s="50" t="s">
        <v>38</v>
      </c>
      <c r="C54" s="51" t="s">
        <v>50</v>
      </c>
      <c r="D54" s="50">
        <v>462</v>
      </c>
      <c r="E54" s="50">
        <v>59</v>
      </c>
      <c r="F54" s="50">
        <v>331</v>
      </c>
      <c r="G54" s="50">
        <v>72</v>
      </c>
    </row>
    <row r="55" spans="1:11" hidden="1" x14ac:dyDescent="0.4">
      <c r="A55" s="49" t="s">
        <v>26</v>
      </c>
      <c r="B55" s="50" t="s">
        <v>38</v>
      </c>
      <c r="C55" s="51" t="s">
        <v>50</v>
      </c>
      <c r="D55" s="50">
        <v>893</v>
      </c>
      <c r="E55" s="50">
        <v>141</v>
      </c>
      <c r="F55" s="50">
        <v>673</v>
      </c>
      <c r="G55" s="50">
        <v>79</v>
      </c>
    </row>
    <row r="56" spans="1:11" hidden="1" x14ac:dyDescent="0.4">
      <c r="A56" s="49" t="s">
        <v>27</v>
      </c>
      <c r="B56" s="50" t="s">
        <v>38</v>
      </c>
      <c r="C56" s="51" t="s">
        <v>50</v>
      </c>
      <c r="D56" s="50">
        <v>627</v>
      </c>
      <c r="E56" s="50">
        <v>117</v>
      </c>
      <c r="F56" s="50">
        <v>351</v>
      </c>
      <c r="G56" s="50">
        <v>159</v>
      </c>
    </row>
    <row r="57" spans="1:11" hidden="1" x14ac:dyDescent="0.4">
      <c r="A57" s="49" t="s">
        <v>28</v>
      </c>
      <c r="B57" s="50" t="s">
        <v>38</v>
      </c>
      <c r="C57" s="51" t="s">
        <v>50</v>
      </c>
      <c r="D57" s="50">
        <v>479</v>
      </c>
      <c r="E57" s="50">
        <v>87</v>
      </c>
      <c r="F57" s="50">
        <v>355</v>
      </c>
      <c r="G57" s="50">
        <v>37</v>
      </c>
    </row>
    <row r="58" spans="1:11" hidden="1" x14ac:dyDescent="0.4">
      <c r="A58" s="49" t="s">
        <v>29</v>
      </c>
      <c r="B58" s="50" t="s">
        <v>38</v>
      </c>
      <c r="C58" s="51" t="s">
        <v>50</v>
      </c>
      <c r="D58" s="50">
        <v>17</v>
      </c>
      <c r="E58" s="50">
        <v>3</v>
      </c>
      <c r="F58" s="50">
        <v>12</v>
      </c>
      <c r="G58" s="50">
        <v>2</v>
      </c>
    </row>
    <row r="59" spans="1:11" hidden="1" x14ac:dyDescent="0.4">
      <c r="A59" s="49" t="s">
        <v>30</v>
      </c>
      <c r="B59" s="50" t="s">
        <v>38</v>
      </c>
      <c r="C59" s="51" t="s">
        <v>50</v>
      </c>
      <c r="D59" s="50">
        <v>15</v>
      </c>
      <c r="E59" s="50">
        <v>2</v>
      </c>
      <c r="F59" s="50">
        <v>9</v>
      </c>
      <c r="G59" s="50">
        <v>4</v>
      </c>
    </row>
    <row r="60" spans="1:11" hidden="1" x14ac:dyDescent="0.4">
      <c r="A60" s="49" t="s">
        <v>31</v>
      </c>
      <c r="B60" s="50" t="s">
        <v>38</v>
      </c>
      <c r="C60" s="51" t="s">
        <v>50</v>
      </c>
      <c r="D60" s="50">
        <v>18</v>
      </c>
      <c r="E60" s="50">
        <v>4</v>
      </c>
      <c r="F60" s="50">
        <v>12</v>
      </c>
      <c r="G60" s="50">
        <v>2</v>
      </c>
    </row>
    <row r="61" spans="1:11" hidden="1" x14ac:dyDescent="0.4">
      <c r="A61" s="49" t="s">
        <v>32</v>
      </c>
      <c r="B61" s="50" t="s">
        <v>38</v>
      </c>
      <c r="C61" s="51" t="s">
        <v>50</v>
      </c>
      <c r="D61" s="50">
        <v>11</v>
      </c>
      <c r="E61" s="50">
        <v>2</v>
      </c>
      <c r="F61" s="50">
        <v>9</v>
      </c>
      <c r="G61" s="50"/>
    </row>
    <row r="62" spans="1:11" hidden="1" x14ac:dyDescent="0.4">
      <c r="A62" s="49" t="s">
        <v>33</v>
      </c>
      <c r="B62" s="50" t="s">
        <v>38</v>
      </c>
      <c r="C62" s="51" t="s">
        <v>50</v>
      </c>
      <c r="D62" s="50">
        <v>162</v>
      </c>
      <c r="E62" s="50">
        <v>15</v>
      </c>
      <c r="F62" s="50">
        <v>51</v>
      </c>
      <c r="G62" s="50">
        <v>96</v>
      </c>
    </row>
    <row r="63" spans="1:11" hidden="1" x14ac:dyDescent="0.4">
      <c r="A63" s="49" t="s">
        <v>34</v>
      </c>
      <c r="B63" s="50" t="s">
        <v>38</v>
      </c>
      <c r="C63" s="51" t="s">
        <v>50</v>
      </c>
      <c r="D63" s="50">
        <v>297</v>
      </c>
      <c r="E63" s="50">
        <v>43</v>
      </c>
      <c r="F63" s="50">
        <v>216</v>
      </c>
      <c r="G63" s="50">
        <v>38</v>
      </c>
    </row>
    <row r="64" spans="1:11" hidden="1" x14ac:dyDescent="0.4">
      <c r="A64" s="49" t="s">
        <v>35</v>
      </c>
      <c r="B64" s="50" t="s">
        <v>38</v>
      </c>
      <c r="C64" s="51" t="s">
        <v>50</v>
      </c>
      <c r="D64" s="50">
        <v>969</v>
      </c>
      <c r="E64" s="50">
        <v>85</v>
      </c>
      <c r="F64" s="50">
        <v>762</v>
      </c>
      <c r="G64" s="50">
        <v>122</v>
      </c>
    </row>
    <row r="65" spans="1:7" hidden="1" x14ac:dyDescent="0.4">
      <c r="A65" s="49" t="s">
        <v>36</v>
      </c>
      <c r="B65" s="50" t="s">
        <v>38</v>
      </c>
      <c r="C65" s="51" t="s">
        <v>50</v>
      </c>
      <c r="D65" s="50">
        <v>57</v>
      </c>
      <c r="E65" s="50">
        <v>9</v>
      </c>
      <c r="F65" s="50">
        <v>38</v>
      </c>
      <c r="G65" s="50">
        <v>10</v>
      </c>
    </row>
    <row r="66" spans="1:7" hidden="1" x14ac:dyDescent="0.4">
      <c r="A66" s="49" t="s">
        <v>37</v>
      </c>
      <c r="B66" s="50" t="s">
        <v>38</v>
      </c>
      <c r="C66" s="51" t="s">
        <v>50</v>
      </c>
      <c r="D66" s="50">
        <v>70</v>
      </c>
      <c r="E66" s="50">
        <v>13</v>
      </c>
      <c r="F66" s="50">
        <v>10</v>
      </c>
      <c r="G66" s="50">
        <v>47</v>
      </c>
    </row>
    <row r="67" spans="1:7" hidden="1" x14ac:dyDescent="0.4">
      <c r="A67" s="49" t="s">
        <v>5</v>
      </c>
      <c r="B67" s="50" t="s">
        <v>39</v>
      </c>
      <c r="C67" s="51" t="s">
        <v>50</v>
      </c>
      <c r="D67" s="50">
        <v>69</v>
      </c>
      <c r="E67" s="50">
        <v>16</v>
      </c>
      <c r="F67" s="50">
        <v>52</v>
      </c>
      <c r="G67" s="50">
        <v>1</v>
      </c>
    </row>
    <row r="68" spans="1:7" hidden="1" x14ac:dyDescent="0.4">
      <c r="A68" s="49" t="s">
        <v>51</v>
      </c>
      <c r="B68" s="50" t="s">
        <v>39</v>
      </c>
      <c r="C68" s="51" t="s">
        <v>50</v>
      </c>
      <c r="D68" s="50">
        <v>964</v>
      </c>
      <c r="E68" s="50">
        <v>97</v>
      </c>
      <c r="F68" s="50">
        <v>867</v>
      </c>
      <c r="G68" s="50"/>
    </row>
    <row r="69" spans="1:7" hidden="1" x14ac:dyDescent="0.4">
      <c r="A69" s="49" t="s">
        <v>8</v>
      </c>
      <c r="B69" s="50" t="s">
        <v>39</v>
      </c>
      <c r="C69" s="51" t="s">
        <v>50</v>
      </c>
      <c r="D69" s="50">
        <v>141</v>
      </c>
      <c r="E69" s="50">
        <v>1</v>
      </c>
      <c r="F69" s="50">
        <v>117</v>
      </c>
      <c r="G69" s="50">
        <v>23</v>
      </c>
    </row>
    <row r="70" spans="1:7" hidden="1" x14ac:dyDescent="0.4">
      <c r="A70" s="49" t="s">
        <v>9</v>
      </c>
      <c r="B70" s="50" t="s">
        <v>39</v>
      </c>
      <c r="C70" s="51" t="s">
        <v>50</v>
      </c>
      <c r="D70" s="50">
        <v>35</v>
      </c>
      <c r="E70" s="50">
        <v>7</v>
      </c>
      <c r="F70" s="50">
        <v>20</v>
      </c>
      <c r="G70" s="50">
        <v>8</v>
      </c>
    </row>
    <row r="71" spans="1:7" hidden="1" x14ac:dyDescent="0.4">
      <c r="A71" s="49" t="s">
        <v>10</v>
      </c>
      <c r="B71" s="50" t="s">
        <v>39</v>
      </c>
      <c r="C71" s="51" t="s">
        <v>50</v>
      </c>
      <c r="D71" s="50">
        <v>252</v>
      </c>
      <c r="E71" s="50">
        <v>41</v>
      </c>
      <c r="F71" s="50">
        <v>200</v>
      </c>
      <c r="G71" s="50">
        <v>11</v>
      </c>
    </row>
    <row r="72" spans="1:7" hidden="1" x14ac:dyDescent="0.4">
      <c r="A72" s="49" t="s">
        <v>11</v>
      </c>
      <c r="B72" s="50" t="s">
        <v>39</v>
      </c>
      <c r="C72" s="51" t="s">
        <v>50</v>
      </c>
      <c r="D72" s="50">
        <v>123</v>
      </c>
      <c r="E72" s="50">
        <v>8</v>
      </c>
      <c r="F72" s="50">
        <v>114</v>
      </c>
      <c r="G72" s="50">
        <v>1</v>
      </c>
    </row>
    <row r="73" spans="1:7" hidden="1" x14ac:dyDescent="0.4">
      <c r="A73" s="49" t="s">
        <v>12</v>
      </c>
      <c r="B73" s="50" t="s">
        <v>39</v>
      </c>
      <c r="C73" s="51" t="s">
        <v>50</v>
      </c>
      <c r="D73" s="50">
        <v>2136</v>
      </c>
      <c r="E73" s="50">
        <v>216</v>
      </c>
      <c r="F73" s="50">
        <v>1848</v>
      </c>
      <c r="G73" s="50">
        <v>72</v>
      </c>
    </row>
    <row r="74" spans="1:7" hidden="1" x14ac:dyDescent="0.4">
      <c r="A74" s="49" t="s">
        <v>52</v>
      </c>
      <c r="B74" s="50" t="s">
        <v>39</v>
      </c>
      <c r="C74" s="51" t="s">
        <v>50</v>
      </c>
      <c r="D74" s="50">
        <v>134</v>
      </c>
      <c r="E74" s="50">
        <v>20</v>
      </c>
      <c r="F74" s="50">
        <v>91</v>
      </c>
      <c r="G74" s="50">
        <v>23</v>
      </c>
    </row>
    <row r="75" spans="1:7" hidden="1" x14ac:dyDescent="0.4">
      <c r="A75" s="49" t="s">
        <v>14</v>
      </c>
      <c r="B75" s="50" t="s">
        <v>39</v>
      </c>
      <c r="C75" s="51" t="s">
        <v>50</v>
      </c>
      <c r="D75" s="50">
        <v>104</v>
      </c>
      <c r="E75" s="50">
        <v>2</v>
      </c>
      <c r="F75" s="50">
        <v>94</v>
      </c>
      <c r="G75" s="50">
        <v>8</v>
      </c>
    </row>
    <row r="76" spans="1:7" hidden="1" x14ac:dyDescent="0.4">
      <c r="A76" s="49" t="s">
        <v>15</v>
      </c>
      <c r="B76" s="50" t="s">
        <v>39</v>
      </c>
      <c r="C76" s="51" t="s">
        <v>50</v>
      </c>
      <c r="D76" s="50">
        <v>157</v>
      </c>
      <c r="E76" s="50">
        <v>38</v>
      </c>
      <c r="F76" s="50">
        <v>99</v>
      </c>
      <c r="G76" s="50">
        <v>20</v>
      </c>
    </row>
    <row r="77" spans="1:7" hidden="1" x14ac:dyDescent="0.4">
      <c r="A77" s="49" t="s">
        <v>16</v>
      </c>
      <c r="B77" s="50" t="s">
        <v>39</v>
      </c>
      <c r="C77" s="51" t="s">
        <v>50</v>
      </c>
      <c r="D77" s="50">
        <v>877</v>
      </c>
      <c r="E77" s="50">
        <v>122</v>
      </c>
      <c r="F77" s="50">
        <v>755</v>
      </c>
      <c r="G77" s="50"/>
    </row>
    <row r="78" spans="1:7" hidden="1" x14ac:dyDescent="0.4">
      <c r="A78" s="49" t="s">
        <v>17</v>
      </c>
      <c r="B78" s="50" t="s">
        <v>39</v>
      </c>
      <c r="C78" s="51" t="s">
        <v>50</v>
      </c>
      <c r="D78" s="50">
        <v>193</v>
      </c>
      <c r="E78" s="50">
        <v>36</v>
      </c>
      <c r="F78" s="50">
        <v>124</v>
      </c>
      <c r="G78" s="50">
        <v>33</v>
      </c>
    </row>
    <row r="79" spans="1:7" hidden="1" x14ac:dyDescent="0.4">
      <c r="A79" s="49" t="s">
        <v>18</v>
      </c>
      <c r="B79" s="50" t="s">
        <v>39</v>
      </c>
      <c r="C79" s="51" t="s">
        <v>50</v>
      </c>
      <c r="D79" s="50">
        <v>670</v>
      </c>
      <c r="E79" s="50">
        <v>101</v>
      </c>
      <c r="F79" s="50">
        <v>529</v>
      </c>
      <c r="G79" s="50">
        <v>40</v>
      </c>
    </row>
    <row r="80" spans="1:7" hidden="1" x14ac:dyDescent="0.4">
      <c r="A80" s="49" t="s">
        <v>19</v>
      </c>
      <c r="B80" s="50" t="s">
        <v>39</v>
      </c>
      <c r="C80" s="51" t="s">
        <v>50</v>
      </c>
      <c r="D80" s="50">
        <v>1128</v>
      </c>
      <c r="E80" s="50">
        <v>102</v>
      </c>
      <c r="F80" s="50">
        <v>852</v>
      </c>
      <c r="G80" s="50">
        <v>174</v>
      </c>
    </row>
    <row r="81" spans="1:7" hidden="1" x14ac:dyDescent="0.4">
      <c r="A81" s="49" t="s">
        <v>53</v>
      </c>
      <c r="B81" s="50" t="s">
        <v>39</v>
      </c>
      <c r="C81" s="51" t="s">
        <v>50</v>
      </c>
      <c r="D81" s="50">
        <v>3416</v>
      </c>
      <c r="E81" s="50">
        <v>382</v>
      </c>
      <c r="F81" s="50">
        <v>2641</v>
      </c>
      <c r="G81" s="50">
        <v>393</v>
      </c>
    </row>
    <row r="82" spans="1:7" hidden="1" x14ac:dyDescent="0.4">
      <c r="A82" s="49" t="s">
        <v>21</v>
      </c>
      <c r="B82" s="50" t="s">
        <v>39</v>
      </c>
      <c r="C82" s="51" t="s">
        <v>50</v>
      </c>
      <c r="D82" s="50">
        <v>429</v>
      </c>
      <c r="E82" s="50">
        <v>119</v>
      </c>
      <c r="F82" s="50">
        <v>248</v>
      </c>
      <c r="G82" s="50">
        <v>62</v>
      </c>
    </row>
    <row r="83" spans="1:7" hidden="1" x14ac:dyDescent="0.4">
      <c r="A83" s="49" t="s">
        <v>22</v>
      </c>
      <c r="B83" s="50" t="s">
        <v>39</v>
      </c>
      <c r="C83" s="51" t="s">
        <v>50</v>
      </c>
      <c r="D83" s="50">
        <v>308</v>
      </c>
      <c r="E83" s="50">
        <v>43</v>
      </c>
      <c r="F83" s="50">
        <v>198</v>
      </c>
      <c r="G83" s="50">
        <v>67</v>
      </c>
    </row>
    <row r="84" spans="1:7" hidden="1" x14ac:dyDescent="0.4">
      <c r="A84" s="49" t="s">
        <v>23</v>
      </c>
      <c r="B84" s="50" t="s">
        <v>39</v>
      </c>
      <c r="C84" s="51" t="s">
        <v>50</v>
      </c>
      <c r="D84" s="50">
        <v>137</v>
      </c>
      <c r="E84" s="50">
        <v>29</v>
      </c>
      <c r="F84" s="50">
        <v>83</v>
      </c>
      <c r="G84" s="50">
        <v>25</v>
      </c>
    </row>
    <row r="85" spans="1:7" hidden="1" x14ac:dyDescent="0.4">
      <c r="A85" s="49" t="s">
        <v>54</v>
      </c>
      <c r="B85" s="50" t="s">
        <v>39</v>
      </c>
      <c r="C85" s="51" t="s">
        <v>50</v>
      </c>
      <c r="D85" s="50">
        <v>1069</v>
      </c>
      <c r="E85" s="50">
        <v>47</v>
      </c>
      <c r="F85" s="50">
        <v>915</v>
      </c>
      <c r="G85" s="50">
        <v>107</v>
      </c>
    </row>
    <row r="86" spans="1:7" hidden="1" x14ac:dyDescent="0.4">
      <c r="A86" s="49" t="s">
        <v>25</v>
      </c>
      <c r="B86" s="50" t="s">
        <v>39</v>
      </c>
      <c r="C86" s="51" t="s">
        <v>50</v>
      </c>
      <c r="D86" s="50">
        <v>462</v>
      </c>
      <c r="E86" s="50">
        <v>59</v>
      </c>
      <c r="F86" s="50">
        <v>331</v>
      </c>
      <c r="G86" s="50">
        <v>72</v>
      </c>
    </row>
    <row r="87" spans="1:7" hidden="1" x14ac:dyDescent="0.4">
      <c r="A87" s="49" t="s">
        <v>26</v>
      </c>
      <c r="B87" s="50" t="s">
        <v>39</v>
      </c>
      <c r="C87" s="51" t="s">
        <v>50</v>
      </c>
      <c r="D87" s="50">
        <v>893</v>
      </c>
      <c r="E87" s="50">
        <v>141</v>
      </c>
      <c r="F87" s="50">
        <v>673</v>
      </c>
      <c r="G87" s="50">
        <v>79</v>
      </c>
    </row>
    <row r="88" spans="1:7" hidden="1" x14ac:dyDescent="0.4">
      <c r="A88" s="49" t="s">
        <v>27</v>
      </c>
      <c r="B88" s="50" t="s">
        <v>39</v>
      </c>
      <c r="C88" s="51" t="s">
        <v>50</v>
      </c>
      <c r="D88" s="50">
        <v>627</v>
      </c>
      <c r="E88" s="50">
        <v>117</v>
      </c>
      <c r="F88" s="50">
        <v>351</v>
      </c>
      <c r="G88" s="50">
        <v>159</v>
      </c>
    </row>
    <row r="89" spans="1:7" hidden="1" x14ac:dyDescent="0.4">
      <c r="A89" s="49" t="s">
        <v>28</v>
      </c>
      <c r="B89" s="50" t="s">
        <v>39</v>
      </c>
      <c r="C89" s="51" t="s">
        <v>50</v>
      </c>
      <c r="D89" s="50">
        <v>479</v>
      </c>
      <c r="E89" s="50">
        <v>87</v>
      </c>
      <c r="F89" s="50">
        <v>355</v>
      </c>
      <c r="G89" s="50">
        <v>37</v>
      </c>
    </row>
    <row r="90" spans="1:7" hidden="1" x14ac:dyDescent="0.4">
      <c r="A90" s="49" t="s">
        <v>29</v>
      </c>
      <c r="B90" s="50" t="s">
        <v>39</v>
      </c>
      <c r="C90" s="51" t="s">
        <v>50</v>
      </c>
      <c r="D90" s="50">
        <v>17</v>
      </c>
      <c r="E90" s="50">
        <v>3</v>
      </c>
      <c r="F90" s="50">
        <v>12</v>
      </c>
      <c r="G90" s="50">
        <v>2</v>
      </c>
    </row>
    <row r="91" spans="1:7" hidden="1" x14ac:dyDescent="0.4">
      <c r="A91" s="49" t="s">
        <v>30</v>
      </c>
      <c r="B91" s="50" t="s">
        <v>39</v>
      </c>
      <c r="C91" s="51" t="s">
        <v>50</v>
      </c>
      <c r="D91" s="50">
        <v>15</v>
      </c>
      <c r="E91" s="50">
        <v>2</v>
      </c>
      <c r="F91" s="50">
        <v>9</v>
      </c>
      <c r="G91" s="50">
        <v>4</v>
      </c>
    </row>
    <row r="92" spans="1:7" hidden="1" x14ac:dyDescent="0.4">
      <c r="A92" s="49" t="s">
        <v>31</v>
      </c>
      <c r="B92" s="50" t="s">
        <v>39</v>
      </c>
      <c r="C92" s="51" t="s">
        <v>50</v>
      </c>
      <c r="D92" s="50">
        <v>18</v>
      </c>
      <c r="E92" s="50">
        <v>4</v>
      </c>
      <c r="F92" s="50">
        <v>12</v>
      </c>
      <c r="G92" s="50">
        <v>2</v>
      </c>
    </row>
    <row r="93" spans="1:7" hidden="1" x14ac:dyDescent="0.4">
      <c r="A93" s="49" t="s">
        <v>32</v>
      </c>
      <c r="B93" s="50" t="s">
        <v>39</v>
      </c>
      <c r="C93" s="51" t="s">
        <v>50</v>
      </c>
      <c r="D93" s="50">
        <v>11</v>
      </c>
      <c r="E93" s="50">
        <v>2</v>
      </c>
      <c r="F93" s="50">
        <v>9</v>
      </c>
      <c r="G93" s="50"/>
    </row>
    <row r="94" spans="1:7" hidden="1" x14ac:dyDescent="0.4">
      <c r="A94" s="49" t="s">
        <v>33</v>
      </c>
      <c r="B94" s="50" t="s">
        <v>39</v>
      </c>
      <c r="C94" s="51" t="s">
        <v>50</v>
      </c>
      <c r="D94" s="50">
        <v>162</v>
      </c>
      <c r="E94" s="50">
        <v>15</v>
      </c>
      <c r="F94" s="50">
        <v>51</v>
      </c>
      <c r="G94" s="50">
        <v>96</v>
      </c>
    </row>
    <row r="95" spans="1:7" hidden="1" x14ac:dyDescent="0.4">
      <c r="A95" s="49" t="s">
        <v>34</v>
      </c>
      <c r="B95" s="50" t="s">
        <v>39</v>
      </c>
      <c r="C95" s="51" t="s">
        <v>50</v>
      </c>
      <c r="D95" s="50">
        <v>297</v>
      </c>
      <c r="E95" s="50">
        <v>43</v>
      </c>
      <c r="F95" s="50">
        <v>216</v>
      </c>
      <c r="G95" s="50">
        <v>38</v>
      </c>
    </row>
    <row r="96" spans="1:7" hidden="1" x14ac:dyDescent="0.4">
      <c r="A96" s="49" t="s">
        <v>35</v>
      </c>
      <c r="B96" s="50" t="s">
        <v>39</v>
      </c>
      <c r="C96" s="51" t="s">
        <v>50</v>
      </c>
      <c r="D96" s="50">
        <v>969</v>
      </c>
      <c r="E96" s="50">
        <v>85</v>
      </c>
      <c r="F96" s="50">
        <v>762</v>
      </c>
      <c r="G96" s="50">
        <v>122</v>
      </c>
    </row>
    <row r="97" spans="1:7" hidden="1" x14ac:dyDescent="0.4">
      <c r="A97" s="49" t="s">
        <v>36</v>
      </c>
      <c r="B97" s="50" t="s">
        <v>39</v>
      </c>
      <c r="C97" s="51" t="s">
        <v>50</v>
      </c>
      <c r="D97" s="50">
        <v>57</v>
      </c>
      <c r="E97" s="50">
        <v>9</v>
      </c>
      <c r="F97" s="50">
        <v>38</v>
      </c>
      <c r="G97" s="50">
        <v>10</v>
      </c>
    </row>
    <row r="98" spans="1:7" hidden="1" x14ac:dyDescent="0.4">
      <c r="A98" s="49" t="s">
        <v>37</v>
      </c>
      <c r="B98" s="50" t="s">
        <v>39</v>
      </c>
      <c r="C98" s="51" t="s">
        <v>50</v>
      </c>
      <c r="D98" s="50">
        <v>70</v>
      </c>
      <c r="E98" s="50">
        <v>13</v>
      </c>
      <c r="F98" s="50">
        <v>10</v>
      </c>
      <c r="G98" s="50">
        <v>47</v>
      </c>
    </row>
    <row r="99" spans="1:7" hidden="1" x14ac:dyDescent="0.4">
      <c r="A99" s="49" t="s">
        <v>5</v>
      </c>
      <c r="B99" s="50" t="s">
        <v>40</v>
      </c>
      <c r="C99" s="51" t="s">
        <v>50</v>
      </c>
      <c r="D99" s="50">
        <v>90</v>
      </c>
      <c r="E99" s="50">
        <v>22</v>
      </c>
      <c r="F99" s="50">
        <v>68</v>
      </c>
      <c r="G99" s="50"/>
    </row>
    <row r="100" spans="1:7" hidden="1" x14ac:dyDescent="0.4">
      <c r="A100" s="49" t="s">
        <v>51</v>
      </c>
      <c r="B100" s="50" t="s">
        <v>40</v>
      </c>
      <c r="C100" s="51" t="s">
        <v>50</v>
      </c>
      <c r="D100" s="50">
        <v>1060</v>
      </c>
      <c r="E100" s="50">
        <v>132</v>
      </c>
      <c r="F100" s="50">
        <v>928</v>
      </c>
      <c r="G100" s="50"/>
    </row>
    <row r="101" spans="1:7" hidden="1" x14ac:dyDescent="0.4">
      <c r="A101" s="49" t="s">
        <v>8</v>
      </c>
      <c r="B101" s="50" t="s">
        <v>40</v>
      </c>
      <c r="C101" s="51" t="s">
        <v>50</v>
      </c>
      <c r="D101" s="50">
        <v>158</v>
      </c>
      <c r="E101" s="50">
        <v>3</v>
      </c>
      <c r="F101" s="50">
        <v>138</v>
      </c>
      <c r="G101" s="50">
        <v>17</v>
      </c>
    </row>
    <row r="102" spans="1:7" hidden="1" x14ac:dyDescent="0.4">
      <c r="A102" s="49" t="s">
        <v>9</v>
      </c>
      <c r="B102" s="50" t="s">
        <v>40</v>
      </c>
      <c r="C102" s="51" t="s">
        <v>50</v>
      </c>
      <c r="D102" s="50">
        <v>43</v>
      </c>
      <c r="E102" s="50">
        <v>6</v>
      </c>
      <c r="F102" s="50">
        <v>23</v>
      </c>
      <c r="G102" s="50">
        <v>14</v>
      </c>
    </row>
    <row r="103" spans="1:7" hidden="1" x14ac:dyDescent="0.4">
      <c r="A103" s="49" t="s">
        <v>10</v>
      </c>
      <c r="B103" s="50" t="s">
        <v>40</v>
      </c>
      <c r="C103" s="51" t="s">
        <v>50</v>
      </c>
      <c r="D103" s="50">
        <v>208</v>
      </c>
      <c r="E103" s="50">
        <v>28</v>
      </c>
      <c r="F103" s="50">
        <v>151</v>
      </c>
      <c r="G103" s="50">
        <v>29</v>
      </c>
    </row>
    <row r="104" spans="1:7" hidden="1" x14ac:dyDescent="0.4">
      <c r="A104" s="49" t="s">
        <v>11</v>
      </c>
      <c r="B104" s="50" t="s">
        <v>40</v>
      </c>
      <c r="C104" s="51" t="s">
        <v>50</v>
      </c>
      <c r="D104" s="50">
        <v>98</v>
      </c>
      <c r="E104" s="50">
        <v>13</v>
      </c>
      <c r="F104" s="50">
        <v>84</v>
      </c>
      <c r="G104" s="50">
        <v>1</v>
      </c>
    </row>
    <row r="105" spans="1:7" hidden="1" x14ac:dyDescent="0.4">
      <c r="A105" s="49" t="s">
        <v>12</v>
      </c>
      <c r="B105" s="50" t="s">
        <v>40</v>
      </c>
      <c r="C105" s="51" t="s">
        <v>50</v>
      </c>
      <c r="D105" s="50">
        <v>2929</v>
      </c>
      <c r="E105" s="50">
        <v>223</v>
      </c>
      <c r="F105" s="50">
        <v>2557</v>
      </c>
      <c r="G105" s="50">
        <v>149</v>
      </c>
    </row>
    <row r="106" spans="1:7" hidden="1" x14ac:dyDescent="0.4">
      <c r="A106" s="49" t="s">
        <v>52</v>
      </c>
      <c r="B106" s="50" t="s">
        <v>40</v>
      </c>
      <c r="C106" s="51" t="s">
        <v>50</v>
      </c>
      <c r="D106" s="50">
        <v>160</v>
      </c>
      <c r="E106" s="50">
        <v>25</v>
      </c>
      <c r="F106" s="50">
        <v>99</v>
      </c>
      <c r="G106" s="50">
        <v>36</v>
      </c>
    </row>
    <row r="107" spans="1:7" hidden="1" x14ac:dyDescent="0.4">
      <c r="A107" s="49" t="s">
        <v>14</v>
      </c>
      <c r="B107" s="50" t="s">
        <v>40</v>
      </c>
      <c r="C107" s="51" t="s">
        <v>50</v>
      </c>
      <c r="D107" s="50">
        <v>110</v>
      </c>
      <c r="E107" s="50">
        <v>9</v>
      </c>
      <c r="F107" s="50">
        <v>95</v>
      </c>
      <c r="G107" s="50">
        <v>6</v>
      </c>
    </row>
    <row r="108" spans="1:7" hidden="1" x14ac:dyDescent="0.4">
      <c r="A108" s="49" t="s">
        <v>15</v>
      </c>
      <c r="B108" s="50" t="s">
        <v>40</v>
      </c>
      <c r="C108" s="51" t="s">
        <v>50</v>
      </c>
      <c r="D108" s="50">
        <v>190</v>
      </c>
      <c r="E108" s="50">
        <v>52</v>
      </c>
      <c r="F108" s="50">
        <v>105</v>
      </c>
      <c r="G108" s="50">
        <v>33</v>
      </c>
    </row>
    <row r="109" spans="1:7" hidden="1" x14ac:dyDescent="0.4">
      <c r="A109" s="49" t="s">
        <v>16</v>
      </c>
      <c r="B109" s="50" t="s">
        <v>40</v>
      </c>
      <c r="C109" s="51" t="s">
        <v>50</v>
      </c>
      <c r="D109" s="50">
        <v>1206</v>
      </c>
      <c r="E109" s="50">
        <v>136</v>
      </c>
      <c r="F109" s="50">
        <v>1068</v>
      </c>
      <c r="G109" s="50">
        <v>2</v>
      </c>
    </row>
    <row r="110" spans="1:7" hidden="1" x14ac:dyDescent="0.4">
      <c r="A110" s="49" t="s">
        <v>17</v>
      </c>
      <c r="B110" s="50" t="s">
        <v>40</v>
      </c>
      <c r="C110" s="51" t="s">
        <v>50</v>
      </c>
      <c r="D110" s="50">
        <v>188</v>
      </c>
      <c r="E110" s="50">
        <v>36</v>
      </c>
      <c r="F110" s="50">
        <v>119</v>
      </c>
      <c r="G110" s="50">
        <v>33</v>
      </c>
    </row>
    <row r="111" spans="1:7" hidden="1" x14ac:dyDescent="0.4">
      <c r="A111" s="49" t="s">
        <v>18</v>
      </c>
      <c r="B111" s="50" t="s">
        <v>40</v>
      </c>
      <c r="C111" s="51" t="s">
        <v>50</v>
      </c>
      <c r="D111" s="50">
        <v>680</v>
      </c>
      <c r="E111" s="50">
        <v>96</v>
      </c>
      <c r="F111" s="50">
        <v>541</v>
      </c>
      <c r="G111" s="50">
        <v>43</v>
      </c>
    </row>
    <row r="112" spans="1:7" hidden="1" x14ac:dyDescent="0.4">
      <c r="A112" s="49" t="s">
        <v>19</v>
      </c>
      <c r="B112" s="50" t="s">
        <v>40</v>
      </c>
      <c r="C112" s="51" t="s">
        <v>50</v>
      </c>
      <c r="D112" s="50">
        <v>1457</v>
      </c>
      <c r="E112" s="50">
        <v>96</v>
      </c>
      <c r="F112" s="50">
        <v>1232</v>
      </c>
      <c r="G112" s="50">
        <v>129</v>
      </c>
    </row>
    <row r="113" spans="1:7" hidden="1" x14ac:dyDescent="0.4">
      <c r="A113" s="49" t="s">
        <v>53</v>
      </c>
      <c r="B113" s="50" t="s">
        <v>40</v>
      </c>
      <c r="C113" s="51" t="s">
        <v>50</v>
      </c>
      <c r="D113" s="50">
        <v>4272</v>
      </c>
      <c r="E113" s="50">
        <v>435</v>
      </c>
      <c r="F113" s="50">
        <v>3375</v>
      </c>
      <c r="G113" s="50">
        <v>462</v>
      </c>
    </row>
    <row r="114" spans="1:7" hidden="1" x14ac:dyDescent="0.4">
      <c r="A114" s="49" t="s">
        <v>21</v>
      </c>
      <c r="B114" s="50" t="s">
        <v>40</v>
      </c>
      <c r="C114" s="51" t="s">
        <v>50</v>
      </c>
      <c r="D114" s="50">
        <v>466</v>
      </c>
      <c r="E114" s="50">
        <v>99</v>
      </c>
      <c r="F114" s="50">
        <v>291</v>
      </c>
      <c r="G114" s="50">
        <v>76</v>
      </c>
    </row>
    <row r="115" spans="1:7" hidden="1" x14ac:dyDescent="0.4">
      <c r="A115" s="49" t="s">
        <v>22</v>
      </c>
      <c r="B115" s="50" t="s">
        <v>40</v>
      </c>
      <c r="C115" s="51" t="s">
        <v>50</v>
      </c>
      <c r="D115" s="50">
        <v>456</v>
      </c>
      <c r="E115" s="50">
        <v>98</v>
      </c>
      <c r="F115" s="50">
        <v>266</v>
      </c>
      <c r="G115" s="50">
        <v>92</v>
      </c>
    </row>
    <row r="116" spans="1:7" hidden="1" x14ac:dyDescent="0.4">
      <c r="A116" s="49" t="s">
        <v>23</v>
      </c>
      <c r="B116" s="50" t="s">
        <v>40</v>
      </c>
      <c r="C116" s="51" t="s">
        <v>50</v>
      </c>
      <c r="D116" s="50">
        <v>145</v>
      </c>
      <c r="E116" s="50">
        <v>34</v>
      </c>
      <c r="F116" s="50">
        <v>78</v>
      </c>
      <c r="G116" s="50">
        <v>33</v>
      </c>
    </row>
    <row r="117" spans="1:7" hidden="1" x14ac:dyDescent="0.4">
      <c r="A117" s="49" t="s">
        <v>54</v>
      </c>
      <c r="B117" s="50" t="s">
        <v>40</v>
      </c>
      <c r="C117" s="51" t="s">
        <v>50</v>
      </c>
      <c r="D117" s="50">
        <v>1390</v>
      </c>
      <c r="E117" s="50">
        <v>64</v>
      </c>
      <c r="F117" s="50">
        <v>1204</v>
      </c>
      <c r="G117" s="50">
        <v>122</v>
      </c>
    </row>
    <row r="118" spans="1:7" hidden="1" x14ac:dyDescent="0.4">
      <c r="A118" s="49" t="s">
        <v>25</v>
      </c>
      <c r="B118" s="50" t="s">
        <v>40</v>
      </c>
      <c r="C118" s="51" t="s">
        <v>50</v>
      </c>
      <c r="D118" s="50">
        <v>659</v>
      </c>
      <c r="E118" s="50">
        <v>98</v>
      </c>
      <c r="F118" s="50">
        <v>462</v>
      </c>
      <c r="G118" s="50">
        <v>99</v>
      </c>
    </row>
    <row r="119" spans="1:7" hidden="1" x14ac:dyDescent="0.4">
      <c r="A119" s="49" t="s">
        <v>26</v>
      </c>
      <c r="B119" s="50" t="s">
        <v>40</v>
      </c>
      <c r="C119" s="51" t="s">
        <v>50</v>
      </c>
      <c r="D119" s="50">
        <v>942</v>
      </c>
      <c r="E119" s="50">
        <v>144</v>
      </c>
      <c r="F119" s="50">
        <v>789</v>
      </c>
      <c r="G119" s="50">
        <v>9</v>
      </c>
    </row>
    <row r="120" spans="1:7" hidden="1" x14ac:dyDescent="0.4">
      <c r="A120" s="49" t="s">
        <v>27</v>
      </c>
      <c r="B120" s="50" t="s">
        <v>40</v>
      </c>
      <c r="C120" s="51" t="s">
        <v>50</v>
      </c>
      <c r="D120" s="50">
        <v>751</v>
      </c>
      <c r="E120" s="50">
        <v>111</v>
      </c>
      <c r="F120" s="50">
        <v>411</v>
      </c>
      <c r="G120" s="50">
        <v>229</v>
      </c>
    </row>
    <row r="121" spans="1:7" hidden="1" x14ac:dyDescent="0.4">
      <c r="A121" s="49" t="s">
        <v>28</v>
      </c>
      <c r="B121" s="50" t="s">
        <v>40</v>
      </c>
      <c r="C121" s="51" t="s">
        <v>50</v>
      </c>
      <c r="D121" s="50">
        <v>675</v>
      </c>
      <c r="E121" s="50">
        <v>149</v>
      </c>
      <c r="F121" s="50">
        <v>457</v>
      </c>
      <c r="G121" s="50">
        <v>69</v>
      </c>
    </row>
    <row r="122" spans="1:7" hidden="1" x14ac:dyDescent="0.4">
      <c r="A122" s="49" t="s">
        <v>29</v>
      </c>
      <c r="B122" s="50" t="s">
        <v>40</v>
      </c>
      <c r="C122" s="51" t="s">
        <v>50</v>
      </c>
      <c r="D122" s="50">
        <v>5</v>
      </c>
      <c r="E122" s="50">
        <v>1</v>
      </c>
      <c r="F122" s="50">
        <v>4</v>
      </c>
      <c r="G122" s="50"/>
    </row>
    <row r="123" spans="1:7" hidden="1" x14ac:dyDescent="0.4">
      <c r="A123" s="49" t="s">
        <v>30</v>
      </c>
      <c r="B123" s="50" t="s">
        <v>40</v>
      </c>
      <c r="C123" s="51" t="s">
        <v>50</v>
      </c>
      <c r="D123" s="50">
        <v>10</v>
      </c>
      <c r="E123" s="50">
        <v>2</v>
      </c>
      <c r="F123" s="50">
        <v>6</v>
      </c>
      <c r="G123" s="50">
        <v>2</v>
      </c>
    </row>
    <row r="124" spans="1:7" hidden="1" x14ac:dyDescent="0.4">
      <c r="A124" s="49" t="s">
        <v>31</v>
      </c>
      <c r="B124" s="50" t="s">
        <v>40</v>
      </c>
      <c r="C124" s="51" t="s">
        <v>50</v>
      </c>
      <c r="D124" s="50">
        <v>8</v>
      </c>
      <c r="E124" s="50">
        <v>3</v>
      </c>
      <c r="F124" s="50">
        <v>5</v>
      </c>
      <c r="G124" s="50"/>
    </row>
    <row r="125" spans="1:7" hidden="1" x14ac:dyDescent="0.4">
      <c r="A125" s="49" t="s">
        <v>32</v>
      </c>
      <c r="B125" s="50" t="s">
        <v>40</v>
      </c>
      <c r="C125" s="51" t="s">
        <v>50</v>
      </c>
      <c r="D125" s="50">
        <v>8</v>
      </c>
      <c r="E125" s="50">
        <v>1</v>
      </c>
      <c r="F125" s="50">
        <v>6</v>
      </c>
      <c r="G125" s="50">
        <v>1</v>
      </c>
    </row>
    <row r="126" spans="1:7" hidden="1" x14ac:dyDescent="0.4">
      <c r="A126" s="49" t="s">
        <v>33</v>
      </c>
      <c r="B126" s="50" t="s">
        <v>40</v>
      </c>
      <c r="C126" s="51" t="s">
        <v>50</v>
      </c>
      <c r="D126" s="50">
        <v>187</v>
      </c>
      <c r="E126" s="50">
        <v>17</v>
      </c>
      <c r="F126" s="50">
        <v>64</v>
      </c>
      <c r="G126" s="50">
        <v>106</v>
      </c>
    </row>
    <row r="127" spans="1:7" hidden="1" x14ac:dyDescent="0.4">
      <c r="A127" s="49" t="s">
        <v>34</v>
      </c>
      <c r="B127" s="50" t="s">
        <v>40</v>
      </c>
      <c r="C127" s="51" t="s">
        <v>50</v>
      </c>
      <c r="D127" s="50">
        <v>346</v>
      </c>
      <c r="E127" s="50">
        <v>55</v>
      </c>
      <c r="F127" s="50">
        <v>252</v>
      </c>
      <c r="G127" s="50">
        <v>39</v>
      </c>
    </row>
    <row r="128" spans="1:7" hidden="1" x14ac:dyDescent="0.4">
      <c r="A128" s="49" t="s">
        <v>35</v>
      </c>
      <c r="B128" s="50" t="s">
        <v>40</v>
      </c>
      <c r="C128" s="51" t="s">
        <v>50</v>
      </c>
      <c r="D128" s="50">
        <v>1021</v>
      </c>
      <c r="E128" s="50">
        <v>84</v>
      </c>
      <c r="F128" s="50">
        <v>792</v>
      </c>
      <c r="G128" s="50">
        <v>145</v>
      </c>
    </row>
    <row r="129" spans="1:7" hidden="1" x14ac:dyDescent="0.4">
      <c r="A129" s="49" t="s">
        <v>36</v>
      </c>
      <c r="B129" s="50" t="s">
        <v>40</v>
      </c>
      <c r="C129" s="51" t="s">
        <v>50</v>
      </c>
      <c r="D129" s="50">
        <v>53</v>
      </c>
      <c r="E129" s="50">
        <v>17</v>
      </c>
      <c r="F129" s="50">
        <v>31</v>
      </c>
      <c r="G129" s="50">
        <v>5</v>
      </c>
    </row>
    <row r="130" spans="1:7" hidden="1" x14ac:dyDescent="0.4">
      <c r="A130" s="49" t="s">
        <v>37</v>
      </c>
      <c r="B130" s="50" t="s">
        <v>40</v>
      </c>
      <c r="C130" s="51" t="s">
        <v>50</v>
      </c>
      <c r="D130" s="50">
        <v>44</v>
      </c>
      <c r="E130" s="50">
        <v>11</v>
      </c>
      <c r="F130" s="50">
        <v>1</v>
      </c>
      <c r="G130" s="50">
        <v>32</v>
      </c>
    </row>
    <row r="131" spans="1:7" hidden="1" x14ac:dyDescent="0.4">
      <c r="A131" s="49" t="s">
        <v>5</v>
      </c>
      <c r="B131" s="50" t="s">
        <v>41</v>
      </c>
      <c r="C131" s="51" t="s">
        <v>50</v>
      </c>
      <c r="D131" s="52">
        <v>73</v>
      </c>
      <c r="E131" s="52">
        <v>19</v>
      </c>
      <c r="F131" s="52">
        <v>52</v>
      </c>
      <c r="G131" s="52">
        <v>2</v>
      </c>
    </row>
    <row r="132" spans="1:7" hidden="1" x14ac:dyDescent="0.4">
      <c r="A132" s="49" t="s">
        <v>51</v>
      </c>
      <c r="B132" s="50" t="s">
        <v>41</v>
      </c>
      <c r="C132" s="51" t="s">
        <v>50</v>
      </c>
      <c r="D132" s="52">
        <v>1020</v>
      </c>
      <c r="E132" s="52">
        <v>138</v>
      </c>
      <c r="F132" s="52">
        <v>882</v>
      </c>
      <c r="G132" s="52"/>
    </row>
    <row r="133" spans="1:7" hidden="1" x14ac:dyDescent="0.4">
      <c r="A133" s="49" t="s">
        <v>8</v>
      </c>
      <c r="B133" s="50" t="s">
        <v>41</v>
      </c>
      <c r="C133" s="51" t="s">
        <v>50</v>
      </c>
      <c r="D133" s="52">
        <v>148</v>
      </c>
      <c r="E133" s="52">
        <v>32</v>
      </c>
      <c r="F133" s="52">
        <v>100</v>
      </c>
      <c r="G133" s="52">
        <v>16</v>
      </c>
    </row>
    <row r="134" spans="1:7" hidden="1" x14ac:dyDescent="0.4">
      <c r="A134" s="49" t="s">
        <v>9</v>
      </c>
      <c r="B134" s="50" t="s">
        <v>41</v>
      </c>
      <c r="C134" s="51" t="s">
        <v>50</v>
      </c>
      <c r="D134" s="52">
        <v>50</v>
      </c>
      <c r="E134" s="52">
        <v>6</v>
      </c>
      <c r="F134" s="52">
        <v>29</v>
      </c>
      <c r="G134" s="52">
        <v>15</v>
      </c>
    </row>
    <row r="135" spans="1:7" hidden="1" x14ac:dyDescent="0.4">
      <c r="A135" s="49" t="s">
        <v>10</v>
      </c>
      <c r="B135" s="50" t="s">
        <v>41</v>
      </c>
      <c r="C135" s="51" t="s">
        <v>50</v>
      </c>
      <c r="D135" s="52">
        <v>132</v>
      </c>
      <c r="E135" s="52">
        <v>14</v>
      </c>
      <c r="F135" s="52">
        <v>96</v>
      </c>
      <c r="G135" s="52">
        <v>22</v>
      </c>
    </row>
    <row r="136" spans="1:7" hidden="1" x14ac:dyDescent="0.4">
      <c r="A136" s="49" t="s">
        <v>11</v>
      </c>
      <c r="B136" s="50" t="s">
        <v>41</v>
      </c>
      <c r="C136" s="51" t="s">
        <v>50</v>
      </c>
      <c r="D136" s="52">
        <v>140</v>
      </c>
      <c r="E136" s="52">
        <v>4</v>
      </c>
      <c r="F136" s="52">
        <v>126</v>
      </c>
      <c r="G136" s="52">
        <v>10</v>
      </c>
    </row>
    <row r="137" spans="1:7" hidden="1" x14ac:dyDescent="0.4">
      <c r="A137" s="49" t="s">
        <v>12</v>
      </c>
      <c r="B137" s="50" t="s">
        <v>41</v>
      </c>
      <c r="C137" s="51" t="s">
        <v>50</v>
      </c>
      <c r="D137" s="52">
        <v>213</v>
      </c>
      <c r="E137" s="52">
        <v>30</v>
      </c>
      <c r="F137" s="52">
        <v>161</v>
      </c>
      <c r="G137" s="52">
        <v>22</v>
      </c>
    </row>
    <row r="138" spans="1:7" hidden="1" x14ac:dyDescent="0.4">
      <c r="A138" s="49" t="s">
        <v>52</v>
      </c>
      <c r="B138" s="50" t="s">
        <v>41</v>
      </c>
      <c r="C138" s="51" t="s">
        <v>50</v>
      </c>
      <c r="D138" s="52">
        <v>72</v>
      </c>
      <c r="E138" s="52">
        <v>8</v>
      </c>
      <c r="F138" s="52">
        <v>63</v>
      </c>
      <c r="G138" s="52">
        <v>1</v>
      </c>
    </row>
    <row r="139" spans="1:7" hidden="1" x14ac:dyDescent="0.4">
      <c r="A139" s="49" t="s">
        <v>14</v>
      </c>
      <c r="B139" s="50" t="s">
        <v>41</v>
      </c>
      <c r="C139" s="51" t="s">
        <v>50</v>
      </c>
      <c r="D139" s="52">
        <v>2725</v>
      </c>
      <c r="E139" s="52">
        <v>253</v>
      </c>
      <c r="F139" s="52">
        <v>2358</v>
      </c>
      <c r="G139" s="52">
        <v>114</v>
      </c>
    </row>
    <row r="140" spans="1:7" hidden="1" x14ac:dyDescent="0.4">
      <c r="A140" s="49" t="s">
        <v>15</v>
      </c>
      <c r="B140" s="50" t="s">
        <v>41</v>
      </c>
      <c r="C140" s="51" t="s">
        <v>50</v>
      </c>
      <c r="D140" s="52">
        <v>173</v>
      </c>
      <c r="E140" s="52">
        <v>30</v>
      </c>
      <c r="F140" s="52">
        <v>108</v>
      </c>
      <c r="G140" s="52">
        <v>35</v>
      </c>
    </row>
    <row r="141" spans="1:7" hidden="1" x14ac:dyDescent="0.4">
      <c r="A141" s="49" t="s">
        <v>16</v>
      </c>
      <c r="B141" s="50" t="s">
        <v>41</v>
      </c>
      <c r="C141" s="51" t="s">
        <v>50</v>
      </c>
      <c r="D141" s="52">
        <v>1208</v>
      </c>
      <c r="E141" s="52">
        <v>133</v>
      </c>
      <c r="F141" s="52">
        <v>1074</v>
      </c>
      <c r="G141" s="52">
        <v>1</v>
      </c>
    </row>
    <row r="142" spans="1:7" hidden="1" x14ac:dyDescent="0.4">
      <c r="A142" s="49" t="s">
        <v>17</v>
      </c>
      <c r="B142" s="50" t="s">
        <v>41</v>
      </c>
      <c r="C142" s="51" t="s">
        <v>50</v>
      </c>
      <c r="D142" s="52">
        <v>169</v>
      </c>
      <c r="E142" s="52">
        <v>27</v>
      </c>
      <c r="F142" s="52">
        <v>108</v>
      </c>
      <c r="G142" s="52">
        <v>34</v>
      </c>
    </row>
    <row r="143" spans="1:7" hidden="1" x14ac:dyDescent="0.4">
      <c r="A143" s="49" t="s">
        <v>18</v>
      </c>
      <c r="B143" s="50" t="s">
        <v>41</v>
      </c>
      <c r="C143" s="51" t="s">
        <v>50</v>
      </c>
      <c r="D143" s="52">
        <v>659</v>
      </c>
      <c r="E143" s="52">
        <v>94</v>
      </c>
      <c r="F143" s="52">
        <v>529</v>
      </c>
      <c r="G143" s="52">
        <v>36</v>
      </c>
    </row>
    <row r="144" spans="1:7" hidden="1" x14ac:dyDescent="0.4">
      <c r="A144" s="49" t="s">
        <v>19</v>
      </c>
      <c r="B144" s="50" t="s">
        <v>41</v>
      </c>
      <c r="C144" s="51" t="s">
        <v>50</v>
      </c>
      <c r="D144" s="52">
        <v>1590</v>
      </c>
      <c r="E144" s="52">
        <v>128</v>
      </c>
      <c r="F144" s="52">
        <v>1331</v>
      </c>
      <c r="G144" s="52">
        <v>131</v>
      </c>
    </row>
    <row r="145" spans="1:7" hidden="1" x14ac:dyDescent="0.4">
      <c r="A145" s="49" t="s">
        <v>53</v>
      </c>
      <c r="B145" s="50" t="s">
        <v>41</v>
      </c>
      <c r="C145" s="51" t="s">
        <v>50</v>
      </c>
      <c r="D145" s="52">
        <v>3995</v>
      </c>
      <c r="E145" s="52">
        <v>425</v>
      </c>
      <c r="F145" s="52">
        <v>3107</v>
      </c>
      <c r="G145" s="52">
        <v>463</v>
      </c>
    </row>
    <row r="146" spans="1:7" hidden="1" x14ac:dyDescent="0.4">
      <c r="A146" s="49" t="s">
        <v>21</v>
      </c>
      <c r="B146" s="50" t="s">
        <v>41</v>
      </c>
      <c r="C146" s="51" t="s">
        <v>50</v>
      </c>
      <c r="D146" s="52">
        <v>399</v>
      </c>
      <c r="E146" s="52">
        <v>107</v>
      </c>
      <c r="F146" s="52">
        <v>234</v>
      </c>
      <c r="G146" s="52">
        <v>58</v>
      </c>
    </row>
    <row r="147" spans="1:7" hidden="1" x14ac:dyDescent="0.4">
      <c r="A147" s="49" t="s">
        <v>22</v>
      </c>
      <c r="B147" s="50" t="s">
        <v>41</v>
      </c>
      <c r="C147" s="51" t="s">
        <v>50</v>
      </c>
      <c r="D147" s="52">
        <v>359</v>
      </c>
      <c r="E147" s="52">
        <v>71</v>
      </c>
      <c r="F147" s="52">
        <v>219</v>
      </c>
      <c r="G147" s="52">
        <v>69</v>
      </c>
    </row>
    <row r="148" spans="1:7" hidden="1" x14ac:dyDescent="0.4">
      <c r="A148" s="49" t="s">
        <v>23</v>
      </c>
      <c r="B148" s="50" t="s">
        <v>41</v>
      </c>
      <c r="C148" s="51" t="s">
        <v>50</v>
      </c>
      <c r="D148" s="52">
        <v>129</v>
      </c>
      <c r="E148" s="52">
        <v>35</v>
      </c>
      <c r="F148" s="52">
        <v>72</v>
      </c>
      <c r="G148" s="52">
        <v>22</v>
      </c>
    </row>
    <row r="149" spans="1:7" hidden="1" x14ac:dyDescent="0.4">
      <c r="A149" s="49" t="s">
        <v>54</v>
      </c>
      <c r="B149" s="50" t="s">
        <v>41</v>
      </c>
      <c r="C149" s="51" t="s">
        <v>50</v>
      </c>
      <c r="D149" s="52">
        <v>1274</v>
      </c>
      <c r="E149" s="52">
        <v>49</v>
      </c>
      <c r="F149" s="52">
        <v>1105</v>
      </c>
      <c r="G149" s="52">
        <v>120</v>
      </c>
    </row>
    <row r="150" spans="1:7" hidden="1" x14ac:dyDescent="0.4">
      <c r="A150" s="49" t="s">
        <v>25</v>
      </c>
      <c r="B150" s="50" t="s">
        <v>41</v>
      </c>
      <c r="C150" s="51" t="s">
        <v>50</v>
      </c>
      <c r="D150" s="52">
        <v>636</v>
      </c>
      <c r="E150" s="52">
        <v>72</v>
      </c>
      <c r="F150" s="52">
        <v>460</v>
      </c>
      <c r="G150" s="52">
        <v>104</v>
      </c>
    </row>
    <row r="151" spans="1:7" hidden="1" x14ac:dyDescent="0.4">
      <c r="A151" s="49" t="s">
        <v>26</v>
      </c>
      <c r="B151" s="50" t="s">
        <v>41</v>
      </c>
      <c r="C151" s="51" t="s">
        <v>50</v>
      </c>
      <c r="D151" s="52">
        <v>914</v>
      </c>
      <c r="E151" s="52">
        <v>151</v>
      </c>
      <c r="F151" s="52">
        <v>641</v>
      </c>
      <c r="G151" s="52">
        <v>122</v>
      </c>
    </row>
    <row r="152" spans="1:7" hidden="1" x14ac:dyDescent="0.4">
      <c r="A152" s="49" t="s">
        <v>27</v>
      </c>
      <c r="B152" s="50" t="s">
        <v>41</v>
      </c>
      <c r="C152" s="51" t="s">
        <v>50</v>
      </c>
      <c r="D152" s="52">
        <v>703</v>
      </c>
      <c r="E152" s="52">
        <v>116</v>
      </c>
      <c r="F152" s="52">
        <v>416</v>
      </c>
      <c r="G152" s="52">
        <v>171</v>
      </c>
    </row>
    <row r="153" spans="1:7" hidden="1" x14ac:dyDescent="0.4">
      <c r="A153" s="49" t="s">
        <v>28</v>
      </c>
      <c r="B153" s="50" t="s">
        <v>41</v>
      </c>
      <c r="C153" s="51" t="s">
        <v>50</v>
      </c>
      <c r="D153" s="52">
        <v>637</v>
      </c>
      <c r="E153" s="52">
        <v>143</v>
      </c>
      <c r="F153" s="52">
        <v>438</v>
      </c>
      <c r="G153" s="52">
        <v>56</v>
      </c>
    </row>
    <row r="154" spans="1:7" hidden="1" x14ac:dyDescent="0.4">
      <c r="A154" s="49" t="s">
        <v>29</v>
      </c>
      <c r="B154" s="50" t="s">
        <v>41</v>
      </c>
      <c r="C154" s="51" t="s">
        <v>50</v>
      </c>
      <c r="D154" s="52">
        <v>6</v>
      </c>
      <c r="E154" s="52">
        <v>1</v>
      </c>
      <c r="F154" s="52">
        <v>5</v>
      </c>
      <c r="G154" s="52"/>
    </row>
    <row r="155" spans="1:7" hidden="1" x14ac:dyDescent="0.4">
      <c r="A155" s="49" t="s">
        <v>30</v>
      </c>
      <c r="B155" s="50" t="s">
        <v>41</v>
      </c>
      <c r="C155" s="51" t="s">
        <v>50</v>
      </c>
      <c r="D155" s="52">
        <v>11</v>
      </c>
      <c r="E155" s="52">
        <v>3</v>
      </c>
      <c r="F155" s="52">
        <v>8</v>
      </c>
      <c r="G155" s="52"/>
    </row>
    <row r="156" spans="1:7" hidden="1" x14ac:dyDescent="0.4">
      <c r="A156" s="49" t="s">
        <v>31</v>
      </c>
      <c r="B156" s="50" t="s">
        <v>41</v>
      </c>
      <c r="C156" s="51" t="s">
        <v>50</v>
      </c>
      <c r="D156" s="52">
        <v>9</v>
      </c>
      <c r="E156" s="52"/>
      <c r="F156" s="52">
        <v>8</v>
      </c>
      <c r="G156" s="52">
        <v>1</v>
      </c>
    </row>
    <row r="157" spans="1:7" hidden="1" x14ac:dyDescent="0.4">
      <c r="A157" s="49" t="s">
        <v>32</v>
      </c>
      <c r="B157" s="50" t="s">
        <v>41</v>
      </c>
      <c r="C157" s="51" t="s">
        <v>50</v>
      </c>
      <c r="D157" s="52">
        <v>15</v>
      </c>
      <c r="E157" s="52"/>
      <c r="F157" s="52">
        <v>12</v>
      </c>
      <c r="G157" s="52">
        <v>3</v>
      </c>
    </row>
    <row r="158" spans="1:7" hidden="1" x14ac:dyDescent="0.4">
      <c r="A158" s="49" t="s">
        <v>33</v>
      </c>
      <c r="B158" s="50" t="s">
        <v>41</v>
      </c>
      <c r="C158" s="51" t="s">
        <v>50</v>
      </c>
      <c r="D158" s="52">
        <v>184</v>
      </c>
      <c r="E158" s="52">
        <v>29</v>
      </c>
      <c r="F158" s="52">
        <v>67</v>
      </c>
      <c r="G158" s="52">
        <v>88</v>
      </c>
    </row>
    <row r="159" spans="1:7" hidden="1" x14ac:dyDescent="0.4">
      <c r="A159" s="49" t="s">
        <v>34</v>
      </c>
      <c r="B159" s="50" t="s">
        <v>41</v>
      </c>
      <c r="C159" s="51" t="s">
        <v>50</v>
      </c>
      <c r="D159" s="52">
        <v>358</v>
      </c>
      <c r="E159" s="52">
        <v>46</v>
      </c>
      <c r="F159" s="52">
        <v>275</v>
      </c>
      <c r="G159" s="52">
        <v>37</v>
      </c>
    </row>
    <row r="160" spans="1:7" hidden="1" x14ac:dyDescent="0.4">
      <c r="A160" s="49" t="s">
        <v>35</v>
      </c>
      <c r="B160" s="50" t="s">
        <v>41</v>
      </c>
      <c r="C160" s="51" t="s">
        <v>50</v>
      </c>
      <c r="D160" s="52">
        <v>1054</v>
      </c>
      <c r="E160" s="52">
        <v>82</v>
      </c>
      <c r="F160" s="52">
        <v>849</v>
      </c>
      <c r="G160" s="52">
        <v>123</v>
      </c>
    </row>
    <row r="161" spans="1:7" hidden="1" x14ac:dyDescent="0.4">
      <c r="A161" s="49" t="s">
        <v>36</v>
      </c>
      <c r="B161" s="50" t="s">
        <v>41</v>
      </c>
      <c r="C161" s="51" t="s">
        <v>50</v>
      </c>
      <c r="D161" s="52">
        <v>55</v>
      </c>
      <c r="E161" s="52">
        <v>14</v>
      </c>
      <c r="F161" s="52">
        <v>32</v>
      </c>
      <c r="G161" s="52">
        <v>9</v>
      </c>
    </row>
    <row r="162" spans="1:7" hidden="1" x14ac:dyDescent="0.4">
      <c r="A162" s="49" t="s">
        <v>37</v>
      </c>
      <c r="B162" s="50" t="s">
        <v>41</v>
      </c>
      <c r="C162" s="51" t="s">
        <v>50</v>
      </c>
      <c r="D162" s="52">
        <v>44</v>
      </c>
      <c r="E162" s="52">
        <v>17</v>
      </c>
      <c r="F162" s="52">
        <v>5</v>
      </c>
      <c r="G162" s="52">
        <v>22</v>
      </c>
    </row>
    <row r="163" spans="1:7" hidden="1" x14ac:dyDescent="0.4">
      <c r="A163" s="49" t="s">
        <v>5</v>
      </c>
      <c r="B163" s="50" t="s">
        <v>42</v>
      </c>
      <c r="C163" s="51" t="s">
        <v>50</v>
      </c>
      <c r="D163" s="52">
        <v>73</v>
      </c>
      <c r="E163" s="52">
        <v>22</v>
      </c>
      <c r="F163" s="52">
        <v>51</v>
      </c>
      <c r="G163" s="52"/>
    </row>
    <row r="164" spans="1:7" hidden="1" x14ac:dyDescent="0.4">
      <c r="A164" s="49" t="s">
        <v>51</v>
      </c>
      <c r="B164" s="50" t="s">
        <v>42</v>
      </c>
      <c r="C164" s="51" t="s">
        <v>50</v>
      </c>
      <c r="D164" s="50">
        <v>942</v>
      </c>
      <c r="E164" s="50">
        <v>142</v>
      </c>
      <c r="F164" s="50">
        <v>800</v>
      </c>
      <c r="G164" s="50"/>
    </row>
    <row r="165" spans="1:7" hidden="1" x14ac:dyDescent="0.4">
      <c r="A165" s="49" t="s">
        <v>8</v>
      </c>
      <c r="B165" s="50" t="s">
        <v>42</v>
      </c>
      <c r="C165" s="51" t="s">
        <v>50</v>
      </c>
      <c r="D165" s="50">
        <v>94</v>
      </c>
      <c r="E165" s="50">
        <v>44</v>
      </c>
      <c r="F165" s="50">
        <v>41</v>
      </c>
      <c r="G165" s="50">
        <v>9</v>
      </c>
    </row>
    <row r="166" spans="1:7" hidden="1" x14ac:dyDescent="0.4">
      <c r="A166" s="49" t="s">
        <v>9</v>
      </c>
      <c r="B166" s="50" t="s">
        <v>42</v>
      </c>
      <c r="C166" s="51" t="s">
        <v>50</v>
      </c>
      <c r="D166" s="50">
        <v>41</v>
      </c>
      <c r="E166" s="50">
        <v>5</v>
      </c>
      <c r="F166" s="50">
        <v>24</v>
      </c>
      <c r="G166" s="50">
        <v>12</v>
      </c>
    </row>
    <row r="167" spans="1:7" hidden="1" x14ac:dyDescent="0.4">
      <c r="A167" s="49" t="s">
        <v>10</v>
      </c>
      <c r="B167" s="50" t="s">
        <v>42</v>
      </c>
      <c r="C167" s="51" t="s">
        <v>50</v>
      </c>
      <c r="D167" s="50">
        <v>224</v>
      </c>
      <c r="E167" s="50">
        <v>23</v>
      </c>
      <c r="F167" s="50">
        <v>164</v>
      </c>
      <c r="G167" s="50">
        <v>37</v>
      </c>
    </row>
    <row r="168" spans="1:7" hidden="1" x14ac:dyDescent="0.4">
      <c r="A168" s="49" t="s">
        <v>11</v>
      </c>
      <c r="B168" s="50" t="s">
        <v>42</v>
      </c>
      <c r="C168" s="51" t="s">
        <v>50</v>
      </c>
      <c r="D168" s="50">
        <v>67</v>
      </c>
      <c r="E168" s="50">
        <v>9</v>
      </c>
      <c r="F168" s="50">
        <v>52</v>
      </c>
      <c r="G168" s="50">
        <v>6</v>
      </c>
    </row>
    <row r="169" spans="1:7" hidden="1" x14ac:dyDescent="0.4">
      <c r="A169" s="49" t="s">
        <v>12</v>
      </c>
      <c r="B169" s="50" t="s">
        <v>42</v>
      </c>
      <c r="C169" s="51" t="s">
        <v>50</v>
      </c>
      <c r="D169" s="50">
        <v>2975</v>
      </c>
      <c r="E169" s="50">
        <v>210</v>
      </c>
      <c r="F169" s="50">
        <v>2655</v>
      </c>
      <c r="G169" s="50">
        <v>110</v>
      </c>
    </row>
    <row r="170" spans="1:7" hidden="1" x14ac:dyDescent="0.4">
      <c r="A170" s="49" t="s">
        <v>52</v>
      </c>
      <c r="B170" s="50" t="s">
        <v>42</v>
      </c>
      <c r="C170" s="51" t="s">
        <v>50</v>
      </c>
      <c r="D170" s="50">
        <v>143</v>
      </c>
      <c r="E170" s="50">
        <v>23</v>
      </c>
      <c r="F170" s="50">
        <v>92</v>
      </c>
      <c r="G170" s="50">
        <v>28</v>
      </c>
    </row>
    <row r="171" spans="1:7" hidden="1" x14ac:dyDescent="0.4">
      <c r="A171" s="49" t="s">
        <v>14</v>
      </c>
      <c r="B171" s="50" t="s">
        <v>42</v>
      </c>
      <c r="C171" s="51" t="s">
        <v>50</v>
      </c>
      <c r="D171" s="50">
        <v>110</v>
      </c>
      <c r="E171" s="50">
        <v>4</v>
      </c>
      <c r="F171" s="50">
        <v>104</v>
      </c>
      <c r="G171" s="50">
        <v>2</v>
      </c>
    </row>
    <row r="172" spans="1:7" hidden="1" x14ac:dyDescent="0.4">
      <c r="A172" s="49" t="s">
        <v>15</v>
      </c>
      <c r="B172" s="50" t="s">
        <v>42</v>
      </c>
      <c r="C172" s="51" t="s">
        <v>50</v>
      </c>
      <c r="D172" s="50">
        <v>165</v>
      </c>
      <c r="E172" s="50">
        <v>41</v>
      </c>
      <c r="F172" s="50">
        <v>93</v>
      </c>
      <c r="G172" s="50">
        <v>31</v>
      </c>
    </row>
    <row r="173" spans="1:7" hidden="1" x14ac:dyDescent="0.4">
      <c r="A173" s="49" t="s">
        <v>16</v>
      </c>
      <c r="B173" s="50" t="s">
        <v>42</v>
      </c>
      <c r="C173" s="51" t="s">
        <v>50</v>
      </c>
      <c r="D173" s="50">
        <v>979</v>
      </c>
      <c r="E173" s="50">
        <v>155</v>
      </c>
      <c r="F173" s="50">
        <v>823</v>
      </c>
      <c r="G173" s="50">
        <v>1</v>
      </c>
    </row>
    <row r="174" spans="1:7" hidden="1" x14ac:dyDescent="0.4">
      <c r="A174" s="49" t="s">
        <v>17</v>
      </c>
      <c r="B174" s="50" t="s">
        <v>42</v>
      </c>
      <c r="C174" s="51" t="s">
        <v>50</v>
      </c>
      <c r="D174" s="50">
        <v>152</v>
      </c>
      <c r="E174" s="50">
        <v>27</v>
      </c>
      <c r="F174" s="50">
        <v>93</v>
      </c>
      <c r="G174" s="50">
        <v>32</v>
      </c>
    </row>
    <row r="175" spans="1:7" hidden="1" x14ac:dyDescent="0.4">
      <c r="A175" s="49" t="s">
        <v>18</v>
      </c>
      <c r="B175" s="50" t="s">
        <v>42</v>
      </c>
      <c r="C175" s="51" t="s">
        <v>50</v>
      </c>
      <c r="D175" s="50">
        <v>606</v>
      </c>
      <c r="E175" s="50">
        <v>68</v>
      </c>
      <c r="F175" s="50">
        <v>499</v>
      </c>
      <c r="G175" s="50">
        <v>39</v>
      </c>
    </row>
    <row r="176" spans="1:7" hidden="1" x14ac:dyDescent="0.4">
      <c r="A176" s="49" t="s">
        <v>19</v>
      </c>
      <c r="B176" s="50" t="s">
        <v>42</v>
      </c>
      <c r="C176" s="51" t="s">
        <v>50</v>
      </c>
      <c r="D176" s="50">
        <v>1331</v>
      </c>
      <c r="E176" s="50">
        <v>101</v>
      </c>
      <c r="F176" s="50">
        <v>1109</v>
      </c>
      <c r="G176" s="50">
        <v>121</v>
      </c>
    </row>
    <row r="177" spans="1:7" hidden="1" x14ac:dyDescent="0.4">
      <c r="A177" s="49" t="s">
        <v>53</v>
      </c>
      <c r="B177" s="50" t="s">
        <v>42</v>
      </c>
      <c r="C177" s="51" t="s">
        <v>50</v>
      </c>
      <c r="D177" s="50">
        <v>3503</v>
      </c>
      <c r="E177" s="50">
        <v>399</v>
      </c>
      <c r="F177" s="50">
        <v>2758</v>
      </c>
      <c r="G177" s="50">
        <v>346</v>
      </c>
    </row>
    <row r="178" spans="1:7" hidden="1" x14ac:dyDescent="0.4">
      <c r="A178" s="49" t="s">
        <v>21</v>
      </c>
      <c r="B178" s="50" t="s">
        <v>42</v>
      </c>
      <c r="C178" s="51" t="s">
        <v>50</v>
      </c>
      <c r="D178" s="50">
        <v>508</v>
      </c>
      <c r="E178" s="50">
        <v>95</v>
      </c>
      <c r="F178" s="50">
        <v>340</v>
      </c>
      <c r="G178" s="50">
        <v>73</v>
      </c>
    </row>
    <row r="179" spans="1:7" hidden="1" x14ac:dyDescent="0.4">
      <c r="A179" s="49" t="s">
        <v>22</v>
      </c>
      <c r="B179" s="50" t="s">
        <v>42</v>
      </c>
      <c r="C179" s="51" t="s">
        <v>50</v>
      </c>
      <c r="D179" s="50">
        <v>349</v>
      </c>
      <c r="E179" s="50">
        <v>91</v>
      </c>
      <c r="F179" s="50">
        <v>188</v>
      </c>
      <c r="G179" s="50">
        <v>70</v>
      </c>
    </row>
    <row r="180" spans="1:7" hidden="1" x14ac:dyDescent="0.4">
      <c r="A180" s="49" t="s">
        <v>23</v>
      </c>
      <c r="B180" s="50" t="s">
        <v>42</v>
      </c>
      <c r="C180" s="51" t="s">
        <v>50</v>
      </c>
      <c r="D180" s="50">
        <v>92</v>
      </c>
      <c r="E180" s="50">
        <v>42</v>
      </c>
      <c r="F180" s="50">
        <v>41</v>
      </c>
      <c r="G180" s="50">
        <v>9</v>
      </c>
    </row>
    <row r="181" spans="1:7" hidden="1" x14ac:dyDescent="0.4">
      <c r="A181" s="49" t="s">
        <v>54</v>
      </c>
      <c r="B181" s="50" t="s">
        <v>42</v>
      </c>
      <c r="C181" s="51" t="s">
        <v>50</v>
      </c>
      <c r="D181" s="50">
        <v>1122</v>
      </c>
      <c r="E181" s="50">
        <v>32</v>
      </c>
      <c r="F181" s="50">
        <v>973</v>
      </c>
      <c r="G181" s="50">
        <v>117</v>
      </c>
    </row>
    <row r="182" spans="1:7" hidden="1" x14ac:dyDescent="0.4">
      <c r="A182" s="49" t="s">
        <v>25</v>
      </c>
      <c r="B182" s="50" t="s">
        <v>42</v>
      </c>
      <c r="C182" s="51" t="s">
        <v>50</v>
      </c>
      <c r="D182" s="50">
        <v>596</v>
      </c>
      <c r="E182" s="50">
        <v>79</v>
      </c>
      <c r="F182" s="50">
        <v>410</v>
      </c>
      <c r="G182" s="50">
        <v>107</v>
      </c>
    </row>
    <row r="183" spans="1:7" hidden="1" x14ac:dyDescent="0.4">
      <c r="A183" s="49" t="s">
        <v>26</v>
      </c>
      <c r="B183" s="50" t="s">
        <v>42</v>
      </c>
      <c r="C183" s="51" t="s">
        <v>50</v>
      </c>
      <c r="D183" s="50">
        <v>865</v>
      </c>
      <c r="E183" s="50">
        <v>89</v>
      </c>
      <c r="F183" s="50">
        <v>776</v>
      </c>
      <c r="G183" s="50"/>
    </row>
    <row r="184" spans="1:7" hidden="1" x14ac:dyDescent="0.4">
      <c r="A184" s="49" t="s">
        <v>27</v>
      </c>
      <c r="B184" s="50" t="s">
        <v>42</v>
      </c>
      <c r="C184" s="51" t="s">
        <v>50</v>
      </c>
      <c r="D184" s="50">
        <v>692</v>
      </c>
      <c r="E184" s="50">
        <v>108</v>
      </c>
      <c r="F184" s="50">
        <v>407</v>
      </c>
      <c r="G184" s="50">
        <v>177</v>
      </c>
    </row>
    <row r="185" spans="1:7" hidden="1" x14ac:dyDescent="0.4">
      <c r="A185" s="49" t="s">
        <v>28</v>
      </c>
      <c r="B185" s="50" t="s">
        <v>42</v>
      </c>
      <c r="C185" s="51" t="s">
        <v>50</v>
      </c>
      <c r="D185" s="50">
        <v>558</v>
      </c>
      <c r="E185" s="50">
        <v>108</v>
      </c>
      <c r="F185" s="50">
        <v>403</v>
      </c>
      <c r="G185" s="50">
        <v>47</v>
      </c>
    </row>
    <row r="186" spans="1:7" hidden="1" x14ac:dyDescent="0.4">
      <c r="A186" s="49" t="s">
        <v>29</v>
      </c>
      <c r="B186" s="50" t="s">
        <v>42</v>
      </c>
      <c r="C186" s="51" t="s">
        <v>50</v>
      </c>
      <c r="D186" s="50">
        <v>17</v>
      </c>
      <c r="E186" s="50">
        <v>12</v>
      </c>
      <c r="F186" s="50">
        <v>4</v>
      </c>
      <c r="G186" s="50">
        <v>1</v>
      </c>
    </row>
    <row r="187" spans="1:7" hidden="1" x14ac:dyDescent="0.4">
      <c r="A187" s="49" t="s">
        <v>30</v>
      </c>
      <c r="B187" s="50" t="s">
        <v>42</v>
      </c>
      <c r="C187" s="51" t="s">
        <v>50</v>
      </c>
      <c r="D187" s="50">
        <v>239</v>
      </c>
      <c r="E187" s="50">
        <v>46</v>
      </c>
      <c r="F187" s="50">
        <v>193</v>
      </c>
      <c r="G187" s="50"/>
    </row>
    <row r="188" spans="1:7" hidden="1" x14ac:dyDescent="0.4">
      <c r="A188" s="49" t="s">
        <v>31</v>
      </c>
      <c r="B188" s="50" t="s">
        <v>42</v>
      </c>
      <c r="C188" s="51" t="s">
        <v>50</v>
      </c>
      <c r="D188" s="50">
        <v>511</v>
      </c>
      <c r="E188" s="50">
        <v>113</v>
      </c>
      <c r="F188" s="50">
        <v>398</v>
      </c>
      <c r="G188" s="50"/>
    </row>
    <row r="189" spans="1:7" hidden="1" x14ac:dyDescent="0.4">
      <c r="A189" s="49" t="s">
        <v>32</v>
      </c>
      <c r="B189" s="50" t="s">
        <v>42</v>
      </c>
      <c r="C189" s="51" t="s">
        <v>50</v>
      </c>
      <c r="D189" s="50">
        <v>283</v>
      </c>
      <c r="E189" s="50">
        <v>45</v>
      </c>
      <c r="F189" s="50">
        <v>192</v>
      </c>
      <c r="G189" s="50">
        <v>46</v>
      </c>
    </row>
    <row r="190" spans="1:7" hidden="1" x14ac:dyDescent="0.4">
      <c r="A190" s="49" t="s">
        <v>33</v>
      </c>
      <c r="B190" s="50" t="s">
        <v>42</v>
      </c>
      <c r="C190" s="51" t="s">
        <v>50</v>
      </c>
      <c r="D190" s="50">
        <v>173</v>
      </c>
      <c r="E190" s="50">
        <v>24</v>
      </c>
      <c r="F190" s="50">
        <v>59</v>
      </c>
      <c r="G190" s="50">
        <v>90</v>
      </c>
    </row>
    <row r="191" spans="1:7" hidden="1" x14ac:dyDescent="0.4">
      <c r="A191" s="49" t="s">
        <v>34</v>
      </c>
      <c r="B191" s="50" t="s">
        <v>42</v>
      </c>
      <c r="C191" s="51" t="s">
        <v>50</v>
      </c>
      <c r="D191" s="50">
        <v>334</v>
      </c>
      <c r="E191" s="50">
        <v>49</v>
      </c>
      <c r="F191" s="50">
        <v>239</v>
      </c>
      <c r="G191" s="50">
        <v>46</v>
      </c>
    </row>
    <row r="192" spans="1:7" hidden="1" x14ac:dyDescent="0.4">
      <c r="A192" s="49" t="s">
        <v>35</v>
      </c>
      <c r="B192" s="50" t="s">
        <v>42</v>
      </c>
      <c r="C192" s="51" t="s">
        <v>50</v>
      </c>
      <c r="D192" s="50">
        <v>1003</v>
      </c>
      <c r="E192" s="50">
        <v>83</v>
      </c>
      <c r="F192" s="50">
        <v>797</v>
      </c>
      <c r="G192" s="50">
        <v>123</v>
      </c>
    </row>
    <row r="193" spans="1:7" hidden="1" x14ac:dyDescent="0.4">
      <c r="A193" s="49" t="s">
        <v>36</v>
      </c>
      <c r="B193" s="50" t="s">
        <v>42</v>
      </c>
      <c r="C193" s="51" t="s">
        <v>50</v>
      </c>
      <c r="D193" s="50">
        <v>98</v>
      </c>
      <c r="E193" s="50">
        <v>17</v>
      </c>
      <c r="F193" s="50">
        <v>64</v>
      </c>
      <c r="G193" s="50">
        <v>17</v>
      </c>
    </row>
    <row r="194" spans="1:7" hidden="1" x14ac:dyDescent="0.4">
      <c r="A194" s="49" t="s">
        <v>37</v>
      </c>
      <c r="B194" s="50" t="s">
        <v>42</v>
      </c>
      <c r="C194" s="51" t="s">
        <v>50</v>
      </c>
      <c r="D194" s="50">
        <v>64</v>
      </c>
      <c r="E194" s="50">
        <v>27</v>
      </c>
      <c r="F194" s="50">
        <v>14</v>
      </c>
      <c r="G194" s="50">
        <v>23</v>
      </c>
    </row>
    <row r="195" spans="1:7" x14ac:dyDescent="0.4">
      <c r="A195" s="49" t="s">
        <v>5</v>
      </c>
      <c r="B195" s="50" t="s">
        <v>43</v>
      </c>
      <c r="C195" s="51" t="s">
        <v>50</v>
      </c>
      <c r="D195" s="50">
        <v>50</v>
      </c>
      <c r="E195" s="50">
        <v>15</v>
      </c>
      <c r="F195" s="50">
        <v>35</v>
      </c>
      <c r="G195" s="50"/>
    </row>
    <row r="196" spans="1:7" x14ac:dyDescent="0.4">
      <c r="A196" s="49" t="s">
        <v>51</v>
      </c>
      <c r="B196" s="50" t="s">
        <v>43</v>
      </c>
      <c r="C196" s="51" t="s">
        <v>50</v>
      </c>
      <c r="D196" s="50">
        <v>1009</v>
      </c>
      <c r="E196" s="50">
        <v>121</v>
      </c>
      <c r="F196" s="50">
        <v>888</v>
      </c>
      <c r="G196" s="50"/>
    </row>
    <row r="197" spans="1:7" x14ac:dyDescent="0.4">
      <c r="A197" s="49" t="s">
        <v>8</v>
      </c>
      <c r="B197" s="50" t="s">
        <v>43</v>
      </c>
      <c r="C197" s="51" t="s">
        <v>50</v>
      </c>
      <c r="D197" s="50">
        <v>87</v>
      </c>
      <c r="E197" s="50">
        <v>30</v>
      </c>
      <c r="F197" s="50">
        <v>57</v>
      </c>
      <c r="G197" s="50"/>
    </row>
    <row r="198" spans="1:7" x14ac:dyDescent="0.4">
      <c r="A198" s="49" t="s">
        <v>9</v>
      </c>
      <c r="B198" s="50" t="s">
        <v>43</v>
      </c>
      <c r="C198" s="51" t="s">
        <v>50</v>
      </c>
      <c r="D198" s="50">
        <v>53</v>
      </c>
      <c r="E198" s="50">
        <v>7</v>
      </c>
      <c r="F198" s="50">
        <v>46</v>
      </c>
      <c r="G198" s="50"/>
    </row>
    <row r="199" spans="1:7" x14ac:dyDescent="0.4">
      <c r="A199" s="49" t="s">
        <v>10</v>
      </c>
      <c r="B199" s="50" t="s">
        <v>43</v>
      </c>
      <c r="C199" s="51" t="s">
        <v>50</v>
      </c>
      <c r="D199" s="50">
        <v>259</v>
      </c>
      <c r="E199" s="50">
        <v>40</v>
      </c>
      <c r="F199" s="50">
        <v>219</v>
      </c>
      <c r="G199" s="50"/>
    </row>
    <row r="200" spans="1:7" x14ac:dyDescent="0.4">
      <c r="A200" s="49" t="s">
        <v>11</v>
      </c>
      <c r="B200" s="50" t="s">
        <v>43</v>
      </c>
      <c r="C200" s="51" t="s">
        <v>50</v>
      </c>
      <c r="D200" s="50">
        <v>96</v>
      </c>
      <c r="E200" s="50">
        <v>11</v>
      </c>
      <c r="F200" s="50">
        <v>85</v>
      </c>
      <c r="G200" s="50"/>
    </row>
    <row r="201" spans="1:7" x14ac:dyDescent="0.4">
      <c r="A201" s="49" t="s">
        <v>12</v>
      </c>
      <c r="B201" s="50" t="s">
        <v>43</v>
      </c>
      <c r="C201" s="51" t="s">
        <v>50</v>
      </c>
      <c r="D201" s="50">
        <v>3324</v>
      </c>
      <c r="E201" s="50">
        <v>191</v>
      </c>
      <c r="F201" s="50">
        <v>3133</v>
      </c>
      <c r="G201" s="50"/>
    </row>
    <row r="202" spans="1:7" x14ac:dyDescent="0.4">
      <c r="A202" s="49" t="s">
        <v>52</v>
      </c>
      <c r="B202" s="50" t="s">
        <v>43</v>
      </c>
      <c r="C202" s="51" t="s">
        <v>50</v>
      </c>
      <c r="D202" s="50">
        <v>154</v>
      </c>
      <c r="E202" s="50">
        <v>24</v>
      </c>
      <c r="F202" s="50">
        <v>130</v>
      </c>
      <c r="G202" s="50"/>
    </row>
    <row r="203" spans="1:7" x14ac:dyDescent="0.4">
      <c r="A203" s="49" t="s">
        <v>14</v>
      </c>
      <c r="B203" s="50" t="s">
        <v>43</v>
      </c>
      <c r="C203" s="51" t="s">
        <v>50</v>
      </c>
      <c r="D203" s="50">
        <v>97</v>
      </c>
      <c r="E203" s="50">
        <v>6</v>
      </c>
      <c r="F203" s="50">
        <v>91</v>
      </c>
      <c r="G203" s="50"/>
    </row>
    <row r="204" spans="1:7" x14ac:dyDescent="0.4">
      <c r="A204" s="49" t="s">
        <v>15</v>
      </c>
      <c r="B204" s="50" t="s">
        <v>43</v>
      </c>
      <c r="C204" s="51" t="s">
        <v>50</v>
      </c>
      <c r="D204" s="50">
        <v>207</v>
      </c>
      <c r="E204" s="50">
        <v>39</v>
      </c>
      <c r="F204" s="50">
        <v>168</v>
      </c>
      <c r="G204" s="50"/>
    </row>
    <row r="205" spans="1:7" x14ac:dyDescent="0.4">
      <c r="A205" s="49" t="s">
        <v>16</v>
      </c>
      <c r="B205" s="50" t="s">
        <v>43</v>
      </c>
      <c r="C205" s="51" t="s">
        <v>50</v>
      </c>
      <c r="D205" s="50">
        <v>1085</v>
      </c>
      <c r="E205" s="50">
        <v>190</v>
      </c>
      <c r="F205" s="50">
        <v>895</v>
      </c>
      <c r="G205" s="50"/>
    </row>
    <row r="206" spans="1:7" x14ac:dyDescent="0.4">
      <c r="A206" s="49" t="s">
        <v>17</v>
      </c>
      <c r="B206" s="50" t="s">
        <v>43</v>
      </c>
      <c r="C206" s="51" t="s">
        <v>50</v>
      </c>
      <c r="D206" s="50">
        <v>181</v>
      </c>
      <c r="E206" s="50">
        <v>41</v>
      </c>
      <c r="F206" s="50">
        <v>140</v>
      </c>
      <c r="G206" s="50"/>
    </row>
    <row r="207" spans="1:7" x14ac:dyDescent="0.4">
      <c r="A207" s="49" t="s">
        <v>18</v>
      </c>
      <c r="B207" s="50" t="s">
        <v>43</v>
      </c>
      <c r="C207" s="51" t="s">
        <v>50</v>
      </c>
      <c r="D207" s="50">
        <v>681</v>
      </c>
      <c r="E207" s="50">
        <v>98</v>
      </c>
      <c r="F207" s="50">
        <v>583</v>
      </c>
      <c r="G207" s="50"/>
    </row>
    <row r="208" spans="1:7" x14ac:dyDescent="0.4">
      <c r="A208" s="49" t="s">
        <v>19</v>
      </c>
      <c r="B208" s="50" t="s">
        <v>43</v>
      </c>
      <c r="C208" s="51" t="s">
        <v>50</v>
      </c>
      <c r="D208" s="50">
        <v>1300</v>
      </c>
      <c r="E208" s="50">
        <v>107</v>
      </c>
      <c r="F208" s="50">
        <v>1193</v>
      </c>
      <c r="G208" s="50"/>
    </row>
    <row r="209" spans="1:7" x14ac:dyDescent="0.4">
      <c r="A209" s="49" t="s">
        <v>53</v>
      </c>
      <c r="B209" s="50" t="s">
        <v>43</v>
      </c>
      <c r="C209" s="51" t="s">
        <v>50</v>
      </c>
      <c r="D209" s="50">
        <v>3915</v>
      </c>
      <c r="E209" s="50">
        <v>483</v>
      </c>
      <c r="F209" s="50">
        <v>3432</v>
      </c>
      <c r="G209" s="50"/>
    </row>
    <row r="210" spans="1:7" x14ac:dyDescent="0.4">
      <c r="A210" s="49" t="s">
        <v>21</v>
      </c>
      <c r="B210" s="50" t="s">
        <v>43</v>
      </c>
      <c r="C210" s="51" t="s">
        <v>50</v>
      </c>
      <c r="D210" s="50">
        <v>647</v>
      </c>
      <c r="E210" s="50">
        <v>119</v>
      </c>
      <c r="F210" s="50">
        <v>528</v>
      </c>
      <c r="G210" s="50"/>
    </row>
    <row r="211" spans="1:7" x14ac:dyDescent="0.4">
      <c r="A211" s="49" t="s">
        <v>22</v>
      </c>
      <c r="B211" s="50" t="s">
        <v>43</v>
      </c>
      <c r="C211" s="51" t="s">
        <v>50</v>
      </c>
      <c r="D211" s="50">
        <v>367</v>
      </c>
      <c r="E211" s="50">
        <v>92</v>
      </c>
      <c r="F211" s="50">
        <v>275</v>
      </c>
      <c r="G211" s="50"/>
    </row>
    <row r="212" spans="1:7" x14ac:dyDescent="0.4">
      <c r="A212" s="49" t="s">
        <v>23</v>
      </c>
      <c r="B212" s="50" t="s">
        <v>43</v>
      </c>
      <c r="C212" s="51" t="s">
        <v>50</v>
      </c>
      <c r="D212" s="50">
        <v>94</v>
      </c>
      <c r="E212" s="50">
        <v>30</v>
      </c>
      <c r="F212" s="50">
        <v>64</v>
      </c>
      <c r="G212" s="50"/>
    </row>
    <row r="213" spans="1:7" x14ac:dyDescent="0.4">
      <c r="A213" s="49" t="s">
        <v>54</v>
      </c>
      <c r="B213" s="50" t="s">
        <v>43</v>
      </c>
      <c r="C213" s="51" t="s">
        <v>50</v>
      </c>
      <c r="D213" s="50">
        <v>1207</v>
      </c>
      <c r="E213" s="50">
        <v>51</v>
      </c>
      <c r="F213" s="50">
        <v>1156</v>
      </c>
      <c r="G213" s="50"/>
    </row>
    <row r="214" spans="1:7" x14ac:dyDescent="0.4">
      <c r="A214" s="49" t="s">
        <v>25</v>
      </c>
      <c r="B214" s="50" t="s">
        <v>43</v>
      </c>
      <c r="C214" s="51" t="s">
        <v>50</v>
      </c>
      <c r="D214" s="50">
        <v>567</v>
      </c>
      <c r="E214" s="50">
        <v>90</v>
      </c>
      <c r="F214" s="50">
        <v>477</v>
      </c>
      <c r="G214" s="50"/>
    </row>
    <row r="215" spans="1:7" x14ac:dyDescent="0.4">
      <c r="A215" s="49" t="s">
        <v>26</v>
      </c>
      <c r="B215" s="50" t="s">
        <v>43</v>
      </c>
      <c r="C215" s="51" t="s">
        <v>50</v>
      </c>
      <c r="D215" s="50">
        <v>862</v>
      </c>
      <c r="E215" s="50">
        <v>108</v>
      </c>
      <c r="F215" s="50">
        <v>754</v>
      </c>
      <c r="G215" s="50"/>
    </row>
    <row r="216" spans="1:7" x14ac:dyDescent="0.4">
      <c r="A216" s="49" t="s">
        <v>27</v>
      </c>
      <c r="B216" s="50" t="s">
        <v>43</v>
      </c>
      <c r="C216" s="51" t="s">
        <v>50</v>
      </c>
      <c r="D216" s="50">
        <v>584</v>
      </c>
      <c r="E216" s="50">
        <v>103</v>
      </c>
      <c r="F216" s="50">
        <v>481</v>
      </c>
      <c r="G216" s="50"/>
    </row>
    <row r="217" spans="1:7" x14ac:dyDescent="0.4">
      <c r="A217" s="49" t="s">
        <v>28</v>
      </c>
      <c r="B217" s="50" t="s">
        <v>43</v>
      </c>
      <c r="C217" s="51" t="s">
        <v>50</v>
      </c>
      <c r="D217" s="50">
        <v>548</v>
      </c>
      <c r="E217" s="50">
        <v>125</v>
      </c>
      <c r="F217" s="50">
        <v>423</v>
      </c>
      <c r="G217" s="50"/>
    </row>
    <row r="218" spans="1:7" x14ac:dyDescent="0.4">
      <c r="A218" s="49" t="s">
        <v>29</v>
      </c>
      <c r="B218" s="50" t="s">
        <v>43</v>
      </c>
      <c r="C218" s="51" t="s">
        <v>50</v>
      </c>
      <c r="D218" s="50">
        <v>21</v>
      </c>
      <c r="E218" s="50">
        <v>13</v>
      </c>
      <c r="F218" s="50">
        <v>8</v>
      </c>
      <c r="G218" s="50"/>
    </row>
    <row r="219" spans="1:7" x14ac:dyDescent="0.4">
      <c r="A219" s="49" t="s">
        <v>30</v>
      </c>
      <c r="B219" s="50" t="s">
        <v>43</v>
      </c>
      <c r="C219" s="51" t="s">
        <v>50</v>
      </c>
      <c r="D219" s="50">
        <v>304</v>
      </c>
      <c r="E219" s="50">
        <v>57</v>
      </c>
      <c r="F219" s="50">
        <v>247</v>
      </c>
      <c r="G219" s="50"/>
    </row>
    <row r="220" spans="1:7" x14ac:dyDescent="0.4">
      <c r="A220" s="49" t="s">
        <v>31</v>
      </c>
      <c r="B220" s="50" t="s">
        <v>43</v>
      </c>
      <c r="C220" s="51" t="s">
        <v>50</v>
      </c>
      <c r="D220" s="50">
        <v>617</v>
      </c>
      <c r="E220" s="50">
        <v>147</v>
      </c>
      <c r="F220" s="50">
        <v>470</v>
      </c>
      <c r="G220" s="50"/>
    </row>
    <row r="221" spans="1:7" x14ac:dyDescent="0.4">
      <c r="A221" s="49" t="s">
        <v>32</v>
      </c>
      <c r="B221" s="50" t="s">
        <v>43</v>
      </c>
      <c r="C221" s="51" t="s">
        <v>50</v>
      </c>
      <c r="D221" s="50">
        <v>277</v>
      </c>
      <c r="E221" s="50">
        <v>56</v>
      </c>
      <c r="F221" s="50">
        <v>221</v>
      </c>
      <c r="G221" s="50"/>
    </row>
    <row r="222" spans="1:7" x14ac:dyDescent="0.4">
      <c r="A222" s="49" t="s">
        <v>33</v>
      </c>
      <c r="B222" s="50" t="s">
        <v>43</v>
      </c>
      <c r="C222" s="51" t="s">
        <v>50</v>
      </c>
      <c r="D222" s="50">
        <v>263</v>
      </c>
      <c r="E222" s="50">
        <v>39</v>
      </c>
      <c r="F222" s="50">
        <v>224</v>
      </c>
      <c r="G222" s="50"/>
    </row>
    <row r="223" spans="1:7" x14ac:dyDescent="0.4">
      <c r="A223" s="49" t="s">
        <v>34</v>
      </c>
      <c r="B223" s="50" t="s">
        <v>43</v>
      </c>
      <c r="C223" s="51" t="s">
        <v>50</v>
      </c>
      <c r="D223" s="50">
        <v>399</v>
      </c>
      <c r="E223" s="50">
        <v>50</v>
      </c>
      <c r="F223" s="50">
        <v>349</v>
      </c>
      <c r="G223" s="50"/>
    </row>
    <row r="224" spans="1:7" x14ac:dyDescent="0.4">
      <c r="A224" s="49" t="s">
        <v>35</v>
      </c>
      <c r="B224" s="50" t="s">
        <v>43</v>
      </c>
      <c r="C224" s="51" t="s">
        <v>50</v>
      </c>
      <c r="D224" s="50">
        <v>1039</v>
      </c>
      <c r="E224" s="50">
        <v>77</v>
      </c>
      <c r="F224" s="50">
        <v>962</v>
      </c>
      <c r="G224" s="50"/>
    </row>
    <row r="225" spans="1:7" x14ac:dyDescent="0.4">
      <c r="A225" s="49" t="s">
        <v>36</v>
      </c>
      <c r="B225" s="50" t="s">
        <v>43</v>
      </c>
      <c r="C225" s="51" t="s">
        <v>50</v>
      </c>
      <c r="D225" s="50">
        <v>94</v>
      </c>
      <c r="E225" s="50">
        <v>16</v>
      </c>
      <c r="F225" s="50">
        <v>78</v>
      </c>
      <c r="G225" s="50"/>
    </row>
    <row r="226" spans="1:7" x14ac:dyDescent="0.4">
      <c r="A226" s="49" t="s">
        <v>37</v>
      </c>
      <c r="B226" s="50" t="s">
        <v>43</v>
      </c>
      <c r="C226" s="51" t="s">
        <v>50</v>
      </c>
      <c r="D226" s="50">
        <v>71</v>
      </c>
      <c r="E226" s="50">
        <v>11</v>
      </c>
      <c r="F226" s="50">
        <v>60</v>
      </c>
      <c r="G226" s="50"/>
    </row>
    <row r="227" spans="1:7" hidden="1" x14ac:dyDescent="0.4">
      <c r="A227" s="49" t="s">
        <v>5</v>
      </c>
      <c r="B227" s="50" t="s">
        <v>44</v>
      </c>
      <c r="C227" s="51" t="s">
        <v>50</v>
      </c>
      <c r="D227" s="50"/>
      <c r="E227" s="50"/>
      <c r="F227" s="50"/>
      <c r="G227" s="50"/>
    </row>
    <row r="228" spans="1:7" hidden="1" x14ac:dyDescent="0.4">
      <c r="A228" s="49" t="s">
        <v>51</v>
      </c>
      <c r="B228" s="50" t="s">
        <v>44</v>
      </c>
      <c r="C228" s="51" t="s">
        <v>50</v>
      </c>
      <c r="D228" s="50"/>
      <c r="E228" s="50"/>
      <c r="F228" s="50"/>
      <c r="G228" s="50"/>
    </row>
    <row r="229" spans="1:7" hidden="1" x14ac:dyDescent="0.4">
      <c r="A229" s="49" t="s">
        <v>8</v>
      </c>
      <c r="B229" s="50" t="s">
        <v>44</v>
      </c>
      <c r="C229" s="51" t="s">
        <v>50</v>
      </c>
      <c r="D229" s="50"/>
      <c r="E229" s="50"/>
      <c r="F229" s="50"/>
      <c r="G229" s="50"/>
    </row>
    <row r="230" spans="1:7" hidden="1" x14ac:dyDescent="0.4">
      <c r="A230" s="49" t="s">
        <v>9</v>
      </c>
      <c r="B230" s="50" t="s">
        <v>44</v>
      </c>
      <c r="C230" s="51" t="s">
        <v>50</v>
      </c>
      <c r="D230" s="50"/>
      <c r="E230" s="50"/>
      <c r="F230" s="50"/>
      <c r="G230" s="50"/>
    </row>
    <row r="231" spans="1:7" hidden="1" x14ac:dyDescent="0.4">
      <c r="A231" s="49" t="s">
        <v>10</v>
      </c>
      <c r="B231" s="50" t="s">
        <v>44</v>
      </c>
      <c r="C231" s="51" t="s">
        <v>50</v>
      </c>
      <c r="D231" s="50"/>
      <c r="E231" s="50"/>
      <c r="F231" s="50"/>
      <c r="G231" s="50"/>
    </row>
    <row r="232" spans="1:7" hidden="1" x14ac:dyDescent="0.4">
      <c r="A232" s="49" t="s">
        <v>11</v>
      </c>
      <c r="B232" s="50" t="s">
        <v>44</v>
      </c>
      <c r="C232" s="51" t="s">
        <v>50</v>
      </c>
      <c r="D232" s="50"/>
      <c r="E232" s="50"/>
      <c r="F232" s="50"/>
      <c r="G232" s="50"/>
    </row>
    <row r="233" spans="1:7" hidden="1" x14ac:dyDescent="0.4">
      <c r="A233" s="49" t="s">
        <v>12</v>
      </c>
      <c r="B233" s="50" t="s">
        <v>44</v>
      </c>
      <c r="C233" s="51" t="s">
        <v>50</v>
      </c>
      <c r="D233" s="50"/>
      <c r="E233" s="50"/>
      <c r="F233" s="50"/>
      <c r="G233" s="50"/>
    </row>
    <row r="234" spans="1:7" hidden="1" x14ac:dyDescent="0.4">
      <c r="A234" s="49" t="s">
        <v>52</v>
      </c>
      <c r="B234" s="50" t="s">
        <v>44</v>
      </c>
      <c r="C234" s="51" t="s">
        <v>50</v>
      </c>
      <c r="D234" s="50"/>
      <c r="E234" s="50"/>
      <c r="F234" s="50"/>
      <c r="G234" s="50"/>
    </row>
    <row r="235" spans="1:7" hidden="1" x14ac:dyDescent="0.4">
      <c r="A235" s="49" t="s">
        <v>14</v>
      </c>
      <c r="B235" s="50" t="s">
        <v>44</v>
      </c>
      <c r="C235" s="51" t="s">
        <v>50</v>
      </c>
      <c r="D235" s="50"/>
      <c r="E235" s="50"/>
      <c r="F235" s="50"/>
      <c r="G235" s="50"/>
    </row>
    <row r="236" spans="1:7" hidden="1" x14ac:dyDescent="0.4">
      <c r="A236" s="49" t="s">
        <v>15</v>
      </c>
      <c r="B236" s="50" t="s">
        <v>44</v>
      </c>
      <c r="C236" s="51" t="s">
        <v>50</v>
      </c>
      <c r="D236" s="50"/>
      <c r="E236" s="50"/>
      <c r="F236" s="50"/>
      <c r="G236" s="50"/>
    </row>
    <row r="237" spans="1:7" hidden="1" x14ac:dyDescent="0.4">
      <c r="A237" s="49" t="s">
        <v>16</v>
      </c>
      <c r="B237" s="50" t="s">
        <v>44</v>
      </c>
      <c r="C237" s="51" t="s">
        <v>50</v>
      </c>
      <c r="D237" s="50"/>
      <c r="E237" s="50"/>
      <c r="F237" s="50"/>
      <c r="G237" s="50"/>
    </row>
    <row r="238" spans="1:7" hidden="1" x14ac:dyDescent="0.4">
      <c r="A238" s="49" t="s">
        <v>17</v>
      </c>
      <c r="B238" s="50" t="s">
        <v>44</v>
      </c>
      <c r="C238" s="51" t="s">
        <v>50</v>
      </c>
      <c r="D238" s="50"/>
      <c r="E238" s="50"/>
      <c r="F238" s="50"/>
      <c r="G238" s="50"/>
    </row>
    <row r="239" spans="1:7" hidden="1" x14ac:dyDescent="0.4">
      <c r="A239" s="49" t="s">
        <v>18</v>
      </c>
      <c r="B239" s="50" t="s">
        <v>44</v>
      </c>
      <c r="C239" s="51" t="s">
        <v>50</v>
      </c>
      <c r="D239" s="50"/>
      <c r="E239" s="50"/>
      <c r="F239" s="50"/>
      <c r="G239" s="50"/>
    </row>
    <row r="240" spans="1:7" hidden="1" x14ac:dyDescent="0.4">
      <c r="A240" s="49" t="s">
        <v>19</v>
      </c>
      <c r="B240" s="50" t="s">
        <v>44</v>
      </c>
      <c r="C240" s="51" t="s">
        <v>50</v>
      </c>
      <c r="D240" s="50"/>
      <c r="E240" s="50"/>
      <c r="F240" s="50"/>
      <c r="G240" s="50"/>
    </row>
    <row r="241" spans="1:7" hidden="1" x14ac:dyDescent="0.4">
      <c r="A241" s="49" t="s">
        <v>53</v>
      </c>
      <c r="B241" s="50" t="s">
        <v>44</v>
      </c>
      <c r="C241" s="51" t="s">
        <v>50</v>
      </c>
      <c r="D241" s="50"/>
      <c r="E241" s="50"/>
      <c r="F241" s="50"/>
      <c r="G241" s="50"/>
    </row>
    <row r="242" spans="1:7" hidden="1" x14ac:dyDescent="0.4">
      <c r="A242" s="49" t="s">
        <v>21</v>
      </c>
      <c r="B242" s="50" t="s">
        <v>44</v>
      </c>
      <c r="C242" s="51" t="s">
        <v>50</v>
      </c>
      <c r="D242" s="50"/>
      <c r="E242" s="50"/>
      <c r="F242" s="50"/>
      <c r="G242" s="50"/>
    </row>
    <row r="243" spans="1:7" hidden="1" x14ac:dyDescent="0.4">
      <c r="A243" s="49" t="s">
        <v>22</v>
      </c>
      <c r="B243" s="50" t="s">
        <v>44</v>
      </c>
      <c r="C243" s="51" t="s">
        <v>50</v>
      </c>
      <c r="D243" s="50"/>
      <c r="E243" s="50"/>
      <c r="F243" s="50"/>
      <c r="G243" s="50"/>
    </row>
    <row r="244" spans="1:7" hidden="1" x14ac:dyDescent="0.4">
      <c r="A244" s="49" t="s">
        <v>23</v>
      </c>
      <c r="B244" s="50" t="s">
        <v>44</v>
      </c>
      <c r="C244" s="51" t="s">
        <v>50</v>
      </c>
      <c r="D244" s="50"/>
      <c r="E244" s="50"/>
      <c r="F244" s="50"/>
      <c r="G244" s="50"/>
    </row>
    <row r="245" spans="1:7" hidden="1" x14ac:dyDescent="0.4">
      <c r="A245" s="49" t="s">
        <v>54</v>
      </c>
      <c r="B245" s="50" t="s">
        <v>44</v>
      </c>
      <c r="C245" s="51" t="s">
        <v>50</v>
      </c>
      <c r="D245" s="50"/>
      <c r="E245" s="50"/>
      <c r="F245" s="50"/>
      <c r="G245" s="50"/>
    </row>
    <row r="246" spans="1:7" hidden="1" x14ac:dyDescent="0.4">
      <c r="A246" s="49" t="s">
        <v>25</v>
      </c>
      <c r="B246" s="50" t="s">
        <v>44</v>
      </c>
      <c r="C246" s="51" t="s">
        <v>50</v>
      </c>
      <c r="D246" s="50"/>
      <c r="E246" s="50"/>
      <c r="F246" s="50"/>
      <c r="G246" s="50"/>
    </row>
    <row r="247" spans="1:7" hidden="1" x14ac:dyDescent="0.4">
      <c r="A247" s="49" t="s">
        <v>26</v>
      </c>
      <c r="B247" s="50" t="s">
        <v>44</v>
      </c>
      <c r="C247" s="51" t="s">
        <v>50</v>
      </c>
      <c r="D247" s="50"/>
      <c r="E247" s="50"/>
      <c r="F247" s="50"/>
      <c r="G247" s="50"/>
    </row>
    <row r="248" spans="1:7" hidden="1" x14ac:dyDescent="0.4">
      <c r="A248" s="49" t="s">
        <v>27</v>
      </c>
      <c r="B248" s="50" t="s">
        <v>44</v>
      </c>
      <c r="C248" s="51" t="s">
        <v>50</v>
      </c>
      <c r="D248" s="50"/>
      <c r="E248" s="50"/>
      <c r="F248" s="50"/>
      <c r="G248" s="50"/>
    </row>
    <row r="249" spans="1:7" hidden="1" x14ac:dyDescent="0.4">
      <c r="A249" s="49" t="s">
        <v>28</v>
      </c>
      <c r="B249" s="50" t="s">
        <v>44</v>
      </c>
      <c r="C249" s="51" t="s">
        <v>50</v>
      </c>
      <c r="D249" s="50"/>
      <c r="E249" s="50"/>
      <c r="F249" s="50"/>
      <c r="G249" s="50"/>
    </row>
    <row r="250" spans="1:7" hidden="1" x14ac:dyDescent="0.4">
      <c r="A250" s="49" t="s">
        <v>29</v>
      </c>
      <c r="B250" s="50" t="s">
        <v>44</v>
      </c>
      <c r="C250" s="51" t="s">
        <v>50</v>
      </c>
      <c r="D250" s="50"/>
      <c r="E250" s="50"/>
      <c r="F250" s="50"/>
      <c r="G250" s="50"/>
    </row>
    <row r="251" spans="1:7" hidden="1" x14ac:dyDescent="0.4">
      <c r="A251" s="49" t="s">
        <v>30</v>
      </c>
      <c r="B251" s="50" t="s">
        <v>44</v>
      </c>
      <c r="C251" s="51" t="s">
        <v>50</v>
      </c>
      <c r="D251" s="50"/>
      <c r="E251" s="50"/>
      <c r="F251" s="50"/>
      <c r="G251" s="50"/>
    </row>
    <row r="252" spans="1:7" hidden="1" x14ac:dyDescent="0.4">
      <c r="A252" s="49" t="s">
        <v>31</v>
      </c>
      <c r="B252" s="50" t="s">
        <v>44</v>
      </c>
      <c r="C252" s="51" t="s">
        <v>50</v>
      </c>
      <c r="D252" s="50"/>
      <c r="E252" s="50"/>
      <c r="F252" s="50"/>
      <c r="G252" s="50"/>
    </row>
    <row r="253" spans="1:7" hidden="1" x14ac:dyDescent="0.4">
      <c r="A253" s="49" t="s">
        <v>32</v>
      </c>
      <c r="B253" s="50" t="s">
        <v>44</v>
      </c>
      <c r="C253" s="51" t="s">
        <v>50</v>
      </c>
      <c r="D253" s="50"/>
      <c r="E253" s="50"/>
      <c r="F253" s="50"/>
      <c r="G253" s="50"/>
    </row>
    <row r="254" spans="1:7" hidden="1" x14ac:dyDescent="0.4">
      <c r="A254" s="49" t="s">
        <v>33</v>
      </c>
      <c r="B254" s="50" t="s">
        <v>44</v>
      </c>
      <c r="C254" s="51" t="s">
        <v>50</v>
      </c>
      <c r="D254" s="50"/>
      <c r="E254" s="50"/>
      <c r="F254" s="50"/>
      <c r="G254" s="50"/>
    </row>
    <row r="255" spans="1:7" hidden="1" x14ac:dyDescent="0.4">
      <c r="A255" s="49" t="s">
        <v>34</v>
      </c>
      <c r="B255" s="50" t="s">
        <v>44</v>
      </c>
      <c r="C255" s="51" t="s">
        <v>50</v>
      </c>
      <c r="D255" s="50"/>
      <c r="E255" s="50"/>
      <c r="F255" s="50"/>
      <c r="G255" s="50"/>
    </row>
    <row r="256" spans="1:7" hidden="1" x14ac:dyDescent="0.4">
      <c r="A256" s="49" t="s">
        <v>35</v>
      </c>
      <c r="B256" s="50" t="s">
        <v>44</v>
      </c>
      <c r="C256" s="51" t="s">
        <v>50</v>
      </c>
      <c r="D256" s="50"/>
      <c r="E256" s="50"/>
      <c r="F256" s="50"/>
      <c r="G256" s="50"/>
    </row>
    <row r="257" spans="1:7" hidden="1" x14ac:dyDescent="0.4">
      <c r="A257" s="49" t="s">
        <v>36</v>
      </c>
      <c r="B257" s="50" t="s">
        <v>44</v>
      </c>
      <c r="C257" s="51" t="s">
        <v>50</v>
      </c>
      <c r="D257" s="50"/>
      <c r="E257" s="50"/>
      <c r="F257" s="50"/>
      <c r="G257" s="50"/>
    </row>
    <row r="258" spans="1:7" hidden="1" x14ac:dyDescent="0.4">
      <c r="A258" s="49" t="s">
        <v>37</v>
      </c>
      <c r="B258" s="50" t="s">
        <v>44</v>
      </c>
      <c r="C258" s="51" t="s">
        <v>50</v>
      </c>
      <c r="D258" s="50"/>
      <c r="E258" s="50"/>
      <c r="F258" s="50"/>
      <c r="G258" s="50"/>
    </row>
    <row r="259" spans="1:7" hidden="1" x14ac:dyDescent="0.4">
      <c r="A259" s="49" t="s">
        <v>5</v>
      </c>
      <c r="B259" s="50" t="s">
        <v>45</v>
      </c>
      <c r="C259" s="51" t="s">
        <v>50</v>
      </c>
      <c r="D259" s="50"/>
      <c r="E259" s="50"/>
      <c r="F259" s="50"/>
      <c r="G259" s="50"/>
    </row>
    <row r="260" spans="1:7" hidden="1" x14ac:dyDescent="0.4">
      <c r="A260" s="49" t="s">
        <v>51</v>
      </c>
      <c r="B260" s="50" t="s">
        <v>45</v>
      </c>
      <c r="C260" s="51" t="s">
        <v>50</v>
      </c>
      <c r="D260" s="50"/>
      <c r="E260" s="50"/>
      <c r="F260" s="50"/>
      <c r="G260" s="50"/>
    </row>
    <row r="261" spans="1:7" hidden="1" x14ac:dyDescent="0.4">
      <c r="A261" s="49" t="s">
        <v>8</v>
      </c>
      <c r="B261" s="50" t="s">
        <v>45</v>
      </c>
      <c r="C261" s="51" t="s">
        <v>50</v>
      </c>
      <c r="D261" s="50"/>
      <c r="E261" s="50"/>
      <c r="F261" s="50"/>
      <c r="G261" s="50"/>
    </row>
    <row r="262" spans="1:7" hidden="1" x14ac:dyDescent="0.4">
      <c r="A262" s="49" t="s">
        <v>9</v>
      </c>
      <c r="B262" s="50" t="s">
        <v>45</v>
      </c>
      <c r="C262" s="51" t="s">
        <v>50</v>
      </c>
      <c r="D262" s="50"/>
      <c r="E262" s="50"/>
      <c r="F262" s="50"/>
      <c r="G262" s="50"/>
    </row>
    <row r="263" spans="1:7" hidden="1" x14ac:dyDescent="0.4">
      <c r="A263" s="49" t="s">
        <v>10</v>
      </c>
      <c r="B263" s="50" t="s">
        <v>45</v>
      </c>
      <c r="C263" s="51" t="s">
        <v>50</v>
      </c>
      <c r="D263" s="50"/>
      <c r="E263" s="50"/>
      <c r="F263" s="50"/>
      <c r="G263" s="50"/>
    </row>
    <row r="264" spans="1:7" hidden="1" x14ac:dyDescent="0.4">
      <c r="A264" s="49" t="s">
        <v>11</v>
      </c>
      <c r="B264" s="50" t="s">
        <v>45</v>
      </c>
      <c r="C264" s="51" t="s">
        <v>50</v>
      </c>
      <c r="D264" s="50"/>
      <c r="E264" s="50"/>
      <c r="F264" s="50"/>
      <c r="G264" s="50"/>
    </row>
    <row r="265" spans="1:7" hidden="1" x14ac:dyDescent="0.4">
      <c r="A265" s="49" t="s">
        <v>12</v>
      </c>
      <c r="B265" s="50" t="s">
        <v>45</v>
      </c>
      <c r="C265" s="51" t="s">
        <v>50</v>
      </c>
      <c r="D265" s="50"/>
      <c r="E265" s="50"/>
      <c r="F265" s="50"/>
      <c r="G265" s="50"/>
    </row>
    <row r="266" spans="1:7" hidden="1" x14ac:dyDescent="0.4">
      <c r="A266" s="49" t="s">
        <v>52</v>
      </c>
      <c r="B266" s="50" t="s">
        <v>45</v>
      </c>
      <c r="C266" s="51" t="s">
        <v>50</v>
      </c>
      <c r="D266" s="50"/>
      <c r="E266" s="50"/>
      <c r="F266" s="50"/>
      <c r="G266" s="50"/>
    </row>
    <row r="267" spans="1:7" hidden="1" x14ac:dyDescent="0.4">
      <c r="A267" s="49" t="s">
        <v>14</v>
      </c>
      <c r="B267" s="50" t="s">
        <v>45</v>
      </c>
      <c r="C267" s="51" t="s">
        <v>50</v>
      </c>
      <c r="D267" s="50"/>
      <c r="E267" s="50"/>
      <c r="F267" s="50"/>
      <c r="G267" s="50"/>
    </row>
    <row r="268" spans="1:7" hidden="1" x14ac:dyDescent="0.4">
      <c r="A268" s="49" t="s">
        <v>15</v>
      </c>
      <c r="B268" s="50" t="s">
        <v>45</v>
      </c>
      <c r="C268" s="51" t="s">
        <v>50</v>
      </c>
      <c r="D268" s="50"/>
      <c r="E268" s="50"/>
      <c r="F268" s="50"/>
      <c r="G268" s="50"/>
    </row>
    <row r="269" spans="1:7" hidden="1" x14ac:dyDescent="0.4">
      <c r="A269" s="49" t="s">
        <v>16</v>
      </c>
      <c r="B269" s="50" t="s">
        <v>45</v>
      </c>
      <c r="C269" s="51" t="s">
        <v>50</v>
      </c>
      <c r="D269" s="50"/>
      <c r="E269" s="50"/>
      <c r="F269" s="50"/>
      <c r="G269" s="50"/>
    </row>
    <row r="270" spans="1:7" hidden="1" x14ac:dyDescent="0.4">
      <c r="A270" s="49" t="s">
        <v>17</v>
      </c>
      <c r="B270" s="50" t="s">
        <v>45</v>
      </c>
      <c r="C270" s="51" t="s">
        <v>50</v>
      </c>
      <c r="D270" s="50"/>
      <c r="E270" s="50"/>
      <c r="F270" s="50"/>
      <c r="G270" s="50"/>
    </row>
    <row r="271" spans="1:7" hidden="1" x14ac:dyDescent="0.4">
      <c r="A271" s="49" t="s">
        <v>18</v>
      </c>
      <c r="B271" s="50" t="s">
        <v>45</v>
      </c>
      <c r="C271" s="51" t="s">
        <v>50</v>
      </c>
      <c r="D271" s="50"/>
      <c r="E271" s="50"/>
      <c r="F271" s="50"/>
      <c r="G271" s="50"/>
    </row>
    <row r="272" spans="1:7" hidden="1" x14ac:dyDescent="0.4">
      <c r="A272" s="49" t="s">
        <v>19</v>
      </c>
      <c r="B272" s="50" t="s">
        <v>45</v>
      </c>
      <c r="C272" s="51" t="s">
        <v>50</v>
      </c>
      <c r="D272" s="50"/>
      <c r="E272" s="50"/>
      <c r="F272" s="50"/>
      <c r="G272" s="50"/>
    </row>
    <row r="273" spans="1:7" hidden="1" x14ac:dyDescent="0.4">
      <c r="A273" s="49" t="s">
        <v>53</v>
      </c>
      <c r="B273" s="50" t="s">
        <v>45</v>
      </c>
      <c r="C273" s="51" t="s">
        <v>50</v>
      </c>
      <c r="D273" s="50"/>
      <c r="E273" s="50"/>
      <c r="F273" s="50"/>
      <c r="G273" s="50"/>
    </row>
    <row r="274" spans="1:7" hidden="1" x14ac:dyDescent="0.4">
      <c r="A274" s="49" t="s">
        <v>21</v>
      </c>
      <c r="B274" s="50" t="s">
        <v>45</v>
      </c>
      <c r="C274" s="51" t="s">
        <v>50</v>
      </c>
      <c r="D274" s="50"/>
      <c r="E274" s="50"/>
      <c r="F274" s="50"/>
      <c r="G274" s="50"/>
    </row>
    <row r="275" spans="1:7" hidden="1" x14ac:dyDescent="0.4">
      <c r="A275" s="49" t="s">
        <v>22</v>
      </c>
      <c r="B275" s="50" t="s">
        <v>45</v>
      </c>
      <c r="C275" s="51" t="s">
        <v>50</v>
      </c>
      <c r="D275" s="50"/>
      <c r="E275" s="50"/>
      <c r="F275" s="50"/>
      <c r="G275" s="50"/>
    </row>
    <row r="276" spans="1:7" hidden="1" x14ac:dyDescent="0.4">
      <c r="A276" s="49" t="s">
        <v>23</v>
      </c>
      <c r="B276" s="50" t="s">
        <v>45</v>
      </c>
      <c r="C276" s="51" t="s">
        <v>50</v>
      </c>
      <c r="D276" s="50"/>
      <c r="E276" s="50"/>
      <c r="F276" s="50"/>
      <c r="G276" s="50"/>
    </row>
    <row r="277" spans="1:7" hidden="1" x14ac:dyDescent="0.4">
      <c r="A277" s="49" t="s">
        <v>54</v>
      </c>
      <c r="B277" s="50" t="s">
        <v>45</v>
      </c>
      <c r="C277" s="51" t="s">
        <v>50</v>
      </c>
      <c r="D277" s="50"/>
      <c r="E277" s="50"/>
      <c r="F277" s="50"/>
      <c r="G277" s="50"/>
    </row>
    <row r="278" spans="1:7" hidden="1" x14ac:dyDescent="0.4">
      <c r="A278" s="49" t="s">
        <v>25</v>
      </c>
      <c r="B278" s="50" t="s">
        <v>45</v>
      </c>
      <c r="C278" s="51" t="s">
        <v>50</v>
      </c>
      <c r="D278" s="50"/>
      <c r="E278" s="50"/>
      <c r="F278" s="50"/>
      <c r="G278" s="50"/>
    </row>
    <row r="279" spans="1:7" hidden="1" x14ac:dyDescent="0.4">
      <c r="A279" s="49" t="s">
        <v>26</v>
      </c>
      <c r="B279" s="50" t="s">
        <v>45</v>
      </c>
      <c r="C279" s="51" t="s">
        <v>50</v>
      </c>
      <c r="D279" s="50"/>
      <c r="E279" s="50"/>
      <c r="F279" s="50"/>
      <c r="G279" s="50"/>
    </row>
    <row r="280" spans="1:7" hidden="1" x14ac:dyDescent="0.4">
      <c r="A280" s="49" t="s">
        <v>27</v>
      </c>
      <c r="B280" s="50" t="s">
        <v>45</v>
      </c>
      <c r="C280" s="51" t="s">
        <v>50</v>
      </c>
      <c r="D280" s="50"/>
      <c r="E280" s="50"/>
      <c r="F280" s="50"/>
      <c r="G280" s="50"/>
    </row>
    <row r="281" spans="1:7" hidden="1" x14ac:dyDescent="0.4">
      <c r="A281" s="49" t="s">
        <v>28</v>
      </c>
      <c r="B281" s="50" t="s">
        <v>45</v>
      </c>
      <c r="C281" s="51" t="s">
        <v>50</v>
      </c>
      <c r="D281" s="50"/>
      <c r="E281" s="50"/>
      <c r="F281" s="50"/>
      <c r="G281" s="50"/>
    </row>
    <row r="282" spans="1:7" hidden="1" x14ac:dyDescent="0.4">
      <c r="A282" s="49" t="s">
        <v>29</v>
      </c>
      <c r="B282" s="50" t="s">
        <v>45</v>
      </c>
      <c r="C282" s="51" t="s">
        <v>50</v>
      </c>
      <c r="D282" s="50"/>
      <c r="E282" s="50"/>
      <c r="F282" s="50"/>
      <c r="G282" s="50"/>
    </row>
    <row r="283" spans="1:7" hidden="1" x14ac:dyDescent="0.4">
      <c r="A283" s="49" t="s">
        <v>30</v>
      </c>
      <c r="B283" s="50" t="s">
        <v>45</v>
      </c>
      <c r="C283" s="51" t="s">
        <v>50</v>
      </c>
      <c r="D283" s="50"/>
      <c r="E283" s="50"/>
      <c r="F283" s="50"/>
      <c r="G283" s="50"/>
    </row>
    <row r="284" spans="1:7" hidden="1" x14ac:dyDescent="0.4">
      <c r="A284" s="49" t="s">
        <v>31</v>
      </c>
      <c r="B284" s="50" t="s">
        <v>45</v>
      </c>
      <c r="C284" s="51" t="s">
        <v>50</v>
      </c>
      <c r="D284" s="50"/>
      <c r="E284" s="50"/>
      <c r="F284" s="50"/>
      <c r="G284" s="50"/>
    </row>
    <row r="285" spans="1:7" hidden="1" x14ac:dyDescent="0.4">
      <c r="A285" s="49" t="s">
        <v>32</v>
      </c>
      <c r="B285" s="50" t="s">
        <v>45</v>
      </c>
      <c r="C285" s="51" t="s">
        <v>50</v>
      </c>
      <c r="D285" s="50"/>
      <c r="E285" s="50"/>
      <c r="F285" s="50"/>
      <c r="G285" s="50"/>
    </row>
    <row r="286" spans="1:7" hidden="1" x14ac:dyDescent="0.4">
      <c r="A286" s="49" t="s">
        <v>33</v>
      </c>
      <c r="B286" s="50" t="s">
        <v>45</v>
      </c>
      <c r="C286" s="51" t="s">
        <v>50</v>
      </c>
      <c r="D286" s="50"/>
      <c r="E286" s="50"/>
      <c r="F286" s="50"/>
      <c r="G286" s="50"/>
    </row>
    <row r="287" spans="1:7" hidden="1" x14ac:dyDescent="0.4">
      <c r="A287" s="49" t="s">
        <v>34</v>
      </c>
      <c r="B287" s="50" t="s">
        <v>45</v>
      </c>
      <c r="C287" s="51" t="s">
        <v>50</v>
      </c>
      <c r="D287" s="50"/>
      <c r="E287" s="50"/>
      <c r="F287" s="50"/>
      <c r="G287" s="50"/>
    </row>
    <row r="288" spans="1:7" hidden="1" x14ac:dyDescent="0.4">
      <c r="A288" s="49" t="s">
        <v>35</v>
      </c>
      <c r="B288" s="50" t="s">
        <v>45</v>
      </c>
      <c r="C288" s="51" t="s">
        <v>50</v>
      </c>
      <c r="D288" s="50"/>
      <c r="E288" s="50"/>
      <c r="F288" s="50"/>
      <c r="G288" s="50"/>
    </row>
    <row r="289" spans="1:7" hidden="1" x14ac:dyDescent="0.4">
      <c r="A289" s="49" t="s">
        <v>36</v>
      </c>
      <c r="B289" s="50" t="s">
        <v>45</v>
      </c>
      <c r="C289" s="51" t="s">
        <v>50</v>
      </c>
      <c r="D289" s="50"/>
      <c r="E289" s="50"/>
      <c r="F289" s="50"/>
      <c r="G289" s="50"/>
    </row>
    <row r="290" spans="1:7" hidden="1" x14ac:dyDescent="0.4">
      <c r="A290" s="49" t="s">
        <v>37</v>
      </c>
      <c r="B290" s="50" t="s">
        <v>45</v>
      </c>
      <c r="C290" s="51" t="s">
        <v>50</v>
      </c>
      <c r="D290" s="50"/>
      <c r="E290" s="50"/>
      <c r="F290" s="50"/>
      <c r="G290" s="50"/>
    </row>
    <row r="291" spans="1:7" hidden="1" x14ac:dyDescent="0.4">
      <c r="A291" s="49" t="s">
        <v>5</v>
      </c>
      <c r="B291" s="50" t="s">
        <v>46</v>
      </c>
      <c r="C291" s="51" t="s">
        <v>50</v>
      </c>
      <c r="D291" s="50"/>
      <c r="E291" s="50"/>
      <c r="F291" s="50"/>
      <c r="G291" s="50"/>
    </row>
    <row r="292" spans="1:7" hidden="1" x14ac:dyDescent="0.4">
      <c r="A292" s="49" t="s">
        <v>51</v>
      </c>
      <c r="B292" s="50" t="s">
        <v>46</v>
      </c>
      <c r="C292" s="51" t="s">
        <v>50</v>
      </c>
      <c r="D292" s="50"/>
      <c r="E292" s="50"/>
      <c r="F292" s="50"/>
      <c r="G292" s="50"/>
    </row>
    <row r="293" spans="1:7" hidden="1" x14ac:dyDescent="0.4">
      <c r="A293" s="49" t="s">
        <v>8</v>
      </c>
      <c r="B293" s="50" t="s">
        <v>46</v>
      </c>
      <c r="C293" s="51" t="s">
        <v>50</v>
      </c>
      <c r="D293" s="50"/>
      <c r="E293" s="50"/>
      <c r="F293" s="50"/>
      <c r="G293" s="50"/>
    </row>
    <row r="294" spans="1:7" hidden="1" x14ac:dyDescent="0.4">
      <c r="A294" s="49" t="s">
        <v>9</v>
      </c>
      <c r="B294" s="50" t="s">
        <v>46</v>
      </c>
      <c r="C294" s="51" t="s">
        <v>50</v>
      </c>
      <c r="D294" s="50"/>
      <c r="E294" s="50"/>
      <c r="F294" s="50"/>
      <c r="G294" s="50"/>
    </row>
    <row r="295" spans="1:7" hidden="1" x14ac:dyDescent="0.4">
      <c r="A295" s="49" t="s">
        <v>10</v>
      </c>
      <c r="B295" s="50" t="s">
        <v>46</v>
      </c>
      <c r="C295" s="51" t="s">
        <v>50</v>
      </c>
      <c r="D295" s="50"/>
      <c r="E295" s="50"/>
      <c r="F295" s="50"/>
      <c r="G295" s="50"/>
    </row>
    <row r="296" spans="1:7" hidden="1" x14ac:dyDescent="0.4">
      <c r="A296" s="49" t="s">
        <v>11</v>
      </c>
      <c r="B296" s="50" t="s">
        <v>46</v>
      </c>
      <c r="C296" s="51" t="s">
        <v>50</v>
      </c>
      <c r="D296" s="50"/>
      <c r="E296" s="50"/>
      <c r="F296" s="50"/>
      <c r="G296" s="50"/>
    </row>
    <row r="297" spans="1:7" hidden="1" x14ac:dyDescent="0.4">
      <c r="A297" s="49" t="s">
        <v>12</v>
      </c>
      <c r="B297" s="50" t="s">
        <v>46</v>
      </c>
      <c r="C297" s="51" t="s">
        <v>50</v>
      </c>
      <c r="D297" s="50"/>
      <c r="E297" s="50"/>
      <c r="F297" s="50"/>
      <c r="G297" s="50"/>
    </row>
    <row r="298" spans="1:7" hidden="1" x14ac:dyDescent="0.4">
      <c r="A298" s="49" t="s">
        <v>52</v>
      </c>
      <c r="B298" s="50" t="s">
        <v>46</v>
      </c>
      <c r="C298" s="51" t="s">
        <v>50</v>
      </c>
      <c r="D298" s="50"/>
      <c r="E298" s="50"/>
      <c r="F298" s="50"/>
      <c r="G298" s="50"/>
    </row>
    <row r="299" spans="1:7" hidden="1" x14ac:dyDescent="0.4">
      <c r="A299" s="49" t="s">
        <v>14</v>
      </c>
      <c r="B299" s="50" t="s">
        <v>46</v>
      </c>
      <c r="C299" s="51" t="s">
        <v>50</v>
      </c>
      <c r="D299" s="50"/>
      <c r="E299" s="50"/>
      <c r="F299" s="50"/>
      <c r="G299" s="50"/>
    </row>
    <row r="300" spans="1:7" hidden="1" x14ac:dyDescent="0.4">
      <c r="A300" s="49" t="s">
        <v>15</v>
      </c>
      <c r="B300" s="50" t="s">
        <v>46</v>
      </c>
      <c r="C300" s="51" t="s">
        <v>50</v>
      </c>
      <c r="D300" s="50"/>
      <c r="E300" s="50"/>
      <c r="F300" s="50"/>
      <c r="G300" s="50"/>
    </row>
    <row r="301" spans="1:7" hidden="1" x14ac:dyDescent="0.4">
      <c r="A301" s="49" t="s">
        <v>16</v>
      </c>
      <c r="B301" s="50" t="s">
        <v>46</v>
      </c>
      <c r="C301" s="51" t="s">
        <v>50</v>
      </c>
      <c r="D301" s="50"/>
      <c r="E301" s="50"/>
      <c r="F301" s="50"/>
      <c r="G301" s="50"/>
    </row>
    <row r="302" spans="1:7" hidden="1" x14ac:dyDescent="0.4">
      <c r="A302" s="49" t="s">
        <v>17</v>
      </c>
      <c r="B302" s="50" t="s">
        <v>46</v>
      </c>
      <c r="C302" s="51" t="s">
        <v>50</v>
      </c>
      <c r="D302" s="50"/>
      <c r="E302" s="50"/>
      <c r="F302" s="50"/>
      <c r="G302" s="50"/>
    </row>
    <row r="303" spans="1:7" hidden="1" x14ac:dyDescent="0.4">
      <c r="A303" s="49" t="s">
        <v>18</v>
      </c>
      <c r="B303" s="50" t="s">
        <v>46</v>
      </c>
      <c r="C303" s="51" t="s">
        <v>50</v>
      </c>
      <c r="D303" s="50"/>
      <c r="E303" s="50"/>
      <c r="F303" s="50"/>
      <c r="G303" s="50"/>
    </row>
    <row r="304" spans="1:7" hidden="1" x14ac:dyDescent="0.4">
      <c r="A304" s="49" t="s">
        <v>19</v>
      </c>
      <c r="B304" s="50" t="s">
        <v>46</v>
      </c>
      <c r="C304" s="51" t="s">
        <v>50</v>
      </c>
      <c r="D304" s="50"/>
      <c r="E304" s="50"/>
      <c r="F304" s="50"/>
      <c r="G304" s="50"/>
    </row>
    <row r="305" spans="1:7" hidden="1" x14ac:dyDescent="0.4">
      <c r="A305" s="49" t="s">
        <v>53</v>
      </c>
      <c r="B305" s="50" t="s">
        <v>46</v>
      </c>
      <c r="C305" s="51" t="s">
        <v>50</v>
      </c>
      <c r="D305" s="50"/>
      <c r="E305" s="50"/>
      <c r="F305" s="50"/>
      <c r="G305" s="50"/>
    </row>
    <row r="306" spans="1:7" hidden="1" x14ac:dyDescent="0.4">
      <c r="A306" s="49" t="s">
        <v>21</v>
      </c>
      <c r="B306" s="50" t="s">
        <v>46</v>
      </c>
      <c r="C306" s="51" t="s">
        <v>50</v>
      </c>
      <c r="D306" s="50"/>
      <c r="E306" s="50"/>
      <c r="F306" s="50"/>
      <c r="G306" s="50"/>
    </row>
    <row r="307" spans="1:7" hidden="1" x14ac:dyDescent="0.4">
      <c r="A307" s="49" t="s">
        <v>22</v>
      </c>
      <c r="B307" s="50" t="s">
        <v>46</v>
      </c>
      <c r="C307" s="51" t="s">
        <v>50</v>
      </c>
      <c r="D307" s="50"/>
      <c r="E307" s="50"/>
      <c r="F307" s="50"/>
      <c r="G307" s="50"/>
    </row>
    <row r="308" spans="1:7" hidden="1" x14ac:dyDescent="0.4">
      <c r="A308" s="49" t="s">
        <v>23</v>
      </c>
      <c r="B308" s="50" t="s">
        <v>46</v>
      </c>
      <c r="C308" s="51" t="s">
        <v>50</v>
      </c>
      <c r="D308" s="50"/>
      <c r="E308" s="50"/>
      <c r="F308" s="50"/>
      <c r="G308" s="50"/>
    </row>
    <row r="309" spans="1:7" hidden="1" x14ac:dyDescent="0.4">
      <c r="A309" s="49" t="s">
        <v>54</v>
      </c>
      <c r="B309" s="50" t="s">
        <v>46</v>
      </c>
      <c r="C309" s="51" t="s">
        <v>50</v>
      </c>
      <c r="D309" s="50"/>
      <c r="E309" s="50"/>
      <c r="F309" s="50"/>
      <c r="G309" s="50"/>
    </row>
    <row r="310" spans="1:7" hidden="1" x14ac:dyDescent="0.4">
      <c r="A310" s="49" t="s">
        <v>25</v>
      </c>
      <c r="B310" s="50" t="s">
        <v>46</v>
      </c>
      <c r="C310" s="51" t="s">
        <v>50</v>
      </c>
      <c r="D310" s="50"/>
      <c r="E310" s="50"/>
      <c r="F310" s="50"/>
      <c r="G310" s="50"/>
    </row>
    <row r="311" spans="1:7" hidden="1" x14ac:dyDescent="0.4">
      <c r="A311" s="49" t="s">
        <v>26</v>
      </c>
      <c r="B311" s="50" t="s">
        <v>46</v>
      </c>
      <c r="C311" s="51" t="s">
        <v>50</v>
      </c>
      <c r="D311" s="50"/>
      <c r="E311" s="50"/>
      <c r="F311" s="50"/>
      <c r="G311" s="50"/>
    </row>
    <row r="312" spans="1:7" hidden="1" x14ac:dyDescent="0.4">
      <c r="A312" s="49" t="s">
        <v>27</v>
      </c>
      <c r="B312" s="50" t="s">
        <v>46</v>
      </c>
      <c r="C312" s="51" t="s">
        <v>50</v>
      </c>
      <c r="D312" s="50"/>
      <c r="E312" s="50"/>
      <c r="F312" s="50"/>
      <c r="G312" s="50"/>
    </row>
    <row r="313" spans="1:7" hidden="1" x14ac:dyDescent="0.4">
      <c r="A313" s="49" t="s">
        <v>28</v>
      </c>
      <c r="B313" s="50" t="s">
        <v>46</v>
      </c>
      <c r="C313" s="51" t="s">
        <v>50</v>
      </c>
      <c r="D313" s="50"/>
      <c r="E313" s="50"/>
      <c r="F313" s="50"/>
      <c r="G313" s="50"/>
    </row>
    <row r="314" spans="1:7" hidden="1" x14ac:dyDescent="0.4">
      <c r="A314" s="49" t="s">
        <v>29</v>
      </c>
      <c r="B314" s="50" t="s">
        <v>46</v>
      </c>
      <c r="C314" s="51" t="s">
        <v>50</v>
      </c>
      <c r="D314" s="50"/>
      <c r="E314" s="50"/>
      <c r="F314" s="50"/>
      <c r="G314" s="50"/>
    </row>
    <row r="315" spans="1:7" hidden="1" x14ac:dyDescent="0.4">
      <c r="A315" s="49" t="s">
        <v>30</v>
      </c>
      <c r="B315" s="50" t="s">
        <v>46</v>
      </c>
      <c r="C315" s="51" t="s">
        <v>50</v>
      </c>
      <c r="D315" s="50"/>
      <c r="E315" s="50"/>
      <c r="F315" s="50"/>
      <c r="G315" s="50"/>
    </row>
    <row r="316" spans="1:7" hidden="1" x14ac:dyDescent="0.4">
      <c r="A316" s="49" t="s">
        <v>31</v>
      </c>
      <c r="B316" s="50" t="s">
        <v>46</v>
      </c>
      <c r="C316" s="51" t="s">
        <v>50</v>
      </c>
      <c r="D316" s="50"/>
      <c r="E316" s="50"/>
      <c r="F316" s="50"/>
      <c r="G316" s="50"/>
    </row>
    <row r="317" spans="1:7" hidden="1" x14ac:dyDescent="0.4">
      <c r="A317" s="49" t="s">
        <v>32</v>
      </c>
      <c r="B317" s="50" t="s">
        <v>46</v>
      </c>
      <c r="C317" s="51" t="s">
        <v>50</v>
      </c>
      <c r="D317" s="50"/>
      <c r="E317" s="50"/>
      <c r="F317" s="50"/>
      <c r="G317" s="50"/>
    </row>
    <row r="318" spans="1:7" hidden="1" x14ac:dyDescent="0.4">
      <c r="A318" s="49" t="s">
        <v>33</v>
      </c>
      <c r="B318" s="50" t="s">
        <v>46</v>
      </c>
      <c r="C318" s="51" t="s">
        <v>50</v>
      </c>
      <c r="D318" s="50"/>
      <c r="E318" s="50"/>
      <c r="F318" s="50"/>
      <c r="G318" s="50"/>
    </row>
    <row r="319" spans="1:7" hidden="1" x14ac:dyDescent="0.4">
      <c r="A319" s="49" t="s">
        <v>34</v>
      </c>
      <c r="B319" s="50" t="s">
        <v>46</v>
      </c>
      <c r="C319" s="51" t="s">
        <v>50</v>
      </c>
      <c r="D319" s="50"/>
      <c r="E319" s="50"/>
      <c r="F319" s="50"/>
      <c r="G319" s="50"/>
    </row>
    <row r="320" spans="1:7" hidden="1" x14ac:dyDescent="0.4">
      <c r="A320" s="49" t="s">
        <v>35</v>
      </c>
      <c r="B320" s="50" t="s">
        <v>46</v>
      </c>
      <c r="C320" s="51" t="s">
        <v>50</v>
      </c>
      <c r="D320" s="50"/>
      <c r="E320" s="50"/>
      <c r="F320" s="50"/>
      <c r="G320" s="50"/>
    </row>
    <row r="321" spans="1:7" hidden="1" x14ac:dyDescent="0.4">
      <c r="A321" s="49" t="s">
        <v>36</v>
      </c>
      <c r="B321" s="50" t="s">
        <v>46</v>
      </c>
      <c r="C321" s="51" t="s">
        <v>50</v>
      </c>
      <c r="D321" s="50"/>
      <c r="E321" s="50"/>
      <c r="F321" s="50"/>
      <c r="G321" s="50"/>
    </row>
    <row r="322" spans="1:7" hidden="1" x14ac:dyDescent="0.4">
      <c r="A322" s="49" t="s">
        <v>37</v>
      </c>
      <c r="B322" s="50" t="s">
        <v>46</v>
      </c>
      <c r="C322" s="51" t="s">
        <v>50</v>
      </c>
      <c r="D322" s="50"/>
      <c r="E322" s="50"/>
      <c r="F322" s="50"/>
      <c r="G322" s="50"/>
    </row>
    <row r="323" spans="1:7" hidden="1" x14ac:dyDescent="0.4">
      <c r="A323" s="49" t="s">
        <v>5</v>
      </c>
      <c r="B323" s="50" t="s">
        <v>47</v>
      </c>
      <c r="C323" s="51" t="s">
        <v>50</v>
      </c>
      <c r="D323" s="50"/>
      <c r="E323" s="50"/>
      <c r="F323" s="50"/>
      <c r="G323" s="50"/>
    </row>
    <row r="324" spans="1:7" hidden="1" x14ac:dyDescent="0.4">
      <c r="A324" s="49" t="s">
        <v>51</v>
      </c>
      <c r="B324" s="50" t="s">
        <v>47</v>
      </c>
      <c r="C324" s="51" t="s">
        <v>50</v>
      </c>
      <c r="D324" s="50"/>
      <c r="E324" s="50"/>
      <c r="F324" s="50"/>
      <c r="G324" s="50"/>
    </row>
    <row r="325" spans="1:7" hidden="1" x14ac:dyDescent="0.4">
      <c r="A325" s="49" t="s">
        <v>8</v>
      </c>
      <c r="B325" s="50" t="s">
        <v>47</v>
      </c>
      <c r="C325" s="51" t="s">
        <v>50</v>
      </c>
      <c r="D325" s="50"/>
      <c r="E325" s="50"/>
      <c r="F325" s="50"/>
      <c r="G325" s="50"/>
    </row>
    <row r="326" spans="1:7" hidden="1" x14ac:dyDescent="0.4">
      <c r="A326" s="49" t="s">
        <v>9</v>
      </c>
      <c r="B326" s="50" t="s">
        <v>47</v>
      </c>
      <c r="C326" s="51" t="s">
        <v>50</v>
      </c>
      <c r="D326" s="50"/>
      <c r="E326" s="50"/>
      <c r="F326" s="50"/>
      <c r="G326" s="50"/>
    </row>
    <row r="327" spans="1:7" hidden="1" x14ac:dyDescent="0.4">
      <c r="A327" s="49" t="s">
        <v>10</v>
      </c>
      <c r="B327" s="50" t="s">
        <v>47</v>
      </c>
      <c r="C327" s="51" t="s">
        <v>50</v>
      </c>
      <c r="D327" s="50"/>
      <c r="E327" s="50"/>
      <c r="F327" s="50"/>
      <c r="G327" s="50"/>
    </row>
    <row r="328" spans="1:7" hidden="1" x14ac:dyDescent="0.4">
      <c r="A328" s="49" t="s">
        <v>11</v>
      </c>
      <c r="B328" s="50" t="s">
        <v>47</v>
      </c>
      <c r="C328" s="51" t="s">
        <v>50</v>
      </c>
      <c r="D328" s="50"/>
      <c r="E328" s="50"/>
      <c r="F328" s="50"/>
      <c r="G328" s="50"/>
    </row>
    <row r="329" spans="1:7" hidden="1" x14ac:dyDescent="0.4">
      <c r="A329" s="49" t="s">
        <v>12</v>
      </c>
      <c r="B329" s="50" t="s">
        <v>47</v>
      </c>
      <c r="C329" s="51" t="s">
        <v>50</v>
      </c>
      <c r="D329" s="50"/>
      <c r="E329" s="50"/>
      <c r="F329" s="50"/>
      <c r="G329" s="50"/>
    </row>
    <row r="330" spans="1:7" hidden="1" x14ac:dyDescent="0.4">
      <c r="A330" s="49" t="s">
        <v>52</v>
      </c>
      <c r="B330" s="50" t="s">
        <v>47</v>
      </c>
      <c r="C330" s="51" t="s">
        <v>50</v>
      </c>
      <c r="D330" s="50"/>
      <c r="E330" s="50"/>
      <c r="F330" s="50"/>
      <c r="G330" s="50"/>
    </row>
    <row r="331" spans="1:7" hidden="1" x14ac:dyDescent="0.4">
      <c r="A331" s="49" t="s">
        <v>14</v>
      </c>
      <c r="B331" s="50" t="s">
        <v>47</v>
      </c>
      <c r="C331" s="51" t="s">
        <v>50</v>
      </c>
      <c r="D331" s="50"/>
      <c r="E331" s="50"/>
      <c r="F331" s="50"/>
      <c r="G331" s="50"/>
    </row>
    <row r="332" spans="1:7" hidden="1" x14ac:dyDescent="0.4">
      <c r="A332" s="49" t="s">
        <v>15</v>
      </c>
      <c r="B332" s="50" t="s">
        <v>47</v>
      </c>
      <c r="C332" s="51" t="s">
        <v>50</v>
      </c>
      <c r="D332" s="50"/>
      <c r="E332" s="50"/>
      <c r="F332" s="50"/>
      <c r="G332" s="50"/>
    </row>
    <row r="333" spans="1:7" hidden="1" x14ac:dyDescent="0.4">
      <c r="A333" s="49" t="s">
        <v>16</v>
      </c>
      <c r="B333" s="50" t="s">
        <v>47</v>
      </c>
      <c r="C333" s="51" t="s">
        <v>50</v>
      </c>
      <c r="D333" s="50"/>
      <c r="E333" s="50"/>
      <c r="F333" s="50"/>
      <c r="G333" s="50"/>
    </row>
    <row r="334" spans="1:7" hidden="1" x14ac:dyDescent="0.4">
      <c r="A334" s="49" t="s">
        <v>17</v>
      </c>
      <c r="B334" s="50" t="s">
        <v>47</v>
      </c>
      <c r="C334" s="51" t="s">
        <v>50</v>
      </c>
      <c r="D334" s="50"/>
      <c r="E334" s="50"/>
      <c r="F334" s="50"/>
      <c r="G334" s="50"/>
    </row>
    <row r="335" spans="1:7" hidden="1" x14ac:dyDescent="0.4">
      <c r="A335" s="49" t="s">
        <v>18</v>
      </c>
      <c r="B335" s="50" t="s">
        <v>47</v>
      </c>
      <c r="C335" s="51" t="s">
        <v>50</v>
      </c>
      <c r="D335" s="50"/>
      <c r="E335" s="50"/>
      <c r="F335" s="50"/>
      <c r="G335" s="50"/>
    </row>
    <row r="336" spans="1:7" hidden="1" x14ac:dyDescent="0.4">
      <c r="A336" s="49" t="s">
        <v>19</v>
      </c>
      <c r="B336" s="50" t="s">
        <v>47</v>
      </c>
      <c r="C336" s="51" t="s">
        <v>50</v>
      </c>
      <c r="D336" s="50"/>
      <c r="E336" s="50"/>
      <c r="F336" s="50"/>
      <c r="G336" s="50"/>
    </row>
    <row r="337" spans="1:7" hidden="1" x14ac:dyDescent="0.4">
      <c r="A337" s="49" t="s">
        <v>53</v>
      </c>
      <c r="B337" s="50" t="s">
        <v>47</v>
      </c>
      <c r="C337" s="51" t="s">
        <v>50</v>
      </c>
      <c r="D337" s="50"/>
      <c r="E337" s="50"/>
      <c r="F337" s="50"/>
      <c r="G337" s="50"/>
    </row>
    <row r="338" spans="1:7" hidden="1" x14ac:dyDescent="0.4">
      <c r="A338" s="49" t="s">
        <v>21</v>
      </c>
      <c r="B338" s="50" t="s">
        <v>47</v>
      </c>
      <c r="C338" s="51" t="s">
        <v>50</v>
      </c>
      <c r="D338" s="50"/>
      <c r="E338" s="50"/>
      <c r="F338" s="50"/>
      <c r="G338" s="50"/>
    </row>
    <row r="339" spans="1:7" hidden="1" x14ac:dyDescent="0.4">
      <c r="A339" s="49" t="s">
        <v>22</v>
      </c>
      <c r="B339" s="50" t="s">
        <v>47</v>
      </c>
      <c r="C339" s="51" t="s">
        <v>50</v>
      </c>
      <c r="D339" s="50"/>
      <c r="E339" s="50"/>
      <c r="F339" s="50"/>
      <c r="G339" s="50"/>
    </row>
    <row r="340" spans="1:7" hidden="1" x14ac:dyDescent="0.4">
      <c r="A340" s="49" t="s">
        <v>23</v>
      </c>
      <c r="B340" s="50" t="s">
        <v>47</v>
      </c>
      <c r="C340" s="51" t="s">
        <v>50</v>
      </c>
      <c r="D340" s="50"/>
      <c r="E340" s="50"/>
      <c r="F340" s="50"/>
      <c r="G340" s="50"/>
    </row>
    <row r="341" spans="1:7" hidden="1" x14ac:dyDescent="0.4">
      <c r="A341" s="49" t="s">
        <v>54</v>
      </c>
      <c r="B341" s="50" t="s">
        <v>47</v>
      </c>
      <c r="C341" s="51" t="s">
        <v>50</v>
      </c>
      <c r="D341" s="50"/>
      <c r="E341" s="50"/>
      <c r="F341" s="50"/>
      <c r="G341" s="50"/>
    </row>
    <row r="342" spans="1:7" hidden="1" x14ac:dyDescent="0.4">
      <c r="A342" s="49" t="s">
        <v>25</v>
      </c>
      <c r="B342" s="50" t="s">
        <v>47</v>
      </c>
      <c r="C342" s="51" t="s">
        <v>50</v>
      </c>
      <c r="D342" s="50"/>
      <c r="E342" s="50"/>
      <c r="F342" s="50"/>
      <c r="G342" s="50"/>
    </row>
    <row r="343" spans="1:7" hidden="1" x14ac:dyDescent="0.4">
      <c r="A343" s="49" t="s">
        <v>26</v>
      </c>
      <c r="B343" s="50" t="s">
        <v>47</v>
      </c>
      <c r="C343" s="51" t="s">
        <v>50</v>
      </c>
      <c r="D343" s="50"/>
      <c r="E343" s="50"/>
      <c r="F343" s="50"/>
      <c r="G343" s="50"/>
    </row>
    <row r="344" spans="1:7" hidden="1" x14ac:dyDescent="0.4">
      <c r="A344" s="49" t="s">
        <v>27</v>
      </c>
      <c r="B344" s="50" t="s">
        <v>47</v>
      </c>
      <c r="C344" s="51" t="s">
        <v>50</v>
      </c>
      <c r="D344" s="50"/>
      <c r="E344" s="50"/>
      <c r="F344" s="50"/>
      <c r="G344" s="50"/>
    </row>
    <row r="345" spans="1:7" hidden="1" x14ac:dyDescent="0.4">
      <c r="A345" s="49" t="s">
        <v>28</v>
      </c>
      <c r="B345" s="50" t="s">
        <v>47</v>
      </c>
      <c r="C345" s="51" t="s">
        <v>50</v>
      </c>
      <c r="D345" s="50"/>
      <c r="E345" s="50"/>
      <c r="F345" s="50"/>
      <c r="G345" s="50"/>
    </row>
    <row r="346" spans="1:7" hidden="1" x14ac:dyDescent="0.4">
      <c r="A346" s="49" t="s">
        <v>29</v>
      </c>
      <c r="B346" s="50" t="s">
        <v>47</v>
      </c>
      <c r="C346" s="51" t="s">
        <v>50</v>
      </c>
      <c r="D346" s="50"/>
      <c r="E346" s="50"/>
      <c r="F346" s="50"/>
      <c r="G346" s="50"/>
    </row>
    <row r="347" spans="1:7" hidden="1" x14ac:dyDescent="0.4">
      <c r="A347" s="49" t="s">
        <v>30</v>
      </c>
      <c r="B347" s="50" t="s">
        <v>47</v>
      </c>
      <c r="C347" s="51" t="s">
        <v>50</v>
      </c>
      <c r="D347" s="50"/>
      <c r="E347" s="50"/>
      <c r="F347" s="50"/>
      <c r="G347" s="50"/>
    </row>
    <row r="348" spans="1:7" hidden="1" x14ac:dyDescent="0.4">
      <c r="A348" s="49" t="s">
        <v>31</v>
      </c>
      <c r="B348" s="50" t="s">
        <v>47</v>
      </c>
      <c r="C348" s="51" t="s">
        <v>50</v>
      </c>
      <c r="D348" s="50"/>
      <c r="E348" s="50"/>
      <c r="F348" s="50"/>
      <c r="G348" s="50"/>
    </row>
    <row r="349" spans="1:7" hidden="1" x14ac:dyDescent="0.4">
      <c r="A349" s="49" t="s">
        <v>32</v>
      </c>
      <c r="B349" s="50" t="s">
        <v>47</v>
      </c>
      <c r="C349" s="51" t="s">
        <v>50</v>
      </c>
      <c r="D349" s="50"/>
      <c r="E349" s="50"/>
      <c r="F349" s="50"/>
      <c r="G349" s="50"/>
    </row>
    <row r="350" spans="1:7" hidden="1" x14ac:dyDescent="0.4">
      <c r="A350" s="49" t="s">
        <v>33</v>
      </c>
      <c r="B350" s="50" t="s">
        <v>47</v>
      </c>
      <c r="C350" s="51" t="s">
        <v>50</v>
      </c>
      <c r="D350" s="50"/>
      <c r="E350" s="50"/>
      <c r="F350" s="50"/>
      <c r="G350" s="50"/>
    </row>
    <row r="351" spans="1:7" hidden="1" x14ac:dyDescent="0.4">
      <c r="A351" s="49" t="s">
        <v>34</v>
      </c>
      <c r="B351" s="50" t="s">
        <v>47</v>
      </c>
      <c r="C351" s="51" t="s">
        <v>50</v>
      </c>
      <c r="D351" s="50"/>
      <c r="E351" s="50"/>
      <c r="F351" s="50"/>
      <c r="G351" s="50"/>
    </row>
    <row r="352" spans="1:7" hidden="1" x14ac:dyDescent="0.4">
      <c r="A352" s="49" t="s">
        <v>35</v>
      </c>
      <c r="B352" s="50" t="s">
        <v>47</v>
      </c>
      <c r="C352" s="51" t="s">
        <v>50</v>
      </c>
      <c r="D352" s="50"/>
      <c r="E352" s="50"/>
      <c r="F352" s="50"/>
      <c r="G352" s="50"/>
    </row>
    <row r="353" spans="1:7" hidden="1" x14ac:dyDescent="0.4">
      <c r="A353" s="49" t="s">
        <v>36</v>
      </c>
      <c r="B353" s="50" t="s">
        <v>47</v>
      </c>
      <c r="C353" s="51" t="s">
        <v>50</v>
      </c>
      <c r="D353" s="50"/>
      <c r="E353" s="50"/>
      <c r="F353" s="50"/>
      <c r="G353" s="50"/>
    </row>
    <row r="354" spans="1:7" hidden="1" x14ac:dyDescent="0.4">
      <c r="A354" s="49" t="s">
        <v>37</v>
      </c>
      <c r="B354" s="50" t="s">
        <v>47</v>
      </c>
      <c r="C354" s="51" t="s">
        <v>50</v>
      </c>
      <c r="D354" s="50"/>
      <c r="E354" s="50"/>
      <c r="F354" s="50"/>
      <c r="G354" s="50"/>
    </row>
    <row r="355" spans="1:7" hidden="1" x14ac:dyDescent="0.4">
      <c r="A355" s="49" t="s">
        <v>5</v>
      </c>
      <c r="B355" s="50" t="s">
        <v>48</v>
      </c>
      <c r="C355" s="51" t="s">
        <v>50</v>
      </c>
      <c r="D355" s="50"/>
      <c r="E355" s="50"/>
      <c r="F355" s="50"/>
      <c r="G355" s="50"/>
    </row>
    <row r="356" spans="1:7" hidden="1" x14ac:dyDescent="0.4">
      <c r="A356" s="49" t="s">
        <v>51</v>
      </c>
      <c r="B356" s="50" t="s">
        <v>48</v>
      </c>
      <c r="C356" s="51" t="s">
        <v>50</v>
      </c>
      <c r="D356" s="50"/>
      <c r="E356" s="50"/>
      <c r="F356" s="50"/>
      <c r="G356" s="50"/>
    </row>
    <row r="357" spans="1:7" hidden="1" x14ac:dyDescent="0.4">
      <c r="A357" s="49" t="s">
        <v>8</v>
      </c>
      <c r="B357" s="50" t="s">
        <v>48</v>
      </c>
      <c r="C357" s="51" t="s">
        <v>50</v>
      </c>
      <c r="D357" s="50"/>
      <c r="E357" s="50"/>
      <c r="F357" s="50"/>
      <c r="G357" s="50"/>
    </row>
    <row r="358" spans="1:7" hidden="1" x14ac:dyDescent="0.4">
      <c r="A358" s="49" t="s">
        <v>9</v>
      </c>
      <c r="B358" s="50" t="s">
        <v>48</v>
      </c>
      <c r="C358" s="51" t="s">
        <v>50</v>
      </c>
      <c r="D358" s="50"/>
      <c r="E358" s="50"/>
      <c r="F358" s="50"/>
      <c r="G358" s="50"/>
    </row>
    <row r="359" spans="1:7" hidden="1" x14ac:dyDescent="0.4">
      <c r="A359" s="49" t="s">
        <v>10</v>
      </c>
      <c r="B359" s="50" t="s">
        <v>48</v>
      </c>
      <c r="C359" s="51" t="s">
        <v>50</v>
      </c>
      <c r="D359" s="50"/>
      <c r="E359" s="50"/>
      <c r="F359" s="50"/>
      <c r="G359" s="50"/>
    </row>
    <row r="360" spans="1:7" hidden="1" x14ac:dyDescent="0.4">
      <c r="A360" s="49" t="s">
        <v>11</v>
      </c>
      <c r="B360" s="50" t="s">
        <v>48</v>
      </c>
      <c r="C360" s="51" t="s">
        <v>50</v>
      </c>
      <c r="D360" s="50"/>
      <c r="E360" s="50"/>
      <c r="F360" s="50"/>
      <c r="G360" s="50"/>
    </row>
    <row r="361" spans="1:7" hidden="1" x14ac:dyDescent="0.4">
      <c r="A361" s="49" t="s">
        <v>12</v>
      </c>
      <c r="B361" s="50" t="s">
        <v>48</v>
      </c>
      <c r="C361" s="51" t="s">
        <v>50</v>
      </c>
      <c r="D361" s="50"/>
      <c r="E361" s="50"/>
      <c r="F361" s="50"/>
      <c r="G361" s="50"/>
    </row>
    <row r="362" spans="1:7" hidden="1" x14ac:dyDescent="0.4">
      <c r="A362" s="49" t="s">
        <v>52</v>
      </c>
      <c r="B362" s="50" t="s">
        <v>48</v>
      </c>
      <c r="C362" s="51" t="s">
        <v>50</v>
      </c>
      <c r="D362" s="50"/>
      <c r="E362" s="50"/>
      <c r="F362" s="50"/>
      <c r="G362" s="50"/>
    </row>
    <row r="363" spans="1:7" hidden="1" x14ac:dyDescent="0.4">
      <c r="A363" s="49" t="s">
        <v>14</v>
      </c>
      <c r="B363" s="50" t="s">
        <v>48</v>
      </c>
      <c r="C363" s="51" t="s">
        <v>50</v>
      </c>
      <c r="D363" s="50"/>
      <c r="E363" s="50"/>
      <c r="F363" s="50"/>
      <c r="G363" s="50"/>
    </row>
    <row r="364" spans="1:7" hidden="1" x14ac:dyDescent="0.4">
      <c r="A364" s="49" t="s">
        <v>15</v>
      </c>
      <c r="B364" s="50" t="s">
        <v>48</v>
      </c>
      <c r="C364" s="51" t="s">
        <v>50</v>
      </c>
      <c r="D364" s="50"/>
      <c r="E364" s="50"/>
      <c r="F364" s="50"/>
      <c r="G364" s="50"/>
    </row>
    <row r="365" spans="1:7" hidden="1" x14ac:dyDescent="0.4">
      <c r="A365" s="49" t="s">
        <v>16</v>
      </c>
      <c r="B365" s="50" t="s">
        <v>48</v>
      </c>
      <c r="C365" s="51" t="s">
        <v>50</v>
      </c>
      <c r="D365" s="50"/>
      <c r="E365" s="50"/>
      <c r="F365" s="50"/>
      <c r="G365" s="50"/>
    </row>
    <row r="366" spans="1:7" hidden="1" x14ac:dyDescent="0.4">
      <c r="A366" s="49" t="s">
        <v>17</v>
      </c>
      <c r="B366" s="50" t="s">
        <v>48</v>
      </c>
      <c r="C366" s="51" t="s">
        <v>50</v>
      </c>
      <c r="D366" s="50"/>
      <c r="E366" s="50"/>
      <c r="F366" s="50"/>
      <c r="G366" s="50"/>
    </row>
    <row r="367" spans="1:7" hidden="1" x14ac:dyDescent="0.4">
      <c r="A367" s="49" t="s">
        <v>18</v>
      </c>
      <c r="B367" s="50" t="s">
        <v>48</v>
      </c>
      <c r="C367" s="51" t="s">
        <v>50</v>
      </c>
      <c r="D367" s="50"/>
      <c r="E367" s="50"/>
      <c r="F367" s="50"/>
      <c r="G367" s="50"/>
    </row>
    <row r="368" spans="1:7" hidden="1" x14ac:dyDescent="0.4">
      <c r="A368" s="49" t="s">
        <v>19</v>
      </c>
      <c r="B368" s="50" t="s">
        <v>48</v>
      </c>
      <c r="C368" s="51" t="s">
        <v>50</v>
      </c>
      <c r="D368" s="50"/>
      <c r="E368" s="50"/>
      <c r="F368" s="50"/>
      <c r="G368" s="50"/>
    </row>
    <row r="369" spans="1:7" hidden="1" x14ac:dyDescent="0.4">
      <c r="A369" s="49" t="s">
        <v>53</v>
      </c>
      <c r="B369" s="50" t="s">
        <v>48</v>
      </c>
      <c r="C369" s="51" t="s">
        <v>50</v>
      </c>
      <c r="D369" s="50"/>
      <c r="E369" s="50"/>
      <c r="F369" s="50"/>
      <c r="G369" s="50"/>
    </row>
    <row r="370" spans="1:7" hidden="1" x14ac:dyDescent="0.4">
      <c r="A370" s="49" t="s">
        <v>21</v>
      </c>
      <c r="B370" s="50" t="s">
        <v>48</v>
      </c>
      <c r="C370" s="51" t="s">
        <v>50</v>
      </c>
      <c r="D370" s="50"/>
      <c r="E370" s="50"/>
      <c r="F370" s="50"/>
      <c r="G370" s="50"/>
    </row>
    <row r="371" spans="1:7" hidden="1" x14ac:dyDescent="0.4">
      <c r="A371" s="49" t="s">
        <v>22</v>
      </c>
      <c r="B371" s="50" t="s">
        <v>48</v>
      </c>
      <c r="C371" s="51" t="s">
        <v>50</v>
      </c>
      <c r="D371" s="50"/>
      <c r="E371" s="50"/>
      <c r="F371" s="50"/>
      <c r="G371" s="50"/>
    </row>
    <row r="372" spans="1:7" hidden="1" x14ac:dyDescent="0.4">
      <c r="A372" s="49" t="s">
        <v>23</v>
      </c>
      <c r="B372" s="50" t="s">
        <v>48</v>
      </c>
      <c r="C372" s="51" t="s">
        <v>50</v>
      </c>
      <c r="D372" s="50"/>
      <c r="E372" s="50"/>
      <c r="F372" s="50"/>
      <c r="G372" s="50"/>
    </row>
    <row r="373" spans="1:7" hidden="1" x14ac:dyDescent="0.4">
      <c r="A373" s="49" t="s">
        <v>54</v>
      </c>
      <c r="B373" s="50" t="s">
        <v>48</v>
      </c>
      <c r="C373" s="51" t="s">
        <v>50</v>
      </c>
      <c r="D373" s="50"/>
      <c r="E373" s="50"/>
      <c r="F373" s="50"/>
      <c r="G373" s="50"/>
    </row>
    <row r="374" spans="1:7" hidden="1" x14ac:dyDescent="0.4">
      <c r="A374" s="49" t="s">
        <v>25</v>
      </c>
      <c r="B374" s="50" t="s">
        <v>48</v>
      </c>
      <c r="C374" s="51" t="s">
        <v>50</v>
      </c>
      <c r="D374" s="50"/>
      <c r="E374" s="50"/>
      <c r="F374" s="50"/>
      <c r="G374" s="50"/>
    </row>
    <row r="375" spans="1:7" hidden="1" x14ac:dyDescent="0.4">
      <c r="A375" s="49" t="s">
        <v>26</v>
      </c>
      <c r="B375" s="50" t="s">
        <v>48</v>
      </c>
      <c r="C375" s="51" t="s">
        <v>50</v>
      </c>
      <c r="D375" s="50"/>
      <c r="E375" s="50"/>
      <c r="F375" s="50"/>
      <c r="G375" s="50"/>
    </row>
    <row r="376" spans="1:7" hidden="1" x14ac:dyDescent="0.4">
      <c r="A376" s="49" t="s">
        <v>27</v>
      </c>
      <c r="B376" s="50" t="s">
        <v>48</v>
      </c>
      <c r="C376" s="51" t="s">
        <v>50</v>
      </c>
      <c r="D376" s="50"/>
      <c r="E376" s="50"/>
      <c r="F376" s="50"/>
      <c r="G376" s="50"/>
    </row>
    <row r="377" spans="1:7" hidden="1" x14ac:dyDescent="0.4">
      <c r="A377" s="49" t="s">
        <v>28</v>
      </c>
      <c r="B377" s="50" t="s">
        <v>48</v>
      </c>
      <c r="C377" s="51" t="s">
        <v>50</v>
      </c>
      <c r="D377" s="50"/>
      <c r="E377" s="50"/>
      <c r="F377" s="50"/>
      <c r="G377" s="50"/>
    </row>
    <row r="378" spans="1:7" hidden="1" x14ac:dyDescent="0.4">
      <c r="A378" s="49" t="s">
        <v>29</v>
      </c>
      <c r="B378" s="50" t="s">
        <v>48</v>
      </c>
      <c r="C378" s="51" t="s">
        <v>50</v>
      </c>
      <c r="D378" s="50"/>
      <c r="E378" s="50"/>
      <c r="F378" s="50"/>
      <c r="G378" s="50"/>
    </row>
    <row r="379" spans="1:7" hidden="1" x14ac:dyDescent="0.4">
      <c r="A379" s="49" t="s">
        <v>30</v>
      </c>
      <c r="B379" s="50" t="s">
        <v>48</v>
      </c>
      <c r="C379" s="51" t="s">
        <v>50</v>
      </c>
      <c r="D379" s="50"/>
      <c r="E379" s="50"/>
      <c r="F379" s="50"/>
      <c r="G379" s="50"/>
    </row>
    <row r="380" spans="1:7" hidden="1" x14ac:dyDescent="0.4">
      <c r="A380" s="49" t="s">
        <v>31</v>
      </c>
      <c r="B380" s="50" t="s">
        <v>48</v>
      </c>
      <c r="C380" s="51" t="s">
        <v>50</v>
      </c>
      <c r="D380" s="50"/>
      <c r="E380" s="50"/>
      <c r="F380" s="50"/>
      <c r="G380" s="50"/>
    </row>
    <row r="381" spans="1:7" hidden="1" x14ac:dyDescent="0.4">
      <c r="A381" s="49" t="s">
        <v>32</v>
      </c>
      <c r="B381" s="50" t="s">
        <v>48</v>
      </c>
      <c r="C381" s="51" t="s">
        <v>50</v>
      </c>
      <c r="D381" s="50"/>
      <c r="E381" s="50"/>
      <c r="F381" s="50"/>
      <c r="G381" s="50"/>
    </row>
    <row r="382" spans="1:7" hidden="1" x14ac:dyDescent="0.4">
      <c r="A382" s="49" t="s">
        <v>33</v>
      </c>
      <c r="B382" s="50" t="s">
        <v>48</v>
      </c>
      <c r="C382" s="51" t="s">
        <v>50</v>
      </c>
      <c r="D382" s="50"/>
      <c r="E382" s="50"/>
      <c r="F382" s="50"/>
      <c r="G382" s="50"/>
    </row>
    <row r="383" spans="1:7" hidden="1" x14ac:dyDescent="0.4">
      <c r="A383" s="49" t="s">
        <v>34</v>
      </c>
      <c r="B383" s="50" t="s">
        <v>48</v>
      </c>
      <c r="C383" s="51" t="s">
        <v>50</v>
      </c>
      <c r="D383" s="50"/>
      <c r="E383" s="50"/>
      <c r="F383" s="50"/>
      <c r="G383" s="50"/>
    </row>
    <row r="384" spans="1:7" hidden="1" x14ac:dyDescent="0.4">
      <c r="A384" s="49" t="s">
        <v>35</v>
      </c>
      <c r="B384" s="50" t="s">
        <v>48</v>
      </c>
      <c r="C384" s="51" t="s">
        <v>50</v>
      </c>
      <c r="D384" s="50"/>
      <c r="E384" s="50"/>
      <c r="F384" s="50"/>
      <c r="G384" s="50"/>
    </row>
    <row r="385" spans="1:7" hidden="1" x14ac:dyDescent="0.4">
      <c r="A385" s="49" t="s">
        <v>36</v>
      </c>
      <c r="B385" s="50" t="s">
        <v>48</v>
      </c>
      <c r="C385" s="51" t="s">
        <v>50</v>
      </c>
      <c r="D385" s="50"/>
      <c r="E385" s="50"/>
      <c r="F385" s="50"/>
      <c r="G385" s="50"/>
    </row>
    <row r="386" spans="1:7" hidden="1" x14ac:dyDescent="0.4">
      <c r="A386" s="49" t="s">
        <v>37</v>
      </c>
      <c r="B386" s="50" t="s">
        <v>48</v>
      </c>
      <c r="C386" s="51" t="s">
        <v>50</v>
      </c>
      <c r="D386" s="50"/>
      <c r="E386" s="50"/>
      <c r="F386" s="50"/>
      <c r="G386" s="50"/>
    </row>
    <row r="387" spans="1:7" ht="20.25" x14ac:dyDescent="0.45">
      <c r="A387" s="79" t="s">
        <v>55</v>
      </c>
      <c r="B387" s="79"/>
      <c r="C387" s="80"/>
      <c r="D387" s="56">
        <f>+SUBTOTAL(9,Tabla55[Total llamadas por extorsión])</f>
        <v>20459</v>
      </c>
      <c r="E387" s="56">
        <f>+SUBTOTAL(9,Tabla55[Extorsiones consumadas])</f>
        <v>2587</v>
      </c>
      <c r="F387" s="56">
        <f>+SUBTOTAL(9,Tabla55[Estorsiones no consumadas])</f>
        <v>17872</v>
      </c>
      <c r="G387" s="56">
        <f>+SUBTOTAL(9,Tabla55[Denuncia de número que intentó engaño o extorsión pasada])</f>
        <v>0</v>
      </c>
    </row>
  </sheetData>
  <mergeCells count="2">
    <mergeCell ref="A1:G1"/>
    <mergeCell ref="A387:C387"/>
  </mergeCells>
  <pageMargins left="0.7" right="0.7" top="0.75" bottom="0.75" header="0.3" footer="0.3"/>
  <pageSetup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19C7-F8A7-48EB-9CC5-9F92CAC5DF44}">
  <dimension ref="A1:V388"/>
  <sheetViews>
    <sheetView showGridLines="0" topLeftCell="A2" zoomScale="80" zoomScaleNormal="80" workbookViewId="0">
      <selection activeCell="E388" sqref="E388:F388"/>
    </sheetView>
  </sheetViews>
  <sheetFormatPr baseColWidth="10" defaultColWidth="11.42578125" defaultRowHeight="17.25" x14ac:dyDescent="0.4"/>
  <cols>
    <col min="1" max="1" width="23.42578125" style="1" customWidth="1"/>
    <col min="2" max="2" width="16.5703125" style="53" customWidth="1"/>
    <col min="3" max="3" width="11.42578125" style="53" customWidth="1"/>
    <col min="4" max="6" width="21.28515625" style="53" customWidth="1"/>
    <col min="7" max="7" width="33.5703125" style="53" customWidth="1"/>
    <col min="8" max="8" width="11.42578125" style="1" customWidth="1"/>
    <col min="9" max="9" width="18.28515625" style="1" customWidth="1"/>
    <col min="10" max="10" width="18.140625" style="1" bestFit="1" customWidth="1"/>
    <col min="11" max="11" width="23.42578125" style="1" bestFit="1" customWidth="1"/>
    <col min="12" max="12" width="17.7109375" style="1" customWidth="1"/>
    <col min="13" max="13" width="23.85546875" style="1" customWidth="1"/>
    <col min="14" max="14" width="16.28515625" style="1" customWidth="1"/>
    <col min="15" max="15" width="30.140625" style="1" customWidth="1"/>
    <col min="16" max="17" width="11.42578125" style="1"/>
    <col min="18" max="18" width="23.42578125" style="1" bestFit="1" customWidth="1"/>
    <col min="19" max="19" width="44.42578125" style="1" bestFit="1" customWidth="1"/>
    <col min="20" max="20" width="41" style="1" bestFit="1" customWidth="1"/>
    <col min="21" max="21" width="44.42578125" style="1" bestFit="1" customWidth="1"/>
    <col min="22" max="22" width="82" style="1" bestFit="1" customWidth="1"/>
    <col min="23" max="16384" width="11.42578125" style="1"/>
  </cols>
  <sheetData>
    <row r="1" spans="1:14" ht="30" customHeight="1" x14ac:dyDescent="0.4">
      <c r="A1" s="81" t="s">
        <v>61</v>
      </c>
      <c r="B1" s="82"/>
      <c r="C1" s="82"/>
      <c r="D1" s="82"/>
      <c r="E1" s="82"/>
      <c r="F1" s="82"/>
      <c r="G1" s="82"/>
    </row>
    <row r="2" spans="1:14" ht="30" customHeight="1" x14ac:dyDescent="0.4">
      <c r="A2" s="83" t="s">
        <v>62</v>
      </c>
      <c r="B2" s="84"/>
      <c r="C2" s="84"/>
      <c r="D2" s="84"/>
      <c r="E2" s="84"/>
      <c r="F2" s="84"/>
      <c r="G2" s="85"/>
    </row>
    <row r="3" spans="1:14" ht="30.75" customHeight="1" x14ac:dyDescent="0.4">
      <c r="A3" s="57" t="s">
        <v>1</v>
      </c>
      <c r="B3" s="57" t="s">
        <v>2</v>
      </c>
      <c r="C3" s="57" t="s">
        <v>3</v>
      </c>
      <c r="D3" s="58" t="s">
        <v>57</v>
      </c>
      <c r="E3" s="58" t="s">
        <v>58</v>
      </c>
      <c r="F3" s="58" t="s">
        <v>59</v>
      </c>
      <c r="G3" s="58" t="s">
        <v>60</v>
      </c>
    </row>
    <row r="4" spans="1:14" hidden="1" x14ac:dyDescent="0.4">
      <c r="A4" s="49" t="s">
        <v>5</v>
      </c>
      <c r="B4" s="50" t="s">
        <v>6</v>
      </c>
      <c r="C4" s="51" t="s">
        <v>63</v>
      </c>
      <c r="D4" s="50">
        <v>22</v>
      </c>
      <c r="E4" s="50">
        <v>2</v>
      </c>
      <c r="F4" s="50">
        <v>18</v>
      </c>
      <c r="G4" s="50">
        <v>2</v>
      </c>
    </row>
    <row r="5" spans="1:14" hidden="1" x14ac:dyDescent="0.4">
      <c r="A5" s="49" t="s">
        <v>51</v>
      </c>
      <c r="B5" s="50" t="s">
        <v>6</v>
      </c>
      <c r="C5" s="51" t="s">
        <v>63</v>
      </c>
      <c r="D5" s="50">
        <v>66</v>
      </c>
      <c r="E5" s="50">
        <v>15</v>
      </c>
      <c r="F5" s="50">
        <v>41</v>
      </c>
      <c r="G5" s="50">
        <v>10</v>
      </c>
    </row>
    <row r="6" spans="1:14" hidden="1" x14ac:dyDescent="0.4">
      <c r="A6" s="49" t="s">
        <v>8</v>
      </c>
      <c r="B6" s="50" t="s">
        <v>6</v>
      </c>
      <c r="C6" s="51" t="s">
        <v>63</v>
      </c>
      <c r="D6" s="50">
        <v>20</v>
      </c>
      <c r="E6" s="50">
        <v>3</v>
      </c>
      <c r="F6" s="50">
        <v>15</v>
      </c>
      <c r="G6" s="50">
        <v>2</v>
      </c>
    </row>
    <row r="7" spans="1:14" hidden="1" x14ac:dyDescent="0.4">
      <c r="A7" s="49" t="s">
        <v>9</v>
      </c>
      <c r="B7" s="50" t="s">
        <v>6</v>
      </c>
      <c r="C7" s="51" t="s">
        <v>63</v>
      </c>
      <c r="D7" s="50">
        <v>13</v>
      </c>
      <c r="E7" s="50">
        <v>4</v>
      </c>
      <c r="F7" s="50">
        <v>8</v>
      </c>
      <c r="G7" s="50">
        <v>1</v>
      </c>
    </row>
    <row r="8" spans="1:14" hidden="1" x14ac:dyDescent="0.4">
      <c r="A8" s="49" t="s">
        <v>10</v>
      </c>
      <c r="B8" s="50" t="s">
        <v>6</v>
      </c>
      <c r="C8" s="51" t="s">
        <v>63</v>
      </c>
      <c r="D8" s="50">
        <v>39</v>
      </c>
      <c r="E8" s="50">
        <v>9</v>
      </c>
      <c r="F8" s="50">
        <v>21</v>
      </c>
      <c r="G8" s="50">
        <v>9</v>
      </c>
    </row>
    <row r="9" spans="1:14" hidden="1" x14ac:dyDescent="0.4">
      <c r="A9" s="49" t="s">
        <v>11</v>
      </c>
      <c r="B9" s="50" t="s">
        <v>6</v>
      </c>
      <c r="C9" s="51" t="s">
        <v>63</v>
      </c>
      <c r="D9" s="50">
        <v>33</v>
      </c>
      <c r="E9" s="50">
        <v>8</v>
      </c>
      <c r="F9" s="50">
        <v>22</v>
      </c>
      <c r="G9" s="50">
        <v>3</v>
      </c>
    </row>
    <row r="10" spans="1:14" hidden="1" x14ac:dyDescent="0.4">
      <c r="A10" s="49" t="s">
        <v>12</v>
      </c>
      <c r="B10" s="50" t="s">
        <v>6</v>
      </c>
      <c r="C10" s="51" t="s">
        <v>63</v>
      </c>
      <c r="D10" s="50">
        <v>423</v>
      </c>
      <c r="E10" s="50">
        <v>53</v>
      </c>
      <c r="F10" s="50">
        <v>332</v>
      </c>
      <c r="G10" s="50">
        <v>38</v>
      </c>
    </row>
    <row r="11" spans="1:14" hidden="1" x14ac:dyDescent="0.4">
      <c r="A11" s="49" t="s">
        <v>52</v>
      </c>
      <c r="B11" s="50" t="s">
        <v>6</v>
      </c>
      <c r="C11" s="51" t="s">
        <v>63</v>
      </c>
      <c r="D11" s="50">
        <v>38</v>
      </c>
      <c r="E11" s="50">
        <v>10</v>
      </c>
      <c r="F11" s="50">
        <v>26</v>
      </c>
      <c r="G11" s="50">
        <v>2</v>
      </c>
    </row>
    <row r="12" spans="1:14" hidden="1" x14ac:dyDescent="0.4">
      <c r="A12" s="49" t="s">
        <v>14</v>
      </c>
      <c r="B12" s="50" t="s">
        <v>6</v>
      </c>
      <c r="C12" s="51" t="s">
        <v>63</v>
      </c>
      <c r="D12" s="50">
        <v>16</v>
      </c>
      <c r="E12" s="50">
        <v>3</v>
      </c>
      <c r="F12" s="50">
        <v>11</v>
      </c>
      <c r="G12" s="50">
        <v>2</v>
      </c>
    </row>
    <row r="13" spans="1:14" hidden="1" x14ac:dyDescent="0.4">
      <c r="A13" s="49" t="s">
        <v>15</v>
      </c>
      <c r="B13" s="50" t="s">
        <v>6</v>
      </c>
      <c r="C13" s="51" t="s">
        <v>63</v>
      </c>
      <c r="D13" s="50">
        <v>21</v>
      </c>
      <c r="E13" s="50">
        <v>8</v>
      </c>
      <c r="F13" s="50">
        <v>11</v>
      </c>
      <c r="G13" s="50">
        <v>2</v>
      </c>
    </row>
    <row r="14" spans="1:14" hidden="1" x14ac:dyDescent="0.4">
      <c r="A14" s="49" t="s">
        <v>16</v>
      </c>
      <c r="B14" s="50" t="s">
        <v>6</v>
      </c>
      <c r="C14" s="51" t="s">
        <v>63</v>
      </c>
      <c r="D14" s="50">
        <v>75</v>
      </c>
      <c r="E14" s="50">
        <v>16</v>
      </c>
      <c r="F14" s="50">
        <v>51</v>
      </c>
      <c r="G14" s="50">
        <v>8</v>
      </c>
    </row>
    <row r="15" spans="1:14" hidden="1" x14ac:dyDescent="0.4">
      <c r="A15" s="49" t="s">
        <v>17</v>
      </c>
      <c r="B15" s="50" t="s">
        <v>6</v>
      </c>
      <c r="C15" s="51" t="s">
        <v>63</v>
      </c>
      <c r="D15" s="50">
        <v>26</v>
      </c>
      <c r="E15" s="50">
        <v>9</v>
      </c>
      <c r="F15" s="50">
        <v>14</v>
      </c>
      <c r="G15" s="50">
        <v>3</v>
      </c>
    </row>
    <row r="16" spans="1:14" hidden="1" x14ac:dyDescent="0.4">
      <c r="A16" s="49" t="s">
        <v>18</v>
      </c>
      <c r="B16" s="50" t="s">
        <v>6</v>
      </c>
      <c r="C16" s="51" t="s">
        <v>63</v>
      </c>
      <c r="D16" s="50">
        <v>46</v>
      </c>
      <c r="E16" s="50">
        <v>11</v>
      </c>
      <c r="F16" s="50">
        <v>31</v>
      </c>
      <c r="G16" s="50">
        <v>4</v>
      </c>
      <c r="J16"/>
      <c r="K16"/>
      <c r="L16"/>
      <c r="M16"/>
      <c r="N16"/>
    </row>
    <row r="17" spans="1:14" hidden="1" x14ac:dyDescent="0.4">
      <c r="A17" s="49" t="s">
        <v>19</v>
      </c>
      <c r="B17" s="50" t="s">
        <v>6</v>
      </c>
      <c r="C17" s="51" t="s">
        <v>63</v>
      </c>
      <c r="D17" s="50">
        <v>163</v>
      </c>
      <c r="E17" s="50">
        <v>31</v>
      </c>
      <c r="F17" s="50">
        <v>120</v>
      </c>
      <c r="G17" s="50">
        <v>12</v>
      </c>
      <c r="J17"/>
      <c r="K17"/>
      <c r="L17"/>
      <c r="M17"/>
      <c r="N17"/>
    </row>
    <row r="18" spans="1:14" hidden="1" x14ac:dyDescent="0.4">
      <c r="A18" s="49" t="s">
        <v>53</v>
      </c>
      <c r="B18" s="50" t="s">
        <v>6</v>
      </c>
      <c r="C18" s="51" t="s">
        <v>63</v>
      </c>
      <c r="D18" s="50">
        <v>377</v>
      </c>
      <c r="E18" s="50">
        <v>64</v>
      </c>
      <c r="F18" s="50">
        <v>270</v>
      </c>
      <c r="G18" s="50">
        <v>43</v>
      </c>
      <c r="J18"/>
      <c r="K18"/>
      <c r="L18"/>
      <c r="M18"/>
      <c r="N18"/>
    </row>
    <row r="19" spans="1:14" hidden="1" x14ac:dyDescent="0.4">
      <c r="A19" s="49" t="s">
        <v>21</v>
      </c>
      <c r="B19" s="50" t="s">
        <v>6</v>
      </c>
      <c r="C19" s="51" t="s">
        <v>63</v>
      </c>
      <c r="D19" s="50">
        <v>47</v>
      </c>
      <c r="E19" s="50">
        <v>6</v>
      </c>
      <c r="F19" s="50">
        <v>37</v>
      </c>
      <c r="G19" s="50">
        <v>4</v>
      </c>
      <c r="J19"/>
      <c r="K19"/>
      <c r="L19"/>
      <c r="M19"/>
      <c r="N19"/>
    </row>
    <row r="20" spans="1:14" hidden="1" x14ac:dyDescent="0.4">
      <c r="A20" s="49" t="s">
        <v>22</v>
      </c>
      <c r="B20" s="50" t="s">
        <v>6</v>
      </c>
      <c r="C20" s="51" t="s">
        <v>63</v>
      </c>
      <c r="D20" s="50">
        <v>49</v>
      </c>
      <c r="E20" s="50">
        <v>2</v>
      </c>
      <c r="F20" s="50">
        <v>44</v>
      </c>
      <c r="G20" s="50">
        <v>3</v>
      </c>
      <c r="J20"/>
      <c r="K20"/>
      <c r="L20"/>
      <c r="M20"/>
      <c r="N20"/>
    </row>
    <row r="21" spans="1:14" hidden="1" x14ac:dyDescent="0.4">
      <c r="A21" s="49" t="s">
        <v>23</v>
      </c>
      <c r="B21" s="50" t="s">
        <v>6</v>
      </c>
      <c r="C21" s="51" t="s">
        <v>63</v>
      </c>
      <c r="D21" s="50">
        <v>8</v>
      </c>
      <c r="E21" s="50">
        <v>2</v>
      </c>
      <c r="F21" s="50">
        <v>4</v>
      </c>
      <c r="G21" s="50">
        <v>2</v>
      </c>
      <c r="J21"/>
      <c r="K21"/>
      <c r="L21"/>
      <c r="M21"/>
      <c r="N21"/>
    </row>
    <row r="22" spans="1:14" hidden="1" x14ac:dyDescent="0.4">
      <c r="A22" s="49" t="s">
        <v>54</v>
      </c>
      <c r="B22" s="50" t="s">
        <v>6</v>
      </c>
      <c r="C22" s="51" t="s">
        <v>63</v>
      </c>
      <c r="D22" s="50">
        <v>126</v>
      </c>
      <c r="E22" s="50">
        <v>28</v>
      </c>
      <c r="F22" s="50">
        <v>89</v>
      </c>
      <c r="G22" s="50">
        <v>9</v>
      </c>
      <c r="J22"/>
      <c r="K22"/>
      <c r="L22"/>
      <c r="M22"/>
      <c r="N22"/>
    </row>
    <row r="23" spans="1:14" hidden="1" x14ac:dyDescent="0.4">
      <c r="A23" s="49" t="s">
        <v>25</v>
      </c>
      <c r="B23" s="50" t="s">
        <v>6</v>
      </c>
      <c r="C23" s="51" t="s">
        <v>63</v>
      </c>
      <c r="D23" s="50">
        <v>41</v>
      </c>
      <c r="E23" s="50">
        <v>5</v>
      </c>
      <c r="F23" s="50">
        <v>32</v>
      </c>
      <c r="G23" s="50">
        <v>4</v>
      </c>
      <c r="J23"/>
      <c r="K23"/>
      <c r="L23"/>
      <c r="M23"/>
      <c r="N23"/>
    </row>
    <row r="24" spans="1:14" hidden="1" x14ac:dyDescent="0.4">
      <c r="A24" s="49" t="s">
        <v>26</v>
      </c>
      <c r="B24" s="50" t="s">
        <v>6</v>
      </c>
      <c r="C24" s="51" t="s">
        <v>63</v>
      </c>
      <c r="D24" s="50">
        <v>58</v>
      </c>
      <c r="E24" s="50">
        <v>7</v>
      </c>
      <c r="F24" s="50">
        <v>46</v>
      </c>
      <c r="G24" s="50">
        <v>5</v>
      </c>
      <c r="J24"/>
      <c r="K24"/>
      <c r="L24"/>
      <c r="M24"/>
      <c r="N24"/>
    </row>
    <row r="25" spans="1:14" hidden="1" x14ac:dyDescent="0.4">
      <c r="A25" s="49" t="s">
        <v>27</v>
      </c>
      <c r="B25" s="50" t="s">
        <v>6</v>
      </c>
      <c r="C25" s="51" t="s">
        <v>63</v>
      </c>
      <c r="D25" s="50">
        <v>72</v>
      </c>
      <c r="E25" s="50">
        <v>4</v>
      </c>
      <c r="F25" s="50">
        <v>60</v>
      </c>
      <c r="G25" s="50">
        <v>8</v>
      </c>
      <c r="J25"/>
      <c r="K25"/>
      <c r="L25"/>
      <c r="M25"/>
      <c r="N25"/>
    </row>
    <row r="26" spans="1:14" hidden="1" x14ac:dyDescent="0.4">
      <c r="A26" s="49" t="s">
        <v>28</v>
      </c>
      <c r="B26" s="50" t="s">
        <v>6</v>
      </c>
      <c r="C26" s="51" t="s">
        <v>63</v>
      </c>
      <c r="D26" s="50">
        <v>32</v>
      </c>
      <c r="E26" s="50">
        <v>7</v>
      </c>
      <c r="F26" s="50">
        <v>23</v>
      </c>
      <c r="G26" s="50">
        <v>2</v>
      </c>
      <c r="J26"/>
      <c r="K26"/>
      <c r="L26"/>
      <c r="M26"/>
      <c r="N26"/>
    </row>
    <row r="27" spans="1:14" hidden="1" x14ac:dyDescent="0.4">
      <c r="A27" s="49" t="s">
        <v>29</v>
      </c>
      <c r="B27" s="50" t="s">
        <v>6</v>
      </c>
      <c r="C27" s="51" t="s">
        <v>63</v>
      </c>
      <c r="D27" s="50">
        <v>79</v>
      </c>
      <c r="E27" s="50">
        <v>25</v>
      </c>
      <c r="F27" s="50">
        <v>39</v>
      </c>
      <c r="G27" s="50">
        <v>15</v>
      </c>
      <c r="J27"/>
      <c r="K27"/>
      <c r="L27"/>
      <c r="M27"/>
      <c r="N27"/>
    </row>
    <row r="28" spans="1:14" hidden="1" x14ac:dyDescent="0.4">
      <c r="A28" s="49" t="s">
        <v>30</v>
      </c>
      <c r="B28" s="50" t="s">
        <v>6</v>
      </c>
      <c r="C28" s="51" t="s">
        <v>63</v>
      </c>
      <c r="D28" s="50">
        <v>183</v>
      </c>
      <c r="E28" s="50">
        <v>37</v>
      </c>
      <c r="F28" s="50">
        <v>103</v>
      </c>
      <c r="G28" s="50">
        <v>43</v>
      </c>
      <c r="J28"/>
      <c r="K28"/>
      <c r="L28"/>
      <c r="M28"/>
      <c r="N28"/>
    </row>
    <row r="29" spans="1:14" hidden="1" x14ac:dyDescent="0.4">
      <c r="A29" s="49" t="s">
        <v>31</v>
      </c>
      <c r="B29" s="50" t="s">
        <v>6</v>
      </c>
      <c r="C29" s="51" t="s">
        <v>63</v>
      </c>
      <c r="D29" s="50">
        <v>752</v>
      </c>
      <c r="E29" s="50">
        <v>110</v>
      </c>
      <c r="F29" s="50">
        <v>642</v>
      </c>
      <c r="G29" s="50"/>
      <c r="J29"/>
      <c r="K29"/>
      <c r="L29"/>
      <c r="M29"/>
      <c r="N29"/>
    </row>
    <row r="30" spans="1:14" hidden="1" x14ac:dyDescent="0.4">
      <c r="A30" s="49" t="s">
        <v>32</v>
      </c>
      <c r="B30" s="50" t="s">
        <v>6</v>
      </c>
      <c r="C30" s="51" t="s">
        <v>63</v>
      </c>
      <c r="D30" s="50">
        <v>282</v>
      </c>
      <c r="E30" s="50">
        <v>58</v>
      </c>
      <c r="F30" s="50">
        <v>167</v>
      </c>
      <c r="G30" s="50">
        <v>57</v>
      </c>
      <c r="J30"/>
      <c r="K30"/>
      <c r="L30"/>
      <c r="M30"/>
      <c r="N30"/>
    </row>
    <row r="31" spans="1:14" hidden="1" x14ac:dyDescent="0.4">
      <c r="A31" s="49" t="s">
        <v>33</v>
      </c>
      <c r="B31" s="50" t="s">
        <v>6</v>
      </c>
      <c r="C31" s="51" t="s">
        <v>63</v>
      </c>
      <c r="D31" s="50">
        <v>29</v>
      </c>
      <c r="E31" s="50">
        <v>7</v>
      </c>
      <c r="F31" s="50">
        <v>21</v>
      </c>
      <c r="G31" s="50">
        <v>1</v>
      </c>
      <c r="J31"/>
      <c r="K31"/>
      <c r="L31"/>
      <c r="M31"/>
      <c r="N31"/>
    </row>
    <row r="32" spans="1:14" hidden="1" x14ac:dyDescent="0.4">
      <c r="A32" s="49" t="s">
        <v>34</v>
      </c>
      <c r="B32" s="50" t="s">
        <v>6</v>
      </c>
      <c r="C32" s="51" t="s">
        <v>63</v>
      </c>
      <c r="D32" s="50">
        <v>23</v>
      </c>
      <c r="E32" s="50">
        <v>2</v>
      </c>
      <c r="F32" s="50">
        <v>17</v>
      </c>
      <c r="G32" s="50">
        <v>4</v>
      </c>
      <c r="J32"/>
      <c r="K32"/>
      <c r="L32"/>
      <c r="M32"/>
      <c r="N32"/>
    </row>
    <row r="33" spans="1:14" hidden="1" x14ac:dyDescent="0.4">
      <c r="A33" s="49" t="s">
        <v>35</v>
      </c>
      <c r="B33" s="50" t="s">
        <v>6</v>
      </c>
      <c r="C33" s="51" t="s">
        <v>63</v>
      </c>
      <c r="D33" s="50">
        <v>73</v>
      </c>
      <c r="E33" s="50">
        <v>14</v>
      </c>
      <c r="F33" s="50">
        <v>53</v>
      </c>
      <c r="G33" s="50">
        <v>6</v>
      </c>
      <c r="J33"/>
      <c r="K33"/>
      <c r="L33"/>
      <c r="M33"/>
      <c r="N33"/>
    </row>
    <row r="34" spans="1:14" hidden="1" x14ac:dyDescent="0.4">
      <c r="A34" s="49" t="s">
        <v>36</v>
      </c>
      <c r="B34" s="50" t="s">
        <v>6</v>
      </c>
      <c r="C34" s="51" t="s">
        <v>63</v>
      </c>
      <c r="D34" s="50">
        <v>37</v>
      </c>
      <c r="E34" s="50">
        <v>3</v>
      </c>
      <c r="F34" s="50">
        <v>34</v>
      </c>
      <c r="G34" s="50"/>
      <c r="J34"/>
      <c r="K34"/>
      <c r="L34"/>
      <c r="M34"/>
      <c r="N34"/>
    </row>
    <row r="35" spans="1:14" hidden="1" x14ac:dyDescent="0.4">
      <c r="A35" s="49" t="s">
        <v>37</v>
      </c>
      <c r="B35" s="50" t="s">
        <v>6</v>
      </c>
      <c r="C35" s="51" t="s">
        <v>63</v>
      </c>
      <c r="D35" s="50">
        <v>14</v>
      </c>
      <c r="E35" s="50">
        <v>2</v>
      </c>
      <c r="F35" s="50">
        <v>9</v>
      </c>
      <c r="G35" s="50">
        <v>3</v>
      </c>
      <c r="J35"/>
      <c r="K35"/>
      <c r="L35"/>
      <c r="M35"/>
    </row>
    <row r="36" spans="1:14" hidden="1" x14ac:dyDescent="0.4">
      <c r="A36" s="49" t="s">
        <v>5</v>
      </c>
      <c r="B36" s="50" t="s">
        <v>38</v>
      </c>
      <c r="C36" s="51" t="s">
        <v>63</v>
      </c>
      <c r="D36" s="50">
        <v>8</v>
      </c>
      <c r="E36" s="50">
        <v>1</v>
      </c>
      <c r="F36" s="50">
        <v>6</v>
      </c>
      <c r="G36" s="50">
        <v>1</v>
      </c>
      <c r="J36"/>
      <c r="K36"/>
      <c r="L36"/>
      <c r="M36"/>
    </row>
    <row r="37" spans="1:14" hidden="1" x14ac:dyDescent="0.4">
      <c r="A37" s="49" t="s">
        <v>51</v>
      </c>
      <c r="B37" s="50" t="s">
        <v>38</v>
      </c>
      <c r="C37" s="51" t="s">
        <v>63</v>
      </c>
      <c r="D37" s="50">
        <v>26</v>
      </c>
      <c r="E37" s="50">
        <v>4</v>
      </c>
      <c r="F37" s="50">
        <v>21</v>
      </c>
      <c r="G37" s="50">
        <v>1</v>
      </c>
      <c r="J37"/>
      <c r="K37"/>
      <c r="L37"/>
      <c r="M37"/>
    </row>
    <row r="38" spans="1:14" hidden="1" x14ac:dyDescent="0.4">
      <c r="A38" s="49" t="s">
        <v>8</v>
      </c>
      <c r="B38" s="50" t="s">
        <v>38</v>
      </c>
      <c r="C38" s="51" t="s">
        <v>63</v>
      </c>
      <c r="D38" s="50">
        <v>7</v>
      </c>
      <c r="E38" s="50"/>
      <c r="F38" s="50">
        <v>6</v>
      </c>
      <c r="G38" s="50">
        <v>1</v>
      </c>
      <c r="J38"/>
      <c r="K38"/>
      <c r="L38"/>
      <c r="M38"/>
    </row>
    <row r="39" spans="1:14" hidden="1" x14ac:dyDescent="0.4">
      <c r="A39" s="49" t="s">
        <v>9</v>
      </c>
      <c r="B39" s="50" t="s">
        <v>38</v>
      </c>
      <c r="C39" s="51" t="s">
        <v>63</v>
      </c>
      <c r="D39" s="50">
        <v>8</v>
      </c>
      <c r="E39" s="50"/>
      <c r="F39" s="50">
        <v>6</v>
      </c>
      <c r="G39" s="50">
        <v>2</v>
      </c>
      <c r="J39"/>
      <c r="K39"/>
      <c r="L39"/>
      <c r="M39"/>
    </row>
    <row r="40" spans="1:14" hidden="1" x14ac:dyDescent="0.4">
      <c r="A40" s="49" t="s">
        <v>10</v>
      </c>
      <c r="B40" s="50" t="s">
        <v>38</v>
      </c>
      <c r="C40" s="51" t="s">
        <v>63</v>
      </c>
      <c r="D40" s="50">
        <v>22</v>
      </c>
      <c r="E40" s="50">
        <v>4</v>
      </c>
      <c r="F40" s="50">
        <v>15</v>
      </c>
      <c r="G40" s="50">
        <v>3</v>
      </c>
      <c r="J40"/>
      <c r="K40"/>
      <c r="L40"/>
      <c r="M40"/>
    </row>
    <row r="41" spans="1:14" hidden="1" x14ac:dyDescent="0.4">
      <c r="A41" s="49" t="s">
        <v>11</v>
      </c>
      <c r="B41" s="50" t="s">
        <v>38</v>
      </c>
      <c r="C41" s="51" t="s">
        <v>63</v>
      </c>
      <c r="D41" s="50">
        <v>14</v>
      </c>
      <c r="E41" s="50">
        <v>1</v>
      </c>
      <c r="F41" s="50">
        <v>12</v>
      </c>
      <c r="G41" s="50">
        <v>1</v>
      </c>
      <c r="J41"/>
      <c r="K41"/>
      <c r="L41"/>
      <c r="M41"/>
    </row>
    <row r="42" spans="1:14" hidden="1" x14ac:dyDescent="0.4">
      <c r="A42" s="49" t="s">
        <v>12</v>
      </c>
      <c r="B42" s="50" t="s">
        <v>38</v>
      </c>
      <c r="C42" s="51" t="s">
        <v>63</v>
      </c>
      <c r="D42" s="50">
        <v>184</v>
      </c>
      <c r="E42" s="50">
        <v>20</v>
      </c>
      <c r="F42" s="50">
        <v>135</v>
      </c>
      <c r="G42" s="50">
        <v>29</v>
      </c>
      <c r="J42"/>
      <c r="K42"/>
      <c r="L42"/>
      <c r="M42"/>
    </row>
    <row r="43" spans="1:14" hidden="1" x14ac:dyDescent="0.4">
      <c r="A43" s="49" t="s">
        <v>52</v>
      </c>
      <c r="B43" s="50" t="s">
        <v>38</v>
      </c>
      <c r="C43" s="51" t="s">
        <v>63</v>
      </c>
      <c r="D43" s="50">
        <v>19</v>
      </c>
      <c r="E43" s="50">
        <v>3</v>
      </c>
      <c r="F43" s="50">
        <v>14</v>
      </c>
      <c r="G43" s="50">
        <v>2</v>
      </c>
      <c r="J43"/>
      <c r="K43"/>
      <c r="L43"/>
      <c r="M43"/>
    </row>
    <row r="44" spans="1:14" hidden="1" x14ac:dyDescent="0.4">
      <c r="A44" s="49" t="s">
        <v>14</v>
      </c>
      <c r="B44" s="50" t="s">
        <v>38</v>
      </c>
      <c r="C44" s="51" t="s">
        <v>63</v>
      </c>
      <c r="D44" s="50"/>
      <c r="E44" s="50"/>
      <c r="F44" s="50"/>
      <c r="G44" s="50"/>
      <c r="J44"/>
      <c r="K44"/>
      <c r="L44"/>
      <c r="M44"/>
    </row>
    <row r="45" spans="1:14" hidden="1" x14ac:dyDescent="0.4">
      <c r="A45" s="49" t="s">
        <v>15</v>
      </c>
      <c r="B45" s="50" t="s">
        <v>38</v>
      </c>
      <c r="C45" s="51" t="s">
        <v>63</v>
      </c>
      <c r="D45" s="50">
        <v>11</v>
      </c>
      <c r="E45" s="50">
        <v>2</v>
      </c>
      <c r="F45" s="50">
        <v>6</v>
      </c>
      <c r="G45" s="50">
        <v>3</v>
      </c>
      <c r="J45"/>
      <c r="K45"/>
      <c r="L45"/>
      <c r="M45"/>
    </row>
    <row r="46" spans="1:14" hidden="1" x14ac:dyDescent="0.4">
      <c r="A46" s="49" t="s">
        <v>16</v>
      </c>
      <c r="B46" s="50" t="s">
        <v>38</v>
      </c>
      <c r="C46" s="51" t="s">
        <v>63</v>
      </c>
      <c r="D46" s="50">
        <v>50</v>
      </c>
      <c r="E46" s="50">
        <v>11</v>
      </c>
      <c r="F46" s="50">
        <v>36</v>
      </c>
      <c r="G46" s="50">
        <v>3</v>
      </c>
      <c r="J46"/>
      <c r="K46"/>
      <c r="L46"/>
      <c r="M46"/>
    </row>
    <row r="47" spans="1:14" hidden="1" x14ac:dyDescent="0.4">
      <c r="A47" s="49" t="s">
        <v>17</v>
      </c>
      <c r="B47" s="50" t="s">
        <v>38</v>
      </c>
      <c r="C47" s="51" t="s">
        <v>63</v>
      </c>
      <c r="D47" s="50">
        <v>14</v>
      </c>
      <c r="E47" s="50">
        <v>4</v>
      </c>
      <c r="F47" s="50">
        <v>8</v>
      </c>
      <c r="G47" s="50">
        <v>2</v>
      </c>
      <c r="J47"/>
      <c r="K47"/>
      <c r="L47"/>
      <c r="M47"/>
    </row>
    <row r="48" spans="1:14" hidden="1" x14ac:dyDescent="0.4">
      <c r="A48" s="49" t="s">
        <v>18</v>
      </c>
      <c r="B48" s="50" t="s">
        <v>38</v>
      </c>
      <c r="C48" s="51" t="s">
        <v>63</v>
      </c>
      <c r="D48" s="50">
        <v>20</v>
      </c>
      <c r="E48" s="50">
        <v>2</v>
      </c>
      <c r="F48" s="50">
        <v>17</v>
      </c>
      <c r="G48" s="50">
        <v>1</v>
      </c>
      <c r="J48"/>
      <c r="K48"/>
      <c r="L48"/>
      <c r="M48"/>
    </row>
    <row r="49" spans="1:13" hidden="1" x14ac:dyDescent="0.4">
      <c r="A49" s="49" t="s">
        <v>19</v>
      </c>
      <c r="B49" s="50" t="s">
        <v>38</v>
      </c>
      <c r="C49" s="51" t="s">
        <v>63</v>
      </c>
      <c r="D49" s="50">
        <v>75</v>
      </c>
      <c r="E49" s="50">
        <v>12</v>
      </c>
      <c r="F49" s="50">
        <v>57</v>
      </c>
      <c r="G49" s="50">
        <v>6</v>
      </c>
      <c r="J49"/>
      <c r="K49"/>
      <c r="L49"/>
      <c r="M49"/>
    </row>
    <row r="50" spans="1:13" hidden="1" x14ac:dyDescent="0.4">
      <c r="A50" s="49" t="s">
        <v>53</v>
      </c>
      <c r="B50" s="50" t="s">
        <v>38</v>
      </c>
      <c r="C50" s="51" t="s">
        <v>63</v>
      </c>
      <c r="D50" s="50">
        <v>210</v>
      </c>
      <c r="E50" s="50">
        <v>36</v>
      </c>
      <c r="F50" s="50">
        <v>152</v>
      </c>
      <c r="G50" s="50">
        <v>22</v>
      </c>
      <c r="J50"/>
      <c r="K50"/>
      <c r="L50"/>
      <c r="M50"/>
    </row>
    <row r="51" spans="1:13" hidden="1" x14ac:dyDescent="0.4">
      <c r="A51" s="49" t="s">
        <v>21</v>
      </c>
      <c r="B51" s="50" t="s">
        <v>38</v>
      </c>
      <c r="C51" s="51" t="s">
        <v>63</v>
      </c>
      <c r="D51" s="50">
        <v>22</v>
      </c>
      <c r="E51" s="50">
        <v>3</v>
      </c>
      <c r="F51" s="50">
        <v>16</v>
      </c>
      <c r="G51" s="50">
        <v>3</v>
      </c>
      <c r="J51"/>
      <c r="K51"/>
      <c r="L51"/>
      <c r="M51"/>
    </row>
    <row r="52" spans="1:13" hidden="1" x14ac:dyDescent="0.4">
      <c r="A52" s="49" t="s">
        <v>22</v>
      </c>
      <c r="B52" s="50" t="s">
        <v>38</v>
      </c>
      <c r="C52" s="51" t="s">
        <v>63</v>
      </c>
      <c r="D52" s="50">
        <v>34</v>
      </c>
      <c r="E52" s="50">
        <v>2</v>
      </c>
      <c r="F52" s="50">
        <v>28</v>
      </c>
      <c r="G52" s="50">
        <v>4</v>
      </c>
      <c r="J52"/>
      <c r="K52"/>
      <c r="L52"/>
      <c r="M52"/>
    </row>
    <row r="53" spans="1:13" hidden="1" x14ac:dyDescent="0.4">
      <c r="A53" s="49" t="s">
        <v>23</v>
      </c>
      <c r="B53" s="50" t="s">
        <v>38</v>
      </c>
      <c r="C53" s="51" t="s">
        <v>63</v>
      </c>
      <c r="D53" s="50">
        <v>7</v>
      </c>
      <c r="E53" s="50">
        <v>1</v>
      </c>
      <c r="F53" s="50">
        <v>4</v>
      </c>
      <c r="G53" s="50">
        <v>2</v>
      </c>
      <c r="J53"/>
      <c r="K53"/>
      <c r="L53"/>
      <c r="M53"/>
    </row>
    <row r="54" spans="1:13" hidden="1" x14ac:dyDescent="0.4">
      <c r="A54" s="49" t="s">
        <v>54</v>
      </c>
      <c r="B54" s="50" t="s">
        <v>38</v>
      </c>
      <c r="C54" s="51" t="s">
        <v>63</v>
      </c>
      <c r="D54" s="50">
        <v>44</v>
      </c>
      <c r="E54" s="50">
        <v>9</v>
      </c>
      <c r="F54" s="50">
        <v>33</v>
      </c>
      <c r="G54" s="50">
        <v>2</v>
      </c>
      <c r="J54"/>
      <c r="K54"/>
      <c r="L54"/>
      <c r="M54"/>
    </row>
    <row r="55" spans="1:13" hidden="1" x14ac:dyDescent="0.4">
      <c r="A55" s="49" t="s">
        <v>25</v>
      </c>
      <c r="B55" s="50" t="s">
        <v>38</v>
      </c>
      <c r="C55" s="51" t="s">
        <v>63</v>
      </c>
      <c r="D55" s="50">
        <v>21</v>
      </c>
      <c r="E55" s="50">
        <v>4</v>
      </c>
      <c r="F55" s="50">
        <v>17</v>
      </c>
      <c r="G55" s="50"/>
      <c r="J55"/>
      <c r="K55"/>
      <c r="L55"/>
      <c r="M55"/>
    </row>
    <row r="56" spans="1:13" hidden="1" x14ac:dyDescent="0.4">
      <c r="A56" s="49" t="s">
        <v>26</v>
      </c>
      <c r="B56" s="50" t="s">
        <v>38</v>
      </c>
      <c r="C56" s="51" t="s">
        <v>63</v>
      </c>
      <c r="D56" s="50">
        <v>49</v>
      </c>
      <c r="E56" s="50">
        <v>13</v>
      </c>
      <c r="F56" s="50">
        <v>29</v>
      </c>
      <c r="G56" s="50">
        <v>7</v>
      </c>
      <c r="J56"/>
      <c r="K56"/>
      <c r="L56"/>
      <c r="M56"/>
    </row>
    <row r="57" spans="1:13" hidden="1" x14ac:dyDescent="0.4">
      <c r="A57" s="49" t="s">
        <v>27</v>
      </c>
      <c r="B57" s="50" t="s">
        <v>38</v>
      </c>
      <c r="C57" s="51" t="s">
        <v>63</v>
      </c>
      <c r="D57" s="50">
        <v>32</v>
      </c>
      <c r="E57" s="50">
        <v>5</v>
      </c>
      <c r="F57" s="50">
        <v>22</v>
      </c>
      <c r="G57" s="50">
        <v>5</v>
      </c>
      <c r="J57"/>
      <c r="K57"/>
      <c r="L57"/>
      <c r="M57"/>
    </row>
    <row r="58" spans="1:13" hidden="1" x14ac:dyDescent="0.4">
      <c r="A58" s="49" t="s">
        <v>28</v>
      </c>
      <c r="B58" s="50" t="s">
        <v>38</v>
      </c>
      <c r="C58" s="51" t="s">
        <v>63</v>
      </c>
      <c r="D58" s="50">
        <v>8</v>
      </c>
      <c r="E58" s="50"/>
      <c r="F58" s="50">
        <v>7</v>
      </c>
      <c r="G58" s="50">
        <v>1</v>
      </c>
      <c r="J58"/>
      <c r="K58"/>
      <c r="L58"/>
      <c r="M58"/>
    </row>
    <row r="59" spans="1:13" hidden="1" x14ac:dyDescent="0.4">
      <c r="A59" s="49" t="s">
        <v>29</v>
      </c>
      <c r="B59" s="50" t="s">
        <v>38</v>
      </c>
      <c r="C59" s="51" t="s">
        <v>63</v>
      </c>
      <c r="D59" s="50">
        <v>72</v>
      </c>
      <c r="E59" s="50">
        <v>21</v>
      </c>
      <c r="F59" s="50">
        <v>42</v>
      </c>
      <c r="G59" s="50">
        <v>9</v>
      </c>
      <c r="J59"/>
      <c r="K59"/>
      <c r="L59"/>
      <c r="M59"/>
    </row>
    <row r="60" spans="1:13" hidden="1" x14ac:dyDescent="0.4">
      <c r="A60" s="49" t="s">
        <v>30</v>
      </c>
      <c r="B60" s="50" t="s">
        <v>38</v>
      </c>
      <c r="C60" s="51" t="s">
        <v>63</v>
      </c>
      <c r="D60" s="50">
        <v>199</v>
      </c>
      <c r="E60" s="50">
        <v>42</v>
      </c>
      <c r="F60" s="50">
        <v>156</v>
      </c>
      <c r="G60" s="50">
        <v>1</v>
      </c>
      <c r="J60"/>
      <c r="K60"/>
      <c r="L60"/>
      <c r="M60"/>
    </row>
    <row r="61" spans="1:13" hidden="1" x14ac:dyDescent="0.4">
      <c r="A61" s="49" t="s">
        <v>31</v>
      </c>
      <c r="B61" s="50" t="s">
        <v>38</v>
      </c>
      <c r="C61" s="51" t="s">
        <v>63</v>
      </c>
      <c r="D61" s="50">
        <v>734</v>
      </c>
      <c r="E61" s="50">
        <v>124</v>
      </c>
      <c r="F61" s="50">
        <v>610</v>
      </c>
      <c r="G61" s="50"/>
      <c r="J61"/>
      <c r="K61"/>
      <c r="L61"/>
      <c r="M61"/>
    </row>
    <row r="62" spans="1:13" hidden="1" x14ac:dyDescent="0.4">
      <c r="A62" s="49" t="s">
        <v>32</v>
      </c>
      <c r="B62" s="50" t="s">
        <v>38</v>
      </c>
      <c r="C62" s="51" t="s">
        <v>63</v>
      </c>
      <c r="D62" s="50">
        <v>261</v>
      </c>
      <c r="E62" s="50">
        <v>59</v>
      </c>
      <c r="F62" s="50">
        <v>140</v>
      </c>
      <c r="G62" s="50">
        <v>62</v>
      </c>
      <c r="J62"/>
      <c r="K62"/>
      <c r="L62"/>
      <c r="M62"/>
    </row>
    <row r="63" spans="1:13" hidden="1" x14ac:dyDescent="0.4">
      <c r="A63" s="49" t="s">
        <v>33</v>
      </c>
      <c r="B63" s="50" t="s">
        <v>38</v>
      </c>
      <c r="C63" s="51" t="s">
        <v>63</v>
      </c>
      <c r="D63" s="50">
        <v>16</v>
      </c>
      <c r="E63" s="50">
        <v>9</v>
      </c>
      <c r="F63" s="50">
        <v>5</v>
      </c>
      <c r="G63" s="50">
        <v>2</v>
      </c>
      <c r="J63"/>
      <c r="K63"/>
      <c r="L63"/>
      <c r="M63"/>
    </row>
    <row r="64" spans="1:13" hidden="1" x14ac:dyDescent="0.4">
      <c r="A64" s="49" t="s">
        <v>34</v>
      </c>
      <c r="B64" s="50" t="s">
        <v>38</v>
      </c>
      <c r="C64" s="51" t="s">
        <v>63</v>
      </c>
      <c r="D64" s="50">
        <v>6</v>
      </c>
      <c r="E64" s="50">
        <v>1</v>
      </c>
      <c r="F64" s="50">
        <v>4</v>
      </c>
      <c r="G64" s="50">
        <v>1</v>
      </c>
      <c r="J64"/>
      <c r="K64"/>
      <c r="L64"/>
      <c r="M64"/>
    </row>
    <row r="65" spans="1:13" hidden="1" x14ac:dyDescent="0.4">
      <c r="A65" s="49" t="s">
        <v>35</v>
      </c>
      <c r="B65" s="50" t="s">
        <v>38</v>
      </c>
      <c r="C65" s="51" t="s">
        <v>63</v>
      </c>
      <c r="D65" s="50">
        <v>49</v>
      </c>
      <c r="E65" s="50">
        <v>13</v>
      </c>
      <c r="F65" s="50">
        <v>33</v>
      </c>
      <c r="G65" s="50">
        <v>3</v>
      </c>
      <c r="J65"/>
      <c r="K65"/>
      <c r="L65"/>
      <c r="M65"/>
    </row>
    <row r="66" spans="1:13" hidden="1" x14ac:dyDescent="0.4">
      <c r="A66" s="49" t="s">
        <v>36</v>
      </c>
      <c r="B66" s="50" t="s">
        <v>38</v>
      </c>
      <c r="C66" s="51" t="s">
        <v>63</v>
      </c>
      <c r="D66" s="50">
        <v>16</v>
      </c>
      <c r="E66" s="50">
        <v>5</v>
      </c>
      <c r="F66" s="50">
        <v>11</v>
      </c>
      <c r="G66" s="50"/>
      <c r="J66"/>
      <c r="K66"/>
      <c r="L66"/>
      <c r="M66"/>
    </row>
    <row r="67" spans="1:13" hidden="1" x14ac:dyDescent="0.4">
      <c r="A67" s="49" t="s">
        <v>37</v>
      </c>
      <c r="B67" s="50" t="s">
        <v>38</v>
      </c>
      <c r="C67" s="51" t="s">
        <v>63</v>
      </c>
      <c r="D67" s="50">
        <v>11</v>
      </c>
      <c r="E67" s="50"/>
      <c r="F67" s="50">
        <v>10</v>
      </c>
      <c r="G67" s="50">
        <v>1</v>
      </c>
      <c r="J67"/>
      <c r="K67"/>
      <c r="L67"/>
      <c r="M67"/>
    </row>
    <row r="68" spans="1:13" hidden="1" x14ac:dyDescent="0.4">
      <c r="A68" s="49" t="s">
        <v>5</v>
      </c>
      <c r="B68" s="50" t="s">
        <v>39</v>
      </c>
      <c r="C68" s="51" t="s">
        <v>63</v>
      </c>
      <c r="D68" s="50">
        <v>8</v>
      </c>
      <c r="E68" s="50">
        <v>1</v>
      </c>
      <c r="F68" s="50">
        <v>6</v>
      </c>
      <c r="G68" s="50">
        <v>1</v>
      </c>
      <c r="J68"/>
      <c r="K68"/>
      <c r="L68"/>
      <c r="M68"/>
    </row>
    <row r="69" spans="1:13" hidden="1" x14ac:dyDescent="0.4">
      <c r="A69" s="49" t="s">
        <v>51</v>
      </c>
      <c r="B69" s="50" t="s">
        <v>39</v>
      </c>
      <c r="C69" s="51" t="s">
        <v>63</v>
      </c>
      <c r="D69" s="50">
        <v>26</v>
      </c>
      <c r="E69" s="50">
        <v>4</v>
      </c>
      <c r="F69" s="50">
        <v>21</v>
      </c>
      <c r="G69" s="50">
        <v>1</v>
      </c>
      <c r="J69"/>
      <c r="K69"/>
      <c r="L69"/>
      <c r="M69"/>
    </row>
    <row r="70" spans="1:13" hidden="1" x14ac:dyDescent="0.4">
      <c r="A70" s="49" t="s">
        <v>8</v>
      </c>
      <c r="B70" s="50" t="s">
        <v>39</v>
      </c>
      <c r="C70" s="51" t="s">
        <v>63</v>
      </c>
      <c r="D70" s="50">
        <v>7</v>
      </c>
      <c r="E70" s="50"/>
      <c r="F70" s="50">
        <v>6</v>
      </c>
      <c r="G70" s="50">
        <v>1</v>
      </c>
      <c r="J70"/>
      <c r="K70"/>
      <c r="L70"/>
      <c r="M70"/>
    </row>
    <row r="71" spans="1:13" hidden="1" x14ac:dyDescent="0.4">
      <c r="A71" s="49" t="s">
        <v>9</v>
      </c>
      <c r="B71" s="50" t="s">
        <v>39</v>
      </c>
      <c r="C71" s="51" t="s">
        <v>63</v>
      </c>
      <c r="D71" s="50">
        <v>8</v>
      </c>
      <c r="E71" s="50"/>
      <c r="F71" s="50">
        <v>6</v>
      </c>
      <c r="G71" s="50">
        <v>2</v>
      </c>
      <c r="J71"/>
      <c r="K71"/>
      <c r="L71"/>
      <c r="M71"/>
    </row>
    <row r="72" spans="1:13" hidden="1" x14ac:dyDescent="0.4">
      <c r="A72" s="49" t="s">
        <v>10</v>
      </c>
      <c r="B72" s="50" t="s">
        <v>39</v>
      </c>
      <c r="C72" s="51" t="s">
        <v>63</v>
      </c>
      <c r="D72" s="50">
        <v>22</v>
      </c>
      <c r="E72" s="50">
        <v>4</v>
      </c>
      <c r="F72" s="50">
        <v>15</v>
      </c>
      <c r="G72" s="50">
        <v>3</v>
      </c>
      <c r="J72"/>
      <c r="K72"/>
      <c r="L72"/>
      <c r="M72"/>
    </row>
    <row r="73" spans="1:13" hidden="1" x14ac:dyDescent="0.4">
      <c r="A73" s="49" t="s">
        <v>11</v>
      </c>
      <c r="B73" s="50" t="s">
        <v>39</v>
      </c>
      <c r="C73" s="51" t="s">
        <v>63</v>
      </c>
      <c r="D73" s="50">
        <v>14</v>
      </c>
      <c r="E73" s="50">
        <v>1</v>
      </c>
      <c r="F73" s="50">
        <v>12</v>
      </c>
      <c r="G73" s="50">
        <v>1</v>
      </c>
      <c r="J73"/>
      <c r="K73"/>
      <c r="L73"/>
      <c r="M73"/>
    </row>
    <row r="74" spans="1:13" hidden="1" x14ac:dyDescent="0.4">
      <c r="A74" s="49" t="s">
        <v>12</v>
      </c>
      <c r="B74" s="50" t="s">
        <v>39</v>
      </c>
      <c r="C74" s="51" t="s">
        <v>63</v>
      </c>
      <c r="D74" s="50">
        <v>184</v>
      </c>
      <c r="E74" s="50">
        <v>20</v>
      </c>
      <c r="F74" s="50">
        <v>135</v>
      </c>
      <c r="G74" s="50">
        <v>29</v>
      </c>
      <c r="J74"/>
      <c r="K74"/>
      <c r="L74"/>
      <c r="M74"/>
    </row>
    <row r="75" spans="1:13" hidden="1" x14ac:dyDescent="0.4">
      <c r="A75" s="49" t="s">
        <v>52</v>
      </c>
      <c r="B75" s="50" t="s">
        <v>39</v>
      </c>
      <c r="C75" s="51" t="s">
        <v>63</v>
      </c>
      <c r="D75" s="50">
        <v>19</v>
      </c>
      <c r="E75" s="50">
        <v>3</v>
      </c>
      <c r="F75" s="50">
        <v>14</v>
      </c>
      <c r="G75" s="50">
        <v>2</v>
      </c>
      <c r="J75"/>
      <c r="K75"/>
      <c r="L75"/>
      <c r="M75"/>
    </row>
    <row r="76" spans="1:13" hidden="1" x14ac:dyDescent="0.4">
      <c r="A76" s="49" t="s">
        <v>14</v>
      </c>
      <c r="B76" s="50" t="s">
        <v>39</v>
      </c>
      <c r="C76" s="51" t="s">
        <v>63</v>
      </c>
      <c r="D76" s="50"/>
      <c r="E76" s="50"/>
      <c r="F76" s="50"/>
      <c r="G76" s="50"/>
      <c r="J76"/>
      <c r="K76"/>
      <c r="L76"/>
      <c r="M76"/>
    </row>
    <row r="77" spans="1:13" hidden="1" x14ac:dyDescent="0.4">
      <c r="A77" s="49" t="s">
        <v>15</v>
      </c>
      <c r="B77" s="50" t="s">
        <v>39</v>
      </c>
      <c r="C77" s="51" t="s">
        <v>63</v>
      </c>
      <c r="D77" s="50">
        <v>11</v>
      </c>
      <c r="E77" s="50">
        <v>2</v>
      </c>
      <c r="F77" s="50">
        <v>6</v>
      </c>
      <c r="G77" s="50">
        <v>3</v>
      </c>
      <c r="J77"/>
      <c r="K77"/>
      <c r="L77"/>
      <c r="M77"/>
    </row>
    <row r="78" spans="1:13" hidden="1" x14ac:dyDescent="0.4">
      <c r="A78" s="49" t="s">
        <v>16</v>
      </c>
      <c r="B78" s="50" t="s">
        <v>39</v>
      </c>
      <c r="C78" s="51" t="s">
        <v>63</v>
      </c>
      <c r="D78" s="50">
        <v>50</v>
      </c>
      <c r="E78" s="50">
        <v>11</v>
      </c>
      <c r="F78" s="50">
        <v>36</v>
      </c>
      <c r="G78" s="50">
        <v>3</v>
      </c>
      <c r="J78"/>
      <c r="K78"/>
      <c r="L78"/>
      <c r="M78"/>
    </row>
    <row r="79" spans="1:13" hidden="1" x14ac:dyDescent="0.4">
      <c r="A79" s="49" t="s">
        <v>17</v>
      </c>
      <c r="B79" s="50" t="s">
        <v>39</v>
      </c>
      <c r="C79" s="51" t="s">
        <v>63</v>
      </c>
      <c r="D79" s="50">
        <v>14</v>
      </c>
      <c r="E79" s="50">
        <v>4</v>
      </c>
      <c r="F79" s="50">
        <v>8</v>
      </c>
      <c r="G79" s="50">
        <v>2</v>
      </c>
      <c r="J79"/>
      <c r="K79"/>
      <c r="L79"/>
      <c r="M79"/>
    </row>
    <row r="80" spans="1:13" hidden="1" x14ac:dyDescent="0.4">
      <c r="A80" s="49" t="s">
        <v>18</v>
      </c>
      <c r="B80" s="50" t="s">
        <v>39</v>
      </c>
      <c r="C80" s="51" t="s">
        <v>63</v>
      </c>
      <c r="D80" s="50">
        <v>20</v>
      </c>
      <c r="E80" s="50">
        <v>2</v>
      </c>
      <c r="F80" s="50">
        <v>17</v>
      </c>
      <c r="G80" s="50">
        <v>1</v>
      </c>
      <c r="J80"/>
      <c r="K80"/>
      <c r="L80"/>
      <c r="M80"/>
    </row>
    <row r="81" spans="1:13" hidden="1" x14ac:dyDescent="0.4">
      <c r="A81" s="49" t="s">
        <v>19</v>
      </c>
      <c r="B81" s="50" t="s">
        <v>39</v>
      </c>
      <c r="C81" s="51" t="s">
        <v>63</v>
      </c>
      <c r="D81" s="50">
        <v>75</v>
      </c>
      <c r="E81" s="50">
        <v>12</v>
      </c>
      <c r="F81" s="50">
        <v>57</v>
      </c>
      <c r="G81" s="50">
        <v>6</v>
      </c>
      <c r="J81"/>
      <c r="K81"/>
      <c r="L81"/>
      <c r="M81"/>
    </row>
    <row r="82" spans="1:13" hidden="1" x14ac:dyDescent="0.4">
      <c r="A82" s="49" t="s">
        <v>53</v>
      </c>
      <c r="B82" s="50" t="s">
        <v>39</v>
      </c>
      <c r="C82" s="51" t="s">
        <v>63</v>
      </c>
      <c r="D82" s="50">
        <v>210</v>
      </c>
      <c r="E82" s="50">
        <v>36</v>
      </c>
      <c r="F82" s="50">
        <v>152</v>
      </c>
      <c r="G82" s="50">
        <v>22</v>
      </c>
      <c r="J82"/>
      <c r="K82"/>
      <c r="L82"/>
      <c r="M82"/>
    </row>
    <row r="83" spans="1:13" hidden="1" x14ac:dyDescent="0.4">
      <c r="A83" s="49" t="s">
        <v>21</v>
      </c>
      <c r="B83" s="50" t="s">
        <v>39</v>
      </c>
      <c r="C83" s="51" t="s">
        <v>63</v>
      </c>
      <c r="D83" s="50">
        <v>22</v>
      </c>
      <c r="E83" s="50">
        <v>3</v>
      </c>
      <c r="F83" s="50">
        <v>16</v>
      </c>
      <c r="G83" s="50">
        <v>3</v>
      </c>
      <c r="J83"/>
      <c r="K83"/>
      <c r="L83"/>
      <c r="M83"/>
    </row>
    <row r="84" spans="1:13" hidden="1" x14ac:dyDescent="0.4">
      <c r="A84" s="49" t="s">
        <v>22</v>
      </c>
      <c r="B84" s="50" t="s">
        <v>39</v>
      </c>
      <c r="C84" s="51" t="s">
        <v>63</v>
      </c>
      <c r="D84" s="50">
        <v>34</v>
      </c>
      <c r="E84" s="50">
        <v>2</v>
      </c>
      <c r="F84" s="50">
        <v>28</v>
      </c>
      <c r="G84" s="50">
        <v>4</v>
      </c>
      <c r="J84"/>
      <c r="K84"/>
      <c r="L84"/>
      <c r="M84"/>
    </row>
    <row r="85" spans="1:13" hidden="1" x14ac:dyDescent="0.4">
      <c r="A85" s="49" t="s">
        <v>23</v>
      </c>
      <c r="B85" s="50" t="s">
        <v>39</v>
      </c>
      <c r="C85" s="51" t="s">
        <v>63</v>
      </c>
      <c r="D85" s="50">
        <v>7</v>
      </c>
      <c r="E85" s="50">
        <v>1</v>
      </c>
      <c r="F85" s="50">
        <v>4</v>
      </c>
      <c r="G85" s="50">
        <v>2</v>
      </c>
      <c r="J85"/>
      <c r="K85"/>
      <c r="L85"/>
      <c r="M85"/>
    </row>
    <row r="86" spans="1:13" hidden="1" x14ac:dyDescent="0.4">
      <c r="A86" s="49" t="s">
        <v>54</v>
      </c>
      <c r="B86" s="50" t="s">
        <v>39</v>
      </c>
      <c r="C86" s="51" t="s">
        <v>63</v>
      </c>
      <c r="D86" s="50">
        <v>44</v>
      </c>
      <c r="E86" s="50">
        <v>9</v>
      </c>
      <c r="F86" s="50">
        <v>33</v>
      </c>
      <c r="G86" s="50">
        <v>2</v>
      </c>
      <c r="J86"/>
      <c r="K86"/>
      <c r="L86"/>
      <c r="M86"/>
    </row>
    <row r="87" spans="1:13" hidden="1" x14ac:dyDescent="0.4">
      <c r="A87" s="49" t="s">
        <v>25</v>
      </c>
      <c r="B87" s="50" t="s">
        <v>39</v>
      </c>
      <c r="C87" s="51" t="s">
        <v>63</v>
      </c>
      <c r="D87" s="50">
        <v>21</v>
      </c>
      <c r="E87" s="50">
        <v>4</v>
      </c>
      <c r="F87" s="50">
        <v>17</v>
      </c>
      <c r="G87" s="50"/>
      <c r="J87"/>
      <c r="K87"/>
      <c r="L87"/>
      <c r="M87"/>
    </row>
    <row r="88" spans="1:13" hidden="1" x14ac:dyDescent="0.4">
      <c r="A88" s="49" t="s">
        <v>26</v>
      </c>
      <c r="B88" s="50" t="s">
        <v>39</v>
      </c>
      <c r="C88" s="51" t="s">
        <v>63</v>
      </c>
      <c r="D88" s="50">
        <v>49</v>
      </c>
      <c r="E88" s="50">
        <v>13</v>
      </c>
      <c r="F88" s="50">
        <v>29</v>
      </c>
      <c r="G88" s="50">
        <v>7</v>
      </c>
      <c r="J88"/>
      <c r="K88"/>
      <c r="L88"/>
      <c r="M88"/>
    </row>
    <row r="89" spans="1:13" hidden="1" x14ac:dyDescent="0.4">
      <c r="A89" s="49" t="s">
        <v>27</v>
      </c>
      <c r="B89" s="50" t="s">
        <v>39</v>
      </c>
      <c r="C89" s="51" t="s">
        <v>63</v>
      </c>
      <c r="D89" s="50">
        <v>32</v>
      </c>
      <c r="E89" s="50">
        <v>5</v>
      </c>
      <c r="F89" s="50">
        <v>22</v>
      </c>
      <c r="G89" s="50">
        <v>5</v>
      </c>
      <c r="J89"/>
      <c r="K89"/>
      <c r="L89"/>
      <c r="M89"/>
    </row>
    <row r="90" spans="1:13" hidden="1" x14ac:dyDescent="0.4">
      <c r="A90" s="49" t="s">
        <v>28</v>
      </c>
      <c r="B90" s="50" t="s">
        <v>39</v>
      </c>
      <c r="C90" s="51" t="s">
        <v>63</v>
      </c>
      <c r="D90" s="50">
        <v>8</v>
      </c>
      <c r="E90" s="50"/>
      <c r="F90" s="50">
        <v>7</v>
      </c>
      <c r="G90" s="50">
        <v>1</v>
      </c>
      <c r="J90"/>
      <c r="K90"/>
      <c r="L90"/>
      <c r="M90"/>
    </row>
    <row r="91" spans="1:13" hidden="1" x14ac:dyDescent="0.4">
      <c r="A91" s="49" t="s">
        <v>29</v>
      </c>
      <c r="B91" s="50" t="s">
        <v>39</v>
      </c>
      <c r="C91" s="51" t="s">
        <v>63</v>
      </c>
      <c r="D91" s="50">
        <v>72</v>
      </c>
      <c r="E91" s="50">
        <v>21</v>
      </c>
      <c r="F91" s="50">
        <v>42</v>
      </c>
      <c r="G91" s="50">
        <v>9</v>
      </c>
      <c r="J91"/>
      <c r="K91"/>
      <c r="L91"/>
      <c r="M91"/>
    </row>
    <row r="92" spans="1:13" hidden="1" x14ac:dyDescent="0.4">
      <c r="A92" s="49" t="s">
        <v>30</v>
      </c>
      <c r="B92" s="50" t="s">
        <v>39</v>
      </c>
      <c r="C92" s="51" t="s">
        <v>63</v>
      </c>
      <c r="D92" s="50">
        <v>199</v>
      </c>
      <c r="E92" s="50">
        <v>42</v>
      </c>
      <c r="F92" s="50">
        <v>156</v>
      </c>
      <c r="G92" s="50">
        <v>1</v>
      </c>
      <c r="J92"/>
      <c r="K92"/>
      <c r="L92"/>
      <c r="M92"/>
    </row>
    <row r="93" spans="1:13" hidden="1" x14ac:dyDescent="0.4">
      <c r="A93" s="49" t="s">
        <v>31</v>
      </c>
      <c r="B93" s="50" t="s">
        <v>39</v>
      </c>
      <c r="C93" s="51" t="s">
        <v>63</v>
      </c>
      <c r="D93" s="50">
        <v>734</v>
      </c>
      <c r="E93" s="50">
        <v>124</v>
      </c>
      <c r="F93" s="50">
        <v>610</v>
      </c>
      <c r="G93" s="50"/>
      <c r="J93"/>
      <c r="K93"/>
      <c r="L93"/>
      <c r="M93"/>
    </row>
    <row r="94" spans="1:13" hidden="1" x14ac:dyDescent="0.4">
      <c r="A94" s="49" t="s">
        <v>32</v>
      </c>
      <c r="B94" s="50" t="s">
        <v>39</v>
      </c>
      <c r="C94" s="51" t="s">
        <v>63</v>
      </c>
      <c r="D94" s="50">
        <v>261</v>
      </c>
      <c r="E94" s="50">
        <v>59</v>
      </c>
      <c r="F94" s="50">
        <v>140</v>
      </c>
      <c r="G94" s="50">
        <v>62</v>
      </c>
      <c r="J94"/>
      <c r="K94"/>
      <c r="L94"/>
      <c r="M94"/>
    </row>
    <row r="95" spans="1:13" hidden="1" x14ac:dyDescent="0.4">
      <c r="A95" s="49" t="s">
        <v>33</v>
      </c>
      <c r="B95" s="50" t="s">
        <v>39</v>
      </c>
      <c r="C95" s="51" t="s">
        <v>63</v>
      </c>
      <c r="D95" s="50">
        <v>16</v>
      </c>
      <c r="E95" s="50">
        <v>9</v>
      </c>
      <c r="F95" s="50">
        <v>5</v>
      </c>
      <c r="G95" s="50">
        <v>2</v>
      </c>
      <c r="J95"/>
      <c r="K95"/>
      <c r="L95"/>
      <c r="M95"/>
    </row>
    <row r="96" spans="1:13" hidden="1" x14ac:dyDescent="0.4">
      <c r="A96" s="49" t="s">
        <v>34</v>
      </c>
      <c r="B96" s="50" t="s">
        <v>39</v>
      </c>
      <c r="C96" s="51" t="s">
        <v>63</v>
      </c>
      <c r="D96" s="50">
        <v>6</v>
      </c>
      <c r="E96" s="50">
        <v>1</v>
      </c>
      <c r="F96" s="50">
        <v>4</v>
      </c>
      <c r="G96" s="50">
        <v>1</v>
      </c>
      <c r="J96"/>
      <c r="K96"/>
      <c r="L96"/>
      <c r="M96"/>
    </row>
    <row r="97" spans="1:13" hidden="1" x14ac:dyDescent="0.4">
      <c r="A97" s="49" t="s">
        <v>35</v>
      </c>
      <c r="B97" s="50" t="s">
        <v>39</v>
      </c>
      <c r="C97" s="51" t="s">
        <v>63</v>
      </c>
      <c r="D97" s="50">
        <v>49</v>
      </c>
      <c r="E97" s="50">
        <v>13</v>
      </c>
      <c r="F97" s="50">
        <v>33</v>
      </c>
      <c r="G97" s="50">
        <v>3</v>
      </c>
      <c r="J97"/>
      <c r="K97"/>
      <c r="L97"/>
      <c r="M97"/>
    </row>
    <row r="98" spans="1:13" hidden="1" x14ac:dyDescent="0.4">
      <c r="A98" s="49" t="s">
        <v>36</v>
      </c>
      <c r="B98" s="50" t="s">
        <v>39</v>
      </c>
      <c r="C98" s="51" t="s">
        <v>63</v>
      </c>
      <c r="D98" s="50">
        <v>16</v>
      </c>
      <c r="E98" s="50">
        <v>5</v>
      </c>
      <c r="F98" s="50">
        <v>11</v>
      </c>
      <c r="G98" s="50"/>
      <c r="J98"/>
      <c r="K98"/>
      <c r="L98"/>
      <c r="M98"/>
    </row>
    <row r="99" spans="1:13" hidden="1" x14ac:dyDescent="0.4">
      <c r="A99" s="49" t="s">
        <v>37</v>
      </c>
      <c r="B99" s="50" t="s">
        <v>39</v>
      </c>
      <c r="C99" s="51" t="s">
        <v>63</v>
      </c>
      <c r="D99" s="50">
        <v>11</v>
      </c>
      <c r="E99" s="50"/>
      <c r="F99" s="50">
        <v>10</v>
      </c>
      <c r="G99" s="50">
        <v>1</v>
      </c>
      <c r="J99"/>
      <c r="K99"/>
      <c r="L99"/>
      <c r="M99"/>
    </row>
    <row r="100" spans="1:13" hidden="1" x14ac:dyDescent="0.4">
      <c r="A100" s="49" t="s">
        <v>5</v>
      </c>
      <c r="B100" s="50" t="s">
        <v>40</v>
      </c>
      <c r="C100" s="51" t="s">
        <v>63</v>
      </c>
      <c r="D100" s="50">
        <v>2</v>
      </c>
      <c r="E100" s="50"/>
      <c r="F100" s="50">
        <v>2</v>
      </c>
      <c r="G100" s="50"/>
      <c r="J100"/>
      <c r="K100"/>
      <c r="L100"/>
      <c r="M100"/>
    </row>
    <row r="101" spans="1:13" hidden="1" x14ac:dyDescent="0.4">
      <c r="A101" s="49" t="s">
        <v>51</v>
      </c>
      <c r="B101" s="50" t="s">
        <v>40</v>
      </c>
      <c r="C101" s="51" t="s">
        <v>63</v>
      </c>
      <c r="D101" s="50">
        <v>14</v>
      </c>
      <c r="E101" s="50">
        <v>4</v>
      </c>
      <c r="F101" s="50">
        <v>8</v>
      </c>
      <c r="G101" s="50">
        <v>2</v>
      </c>
      <c r="J101"/>
      <c r="K101"/>
      <c r="L101"/>
      <c r="M101"/>
    </row>
    <row r="102" spans="1:13" hidden="1" x14ac:dyDescent="0.4">
      <c r="A102" s="49" t="s">
        <v>8</v>
      </c>
      <c r="B102" s="50" t="s">
        <v>40</v>
      </c>
      <c r="C102" s="51" t="s">
        <v>63</v>
      </c>
      <c r="D102" s="50">
        <v>4</v>
      </c>
      <c r="E102" s="50">
        <v>2</v>
      </c>
      <c r="F102" s="50">
        <v>2</v>
      </c>
      <c r="G102" s="50"/>
      <c r="J102"/>
      <c r="K102"/>
      <c r="L102"/>
      <c r="M102"/>
    </row>
    <row r="103" spans="1:13" hidden="1" x14ac:dyDescent="0.4">
      <c r="A103" s="49" t="s">
        <v>9</v>
      </c>
      <c r="B103" s="50" t="s">
        <v>40</v>
      </c>
      <c r="C103" s="51" t="s">
        <v>63</v>
      </c>
      <c r="D103" s="50">
        <v>3</v>
      </c>
      <c r="E103" s="50">
        <v>1</v>
      </c>
      <c r="F103" s="50">
        <v>2</v>
      </c>
      <c r="G103" s="50"/>
      <c r="J103"/>
      <c r="K103"/>
      <c r="L103"/>
      <c r="M103"/>
    </row>
    <row r="104" spans="1:13" hidden="1" x14ac:dyDescent="0.4">
      <c r="A104" s="49" t="s">
        <v>10</v>
      </c>
      <c r="B104" s="50" t="s">
        <v>40</v>
      </c>
      <c r="C104" s="51" t="s">
        <v>63</v>
      </c>
      <c r="D104" s="50">
        <v>15</v>
      </c>
      <c r="E104" s="50">
        <v>2</v>
      </c>
      <c r="F104" s="50">
        <v>12</v>
      </c>
      <c r="G104" s="50">
        <v>1</v>
      </c>
      <c r="J104"/>
      <c r="K104"/>
      <c r="L104"/>
      <c r="M104"/>
    </row>
    <row r="105" spans="1:13" hidden="1" x14ac:dyDescent="0.4">
      <c r="A105" s="49" t="s">
        <v>11</v>
      </c>
      <c r="B105" s="50" t="s">
        <v>40</v>
      </c>
      <c r="C105" s="51" t="s">
        <v>63</v>
      </c>
      <c r="D105" s="50">
        <v>5</v>
      </c>
      <c r="E105" s="50">
        <v>1</v>
      </c>
      <c r="F105" s="50">
        <v>4</v>
      </c>
      <c r="G105" s="50"/>
      <c r="J105"/>
      <c r="K105"/>
      <c r="L105"/>
      <c r="M105"/>
    </row>
    <row r="106" spans="1:13" hidden="1" x14ac:dyDescent="0.4">
      <c r="A106" s="49" t="s">
        <v>12</v>
      </c>
      <c r="B106" s="50" t="s">
        <v>40</v>
      </c>
      <c r="C106" s="51" t="s">
        <v>63</v>
      </c>
      <c r="D106" s="50">
        <v>90</v>
      </c>
      <c r="E106" s="50">
        <v>13</v>
      </c>
      <c r="F106" s="50">
        <v>70</v>
      </c>
      <c r="G106" s="50">
        <v>7</v>
      </c>
      <c r="J106"/>
      <c r="K106"/>
      <c r="L106"/>
      <c r="M106"/>
    </row>
    <row r="107" spans="1:13" hidden="1" x14ac:dyDescent="0.4">
      <c r="A107" s="49" t="s">
        <v>52</v>
      </c>
      <c r="B107" s="50" t="s">
        <v>40</v>
      </c>
      <c r="C107" s="51" t="s">
        <v>63</v>
      </c>
      <c r="D107" s="50">
        <v>11</v>
      </c>
      <c r="E107" s="50">
        <v>3</v>
      </c>
      <c r="F107" s="50">
        <v>6</v>
      </c>
      <c r="G107" s="50">
        <v>2</v>
      </c>
      <c r="J107"/>
      <c r="K107"/>
      <c r="L107"/>
      <c r="M107"/>
    </row>
    <row r="108" spans="1:13" hidden="1" x14ac:dyDescent="0.4">
      <c r="A108" s="49" t="s">
        <v>14</v>
      </c>
      <c r="B108" s="50" t="s">
        <v>40</v>
      </c>
      <c r="C108" s="51" t="s">
        <v>63</v>
      </c>
      <c r="D108" s="50">
        <v>5</v>
      </c>
      <c r="E108" s="50"/>
      <c r="F108" s="50">
        <v>5</v>
      </c>
      <c r="G108" s="50"/>
      <c r="J108"/>
      <c r="K108"/>
      <c r="L108"/>
      <c r="M108"/>
    </row>
    <row r="109" spans="1:13" hidden="1" x14ac:dyDescent="0.4">
      <c r="A109" s="49" t="s">
        <v>15</v>
      </c>
      <c r="B109" s="50" t="s">
        <v>40</v>
      </c>
      <c r="C109" s="51" t="s">
        <v>63</v>
      </c>
      <c r="D109" s="50">
        <v>5</v>
      </c>
      <c r="E109" s="50"/>
      <c r="F109" s="50">
        <v>4</v>
      </c>
      <c r="G109" s="50">
        <v>1</v>
      </c>
      <c r="J109"/>
      <c r="K109"/>
      <c r="L109"/>
      <c r="M109"/>
    </row>
    <row r="110" spans="1:13" hidden="1" x14ac:dyDescent="0.4">
      <c r="A110" s="49" t="s">
        <v>16</v>
      </c>
      <c r="B110" s="50" t="s">
        <v>40</v>
      </c>
      <c r="C110" s="51" t="s">
        <v>63</v>
      </c>
      <c r="D110" s="50">
        <v>29</v>
      </c>
      <c r="E110" s="50">
        <v>6</v>
      </c>
      <c r="F110" s="50">
        <v>19</v>
      </c>
      <c r="G110" s="50">
        <v>4</v>
      </c>
      <c r="J110"/>
      <c r="K110"/>
      <c r="L110"/>
      <c r="M110"/>
    </row>
    <row r="111" spans="1:13" hidden="1" x14ac:dyDescent="0.4">
      <c r="A111" s="49" t="s">
        <v>17</v>
      </c>
      <c r="B111" s="50" t="s">
        <v>40</v>
      </c>
      <c r="C111" s="51" t="s">
        <v>63</v>
      </c>
      <c r="D111" s="50">
        <v>12</v>
      </c>
      <c r="E111" s="50">
        <v>2</v>
      </c>
      <c r="F111" s="50">
        <v>8</v>
      </c>
      <c r="G111" s="50">
        <v>2</v>
      </c>
      <c r="J111"/>
      <c r="K111"/>
      <c r="L111"/>
      <c r="M111"/>
    </row>
    <row r="112" spans="1:13" hidden="1" x14ac:dyDescent="0.4">
      <c r="A112" s="49" t="s">
        <v>18</v>
      </c>
      <c r="B112" s="50" t="s">
        <v>40</v>
      </c>
      <c r="C112" s="51" t="s">
        <v>63</v>
      </c>
      <c r="D112" s="50">
        <v>10</v>
      </c>
      <c r="E112" s="50">
        <v>3</v>
      </c>
      <c r="F112" s="50">
        <v>6</v>
      </c>
      <c r="G112" s="50">
        <v>1</v>
      </c>
      <c r="J112"/>
      <c r="K112"/>
      <c r="L112"/>
      <c r="M112"/>
    </row>
    <row r="113" spans="1:13" hidden="1" x14ac:dyDescent="0.4">
      <c r="A113" s="49" t="s">
        <v>19</v>
      </c>
      <c r="B113" s="50" t="s">
        <v>40</v>
      </c>
      <c r="C113" s="51" t="s">
        <v>63</v>
      </c>
      <c r="D113" s="50">
        <v>36</v>
      </c>
      <c r="E113" s="50">
        <v>6</v>
      </c>
      <c r="F113" s="50">
        <v>24</v>
      </c>
      <c r="G113" s="50">
        <v>6</v>
      </c>
      <c r="J113"/>
      <c r="K113"/>
      <c r="L113"/>
      <c r="M113"/>
    </row>
    <row r="114" spans="1:13" hidden="1" x14ac:dyDescent="0.4">
      <c r="A114" s="49" t="s">
        <v>53</v>
      </c>
      <c r="B114" s="50" t="s">
        <v>40</v>
      </c>
      <c r="C114" s="51" t="s">
        <v>63</v>
      </c>
      <c r="D114" s="50">
        <v>73</v>
      </c>
      <c r="E114" s="50">
        <v>18</v>
      </c>
      <c r="F114" s="50">
        <v>45</v>
      </c>
      <c r="G114" s="50">
        <v>10</v>
      </c>
    </row>
    <row r="115" spans="1:13" hidden="1" x14ac:dyDescent="0.4">
      <c r="A115" s="49" t="s">
        <v>21</v>
      </c>
      <c r="B115" s="50" t="s">
        <v>40</v>
      </c>
      <c r="C115" s="51" t="s">
        <v>63</v>
      </c>
      <c r="D115" s="50">
        <v>11</v>
      </c>
      <c r="E115" s="50">
        <v>2</v>
      </c>
      <c r="F115" s="50">
        <v>6</v>
      </c>
      <c r="G115" s="50">
        <v>3</v>
      </c>
    </row>
    <row r="116" spans="1:13" hidden="1" x14ac:dyDescent="0.4">
      <c r="A116" s="49" t="s">
        <v>22</v>
      </c>
      <c r="B116" s="50" t="s">
        <v>40</v>
      </c>
      <c r="C116" s="51" t="s">
        <v>63</v>
      </c>
      <c r="D116" s="50">
        <v>23</v>
      </c>
      <c r="E116" s="50">
        <v>2</v>
      </c>
      <c r="F116" s="50">
        <v>19</v>
      </c>
      <c r="G116" s="50">
        <v>2</v>
      </c>
    </row>
    <row r="117" spans="1:13" hidden="1" x14ac:dyDescent="0.4">
      <c r="A117" s="49" t="s">
        <v>23</v>
      </c>
      <c r="B117" s="50" t="s">
        <v>40</v>
      </c>
      <c r="C117" s="51" t="s">
        <v>63</v>
      </c>
      <c r="D117" s="50">
        <v>5</v>
      </c>
      <c r="E117" s="50"/>
      <c r="F117" s="50">
        <v>4</v>
      </c>
      <c r="G117" s="50">
        <v>1</v>
      </c>
    </row>
    <row r="118" spans="1:13" hidden="1" x14ac:dyDescent="0.4">
      <c r="A118" s="49" t="s">
        <v>54</v>
      </c>
      <c r="B118" s="50" t="s">
        <v>40</v>
      </c>
      <c r="C118" s="51" t="s">
        <v>63</v>
      </c>
      <c r="D118" s="50">
        <v>20</v>
      </c>
      <c r="E118" s="50">
        <v>4</v>
      </c>
      <c r="F118" s="50">
        <v>15</v>
      </c>
      <c r="G118" s="50">
        <v>1</v>
      </c>
    </row>
    <row r="119" spans="1:13" hidden="1" x14ac:dyDescent="0.4">
      <c r="A119" s="49" t="s">
        <v>25</v>
      </c>
      <c r="B119" s="50" t="s">
        <v>40</v>
      </c>
      <c r="C119" s="51" t="s">
        <v>63</v>
      </c>
      <c r="D119" s="50">
        <v>11</v>
      </c>
      <c r="E119" s="50">
        <v>1</v>
      </c>
      <c r="F119" s="50">
        <v>8</v>
      </c>
      <c r="G119" s="50">
        <v>2</v>
      </c>
    </row>
    <row r="120" spans="1:13" hidden="1" x14ac:dyDescent="0.4">
      <c r="A120" s="49" t="s">
        <v>26</v>
      </c>
      <c r="B120" s="50" t="s">
        <v>40</v>
      </c>
      <c r="C120" s="51" t="s">
        <v>63</v>
      </c>
      <c r="D120" s="50">
        <v>22</v>
      </c>
      <c r="E120" s="50">
        <v>5</v>
      </c>
      <c r="F120" s="50">
        <v>12</v>
      </c>
      <c r="G120" s="50">
        <v>5</v>
      </c>
    </row>
    <row r="121" spans="1:13" hidden="1" x14ac:dyDescent="0.4">
      <c r="A121" s="49" t="s">
        <v>27</v>
      </c>
      <c r="B121" s="50" t="s">
        <v>40</v>
      </c>
      <c r="C121" s="51" t="s">
        <v>63</v>
      </c>
      <c r="D121" s="50">
        <v>14</v>
      </c>
      <c r="E121" s="50">
        <v>5</v>
      </c>
      <c r="F121" s="50">
        <v>8</v>
      </c>
      <c r="G121" s="50">
        <v>1</v>
      </c>
    </row>
    <row r="122" spans="1:13" hidden="1" x14ac:dyDescent="0.4">
      <c r="A122" s="49" t="s">
        <v>28</v>
      </c>
      <c r="B122" s="50" t="s">
        <v>40</v>
      </c>
      <c r="C122" s="51" t="s">
        <v>63</v>
      </c>
      <c r="D122" s="50">
        <v>6</v>
      </c>
      <c r="E122" s="50">
        <v>2</v>
      </c>
      <c r="F122" s="50">
        <v>4</v>
      </c>
      <c r="G122" s="50"/>
    </row>
    <row r="123" spans="1:13" hidden="1" x14ac:dyDescent="0.4">
      <c r="A123" s="49" t="s">
        <v>29</v>
      </c>
      <c r="B123" s="50" t="s">
        <v>40</v>
      </c>
      <c r="C123" s="51" t="s">
        <v>63</v>
      </c>
      <c r="D123" s="50">
        <v>50</v>
      </c>
      <c r="E123" s="50">
        <v>24</v>
      </c>
      <c r="F123" s="50">
        <v>16</v>
      </c>
      <c r="G123" s="50">
        <v>10</v>
      </c>
    </row>
    <row r="124" spans="1:13" hidden="1" x14ac:dyDescent="0.4">
      <c r="A124" s="49" t="s">
        <v>30</v>
      </c>
      <c r="B124" s="50" t="s">
        <v>40</v>
      </c>
      <c r="C124" s="51" t="s">
        <v>63</v>
      </c>
      <c r="D124" s="50">
        <v>310</v>
      </c>
      <c r="E124" s="50">
        <v>41</v>
      </c>
      <c r="F124" s="50">
        <v>269</v>
      </c>
      <c r="G124" s="50"/>
    </row>
    <row r="125" spans="1:13" hidden="1" x14ac:dyDescent="0.4">
      <c r="A125" s="49" t="s">
        <v>31</v>
      </c>
      <c r="B125" s="50" t="s">
        <v>40</v>
      </c>
      <c r="C125" s="51" t="s">
        <v>63</v>
      </c>
      <c r="D125" s="50">
        <v>516</v>
      </c>
      <c r="E125" s="50">
        <v>99</v>
      </c>
      <c r="F125" s="50">
        <v>417</v>
      </c>
      <c r="G125" s="50"/>
    </row>
    <row r="126" spans="1:13" hidden="1" x14ac:dyDescent="0.4">
      <c r="A126" s="49" t="s">
        <v>32</v>
      </c>
      <c r="B126" s="50" t="s">
        <v>40</v>
      </c>
      <c r="C126" s="51" t="s">
        <v>63</v>
      </c>
      <c r="D126" s="50">
        <v>424</v>
      </c>
      <c r="E126" s="50">
        <v>95</v>
      </c>
      <c r="F126" s="50">
        <v>259</v>
      </c>
      <c r="G126" s="50">
        <v>70</v>
      </c>
    </row>
    <row r="127" spans="1:13" hidden="1" x14ac:dyDescent="0.4">
      <c r="A127" s="49" t="s">
        <v>33</v>
      </c>
      <c r="B127" s="50" t="s">
        <v>40</v>
      </c>
      <c r="C127" s="51" t="s">
        <v>63</v>
      </c>
      <c r="D127" s="50">
        <v>5</v>
      </c>
      <c r="E127" s="50"/>
      <c r="F127" s="50">
        <v>5</v>
      </c>
      <c r="G127" s="50"/>
    </row>
    <row r="128" spans="1:13" hidden="1" x14ac:dyDescent="0.4">
      <c r="A128" s="49" t="s">
        <v>34</v>
      </c>
      <c r="B128" s="50" t="s">
        <v>40</v>
      </c>
      <c r="C128" s="51" t="s">
        <v>63</v>
      </c>
      <c r="D128" s="50">
        <v>3</v>
      </c>
      <c r="E128" s="50">
        <v>1</v>
      </c>
      <c r="F128" s="50">
        <v>2</v>
      </c>
      <c r="G128" s="50"/>
    </row>
    <row r="129" spans="1:7" hidden="1" x14ac:dyDescent="0.4">
      <c r="A129" s="49" t="s">
        <v>35</v>
      </c>
      <c r="B129" s="50" t="s">
        <v>40</v>
      </c>
      <c r="C129" s="51" t="s">
        <v>63</v>
      </c>
      <c r="D129" s="50">
        <v>28</v>
      </c>
      <c r="E129" s="50">
        <v>5</v>
      </c>
      <c r="F129" s="50">
        <v>19</v>
      </c>
      <c r="G129" s="50">
        <v>4</v>
      </c>
    </row>
    <row r="130" spans="1:7" hidden="1" x14ac:dyDescent="0.4">
      <c r="A130" s="49" t="s">
        <v>36</v>
      </c>
      <c r="B130" s="50" t="s">
        <v>40</v>
      </c>
      <c r="C130" s="51" t="s">
        <v>63</v>
      </c>
      <c r="D130" s="50">
        <v>2</v>
      </c>
      <c r="E130" s="50"/>
      <c r="F130" s="50">
        <v>2</v>
      </c>
      <c r="G130" s="50"/>
    </row>
    <row r="131" spans="1:7" hidden="1" x14ac:dyDescent="0.4">
      <c r="A131" s="49" t="s">
        <v>37</v>
      </c>
      <c r="B131" s="50" t="s">
        <v>40</v>
      </c>
      <c r="C131" s="51" t="s">
        <v>63</v>
      </c>
      <c r="D131" s="50">
        <v>2</v>
      </c>
      <c r="E131" s="50"/>
      <c r="F131" s="50">
        <v>2</v>
      </c>
      <c r="G131" s="50"/>
    </row>
    <row r="132" spans="1:7" hidden="1" x14ac:dyDescent="0.4">
      <c r="A132" s="49" t="s">
        <v>5</v>
      </c>
      <c r="B132" s="50" t="s">
        <v>41</v>
      </c>
      <c r="C132" s="51" t="s">
        <v>63</v>
      </c>
      <c r="D132" s="52">
        <v>3</v>
      </c>
      <c r="E132" s="52"/>
      <c r="F132" s="52">
        <v>3</v>
      </c>
      <c r="G132" s="52"/>
    </row>
    <row r="133" spans="1:7" hidden="1" x14ac:dyDescent="0.4">
      <c r="A133" s="49" t="s">
        <v>51</v>
      </c>
      <c r="B133" s="50" t="s">
        <v>41</v>
      </c>
      <c r="C133" s="51" t="s">
        <v>63</v>
      </c>
      <c r="D133" s="52">
        <v>20</v>
      </c>
      <c r="E133" s="52">
        <v>7</v>
      </c>
      <c r="F133" s="52">
        <v>11</v>
      </c>
      <c r="G133" s="52">
        <v>2</v>
      </c>
    </row>
    <row r="134" spans="1:7" hidden="1" x14ac:dyDescent="0.4">
      <c r="A134" s="49" t="s">
        <v>8</v>
      </c>
      <c r="B134" s="50" t="s">
        <v>41</v>
      </c>
      <c r="C134" s="51" t="s">
        <v>63</v>
      </c>
      <c r="D134" s="52">
        <v>3</v>
      </c>
      <c r="E134" s="52">
        <v>2</v>
      </c>
      <c r="F134" s="52">
        <v>1</v>
      </c>
      <c r="G134" s="52"/>
    </row>
    <row r="135" spans="1:7" hidden="1" x14ac:dyDescent="0.4">
      <c r="A135" s="49" t="s">
        <v>9</v>
      </c>
      <c r="B135" s="50" t="s">
        <v>41</v>
      </c>
      <c r="C135" s="51" t="s">
        <v>63</v>
      </c>
      <c r="D135" s="52">
        <v>12</v>
      </c>
      <c r="E135" s="52">
        <v>3</v>
      </c>
      <c r="F135" s="52">
        <v>7</v>
      </c>
      <c r="G135" s="52">
        <v>2</v>
      </c>
    </row>
    <row r="136" spans="1:7" hidden="1" x14ac:dyDescent="0.4">
      <c r="A136" s="49" t="s">
        <v>10</v>
      </c>
      <c r="B136" s="50" t="s">
        <v>41</v>
      </c>
      <c r="C136" s="51" t="s">
        <v>63</v>
      </c>
      <c r="D136" s="52">
        <v>13</v>
      </c>
      <c r="E136" s="52">
        <v>4</v>
      </c>
      <c r="F136" s="52">
        <v>7</v>
      </c>
      <c r="G136" s="52">
        <v>2</v>
      </c>
    </row>
    <row r="137" spans="1:7" hidden="1" x14ac:dyDescent="0.4">
      <c r="A137" s="49" t="s">
        <v>11</v>
      </c>
      <c r="B137" s="50" t="s">
        <v>41</v>
      </c>
      <c r="C137" s="51" t="s">
        <v>63</v>
      </c>
      <c r="D137" s="52">
        <v>2</v>
      </c>
      <c r="E137" s="52"/>
      <c r="F137" s="52">
        <v>2</v>
      </c>
      <c r="G137" s="52"/>
    </row>
    <row r="138" spans="1:7" hidden="1" x14ac:dyDescent="0.4">
      <c r="A138" s="49" t="s">
        <v>12</v>
      </c>
      <c r="B138" s="50" t="s">
        <v>41</v>
      </c>
      <c r="C138" s="51" t="s">
        <v>63</v>
      </c>
      <c r="D138" s="52">
        <v>16</v>
      </c>
      <c r="E138" s="52">
        <v>1</v>
      </c>
      <c r="F138" s="52">
        <v>11</v>
      </c>
      <c r="G138" s="52">
        <v>4</v>
      </c>
    </row>
    <row r="139" spans="1:7" hidden="1" x14ac:dyDescent="0.4">
      <c r="A139" s="49" t="s">
        <v>52</v>
      </c>
      <c r="B139" s="50" t="s">
        <v>41</v>
      </c>
      <c r="C139" s="51" t="s">
        <v>63</v>
      </c>
      <c r="D139" s="52">
        <v>11</v>
      </c>
      <c r="E139" s="52">
        <v>1</v>
      </c>
      <c r="F139" s="52">
        <v>9</v>
      </c>
      <c r="G139" s="52">
        <v>1</v>
      </c>
    </row>
    <row r="140" spans="1:7" hidden="1" x14ac:dyDescent="0.4">
      <c r="A140" s="49" t="s">
        <v>14</v>
      </c>
      <c r="B140" s="50" t="s">
        <v>41</v>
      </c>
      <c r="C140" s="51" t="s">
        <v>63</v>
      </c>
      <c r="D140" s="52">
        <v>92</v>
      </c>
      <c r="E140" s="52">
        <v>4</v>
      </c>
      <c r="F140" s="52">
        <v>76</v>
      </c>
      <c r="G140" s="52">
        <v>12</v>
      </c>
    </row>
    <row r="141" spans="1:7" hidden="1" x14ac:dyDescent="0.4">
      <c r="A141" s="49" t="s">
        <v>15</v>
      </c>
      <c r="B141" s="50" t="s">
        <v>41</v>
      </c>
      <c r="C141" s="51" t="s">
        <v>63</v>
      </c>
      <c r="D141" s="52">
        <v>6</v>
      </c>
      <c r="E141" s="52"/>
      <c r="F141" s="52">
        <v>5</v>
      </c>
      <c r="G141" s="52">
        <v>1</v>
      </c>
    </row>
    <row r="142" spans="1:7" hidden="1" x14ac:dyDescent="0.4">
      <c r="A142" s="49" t="s">
        <v>16</v>
      </c>
      <c r="B142" s="50" t="s">
        <v>41</v>
      </c>
      <c r="C142" s="51" t="s">
        <v>63</v>
      </c>
      <c r="D142" s="52">
        <v>28</v>
      </c>
      <c r="E142" s="52">
        <v>3</v>
      </c>
      <c r="F142" s="52">
        <v>18</v>
      </c>
      <c r="G142" s="52">
        <v>7</v>
      </c>
    </row>
    <row r="143" spans="1:7" hidden="1" x14ac:dyDescent="0.4">
      <c r="A143" s="49" t="s">
        <v>17</v>
      </c>
      <c r="B143" s="50" t="s">
        <v>41</v>
      </c>
      <c r="C143" s="51" t="s">
        <v>63</v>
      </c>
      <c r="D143" s="52">
        <v>13</v>
      </c>
      <c r="E143" s="52">
        <v>1</v>
      </c>
      <c r="F143" s="52">
        <v>8</v>
      </c>
      <c r="G143" s="52">
        <v>4</v>
      </c>
    </row>
    <row r="144" spans="1:7" hidden="1" x14ac:dyDescent="0.4">
      <c r="A144" s="49" t="s">
        <v>18</v>
      </c>
      <c r="B144" s="50" t="s">
        <v>41</v>
      </c>
      <c r="C144" s="51" t="s">
        <v>63</v>
      </c>
      <c r="D144" s="52">
        <v>18</v>
      </c>
      <c r="E144" s="52">
        <v>5</v>
      </c>
      <c r="F144" s="52">
        <v>10</v>
      </c>
      <c r="G144" s="52">
        <v>3</v>
      </c>
    </row>
    <row r="145" spans="1:7" hidden="1" x14ac:dyDescent="0.4">
      <c r="A145" s="49" t="s">
        <v>19</v>
      </c>
      <c r="B145" s="50" t="s">
        <v>41</v>
      </c>
      <c r="C145" s="51" t="s">
        <v>63</v>
      </c>
      <c r="D145" s="52">
        <v>46</v>
      </c>
      <c r="E145" s="52">
        <v>6</v>
      </c>
      <c r="F145" s="52">
        <v>28</v>
      </c>
      <c r="G145" s="52">
        <v>12</v>
      </c>
    </row>
    <row r="146" spans="1:7" hidden="1" x14ac:dyDescent="0.4">
      <c r="A146" s="49" t="s">
        <v>53</v>
      </c>
      <c r="B146" s="50" t="s">
        <v>41</v>
      </c>
      <c r="C146" s="51" t="s">
        <v>63</v>
      </c>
      <c r="D146" s="52">
        <v>148</v>
      </c>
      <c r="E146" s="52">
        <v>13</v>
      </c>
      <c r="F146" s="52">
        <v>114</v>
      </c>
      <c r="G146" s="52">
        <v>21</v>
      </c>
    </row>
    <row r="147" spans="1:7" hidden="1" x14ac:dyDescent="0.4">
      <c r="A147" s="49" t="s">
        <v>21</v>
      </c>
      <c r="B147" s="50" t="s">
        <v>41</v>
      </c>
      <c r="C147" s="51" t="s">
        <v>63</v>
      </c>
      <c r="D147" s="52">
        <v>20</v>
      </c>
      <c r="E147" s="52">
        <v>1</v>
      </c>
      <c r="F147" s="52">
        <v>16</v>
      </c>
      <c r="G147" s="52">
        <v>3</v>
      </c>
    </row>
    <row r="148" spans="1:7" hidden="1" x14ac:dyDescent="0.4">
      <c r="A148" s="49" t="s">
        <v>22</v>
      </c>
      <c r="B148" s="50" t="s">
        <v>41</v>
      </c>
      <c r="C148" s="51" t="s">
        <v>63</v>
      </c>
      <c r="D148" s="52">
        <v>16</v>
      </c>
      <c r="E148" s="52">
        <v>2</v>
      </c>
      <c r="F148" s="52">
        <v>14</v>
      </c>
      <c r="G148" s="52"/>
    </row>
    <row r="149" spans="1:7" hidden="1" x14ac:dyDescent="0.4">
      <c r="A149" s="49" t="s">
        <v>23</v>
      </c>
      <c r="B149" s="50" t="s">
        <v>41</v>
      </c>
      <c r="C149" s="51" t="s">
        <v>63</v>
      </c>
      <c r="D149" s="52">
        <v>3</v>
      </c>
      <c r="E149" s="52"/>
      <c r="F149" s="52">
        <v>2</v>
      </c>
      <c r="G149" s="52">
        <v>1</v>
      </c>
    </row>
    <row r="150" spans="1:7" hidden="1" x14ac:dyDescent="0.4">
      <c r="A150" s="49" t="s">
        <v>54</v>
      </c>
      <c r="B150" s="50" t="s">
        <v>41</v>
      </c>
      <c r="C150" s="51" t="s">
        <v>63</v>
      </c>
      <c r="D150" s="52">
        <v>24</v>
      </c>
      <c r="E150" s="52">
        <v>5</v>
      </c>
      <c r="F150" s="52">
        <v>16</v>
      </c>
      <c r="G150" s="52">
        <v>3</v>
      </c>
    </row>
    <row r="151" spans="1:7" hidden="1" x14ac:dyDescent="0.4">
      <c r="A151" s="49" t="s">
        <v>25</v>
      </c>
      <c r="B151" s="50" t="s">
        <v>41</v>
      </c>
      <c r="C151" s="51" t="s">
        <v>63</v>
      </c>
      <c r="D151" s="52">
        <v>12</v>
      </c>
      <c r="E151" s="52">
        <v>2</v>
      </c>
      <c r="F151" s="52">
        <v>7</v>
      </c>
      <c r="G151" s="52">
        <v>3</v>
      </c>
    </row>
    <row r="152" spans="1:7" hidden="1" x14ac:dyDescent="0.4">
      <c r="A152" s="49" t="s">
        <v>26</v>
      </c>
      <c r="B152" s="50" t="s">
        <v>41</v>
      </c>
      <c r="C152" s="51" t="s">
        <v>63</v>
      </c>
      <c r="D152" s="52">
        <v>25</v>
      </c>
      <c r="E152" s="52">
        <v>5</v>
      </c>
      <c r="F152" s="52">
        <v>16</v>
      </c>
      <c r="G152" s="52">
        <v>4</v>
      </c>
    </row>
    <row r="153" spans="1:7" hidden="1" x14ac:dyDescent="0.4">
      <c r="A153" s="49" t="s">
        <v>27</v>
      </c>
      <c r="B153" s="50" t="s">
        <v>41</v>
      </c>
      <c r="C153" s="51" t="s">
        <v>63</v>
      </c>
      <c r="D153" s="52">
        <v>9</v>
      </c>
      <c r="E153" s="52">
        <v>1</v>
      </c>
      <c r="F153" s="52">
        <v>6</v>
      </c>
      <c r="G153" s="52">
        <v>2</v>
      </c>
    </row>
    <row r="154" spans="1:7" hidden="1" x14ac:dyDescent="0.4">
      <c r="A154" s="49" t="s">
        <v>28</v>
      </c>
      <c r="B154" s="50" t="s">
        <v>41</v>
      </c>
      <c r="C154" s="51" t="s">
        <v>63</v>
      </c>
      <c r="D154" s="52">
        <v>15</v>
      </c>
      <c r="E154" s="52">
        <v>4</v>
      </c>
      <c r="F154" s="52">
        <v>8</v>
      </c>
      <c r="G154" s="52">
        <v>3</v>
      </c>
    </row>
    <row r="155" spans="1:7" hidden="1" x14ac:dyDescent="0.4">
      <c r="A155" s="49" t="s">
        <v>29</v>
      </c>
      <c r="B155" s="50" t="s">
        <v>41</v>
      </c>
      <c r="C155" s="51" t="s">
        <v>63</v>
      </c>
      <c r="D155" s="52">
        <v>22</v>
      </c>
      <c r="E155" s="52">
        <v>15</v>
      </c>
      <c r="F155" s="52">
        <v>4</v>
      </c>
      <c r="G155" s="52">
        <v>3</v>
      </c>
    </row>
    <row r="156" spans="1:7" hidden="1" x14ac:dyDescent="0.4">
      <c r="A156" s="49" t="s">
        <v>30</v>
      </c>
      <c r="B156" s="50" t="s">
        <v>41</v>
      </c>
      <c r="C156" s="51" t="s">
        <v>63</v>
      </c>
      <c r="D156" s="52">
        <v>229</v>
      </c>
      <c r="E156" s="52">
        <v>29</v>
      </c>
      <c r="F156" s="52">
        <v>200</v>
      </c>
      <c r="G156" s="52"/>
    </row>
    <row r="157" spans="1:7" hidden="1" x14ac:dyDescent="0.4">
      <c r="A157" s="49" t="s">
        <v>31</v>
      </c>
      <c r="B157" s="50" t="s">
        <v>41</v>
      </c>
      <c r="C157" s="51" t="s">
        <v>63</v>
      </c>
      <c r="D157" s="52">
        <v>594</v>
      </c>
      <c r="E157" s="52">
        <v>147</v>
      </c>
      <c r="F157" s="52">
        <v>447</v>
      </c>
      <c r="G157" s="52"/>
    </row>
    <row r="158" spans="1:7" hidden="1" x14ac:dyDescent="0.4">
      <c r="A158" s="49" t="s">
        <v>32</v>
      </c>
      <c r="B158" s="50" t="s">
        <v>41</v>
      </c>
      <c r="C158" s="51" t="s">
        <v>63</v>
      </c>
      <c r="D158" s="52">
        <v>369</v>
      </c>
      <c r="E158" s="52">
        <v>63</v>
      </c>
      <c r="F158" s="52">
        <v>259</v>
      </c>
      <c r="G158" s="52">
        <v>47</v>
      </c>
    </row>
    <row r="159" spans="1:7" hidden="1" x14ac:dyDescent="0.4">
      <c r="A159" s="49" t="s">
        <v>33</v>
      </c>
      <c r="B159" s="50" t="s">
        <v>41</v>
      </c>
      <c r="C159" s="51" t="s">
        <v>63</v>
      </c>
      <c r="D159" s="52">
        <v>7</v>
      </c>
      <c r="E159" s="52">
        <v>1</v>
      </c>
      <c r="F159" s="52">
        <v>4</v>
      </c>
      <c r="G159" s="52">
        <v>2</v>
      </c>
    </row>
    <row r="160" spans="1:7" hidden="1" x14ac:dyDescent="0.4">
      <c r="A160" s="49" t="s">
        <v>34</v>
      </c>
      <c r="B160" s="50" t="s">
        <v>41</v>
      </c>
      <c r="C160" s="51" t="s">
        <v>63</v>
      </c>
      <c r="D160" s="52">
        <v>8</v>
      </c>
      <c r="E160" s="52">
        <v>1</v>
      </c>
      <c r="F160" s="52">
        <v>4</v>
      </c>
      <c r="G160" s="52">
        <v>3</v>
      </c>
    </row>
    <row r="161" spans="1:7" hidden="1" x14ac:dyDescent="0.4">
      <c r="A161" s="49" t="s">
        <v>35</v>
      </c>
      <c r="B161" s="50" t="s">
        <v>41</v>
      </c>
      <c r="C161" s="51" t="s">
        <v>63</v>
      </c>
      <c r="D161" s="52">
        <v>32</v>
      </c>
      <c r="E161" s="52">
        <v>4</v>
      </c>
      <c r="F161" s="52">
        <v>22</v>
      </c>
      <c r="G161" s="52">
        <v>6</v>
      </c>
    </row>
    <row r="162" spans="1:7" hidden="1" x14ac:dyDescent="0.4">
      <c r="A162" s="49" t="s">
        <v>36</v>
      </c>
      <c r="B162" s="50" t="s">
        <v>41</v>
      </c>
      <c r="C162" s="51" t="s">
        <v>63</v>
      </c>
      <c r="D162" s="52">
        <v>4</v>
      </c>
      <c r="E162" s="52">
        <v>2</v>
      </c>
      <c r="F162" s="52">
        <v>2</v>
      </c>
      <c r="G162" s="52"/>
    </row>
    <row r="163" spans="1:7" hidden="1" x14ac:dyDescent="0.4">
      <c r="A163" s="49" t="s">
        <v>37</v>
      </c>
      <c r="B163" s="50" t="s">
        <v>41</v>
      </c>
      <c r="C163" s="51" t="s">
        <v>63</v>
      </c>
      <c r="D163" s="52">
        <v>6</v>
      </c>
      <c r="E163" s="52"/>
      <c r="F163" s="52">
        <v>6</v>
      </c>
      <c r="G163" s="52"/>
    </row>
    <row r="164" spans="1:7" hidden="1" x14ac:dyDescent="0.4">
      <c r="A164" s="49" t="s">
        <v>5</v>
      </c>
      <c r="B164" s="50" t="s">
        <v>42</v>
      </c>
      <c r="C164" s="51" t="s">
        <v>63</v>
      </c>
      <c r="D164" s="52">
        <v>2</v>
      </c>
      <c r="E164" s="52"/>
      <c r="F164" s="52">
        <v>2</v>
      </c>
      <c r="G164" s="52"/>
    </row>
    <row r="165" spans="1:7" hidden="1" x14ac:dyDescent="0.4">
      <c r="A165" s="49" t="s">
        <v>51</v>
      </c>
      <c r="B165" s="50" t="s">
        <v>42</v>
      </c>
      <c r="C165" s="51" t="s">
        <v>63</v>
      </c>
      <c r="D165" s="50">
        <v>26</v>
      </c>
      <c r="E165" s="50">
        <v>3</v>
      </c>
      <c r="F165" s="50">
        <v>22</v>
      </c>
      <c r="G165" s="50">
        <v>1</v>
      </c>
    </row>
    <row r="166" spans="1:7" hidden="1" x14ac:dyDescent="0.4">
      <c r="A166" s="49" t="s">
        <v>8</v>
      </c>
      <c r="B166" s="50" t="s">
        <v>42</v>
      </c>
      <c r="C166" s="51" t="s">
        <v>63</v>
      </c>
      <c r="D166" s="50">
        <v>3</v>
      </c>
      <c r="E166" s="50"/>
      <c r="F166" s="50">
        <v>3</v>
      </c>
      <c r="G166" s="50"/>
    </row>
    <row r="167" spans="1:7" hidden="1" x14ac:dyDescent="0.4">
      <c r="A167" s="49" t="s">
        <v>9</v>
      </c>
      <c r="B167" s="50" t="s">
        <v>42</v>
      </c>
      <c r="C167" s="51" t="s">
        <v>63</v>
      </c>
      <c r="D167" s="50">
        <v>2</v>
      </c>
      <c r="E167" s="50">
        <v>1</v>
      </c>
      <c r="F167" s="50">
        <v>1</v>
      </c>
      <c r="G167" s="50"/>
    </row>
    <row r="168" spans="1:7" hidden="1" x14ac:dyDescent="0.4">
      <c r="A168" s="49" t="s">
        <v>10</v>
      </c>
      <c r="B168" s="50" t="s">
        <v>42</v>
      </c>
      <c r="C168" s="51" t="s">
        <v>63</v>
      </c>
      <c r="D168" s="50">
        <v>21</v>
      </c>
      <c r="E168" s="50">
        <v>2</v>
      </c>
      <c r="F168" s="50">
        <v>14</v>
      </c>
      <c r="G168" s="50">
        <v>5</v>
      </c>
    </row>
    <row r="169" spans="1:7" hidden="1" x14ac:dyDescent="0.4">
      <c r="A169" s="49" t="s">
        <v>11</v>
      </c>
      <c r="B169" s="50" t="s">
        <v>42</v>
      </c>
      <c r="C169" s="51" t="s">
        <v>63</v>
      </c>
      <c r="D169" s="50">
        <v>12</v>
      </c>
      <c r="E169" s="50">
        <v>2</v>
      </c>
      <c r="F169" s="50">
        <v>10</v>
      </c>
      <c r="G169" s="50"/>
    </row>
    <row r="170" spans="1:7" hidden="1" x14ac:dyDescent="0.4">
      <c r="A170" s="49" t="s">
        <v>12</v>
      </c>
      <c r="B170" s="50" t="s">
        <v>42</v>
      </c>
      <c r="C170" s="51" t="s">
        <v>63</v>
      </c>
      <c r="D170" s="50">
        <v>102</v>
      </c>
      <c r="E170" s="50">
        <v>9</v>
      </c>
      <c r="F170" s="50">
        <v>84</v>
      </c>
      <c r="G170" s="50">
        <v>9</v>
      </c>
    </row>
    <row r="171" spans="1:7" hidden="1" x14ac:dyDescent="0.4">
      <c r="A171" s="49" t="s">
        <v>52</v>
      </c>
      <c r="B171" s="50" t="s">
        <v>42</v>
      </c>
      <c r="C171" s="51" t="s">
        <v>63</v>
      </c>
      <c r="D171" s="50">
        <v>9</v>
      </c>
      <c r="E171" s="50"/>
      <c r="F171" s="50">
        <v>8</v>
      </c>
      <c r="G171" s="50">
        <v>1</v>
      </c>
    </row>
    <row r="172" spans="1:7" hidden="1" x14ac:dyDescent="0.4">
      <c r="A172" s="49" t="s">
        <v>14</v>
      </c>
      <c r="B172" s="50" t="s">
        <v>42</v>
      </c>
      <c r="C172" s="51" t="s">
        <v>63</v>
      </c>
      <c r="D172" s="50">
        <v>1</v>
      </c>
      <c r="E172" s="50"/>
      <c r="F172" s="50">
        <v>1</v>
      </c>
      <c r="G172" s="50"/>
    </row>
    <row r="173" spans="1:7" hidden="1" x14ac:dyDescent="0.4">
      <c r="A173" s="49" t="s">
        <v>15</v>
      </c>
      <c r="B173" s="50" t="s">
        <v>42</v>
      </c>
      <c r="C173" s="51" t="s">
        <v>63</v>
      </c>
      <c r="D173" s="50">
        <v>9</v>
      </c>
      <c r="E173" s="50"/>
      <c r="F173" s="50">
        <v>7</v>
      </c>
      <c r="G173" s="50">
        <v>2</v>
      </c>
    </row>
    <row r="174" spans="1:7" hidden="1" x14ac:dyDescent="0.4">
      <c r="A174" s="49" t="s">
        <v>16</v>
      </c>
      <c r="B174" s="50" t="s">
        <v>42</v>
      </c>
      <c r="C174" s="51" t="s">
        <v>63</v>
      </c>
      <c r="D174" s="50">
        <v>25</v>
      </c>
      <c r="E174" s="50">
        <v>4</v>
      </c>
      <c r="F174" s="50">
        <v>18</v>
      </c>
      <c r="G174" s="50">
        <v>3</v>
      </c>
    </row>
    <row r="175" spans="1:7" hidden="1" x14ac:dyDescent="0.4">
      <c r="A175" s="49" t="s">
        <v>17</v>
      </c>
      <c r="B175" s="50" t="s">
        <v>42</v>
      </c>
      <c r="C175" s="51" t="s">
        <v>63</v>
      </c>
      <c r="D175" s="50">
        <v>8</v>
      </c>
      <c r="E175" s="50"/>
      <c r="F175" s="50">
        <v>6</v>
      </c>
      <c r="G175" s="50">
        <v>2</v>
      </c>
    </row>
    <row r="176" spans="1:7" hidden="1" x14ac:dyDescent="0.4">
      <c r="A176" s="49" t="s">
        <v>18</v>
      </c>
      <c r="B176" s="50" t="s">
        <v>42</v>
      </c>
      <c r="C176" s="51" t="s">
        <v>63</v>
      </c>
      <c r="D176" s="50">
        <v>18</v>
      </c>
      <c r="E176" s="50">
        <v>2</v>
      </c>
      <c r="F176" s="50">
        <v>13</v>
      </c>
      <c r="G176" s="50">
        <v>3</v>
      </c>
    </row>
    <row r="177" spans="1:7" hidden="1" x14ac:dyDescent="0.4">
      <c r="A177" s="49" t="s">
        <v>19</v>
      </c>
      <c r="B177" s="50" t="s">
        <v>42</v>
      </c>
      <c r="C177" s="51" t="s">
        <v>63</v>
      </c>
      <c r="D177" s="50">
        <v>33</v>
      </c>
      <c r="E177" s="50">
        <v>2</v>
      </c>
      <c r="F177" s="50">
        <v>26</v>
      </c>
      <c r="G177" s="50">
        <v>5</v>
      </c>
    </row>
    <row r="178" spans="1:7" hidden="1" x14ac:dyDescent="0.4">
      <c r="A178" s="49" t="s">
        <v>53</v>
      </c>
      <c r="B178" s="50" t="s">
        <v>42</v>
      </c>
      <c r="C178" s="51" t="s">
        <v>63</v>
      </c>
      <c r="D178" s="50">
        <v>110</v>
      </c>
      <c r="E178" s="50">
        <v>17</v>
      </c>
      <c r="F178" s="50">
        <v>74</v>
      </c>
      <c r="G178" s="50">
        <v>19</v>
      </c>
    </row>
    <row r="179" spans="1:7" hidden="1" x14ac:dyDescent="0.4">
      <c r="A179" s="49" t="s">
        <v>21</v>
      </c>
      <c r="B179" s="50" t="s">
        <v>42</v>
      </c>
      <c r="C179" s="51" t="s">
        <v>63</v>
      </c>
      <c r="D179" s="50">
        <v>16</v>
      </c>
      <c r="E179" s="50">
        <v>4</v>
      </c>
      <c r="F179" s="50">
        <v>10</v>
      </c>
      <c r="G179" s="50">
        <v>2</v>
      </c>
    </row>
    <row r="180" spans="1:7" hidden="1" x14ac:dyDescent="0.4">
      <c r="A180" s="49" t="s">
        <v>22</v>
      </c>
      <c r="B180" s="50" t="s">
        <v>42</v>
      </c>
      <c r="C180" s="51" t="s">
        <v>63</v>
      </c>
      <c r="D180" s="50">
        <v>21</v>
      </c>
      <c r="E180" s="50">
        <v>1</v>
      </c>
      <c r="F180" s="50">
        <v>15</v>
      </c>
      <c r="G180" s="50">
        <v>5</v>
      </c>
    </row>
    <row r="181" spans="1:7" hidden="1" x14ac:dyDescent="0.4">
      <c r="A181" s="49" t="s">
        <v>23</v>
      </c>
      <c r="B181" s="50" t="s">
        <v>42</v>
      </c>
      <c r="C181" s="51" t="s">
        <v>63</v>
      </c>
      <c r="D181" s="50">
        <v>7</v>
      </c>
      <c r="E181" s="50"/>
      <c r="F181" s="50">
        <v>6</v>
      </c>
      <c r="G181" s="50">
        <v>1</v>
      </c>
    </row>
    <row r="182" spans="1:7" hidden="1" x14ac:dyDescent="0.4">
      <c r="A182" s="49" t="s">
        <v>54</v>
      </c>
      <c r="B182" s="50" t="s">
        <v>42</v>
      </c>
      <c r="C182" s="51" t="s">
        <v>63</v>
      </c>
      <c r="D182" s="50">
        <v>23</v>
      </c>
      <c r="E182" s="50">
        <v>5</v>
      </c>
      <c r="F182" s="50">
        <v>17</v>
      </c>
      <c r="G182" s="50">
        <v>1</v>
      </c>
    </row>
    <row r="183" spans="1:7" hidden="1" x14ac:dyDescent="0.4">
      <c r="A183" s="49" t="s">
        <v>25</v>
      </c>
      <c r="B183" s="50" t="s">
        <v>42</v>
      </c>
      <c r="C183" s="51" t="s">
        <v>63</v>
      </c>
      <c r="D183" s="50">
        <v>11</v>
      </c>
      <c r="E183" s="50">
        <v>1</v>
      </c>
      <c r="F183" s="50">
        <v>8</v>
      </c>
      <c r="G183" s="50">
        <v>2</v>
      </c>
    </row>
    <row r="184" spans="1:7" hidden="1" x14ac:dyDescent="0.4">
      <c r="A184" s="49" t="s">
        <v>26</v>
      </c>
      <c r="B184" s="50" t="s">
        <v>42</v>
      </c>
      <c r="C184" s="51" t="s">
        <v>63</v>
      </c>
      <c r="D184" s="50">
        <v>21</v>
      </c>
      <c r="E184" s="50"/>
      <c r="F184" s="50">
        <v>18</v>
      </c>
      <c r="G184" s="50">
        <v>3</v>
      </c>
    </row>
    <row r="185" spans="1:7" hidden="1" x14ac:dyDescent="0.4">
      <c r="A185" s="49" t="s">
        <v>27</v>
      </c>
      <c r="B185" s="50" t="s">
        <v>42</v>
      </c>
      <c r="C185" s="51" t="s">
        <v>63</v>
      </c>
      <c r="D185" s="50">
        <v>13</v>
      </c>
      <c r="E185" s="50">
        <v>2</v>
      </c>
      <c r="F185" s="50">
        <v>10</v>
      </c>
      <c r="G185" s="50">
        <v>1</v>
      </c>
    </row>
    <row r="186" spans="1:7" hidden="1" x14ac:dyDescent="0.4">
      <c r="A186" s="49" t="s">
        <v>28</v>
      </c>
      <c r="B186" s="50" t="s">
        <v>42</v>
      </c>
      <c r="C186" s="51" t="s">
        <v>63</v>
      </c>
      <c r="D186" s="50">
        <v>15</v>
      </c>
      <c r="E186" s="50">
        <v>2</v>
      </c>
      <c r="F186" s="50">
        <v>10</v>
      </c>
      <c r="G186" s="50">
        <v>3</v>
      </c>
    </row>
    <row r="187" spans="1:7" hidden="1" x14ac:dyDescent="0.4">
      <c r="A187" s="49" t="s">
        <v>29</v>
      </c>
      <c r="B187" s="50" t="s">
        <v>42</v>
      </c>
      <c r="C187" s="51" t="s">
        <v>63</v>
      </c>
      <c r="D187" s="50">
        <v>15</v>
      </c>
      <c r="E187" s="50">
        <v>5</v>
      </c>
      <c r="F187" s="50">
        <v>10</v>
      </c>
      <c r="G187" s="50"/>
    </row>
    <row r="188" spans="1:7" hidden="1" x14ac:dyDescent="0.4">
      <c r="A188" s="49" t="s">
        <v>30</v>
      </c>
      <c r="B188" s="50" t="s">
        <v>42</v>
      </c>
      <c r="C188" s="51" t="s">
        <v>63</v>
      </c>
      <c r="D188" s="50">
        <v>14</v>
      </c>
      <c r="E188" s="50">
        <v>2</v>
      </c>
      <c r="F188" s="50">
        <v>10</v>
      </c>
      <c r="G188" s="50">
        <v>2</v>
      </c>
    </row>
    <row r="189" spans="1:7" hidden="1" x14ac:dyDescent="0.4">
      <c r="A189" s="49" t="s">
        <v>31</v>
      </c>
      <c r="B189" s="50" t="s">
        <v>42</v>
      </c>
      <c r="C189" s="51" t="s">
        <v>63</v>
      </c>
      <c r="D189" s="50">
        <v>5</v>
      </c>
      <c r="E189" s="50">
        <v>1</v>
      </c>
      <c r="F189" s="50">
        <v>4</v>
      </c>
      <c r="G189" s="50"/>
    </row>
    <row r="190" spans="1:7" hidden="1" x14ac:dyDescent="0.4">
      <c r="A190" s="49" t="s">
        <v>32</v>
      </c>
      <c r="B190" s="50" t="s">
        <v>42</v>
      </c>
      <c r="C190" s="51" t="s">
        <v>63</v>
      </c>
      <c r="D190" s="50">
        <v>9</v>
      </c>
      <c r="E190" s="50">
        <v>1</v>
      </c>
      <c r="F190" s="50">
        <v>5</v>
      </c>
      <c r="G190" s="50">
        <v>3</v>
      </c>
    </row>
    <row r="191" spans="1:7" hidden="1" x14ac:dyDescent="0.4">
      <c r="A191" s="49" t="s">
        <v>33</v>
      </c>
      <c r="B191" s="50" t="s">
        <v>42</v>
      </c>
      <c r="C191" s="51" t="s">
        <v>63</v>
      </c>
      <c r="D191" s="50">
        <v>9</v>
      </c>
      <c r="E191" s="50">
        <v>3</v>
      </c>
      <c r="F191" s="50">
        <v>5</v>
      </c>
      <c r="G191" s="50">
        <v>1</v>
      </c>
    </row>
    <row r="192" spans="1:7" hidden="1" x14ac:dyDescent="0.4">
      <c r="A192" s="49" t="s">
        <v>34</v>
      </c>
      <c r="B192" s="50" t="s">
        <v>42</v>
      </c>
      <c r="C192" s="51" t="s">
        <v>63</v>
      </c>
      <c r="D192" s="50">
        <v>8</v>
      </c>
      <c r="E192" s="50">
        <v>2</v>
      </c>
      <c r="F192" s="50">
        <v>6</v>
      </c>
      <c r="G192" s="50"/>
    </row>
    <row r="193" spans="1:22" hidden="1" x14ac:dyDescent="0.4">
      <c r="A193" s="49" t="s">
        <v>35</v>
      </c>
      <c r="B193" s="50" t="s">
        <v>42</v>
      </c>
      <c r="C193" s="51" t="s">
        <v>63</v>
      </c>
      <c r="D193" s="50">
        <v>40</v>
      </c>
      <c r="E193" s="50">
        <v>5</v>
      </c>
      <c r="F193" s="50">
        <v>31</v>
      </c>
      <c r="G193" s="50">
        <v>4</v>
      </c>
    </row>
    <row r="194" spans="1:22" hidden="1" x14ac:dyDescent="0.4">
      <c r="A194" s="49" t="s">
        <v>36</v>
      </c>
      <c r="B194" s="50" t="s">
        <v>42</v>
      </c>
      <c r="C194" s="51" t="s">
        <v>63</v>
      </c>
      <c r="D194" s="50">
        <v>12</v>
      </c>
      <c r="E194" s="50">
        <v>2</v>
      </c>
      <c r="F194" s="50">
        <v>7</v>
      </c>
      <c r="G194" s="50">
        <v>3</v>
      </c>
    </row>
    <row r="195" spans="1:22" hidden="1" x14ac:dyDescent="0.4">
      <c r="A195" s="49" t="s">
        <v>37</v>
      </c>
      <c r="B195" s="50" t="s">
        <v>42</v>
      </c>
      <c r="C195" s="51" t="s">
        <v>63</v>
      </c>
      <c r="D195" s="50">
        <v>4</v>
      </c>
      <c r="E195" s="50"/>
      <c r="F195" s="50">
        <v>4</v>
      </c>
      <c r="G195" s="50"/>
    </row>
    <row r="196" spans="1:22" x14ac:dyDescent="0.4">
      <c r="A196" s="49" t="s">
        <v>5</v>
      </c>
      <c r="B196" s="50" t="s">
        <v>43</v>
      </c>
      <c r="C196" s="51" t="s">
        <v>63</v>
      </c>
      <c r="D196" s="50">
        <v>2</v>
      </c>
      <c r="E196" s="50"/>
      <c r="F196" s="50">
        <v>2</v>
      </c>
      <c r="G196" s="50"/>
    </row>
    <row r="197" spans="1:22" x14ac:dyDescent="0.4">
      <c r="A197" s="49" t="s">
        <v>51</v>
      </c>
      <c r="B197" s="50" t="s">
        <v>43</v>
      </c>
      <c r="C197" s="51" t="s">
        <v>63</v>
      </c>
      <c r="D197" s="50">
        <v>15</v>
      </c>
      <c r="E197" s="50">
        <v>3</v>
      </c>
      <c r="F197" s="50">
        <v>12</v>
      </c>
      <c r="G197" s="50"/>
    </row>
    <row r="198" spans="1:22" x14ac:dyDescent="0.4">
      <c r="A198" s="49" t="s">
        <v>8</v>
      </c>
      <c r="B198" s="50" t="s">
        <v>43</v>
      </c>
      <c r="C198" s="51" t="s">
        <v>63</v>
      </c>
      <c r="D198" s="50">
        <v>1</v>
      </c>
      <c r="E198" s="50">
        <v>1</v>
      </c>
      <c r="F198" s="50"/>
      <c r="G198" s="50"/>
    </row>
    <row r="199" spans="1:22" x14ac:dyDescent="0.4">
      <c r="A199" s="49" t="s">
        <v>9</v>
      </c>
      <c r="B199" s="50" t="s">
        <v>43</v>
      </c>
      <c r="C199" s="51" t="s">
        <v>63</v>
      </c>
      <c r="D199" s="50">
        <v>3</v>
      </c>
      <c r="E199" s="50"/>
      <c r="F199" s="50">
        <v>3</v>
      </c>
      <c r="G199" s="50"/>
    </row>
    <row r="200" spans="1:22" x14ac:dyDescent="0.4">
      <c r="A200" s="49" t="s">
        <v>10</v>
      </c>
      <c r="B200" s="50" t="s">
        <v>43</v>
      </c>
      <c r="C200" s="51" t="s">
        <v>63</v>
      </c>
      <c r="D200" s="50">
        <v>15</v>
      </c>
      <c r="E200" s="50">
        <v>3</v>
      </c>
      <c r="F200" s="50">
        <v>12</v>
      </c>
      <c r="G200" s="50"/>
    </row>
    <row r="201" spans="1:22" x14ac:dyDescent="0.4">
      <c r="A201" s="49" t="s">
        <v>11</v>
      </c>
      <c r="B201" s="50" t="s">
        <v>43</v>
      </c>
      <c r="C201" s="51" t="s">
        <v>63</v>
      </c>
      <c r="D201" s="50">
        <v>9</v>
      </c>
      <c r="E201" s="50">
        <v>1</v>
      </c>
      <c r="F201" s="50">
        <v>8</v>
      </c>
      <c r="G201" s="50"/>
    </row>
    <row r="202" spans="1:22" x14ac:dyDescent="0.4">
      <c r="A202" s="49" t="s">
        <v>12</v>
      </c>
      <c r="B202" s="50" t="s">
        <v>43</v>
      </c>
      <c r="C202" s="51" t="s">
        <v>63</v>
      </c>
      <c r="D202" s="50">
        <v>87</v>
      </c>
      <c r="E202" s="50">
        <v>15</v>
      </c>
      <c r="F202" s="50">
        <v>72</v>
      </c>
      <c r="G202" s="50"/>
    </row>
    <row r="203" spans="1:22" x14ac:dyDescent="0.4">
      <c r="A203" s="49" t="s">
        <v>52</v>
      </c>
      <c r="B203" s="50" t="s">
        <v>43</v>
      </c>
      <c r="C203" s="51" t="s">
        <v>63</v>
      </c>
      <c r="D203" s="50">
        <v>15</v>
      </c>
      <c r="E203" s="50">
        <v>2</v>
      </c>
      <c r="F203" s="50">
        <v>13</v>
      </c>
      <c r="G203" s="50"/>
    </row>
    <row r="204" spans="1:22" x14ac:dyDescent="0.4">
      <c r="A204" s="49" t="s">
        <v>14</v>
      </c>
      <c r="B204" s="50" t="s">
        <v>43</v>
      </c>
      <c r="C204" s="51" t="s">
        <v>63</v>
      </c>
      <c r="D204" s="50">
        <v>2</v>
      </c>
      <c r="E204" s="50"/>
      <c r="F204" s="50">
        <v>2</v>
      </c>
      <c r="G204" s="50"/>
      <c r="R204"/>
      <c r="S204"/>
    </row>
    <row r="205" spans="1:22" x14ac:dyDescent="0.4">
      <c r="A205" s="49" t="s">
        <v>15</v>
      </c>
      <c r="B205" s="50" t="s">
        <v>43</v>
      </c>
      <c r="C205" s="51" t="s">
        <v>63</v>
      </c>
      <c r="D205" s="50">
        <v>10</v>
      </c>
      <c r="E205" s="50">
        <v>1</v>
      </c>
      <c r="F205" s="50">
        <v>9</v>
      </c>
      <c r="G205" s="50"/>
    </row>
    <row r="206" spans="1:22" x14ac:dyDescent="0.4">
      <c r="A206" s="49" t="s">
        <v>16</v>
      </c>
      <c r="B206" s="50" t="s">
        <v>43</v>
      </c>
      <c r="C206" s="51" t="s">
        <v>63</v>
      </c>
      <c r="D206" s="50">
        <v>33</v>
      </c>
      <c r="E206" s="50">
        <v>7</v>
      </c>
      <c r="F206" s="50">
        <v>26</v>
      </c>
      <c r="G206" s="50"/>
      <c r="K206"/>
      <c r="L206"/>
      <c r="M206"/>
      <c r="N206"/>
      <c r="O206"/>
      <c r="R206"/>
      <c r="S206"/>
      <c r="T206"/>
      <c r="U206"/>
      <c r="V206"/>
    </row>
    <row r="207" spans="1:22" x14ac:dyDescent="0.4">
      <c r="A207" s="49" t="s">
        <v>17</v>
      </c>
      <c r="B207" s="50" t="s">
        <v>43</v>
      </c>
      <c r="C207" s="51" t="s">
        <v>63</v>
      </c>
      <c r="D207" s="50">
        <v>9</v>
      </c>
      <c r="E207" s="50">
        <v>2</v>
      </c>
      <c r="F207" s="50">
        <v>7</v>
      </c>
      <c r="G207" s="50"/>
      <c r="K207"/>
      <c r="L207"/>
      <c r="M207"/>
      <c r="N207"/>
      <c r="O207"/>
      <c r="R207"/>
      <c r="S207"/>
      <c r="T207"/>
      <c r="U207"/>
      <c r="V207"/>
    </row>
    <row r="208" spans="1:22" x14ac:dyDescent="0.4">
      <c r="A208" s="49" t="s">
        <v>18</v>
      </c>
      <c r="B208" s="50" t="s">
        <v>43</v>
      </c>
      <c r="C208" s="51" t="s">
        <v>63</v>
      </c>
      <c r="D208" s="50">
        <v>16</v>
      </c>
      <c r="E208" s="50">
        <v>3</v>
      </c>
      <c r="F208" s="50">
        <v>13</v>
      </c>
      <c r="G208" s="50"/>
      <c r="K208"/>
      <c r="L208"/>
      <c r="M208"/>
      <c r="N208"/>
      <c r="O208"/>
      <c r="R208"/>
      <c r="S208"/>
      <c r="T208"/>
      <c r="U208"/>
      <c r="V208"/>
    </row>
    <row r="209" spans="1:22" x14ac:dyDescent="0.4">
      <c r="A209" s="49" t="s">
        <v>19</v>
      </c>
      <c r="B209" s="50" t="s">
        <v>43</v>
      </c>
      <c r="C209" s="51" t="s">
        <v>63</v>
      </c>
      <c r="D209" s="50">
        <v>34</v>
      </c>
      <c r="E209" s="50">
        <v>3</v>
      </c>
      <c r="F209" s="50">
        <v>31</v>
      </c>
      <c r="G209" s="50"/>
      <c r="K209"/>
      <c r="L209"/>
      <c r="M209"/>
      <c r="N209"/>
      <c r="O209"/>
      <c r="R209"/>
      <c r="S209"/>
      <c r="T209"/>
      <c r="U209"/>
      <c r="V209"/>
    </row>
    <row r="210" spans="1:22" x14ac:dyDescent="0.4">
      <c r="A210" s="49" t="s">
        <v>53</v>
      </c>
      <c r="B210" s="50" t="s">
        <v>43</v>
      </c>
      <c r="C210" s="51" t="s">
        <v>63</v>
      </c>
      <c r="D210" s="50">
        <v>105</v>
      </c>
      <c r="E210" s="50">
        <v>18</v>
      </c>
      <c r="F210" s="50">
        <v>87</v>
      </c>
      <c r="G210" s="50"/>
      <c r="K210"/>
      <c r="L210"/>
      <c r="M210"/>
      <c r="N210"/>
      <c r="O210"/>
      <c r="R210"/>
      <c r="S210"/>
      <c r="T210"/>
      <c r="U210"/>
      <c r="V210"/>
    </row>
    <row r="211" spans="1:22" x14ac:dyDescent="0.4">
      <c r="A211" s="49" t="s">
        <v>21</v>
      </c>
      <c r="B211" s="50" t="s">
        <v>43</v>
      </c>
      <c r="C211" s="51" t="s">
        <v>63</v>
      </c>
      <c r="D211" s="50">
        <v>17</v>
      </c>
      <c r="E211" s="50">
        <v>6</v>
      </c>
      <c r="F211" s="50">
        <v>11</v>
      </c>
      <c r="G211" s="50"/>
      <c r="K211"/>
      <c r="L211"/>
      <c r="M211"/>
      <c r="N211"/>
      <c r="O211"/>
      <c r="R211"/>
      <c r="S211"/>
      <c r="T211"/>
      <c r="U211"/>
      <c r="V211"/>
    </row>
    <row r="212" spans="1:22" x14ac:dyDescent="0.4">
      <c r="A212" s="49" t="s">
        <v>22</v>
      </c>
      <c r="B212" s="50" t="s">
        <v>43</v>
      </c>
      <c r="C212" s="51" t="s">
        <v>63</v>
      </c>
      <c r="D212" s="50">
        <v>27</v>
      </c>
      <c r="E212" s="50">
        <v>2</v>
      </c>
      <c r="F212" s="50">
        <v>25</v>
      </c>
      <c r="G212" s="50"/>
      <c r="K212"/>
      <c r="L212"/>
      <c r="M212"/>
      <c r="N212"/>
      <c r="O212"/>
      <c r="R212"/>
      <c r="S212"/>
      <c r="T212"/>
      <c r="U212"/>
      <c r="V212"/>
    </row>
    <row r="213" spans="1:22" x14ac:dyDescent="0.4">
      <c r="A213" s="49" t="s">
        <v>23</v>
      </c>
      <c r="B213" s="50" t="s">
        <v>43</v>
      </c>
      <c r="C213" s="51" t="s">
        <v>63</v>
      </c>
      <c r="D213" s="50">
        <v>3</v>
      </c>
      <c r="E213" s="50"/>
      <c r="F213" s="50">
        <v>3</v>
      </c>
      <c r="G213" s="50"/>
      <c r="K213"/>
      <c r="L213"/>
      <c r="M213"/>
      <c r="N213"/>
      <c r="O213"/>
      <c r="R213"/>
      <c r="S213"/>
      <c r="T213"/>
      <c r="U213"/>
      <c r="V213"/>
    </row>
    <row r="214" spans="1:22" x14ac:dyDescent="0.4">
      <c r="A214" s="49" t="s">
        <v>54</v>
      </c>
      <c r="B214" s="50" t="s">
        <v>43</v>
      </c>
      <c r="C214" s="51" t="s">
        <v>63</v>
      </c>
      <c r="D214" s="50">
        <v>21</v>
      </c>
      <c r="E214" s="50">
        <v>3</v>
      </c>
      <c r="F214" s="50">
        <v>18</v>
      </c>
      <c r="G214" s="50"/>
      <c r="K214"/>
      <c r="L214"/>
      <c r="M214"/>
      <c r="N214"/>
      <c r="O214"/>
      <c r="R214"/>
      <c r="S214"/>
      <c r="T214"/>
      <c r="U214"/>
      <c r="V214"/>
    </row>
    <row r="215" spans="1:22" x14ac:dyDescent="0.4">
      <c r="A215" s="49" t="s">
        <v>25</v>
      </c>
      <c r="B215" s="50" t="s">
        <v>43</v>
      </c>
      <c r="C215" s="51" t="s">
        <v>63</v>
      </c>
      <c r="D215" s="50">
        <v>6</v>
      </c>
      <c r="E215" s="50">
        <v>1</v>
      </c>
      <c r="F215" s="50">
        <v>5</v>
      </c>
      <c r="G215" s="50"/>
      <c r="K215"/>
      <c r="L215"/>
      <c r="M215"/>
      <c r="N215"/>
      <c r="O215"/>
      <c r="R215"/>
      <c r="S215"/>
      <c r="T215"/>
      <c r="U215"/>
      <c r="V215"/>
    </row>
    <row r="216" spans="1:22" x14ac:dyDescent="0.4">
      <c r="A216" s="49" t="s">
        <v>26</v>
      </c>
      <c r="B216" s="50" t="s">
        <v>43</v>
      </c>
      <c r="C216" s="51" t="s">
        <v>63</v>
      </c>
      <c r="D216" s="50">
        <v>21</v>
      </c>
      <c r="E216" s="50">
        <v>4</v>
      </c>
      <c r="F216" s="50">
        <v>17</v>
      </c>
      <c r="G216" s="50"/>
      <c r="K216"/>
      <c r="L216"/>
      <c r="M216"/>
      <c r="N216"/>
      <c r="O216"/>
      <c r="R216"/>
      <c r="S216"/>
      <c r="T216"/>
      <c r="U216"/>
      <c r="V216"/>
    </row>
    <row r="217" spans="1:22" x14ac:dyDescent="0.4">
      <c r="A217" s="49" t="s">
        <v>27</v>
      </c>
      <c r="B217" s="50" t="s">
        <v>43</v>
      </c>
      <c r="C217" s="51" t="s">
        <v>63</v>
      </c>
      <c r="D217" s="50">
        <v>10</v>
      </c>
      <c r="E217" s="50">
        <v>3</v>
      </c>
      <c r="F217" s="50">
        <v>7</v>
      </c>
      <c r="G217" s="50"/>
      <c r="K217"/>
      <c r="L217"/>
      <c r="M217"/>
      <c r="N217"/>
      <c r="O217"/>
      <c r="R217"/>
      <c r="S217"/>
      <c r="T217"/>
      <c r="U217"/>
      <c r="V217"/>
    </row>
    <row r="218" spans="1:22" x14ac:dyDescent="0.4">
      <c r="A218" s="49" t="s">
        <v>28</v>
      </c>
      <c r="B218" s="50" t="s">
        <v>43</v>
      </c>
      <c r="C218" s="51" t="s">
        <v>63</v>
      </c>
      <c r="D218" s="50">
        <v>7</v>
      </c>
      <c r="E218" s="50">
        <v>1</v>
      </c>
      <c r="F218" s="50">
        <v>6</v>
      </c>
      <c r="G218" s="50"/>
      <c r="K218"/>
      <c r="L218"/>
      <c r="M218"/>
      <c r="N218"/>
      <c r="O218"/>
      <c r="R218"/>
      <c r="S218"/>
      <c r="T218"/>
      <c r="U218"/>
      <c r="V218"/>
    </row>
    <row r="219" spans="1:22" x14ac:dyDescent="0.4">
      <c r="A219" s="49" t="s">
        <v>29</v>
      </c>
      <c r="B219" s="50" t="s">
        <v>43</v>
      </c>
      <c r="C219" s="51" t="s">
        <v>63</v>
      </c>
      <c r="D219" s="50">
        <v>9</v>
      </c>
      <c r="E219" s="50">
        <v>1</v>
      </c>
      <c r="F219" s="50">
        <v>8</v>
      </c>
      <c r="G219" s="50"/>
      <c r="K219"/>
      <c r="L219"/>
      <c r="M219"/>
      <c r="N219"/>
      <c r="O219"/>
      <c r="R219"/>
      <c r="S219"/>
      <c r="T219"/>
      <c r="U219"/>
      <c r="V219"/>
    </row>
    <row r="220" spans="1:22" x14ac:dyDescent="0.4">
      <c r="A220" s="49" t="s">
        <v>30</v>
      </c>
      <c r="B220" s="50" t="s">
        <v>43</v>
      </c>
      <c r="C220" s="51" t="s">
        <v>63</v>
      </c>
      <c r="D220" s="50">
        <v>12</v>
      </c>
      <c r="E220" s="50">
        <v>3</v>
      </c>
      <c r="F220" s="50">
        <v>9</v>
      </c>
      <c r="G220" s="50"/>
      <c r="K220"/>
      <c r="L220"/>
      <c r="M220"/>
      <c r="R220"/>
      <c r="S220"/>
      <c r="T220"/>
      <c r="U220"/>
      <c r="V220"/>
    </row>
    <row r="221" spans="1:22" x14ac:dyDescent="0.4">
      <c r="A221" s="49" t="s">
        <v>31</v>
      </c>
      <c r="B221" s="50" t="s">
        <v>43</v>
      </c>
      <c r="C221" s="51" t="s">
        <v>63</v>
      </c>
      <c r="D221" s="50">
        <v>10</v>
      </c>
      <c r="E221" s="50"/>
      <c r="F221" s="50">
        <v>10</v>
      </c>
      <c r="G221" s="50"/>
      <c r="K221"/>
      <c r="L221"/>
      <c r="M221"/>
      <c r="N221"/>
      <c r="O221"/>
      <c r="R221"/>
      <c r="S221"/>
      <c r="T221"/>
      <c r="U221"/>
      <c r="V221"/>
    </row>
    <row r="222" spans="1:22" x14ac:dyDescent="0.4">
      <c r="A222" s="49" t="s">
        <v>32</v>
      </c>
      <c r="B222" s="50" t="s">
        <v>43</v>
      </c>
      <c r="C222" s="51" t="s">
        <v>63</v>
      </c>
      <c r="D222" s="50">
        <v>10</v>
      </c>
      <c r="E222" s="50">
        <v>1</v>
      </c>
      <c r="F222" s="50">
        <v>9</v>
      </c>
      <c r="G222" s="50"/>
      <c r="K222"/>
      <c r="L222"/>
      <c r="M222"/>
      <c r="R222"/>
      <c r="S222"/>
      <c r="T222"/>
      <c r="U222"/>
      <c r="V222"/>
    </row>
    <row r="223" spans="1:22" x14ac:dyDescent="0.4">
      <c r="A223" s="49" t="s">
        <v>33</v>
      </c>
      <c r="B223" s="50" t="s">
        <v>43</v>
      </c>
      <c r="C223" s="51" t="s">
        <v>63</v>
      </c>
      <c r="D223" s="50">
        <v>5</v>
      </c>
      <c r="E223" s="50"/>
      <c r="F223" s="50">
        <v>5</v>
      </c>
      <c r="G223" s="50"/>
      <c r="K223"/>
      <c r="L223"/>
      <c r="M223"/>
      <c r="R223"/>
      <c r="S223"/>
      <c r="T223"/>
      <c r="U223"/>
      <c r="V223"/>
    </row>
    <row r="224" spans="1:22" x14ac:dyDescent="0.4">
      <c r="A224" s="49" t="s">
        <v>34</v>
      </c>
      <c r="B224" s="50" t="s">
        <v>43</v>
      </c>
      <c r="C224" s="51" t="s">
        <v>63</v>
      </c>
      <c r="D224" s="50">
        <v>2</v>
      </c>
      <c r="E224" s="50"/>
      <c r="F224" s="50">
        <v>2</v>
      </c>
      <c r="G224" s="50"/>
      <c r="R224"/>
      <c r="S224"/>
      <c r="T224"/>
      <c r="U224"/>
      <c r="V224"/>
    </row>
    <row r="225" spans="1:22" x14ac:dyDescent="0.4">
      <c r="A225" s="49" t="s">
        <v>35</v>
      </c>
      <c r="B225" s="50" t="s">
        <v>43</v>
      </c>
      <c r="C225" s="51" t="s">
        <v>63</v>
      </c>
      <c r="D225" s="50">
        <v>41</v>
      </c>
      <c r="E225" s="50">
        <v>4</v>
      </c>
      <c r="F225" s="50">
        <v>37</v>
      </c>
      <c r="G225" s="50"/>
      <c r="R225"/>
      <c r="S225"/>
      <c r="T225"/>
      <c r="U225"/>
      <c r="V225"/>
    </row>
    <row r="226" spans="1:22" x14ac:dyDescent="0.4">
      <c r="A226" s="49" t="s">
        <v>36</v>
      </c>
      <c r="B226" s="50" t="s">
        <v>43</v>
      </c>
      <c r="C226" s="51" t="s">
        <v>63</v>
      </c>
      <c r="D226" s="50">
        <v>12</v>
      </c>
      <c r="E226" s="50">
        <v>4</v>
      </c>
      <c r="F226" s="50">
        <v>8</v>
      </c>
      <c r="G226" s="50"/>
      <c r="R226"/>
      <c r="S226"/>
      <c r="T226"/>
      <c r="U226"/>
      <c r="V226"/>
    </row>
    <row r="227" spans="1:22" x14ac:dyDescent="0.4">
      <c r="A227" s="49" t="s">
        <v>37</v>
      </c>
      <c r="B227" s="50" t="s">
        <v>43</v>
      </c>
      <c r="C227" s="51" t="s">
        <v>63</v>
      </c>
      <c r="D227" s="50">
        <v>6</v>
      </c>
      <c r="E227" s="50"/>
      <c r="F227" s="50">
        <v>6</v>
      </c>
      <c r="G227" s="50"/>
      <c r="R227"/>
      <c r="S227"/>
      <c r="T227"/>
      <c r="U227"/>
      <c r="V227"/>
    </row>
    <row r="228" spans="1:22" hidden="1" x14ac:dyDescent="0.4">
      <c r="A228" s="49" t="s">
        <v>5</v>
      </c>
      <c r="B228" s="50" t="s">
        <v>44</v>
      </c>
      <c r="C228" s="51" t="s">
        <v>63</v>
      </c>
      <c r="D228" s="50"/>
      <c r="E228" s="50"/>
      <c r="F228" s="50"/>
      <c r="G228" s="50"/>
      <c r="R228"/>
      <c r="S228"/>
      <c r="T228"/>
      <c r="U228"/>
      <c r="V228"/>
    </row>
    <row r="229" spans="1:22" hidden="1" x14ac:dyDescent="0.4">
      <c r="A229" s="49" t="s">
        <v>51</v>
      </c>
      <c r="B229" s="50" t="s">
        <v>44</v>
      </c>
      <c r="C229" s="51" t="s">
        <v>63</v>
      </c>
      <c r="D229" s="50"/>
      <c r="E229" s="50"/>
      <c r="F229" s="50"/>
      <c r="G229" s="50"/>
      <c r="R229"/>
      <c r="S229"/>
      <c r="T229"/>
      <c r="U229"/>
      <c r="V229"/>
    </row>
    <row r="230" spans="1:22" hidden="1" x14ac:dyDescent="0.4">
      <c r="A230" s="49" t="s">
        <v>8</v>
      </c>
      <c r="B230" s="50" t="s">
        <v>44</v>
      </c>
      <c r="C230" s="51" t="s">
        <v>63</v>
      </c>
      <c r="D230" s="50"/>
      <c r="E230" s="50"/>
      <c r="F230" s="50"/>
      <c r="G230" s="50"/>
      <c r="R230"/>
      <c r="S230"/>
      <c r="T230"/>
      <c r="U230"/>
      <c r="V230"/>
    </row>
    <row r="231" spans="1:22" hidden="1" x14ac:dyDescent="0.4">
      <c r="A231" s="49" t="s">
        <v>9</v>
      </c>
      <c r="B231" s="50" t="s">
        <v>44</v>
      </c>
      <c r="C231" s="51" t="s">
        <v>63</v>
      </c>
      <c r="D231" s="50"/>
      <c r="E231" s="50"/>
      <c r="F231" s="50"/>
      <c r="G231" s="50"/>
      <c r="R231"/>
      <c r="S231"/>
      <c r="T231"/>
      <c r="U231"/>
      <c r="V231"/>
    </row>
    <row r="232" spans="1:22" hidden="1" x14ac:dyDescent="0.4">
      <c r="A232" s="49" t="s">
        <v>10</v>
      </c>
      <c r="B232" s="50" t="s">
        <v>44</v>
      </c>
      <c r="C232" s="51" t="s">
        <v>63</v>
      </c>
      <c r="D232" s="50"/>
      <c r="E232" s="50"/>
      <c r="F232" s="50"/>
      <c r="G232" s="50"/>
      <c r="R232"/>
      <c r="S232"/>
      <c r="T232"/>
      <c r="U232"/>
      <c r="V232"/>
    </row>
    <row r="233" spans="1:22" hidden="1" x14ac:dyDescent="0.4">
      <c r="A233" s="49" t="s">
        <v>11</v>
      </c>
      <c r="B233" s="50" t="s">
        <v>44</v>
      </c>
      <c r="C233" s="51" t="s">
        <v>63</v>
      </c>
      <c r="D233" s="50"/>
      <c r="E233" s="50"/>
      <c r="F233" s="50"/>
      <c r="G233" s="50"/>
      <c r="R233"/>
      <c r="S233"/>
      <c r="T233"/>
      <c r="U233"/>
      <c r="V233"/>
    </row>
    <row r="234" spans="1:22" hidden="1" x14ac:dyDescent="0.4">
      <c r="A234" s="49" t="s">
        <v>12</v>
      </c>
      <c r="B234" s="50" t="s">
        <v>44</v>
      </c>
      <c r="C234" s="51" t="s">
        <v>63</v>
      </c>
      <c r="D234" s="50"/>
      <c r="E234" s="50"/>
      <c r="F234" s="50"/>
      <c r="G234" s="50"/>
      <c r="R234"/>
      <c r="S234"/>
      <c r="T234"/>
      <c r="U234"/>
      <c r="V234"/>
    </row>
    <row r="235" spans="1:22" hidden="1" x14ac:dyDescent="0.4">
      <c r="A235" s="49" t="s">
        <v>52</v>
      </c>
      <c r="B235" s="50" t="s">
        <v>44</v>
      </c>
      <c r="C235" s="51" t="s">
        <v>63</v>
      </c>
      <c r="D235" s="50"/>
      <c r="E235" s="50"/>
      <c r="F235" s="50"/>
      <c r="G235" s="50"/>
      <c r="R235"/>
      <c r="S235"/>
      <c r="T235"/>
      <c r="U235"/>
      <c r="V235"/>
    </row>
    <row r="236" spans="1:22" hidden="1" x14ac:dyDescent="0.4">
      <c r="A236" s="49" t="s">
        <v>14</v>
      </c>
      <c r="B236" s="50" t="s">
        <v>44</v>
      </c>
      <c r="C236" s="51" t="s">
        <v>63</v>
      </c>
      <c r="D236" s="50"/>
      <c r="E236" s="50"/>
      <c r="F236" s="50"/>
      <c r="G236" s="50"/>
      <c r="R236"/>
      <c r="S236"/>
      <c r="T236"/>
      <c r="U236"/>
      <c r="V236"/>
    </row>
    <row r="237" spans="1:22" hidden="1" x14ac:dyDescent="0.4">
      <c r="A237" s="49" t="s">
        <v>15</v>
      </c>
      <c r="B237" s="50" t="s">
        <v>44</v>
      </c>
      <c r="C237" s="51" t="s">
        <v>63</v>
      </c>
      <c r="D237" s="50"/>
      <c r="E237" s="50"/>
      <c r="F237" s="50"/>
      <c r="G237" s="50"/>
      <c r="R237"/>
      <c r="S237"/>
      <c r="T237"/>
      <c r="U237"/>
      <c r="V237"/>
    </row>
    <row r="238" spans="1:22" hidden="1" x14ac:dyDescent="0.4">
      <c r="A238" s="49" t="s">
        <v>16</v>
      </c>
      <c r="B238" s="50" t="s">
        <v>44</v>
      </c>
      <c r="C238" s="51" t="s">
        <v>63</v>
      </c>
      <c r="D238" s="50"/>
      <c r="E238" s="50"/>
      <c r="F238" s="50"/>
      <c r="G238" s="50"/>
      <c r="R238"/>
      <c r="S238"/>
      <c r="T238"/>
      <c r="U238"/>
      <c r="V238"/>
    </row>
    <row r="239" spans="1:22" hidden="1" x14ac:dyDescent="0.4">
      <c r="A239" s="49" t="s">
        <v>17</v>
      </c>
      <c r="B239" s="50" t="s">
        <v>44</v>
      </c>
      <c r="C239" s="51" t="s">
        <v>63</v>
      </c>
      <c r="D239" s="50"/>
      <c r="E239" s="50"/>
      <c r="F239" s="50"/>
      <c r="G239" s="50"/>
      <c r="R239"/>
      <c r="S239"/>
      <c r="T239"/>
      <c r="U239"/>
      <c r="V239"/>
    </row>
    <row r="240" spans="1:22" hidden="1" x14ac:dyDescent="0.4">
      <c r="A240" s="49" t="s">
        <v>18</v>
      </c>
      <c r="B240" s="50" t="s">
        <v>44</v>
      </c>
      <c r="C240" s="51" t="s">
        <v>63</v>
      </c>
      <c r="D240" s="50"/>
      <c r="E240" s="50"/>
      <c r="F240" s="50"/>
      <c r="G240" s="50"/>
      <c r="R240"/>
      <c r="S240"/>
      <c r="T240"/>
      <c r="U240"/>
      <c r="V240"/>
    </row>
    <row r="241" spans="1:22" hidden="1" x14ac:dyDescent="0.4">
      <c r="A241" s="49" t="s">
        <v>19</v>
      </c>
      <c r="B241" s="50" t="s">
        <v>44</v>
      </c>
      <c r="C241" s="51" t="s">
        <v>63</v>
      </c>
      <c r="D241" s="50"/>
      <c r="E241" s="50"/>
      <c r="F241" s="50"/>
      <c r="G241" s="50"/>
      <c r="R241"/>
      <c r="S241"/>
      <c r="T241"/>
      <c r="U241"/>
      <c r="V241"/>
    </row>
    <row r="242" spans="1:22" hidden="1" x14ac:dyDescent="0.4">
      <c r="A242" s="49" t="s">
        <v>53</v>
      </c>
      <c r="B242" s="50" t="s">
        <v>44</v>
      </c>
      <c r="C242" s="51" t="s">
        <v>63</v>
      </c>
      <c r="D242" s="50"/>
      <c r="E242" s="50"/>
      <c r="F242" s="50"/>
      <c r="G242" s="50"/>
      <c r="R242"/>
      <c r="S242"/>
      <c r="T242"/>
      <c r="U242"/>
      <c r="V242"/>
    </row>
    <row r="243" spans="1:22" hidden="1" x14ac:dyDescent="0.4">
      <c r="A243" s="49" t="s">
        <v>21</v>
      </c>
      <c r="B243" s="50" t="s">
        <v>44</v>
      </c>
      <c r="C243" s="51" t="s">
        <v>63</v>
      </c>
      <c r="D243" s="50"/>
      <c r="E243" s="50"/>
      <c r="F243" s="50"/>
      <c r="G243" s="50"/>
      <c r="R243"/>
      <c r="S243"/>
      <c r="T243"/>
      <c r="U243"/>
      <c r="V243"/>
    </row>
    <row r="244" spans="1:22" hidden="1" x14ac:dyDescent="0.4">
      <c r="A244" s="49" t="s">
        <v>22</v>
      </c>
      <c r="B244" s="50" t="s">
        <v>44</v>
      </c>
      <c r="C244" s="51" t="s">
        <v>63</v>
      </c>
      <c r="D244" s="50"/>
      <c r="E244" s="50"/>
      <c r="F244" s="50"/>
      <c r="G244" s="50"/>
    </row>
    <row r="245" spans="1:22" hidden="1" x14ac:dyDescent="0.4">
      <c r="A245" s="49" t="s">
        <v>23</v>
      </c>
      <c r="B245" s="50" t="s">
        <v>44</v>
      </c>
      <c r="C245" s="51" t="s">
        <v>63</v>
      </c>
      <c r="D245" s="50"/>
      <c r="E245" s="50"/>
      <c r="F245" s="50"/>
      <c r="G245" s="50"/>
    </row>
    <row r="246" spans="1:22" hidden="1" x14ac:dyDescent="0.4">
      <c r="A246" s="49" t="s">
        <v>54</v>
      </c>
      <c r="B246" s="50" t="s">
        <v>44</v>
      </c>
      <c r="C246" s="51" t="s">
        <v>63</v>
      </c>
      <c r="D246" s="50"/>
      <c r="E246" s="50"/>
      <c r="F246" s="50"/>
      <c r="G246" s="50"/>
    </row>
    <row r="247" spans="1:22" hidden="1" x14ac:dyDescent="0.4">
      <c r="A247" s="49" t="s">
        <v>25</v>
      </c>
      <c r="B247" s="50" t="s">
        <v>44</v>
      </c>
      <c r="C247" s="51" t="s">
        <v>63</v>
      </c>
      <c r="D247" s="50"/>
      <c r="E247" s="50"/>
      <c r="F247" s="50"/>
      <c r="G247" s="50"/>
    </row>
    <row r="248" spans="1:22" hidden="1" x14ac:dyDescent="0.4">
      <c r="A248" s="49" t="s">
        <v>26</v>
      </c>
      <c r="B248" s="50" t="s">
        <v>44</v>
      </c>
      <c r="C248" s="51" t="s">
        <v>63</v>
      </c>
      <c r="D248" s="50"/>
      <c r="E248" s="50"/>
      <c r="F248" s="50"/>
      <c r="G248" s="50"/>
    </row>
    <row r="249" spans="1:22" hidden="1" x14ac:dyDescent="0.4">
      <c r="A249" s="49" t="s">
        <v>27</v>
      </c>
      <c r="B249" s="50" t="s">
        <v>44</v>
      </c>
      <c r="C249" s="51" t="s">
        <v>63</v>
      </c>
      <c r="D249" s="50"/>
      <c r="E249" s="50"/>
      <c r="F249" s="50"/>
      <c r="G249" s="50"/>
    </row>
    <row r="250" spans="1:22" hidden="1" x14ac:dyDescent="0.4">
      <c r="A250" s="49" t="s">
        <v>28</v>
      </c>
      <c r="B250" s="50" t="s">
        <v>44</v>
      </c>
      <c r="C250" s="51" t="s">
        <v>63</v>
      </c>
      <c r="D250" s="50"/>
      <c r="E250" s="50"/>
      <c r="F250" s="50"/>
      <c r="G250" s="50"/>
    </row>
    <row r="251" spans="1:22" hidden="1" x14ac:dyDescent="0.4">
      <c r="A251" s="49" t="s">
        <v>29</v>
      </c>
      <c r="B251" s="50" t="s">
        <v>44</v>
      </c>
      <c r="C251" s="51" t="s">
        <v>63</v>
      </c>
      <c r="D251" s="50"/>
      <c r="E251" s="50"/>
      <c r="F251" s="50"/>
      <c r="G251" s="50"/>
    </row>
    <row r="252" spans="1:22" hidden="1" x14ac:dyDescent="0.4">
      <c r="A252" s="49" t="s">
        <v>30</v>
      </c>
      <c r="B252" s="50" t="s">
        <v>44</v>
      </c>
      <c r="C252" s="51" t="s">
        <v>63</v>
      </c>
      <c r="D252" s="50"/>
      <c r="E252" s="50"/>
      <c r="F252" s="50"/>
      <c r="G252" s="50"/>
    </row>
    <row r="253" spans="1:22" hidden="1" x14ac:dyDescent="0.4">
      <c r="A253" s="49" t="s">
        <v>31</v>
      </c>
      <c r="B253" s="50" t="s">
        <v>44</v>
      </c>
      <c r="C253" s="51" t="s">
        <v>63</v>
      </c>
      <c r="D253" s="50"/>
      <c r="E253" s="50"/>
      <c r="F253" s="50"/>
      <c r="G253" s="50"/>
    </row>
    <row r="254" spans="1:22" hidden="1" x14ac:dyDescent="0.4">
      <c r="A254" s="49" t="s">
        <v>32</v>
      </c>
      <c r="B254" s="50" t="s">
        <v>44</v>
      </c>
      <c r="C254" s="51" t="s">
        <v>63</v>
      </c>
      <c r="D254" s="50"/>
      <c r="E254" s="50"/>
      <c r="F254" s="50"/>
      <c r="G254" s="50"/>
    </row>
    <row r="255" spans="1:22" hidden="1" x14ac:dyDescent="0.4">
      <c r="A255" s="49" t="s">
        <v>33</v>
      </c>
      <c r="B255" s="50" t="s">
        <v>44</v>
      </c>
      <c r="C255" s="51" t="s">
        <v>63</v>
      </c>
      <c r="D255" s="50"/>
      <c r="E255" s="50"/>
      <c r="F255" s="50"/>
      <c r="G255" s="50"/>
    </row>
    <row r="256" spans="1:22" hidden="1" x14ac:dyDescent="0.4">
      <c r="A256" s="49" t="s">
        <v>34</v>
      </c>
      <c r="B256" s="50" t="s">
        <v>44</v>
      </c>
      <c r="C256" s="51" t="s">
        <v>63</v>
      </c>
      <c r="D256" s="50"/>
      <c r="E256" s="50"/>
      <c r="F256" s="50"/>
      <c r="G256" s="50"/>
    </row>
    <row r="257" spans="1:7" hidden="1" x14ac:dyDescent="0.4">
      <c r="A257" s="49" t="s">
        <v>35</v>
      </c>
      <c r="B257" s="50" t="s">
        <v>44</v>
      </c>
      <c r="C257" s="51" t="s">
        <v>63</v>
      </c>
      <c r="D257" s="50"/>
      <c r="E257" s="50"/>
      <c r="F257" s="50"/>
      <c r="G257" s="50"/>
    </row>
    <row r="258" spans="1:7" hidden="1" x14ac:dyDescent="0.4">
      <c r="A258" s="49" t="s">
        <v>36</v>
      </c>
      <c r="B258" s="50" t="s">
        <v>44</v>
      </c>
      <c r="C258" s="51" t="s">
        <v>63</v>
      </c>
      <c r="D258" s="50"/>
      <c r="E258" s="50"/>
      <c r="F258" s="50"/>
      <c r="G258" s="50"/>
    </row>
    <row r="259" spans="1:7" hidden="1" x14ac:dyDescent="0.4">
      <c r="A259" s="49" t="s">
        <v>37</v>
      </c>
      <c r="B259" s="50" t="s">
        <v>44</v>
      </c>
      <c r="C259" s="51" t="s">
        <v>63</v>
      </c>
      <c r="D259" s="50"/>
      <c r="E259" s="50"/>
      <c r="F259" s="50"/>
      <c r="G259" s="50"/>
    </row>
    <row r="260" spans="1:7" hidden="1" x14ac:dyDescent="0.4">
      <c r="A260" s="49" t="s">
        <v>5</v>
      </c>
      <c r="B260" s="50" t="s">
        <v>45</v>
      </c>
      <c r="C260" s="51" t="s">
        <v>63</v>
      </c>
      <c r="D260" s="50"/>
      <c r="E260" s="50"/>
      <c r="F260" s="50"/>
      <c r="G260" s="50"/>
    </row>
    <row r="261" spans="1:7" hidden="1" x14ac:dyDescent="0.4">
      <c r="A261" s="49" t="s">
        <v>51</v>
      </c>
      <c r="B261" s="50" t="s">
        <v>45</v>
      </c>
      <c r="C261" s="51" t="s">
        <v>63</v>
      </c>
      <c r="D261" s="50"/>
      <c r="E261" s="50"/>
      <c r="F261" s="50"/>
      <c r="G261" s="50"/>
    </row>
    <row r="262" spans="1:7" hidden="1" x14ac:dyDescent="0.4">
      <c r="A262" s="49" t="s">
        <v>8</v>
      </c>
      <c r="B262" s="50" t="s">
        <v>45</v>
      </c>
      <c r="C262" s="51" t="s">
        <v>63</v>
      </c>
      <c r="D262" s="50"/>
      <c r="E262" s="50"/>
      <c r="F262" s="50"/>
      <c r="G262" s="50"/>
    </row>
    <row r="263" spans="1:7" hidden="1" x14ac:dyDescent="0.4">
      <c r="A263" s="49" t="s">
        <v>9</v>
      </c>
      <c r="B263" s="50" t="s">
        <v>45</v>
      </c>
      <c r="C263" s="51" t="s">
        <v>63</v>
      </c>
      <c r="D263" s="50"/>
      <c r="E263" s="50"/>
      <c r="F263" s="50"/>
      <c r="G263" s="50"/>
    </row>
    <row r="264" spans="1:7" hidden="1" x14ac:dyDescent="0.4">
      <c r="A264" s="49" t="s">
        <v>10</v>
      </c>
      <c r="B264" s="50" t="s">
        <v>45</v>
      </c>
      <c r="C264" s="51" t="s">
        <v>63</v>
      </c>
      <c r="D264" s="50"/>
      <c r="E264" s="50"/>
      <c r="F264" s="50"/>
      <c r="G264" s="50"/>
    </row>
    <row r="265" spans="1:7" hidden="1" x14ac:dyDescent="0.4">
      <c r="A265" s="49" t="s">
        <v>11</v>
      </c>
      <c r="B265" s="50" t="s">
        <v>45</v>
      </c>
      <c r="C265" s="51" t="s">
        <v>63</v>
      </c>
      <c r="D265" s="50"/>
      <c r="E265" s="50"/>
      <c r="F265" s="50"/>
      <c r="G265" s="50"/>
    </row>
    <row r="266" spans="1:7" hidden="1" x14ac:dyDescent="0.4">
      <c r="A266" s="49" t="s">
        <v>12</v>
      </c>
      <c r="B266" s="50" t="s">
        <v>45</v>
      </c>
      <c r="C266" s="51" t="s">
        <v>63</v>
      </c>
      <c r="D266" s="50"/>
      <c r="E266" s="50"/>
      <c r="F266" s="50"/>
      <c r="G266" s="50"/>
    </row>
    <row r="267" spans="1:7" hidden="1" x14ac:dyDescent="0.4">
      <c r="A267" s="49" t="s">
        <v>52</v>
      </c>
      <c r="B267" s="50" t="s">
        <v>45</v>
      </c>
      <c r="C267" s="51" t="s">
        <v>63</v>
      </c>
      <c r="D267" s="50"/>
      <c r="E267" s="50"/>
      <c r="F267" s="50"/>
      <c r="G267" s="50"/>
    </row>
    <row r="268" spans="1:7" hidden="1" x14ac:dyDescent="0.4">
      <c r="A268" s="49" t="s">
        <v>14</v>
      </c>
      <c r="B268" s="50" t="s">
        <v>45</v>
      </c>
      <c r="C268" s="51" t="s">
        <v>63</v>
      </c>
      <c r="D268" s="50"/>
      <c r="E268" s="50"/>
      <c r="F268" s="50"/>
      <c r="G268" s="50"/>
    </row>
    <row r="269" spans="1:7" hidden="1" x14ac:dyDescent="0.4">
      <c r="A269" s="49" t="s">
        <v>15</v>
      </c>
      <c r="B269" s="50" t="s">
        <v>45</v>
      </c>
      <c r="C269" s="51" t="s">
        <v>63</v>
      </c>
      <c r="D269" s="50"/>
      <c r="E269" s="50"/>
      <c r="F269" s="50"/>
      <c r="G269" s="50"/>
    </row>
    <row r="270" spans="1:7" hidden="1" x14ac:dyDescent="0.4">
      <c r="A270" s="49" t="s">
        <v>16</v>
      </c>
      <c r="B270" s="50" t="s">
        <v>45</v>
      </c>
      <c r="C270" s="51" t="s">
        <v>63</v>
      </c>
      <c r="D270" s="50"/>
      <c r="E270" s="50"/>
      <c r="F270" s="50"/>
      <c r="G270" s="50"/>
    </row>
    <row r="271" spans="1:7" hidden="1" x14ac:dyDescent="0.4">
      <c r="A271" s="49" t="s">
        <v>17</v>
      </c>
      <c r="B271" s="50" t="s">
        <v>45</v>
      </c>
      <c r="C271" s="51" t="s">
        <v>63</v>
      </c>
      <c r="D271" s="50"/>
      <c r="E271" s="50"/>
      <c r="F271" s="50"/>
      <c r="G271" s="50"/>
    </row>
    <row r="272" spans="1:7" hidden="1" x14ac:dyDescent="0.4">
      <c r="A272" s="49" t="s">
        <v>18</v>
      </c>
      <c r="B272" s="50" t="s">
        <v>45</v>
      </c>
      <c r="C272" s="51" t="s">
        <v>63</v>
      </c>
      <c r="D272" s="50"/>
      <c r="E272" s="50"/>
      <c r="F272" s="50"/>
      <c r="G272" s="50"/>
    </row>
    <row r="273" spans="1:7" hidden="1" x14ac:dyDescent="0.4">
      <c r="A273" s="49" t="s">
        <v>19</v>
      </c>
      <c r="B273" s="50" t="s">
        <v>45</v>
      </c>
      <c r="C273" s="51" t="s">
        <v>63</v>
      </c>
      <c r="D273" s="50"/>
      <c r="E273" s="50"/>
      <c r="F273" s="50"/>
      <c r="G273" s="50"/>
    </row>
    <row r="274" spans="1:7" hidden="1" x14ac:dyDescent="0.4">
      <c r="A274" s="49" t="s">
        <v>53</v>
      </c>
      <c r="B274" s="50" t="s">
        <v>45</v>
      </c>
      <c r="C274" s="51" t="s">
        <v>63</v>
      </c>
      <c r="D274" s="50"/>
      <c r="E274" s="50"/>
      <c r="F274" s="50"/>
      <c r="G274" s="50"/>
    </row>
    <row r="275" spans="1:7" hidden="1" x14ac:dyDescent="0.4">
      <c r="A275" s="49" t="s">
        <v>21</v>
      </c>
      <c r="B275" s="50" t="s">
        <v>45</v>
      </c>
      <c r="C275" s="51" t="s">
        <v>63</v>
      </c>
      <c r="D275" s="50"/>
      <c r="E275" s="50"/>
      <c r="F275" s="50"/>
      <c r="G275" s="50"/>
    </row>
    <row r="276" spans="1:7" hidden="1" x14ac:dyDescent="0.4">
      <c r="A276" s="49" t="s">
        <v>22</v>
      </c>
      <c r="B276" s="50" t="s">
        <v>45</v>
      </c>
      <c r="C276" s="51" t="s">
        <v>63</v>
      </c>
      <c r="D276" s="50"/>
      <c r="E276" s="50"/>
      <c r="F276" s="50"/>
      <c r="G276" s="50"/>
    </row>
    <row r="277" spans="1:7" hidden="1" x14ac:dyDescent="0.4">
      <c r="A277" s="49" t="s">
        <v>23</v>
      </c>
      <c r="B277" s="50" t="s">
        <v>45</v>
      </c>
      <c r="C277" s="51" t="s">
        <v>63</v>
      </c>
      <c r="D277" s="50"/>
      <c r="E277" s="50"/>
      <c r="F277" s="50"/>
      <c r="G277" s="50"/>
    </row>
    <row r="278" spans="1:7" hidden="1" x14ac:dyDescent="0.4">
      <c r="A278" s="49" t="s">
        <v>54</v>
      </c>
      <c r="B278" s="50" t="s">
        <v>45</v>
      </c>
      <c r="C278" s="51" t="s">
        <v>63</v>
      </c>
      <c r="D278" s="50"/>
      <c r="E278" s="50"/>
      <c r="F278" s="50"/>
      <c r="G278" s="50"/>
    </row>
    <row r="279" spans="1:7" hidden="1" x14ac:dyDescent="0.4">
      <c r="A279" s="49" t="s">
        <v>25</v>
      </c>
      <c r="B279" s="50" t="s">
        <v>45</v>
      </c>
      <c r="C279" s="51" t="s">
        <v>63</v>
      </c>
      <c r="D279" s="50"/>
      <c r="E279" s="50"/>
      <c r="F279" s="50"/>
      <c r="G279" s="50"/>
    </row>
    <row r="280" spans="1:7" hidden="1" x14ac:dyDescent="0.4">
      <c r="A280" s="49" t="s">
        <v>26</v>
      </c>
      <c r="B280" s="50" t="s">
        <v>45</v>
      </c>
      <c r="C280" s="51" t="s">
        <v>63</v>
      </c>
      <c r="D280" s="50"/>
      <c r="E280" s="50"/>
      <c r="F280" s="50"/>
      <c r="G280" s="50"/>
    </row>
    <row r="281" spans="1:7" hidden="1" x14ac:dyDescent="0.4">
      <c r="A281" s="49" t="s">
        <v>27</v>
      </c>
      <c r="B281" s="50" t="s">
        <v>45</v>
      </c>
      <c r="C281" s="51" t="s">
        <v>63</v>
      </c>
      <c r="D281" s="50"/>
      <c r="E281" s="50"/>
      <c r="F281" s="50"/>
      <c r="G281" s="50"/>
    </row>
    <row r="282" spans="1:7" hidden="1" x14ac:dyDescent="0.4">
      <c r="A282" s="49" t="s">
        <v>28</v>
      </c>
      <c r="B282" s="50" t="s">
        <v>45</v>
      </c>
      <c r="C282" s="51" t="s">
        <v>63</v>
      </c>
      <c r="D282" s="50"/>
      <c r="E282" s="50"/>
      <c r="F282" s="50"/>
      <c r="G282" s="50"/>
    </row>
    <row r="283" spans="1:7" hidden="1" x14ac:dyDescent="0.4">
      <c r="A283" s="49" t="s">
        <v>29</v>
      </c>
      <c r="B283" s="50" t="s">
        <v>45</v>
      </c>
      <c r="C283" s="51" t="s">
        <v>63</v>
      </c>
      <c r="D283" s="50"/>
      <c r="E283" s="50"/>
      <c r="F283" s="50"/>
      <c r="G283" s="50"/>
    </row>
    <row r="284" spans="1:7" hidden="1" x14ac:dyDescent="0.4">
      <c r="A284" s="49" t="s">
        <v>30</v>
      </c>
      <c r="B284" s="50" t="s">
        <v>45</v>
      </c>
      <c r="C284" s="51" t="s">
        <v>63</v>
      </c>
      <c r="D284" s="50"/>
      <c r="E284" s="50"/>
      <c r="F284" s="50"/>
      <c r="G284" s="50"/>
    </row>
    <row r="285" spans="1:7" hidden="1" x14ac:dyDescent="0.4">
      <c r="A285" s="49" t="s">
        <v>31</v>
      </c>
      <c r="B285" s="50" t="s">
        <v>45</v>
      </c>
      <c r="C285" s="51" t="s">
        <v>63</v>
      </c>
      <c r="D285" s="50"/>
      <c r="E285" s="50"/>
      <c r="F285" s="50"/>
      <c r="G285" s="50"/>
    </row>
    <row r="286" spans="1:7" hidden="1" x14ac:dyDescent="0.4">
      <c r="A286" s="49" t="s">
        <v>32</v>
      </c>
      <c r="B286" s="50" t="s">
        <v>45</v>
      </c>
      <c r="C286" s="51" t="s">
        <v>63</v>
      </c>
      <c r="D286" s="50"/>
      <c r="E286" s="50"/>
      <c r="F286" s="50"/>
      <c r="G286" s="50"/>
    </row>
    <row r="287" spans="1:7" hidden="1" x14ac:dyDescent="0.4">
      <c r="A287" s="49" t="s">
        <v>33</v>
      </c>
      <c r="B287" s="50" t="s">
        <v>45</v>
      </c>
      <c r="C287" s="51" t="s">
        <v>63</v>
      </c>
      <c r="D287" s="50"/>
      <c r="E287" s="50"/>
      <c r="F287" s="50"/>
      <c r="G287" s="50"/>
    </row>
    <row r="288" spans="1:7" hidden="1" x14ac:dyDescent="0.4">
      <c r="A288" s="49" t="s">
        <v>34</v>
      </c>
      <c r="B288" s="50" t="s">
        <v>45</v>
      </c>
      <c r="C288" s="51" t="s">
        <v>63</v>
      </c>
      <c r="D288" s="50"/>
      <c r="E288" s="50"/>
      <c r="F288" s="50"/>
      <c r="G288" s="50"/>
    </row>
    <row r="289" spans="1:7" hidden="1" x14ac:dyDescent="0.4">
      <c r="A289" s="49" t="s">
        <v>35</v>
      </c>
      <c r="B289" s="50" t="s">
        <v>45</v>
      </c>
      <c r="C289" s="51" t="s">
        <v>63</v>
      </c>
      <c r="D289" s="50"/>
      <c r="E289" s="50"/>
      <c r="F289" s="50"/>
      <c r="G289" s="50"/>
    </row>
    <row r="290" spans="1:7" hidden="1" x14ac:dyDescent="0.4">
      <c r="A290" s="49" t="s">
        <v>36</v>
      </c>
      <c r="B290" s="50" t="s">
        <v>45</v>
      </c>
      <c r="C290" s="51" t="s">
        <v>63</v>
      </c>
      <c r="D290" s="50"/>
      <c r="E290" s="50"/>
      <c r="F290" s="50"/>
      <c r="G290" s="50"/>
    </row>
    <row r="291" spans="1:7" hidden="1" x14ac:dyDescent="0.4">
      <c r="A291" s="49" t="s">
        <v>37</v>
      </c>
      <c r="B291" s="50" t="s">
        <v>45</v>
      </c>
      <c r="C291" s="51" t="s">
        <v>63</v>
      </c>
      <c r="D291" s="50"/>
      <c r="E291" s="50"/>
      <c r="F291" s="50"/>
      <c r="G291" s="50"/>
    </row>
    <row r="292" spans="1:7" hidden="1" x14ac:dyDescent="0.4">
      <c r="A292" s="49" t="s">
        <v>5</v>
      </c>
      <c r="B292" s="50" t="s">
        <v>46</v>
      </c>
      <c r="C292" s="51" t="s">
        <v>63</v>
      </c>
      <c r="D292" s="50"/>
      <c r="E292" s="50"/>
      <c r="F292" s="50"/>
      <c r="G292" s="50"/>
    </row>
    <row r="293" spans="1:7" hidden="1" x14ac:dyDescent="0.4">
      <c r="A293" s="49" t="s">
        <v>51</v>
      </c>
      <c r="B293" s="50" t="s">
        <v>46</v>
      </c>
      <c r="C293" s="51" t="s">
        <v>63</v>
      </c>
      <c r="D293" s="50"/>
      <c r="E293" s="50"/>
      <c r="F293" s="50"/>
      <c r="G293" s="50"/>
    </row>
    <row r="294" spans="1:7" hidden="1" x14ac:dyDescent="0.4">
      <c r="A294" s="49" t="s">
        <v>8</v>
      </c>
      <c r="B294" s="50" t="s">
        <v>46</v>
      </c>
      <c r="C294" s="51" t="s">
        <v>63</v>
      </c>
      <c r="D294" s="50"/>
      <c r="E294" s="50"/>
      <c r="F294" s="50"/>
      <c r="G294" s="50"/>
    </row>
    <row r="295" spans="1:7" hidden="1" x14ac:dyDescent="0.4">
      <c r="A295" s="49" t="s">
        <v>9</v>
      </c>
      <c r="B295" s="50" t="s">
        <v>46</v>
      </c>
      <c r="C295" s="51" t="s">
        <v>63</v>
      </c>
      <c r="D295" s="50"/>
      <c r="E295" s="50"/>
      <c r="F295" s="50"/>
      <c r="G295" s="50"/>
    </row>
    <row r="296" spans="1:7" hidden="1" x14ac:dyDescent="0.4">
      <c r="A296" s="49" t="s">
        <v>10</v>
      </c>
      <c r="B296" s="50" t="s">
        <v>46</v>
      </c>
      <c r="C296" s="51" t="s">
        <v>63</v>
      </c>
      <c r="D296" s="50"/>
      <c r="E296" s="50"/>
      <c r="F296" s="50"/>
      <c r="G296" s="50"/>
    </row>
    <row r="297" spans="1:7" hidden="1" x14ac:dyDescent="0.4">
      <c r="A297" s="49" t="s">
        <v>11</v>
      </c>
      <c r="B297" s="50" t="s">
        <v>46</v>
      </c>
      <c r="C297" s="51" t="s">
        <v>63</v>
      </c>
      <c r="D297" s="50"/>
      <c r="E297" s="50"/>
      <c r="F297" s="50"/>
      <c r="G297" s="50"/>
    </row>
    <row r="298" spans="1:7" hidden="1" x14ac:dyDescent="0.4">
      <c r="A298" s="49" t="s">
        <v>12</v>
      </c>
      <c r="B298" s="50" t="s">
        <v>46</v>
      </c>
      <c r="C298" s="51" t="s">
        <v>63</v>
      </c>
      <c r="D298" s="50"/>
      <c r="E298" s="50"/>
      <c r="F298" s="50"/>
      <c r="G298" s="50"/>
    </row>
    <row r="299" spans="1:7" hidden="1" x14ac:dyDescent="0.4">
      <c r="A299" s="49" t="s">
        <v>52</v>
      </c>
      <c r="B299" s="50" t="s">
        <v>46</v>
      </c>
      <c r="C299" s="51" t="s">
        <v>63</v>
      </c>
      <c r="D299" s="50"/>
      <c r="E299" s="50"/>
      <c r="F299" s="50"/>
      <c r="G299" s="50"/>
    </row>
    <row r="300" spans="1:7" hidden="1" x14ac:dyDescent="0.4">
      <c r="A300" s="49" t="s">
        <v>14</v>
      </c>
      <c r="B300" s="50" t="s">
        <v>46</v>
      </c>
      <c r="C300" s="51" t="s">
        <v>63</v>
      </c>
      <c r="D300" s="50"/>
      <c r="E300" s="50"/>
      <c r="F300" s="50"/>
      <c r="G300" s="50"/>
    </row>
    <row r="301" spans="1:7" hidden="1" x14ac:dyDescent="0.4">
      <c r="A301" s="49" t="s">
        <v>15</v>
      </c>
      <c r="B301" s="50" t="s">
        <v>46</v>
      </c>
      <c r="C301" s="51" t="s">
        <v>63</v>
      </c>
      <c r="D301" s="50"/>
      <c r="E301" s="50"/>
      <c r="F301" s="50"/>
      <c r="G301" s="50"/>
    </row>
    <row r="302" spans="1:7" hidden="1" x14ac:dyDescent="0.4">
      <c r="A302" s="49" t="s">
        <v>16</v>
      </c>
      <c r="B302" s="50" t="s">
        <v>46</v>
      </c>
      <c r="C302" s="51" t="s">
        <v>63</v>
      </c>
      <c r="D302" s="50"/>
      <c r="E302" s="50"/>
      <c r="F302" s="50"/>
      <c r="G302" s="50"/>
    </row>
    <row r="303" spans="1:7" hidden="1" x14ac:dyDescent="0.4">
      <c r="A303" s="49" t="s">
        <v>17</v>
      </c>
      <c r="B303" s="50" t="s">
        <v>46</v>
      </c>
      <c r="C303" s="51" t="s">
        <v>63</v>
      </c>
      <c r="D303" s="50"/>
      <c r="E303" s="50"/>
      <c r="F303" s="50"/>
      <c r="G303" s="50"/>
    </row>
    <row r="304" spans="1:7" hidden="1" x14ac:dyDescent="0.4">
      <c r="A304" s="49" t="s">
        <v>18</v>
      </c>
      <c r="B304" s="50" t="s">
        <v>46</v>
      </c>
      <c r="C304" s="51" t="s">
        <v>63</v>
      </c>
      <c r="D304" s="50"/>
      <c r="E304" s="50"/>
      <c r="F304" s="50"/>
      <c r="G304" s="50"/>
    </row>
    <row r="305" spans="1:7" hidden="1" x14ac:dyDescent="0.4">
      <c r="A305" s="49" t="s">
        <v>19</v>
      </c>
      <c r="B305" s="50" t="s">
        <v>46</v>
      </c>
      <c r="C305" s="51" t="s">
        <v>63</v>
      </c>
      <c r="D305" s="50"/>
      <c r="E305" s="50"/>
      <c r="F305" s="50"/>
      <c r="G305" s="50"/>
    </row>
    <row r="306" spans="1:7" hidden="1" x14ac:dyDescent="0.4">
      <c r="A306" s="49" t="s">
        <v>53</v>
      </c>
      <c r="B306" s="50" t="s">
        <v>46</v>
      </c>
      <c r="C306" s="51" t="s">
        <v>63</v>
      </c>
      <c r="D306" s="50"/>
      <c r="E306" s="50"/>
      <c r="F306" s="50"/>
      <c r="G306" s="50"/>
    </row>
    <row r="307" spans="1:7" hidden="1" x14ac:dyDescent="0.4">
      <c r="A307" s="49" t="s">
        <v>21</v>
      </c>
      <c r="B307" s="50" t="s">
        <v>46</v>
      </c>
      <c r="C307" s="51" t="s">
        <v>63</v>
      </c>
      <c r="D307" s="50"/>
      <c r="E307" s="50"/>
      <c r="F307" s="50"/>
      <c r="G307" s="50"/>
    </row>
    <row r="308" spans="1:7" hidden="1" x14ac:dyDescent="0.4">
      <c r="A308" s="49" t="s">
        <v>22</v>
      </c>
      <c r="B308" s="50" t="s">
        <v>46</v>
      </c>
      <c r="C308" s="51" t="s">
        <v>63</v>
      </c>
      <c r="D308" s="50"/>
      <c r="E308" s="50"/>
      <c r="F308" s="50"/>
      <c r="G308" s="50"/>
    </row>
    <row r="309" spans="1:7" hidden="1" x14ac:dyDescent="0.4">
      <c r="A309" s="49" t="s">
        <v>23</v>
      </c>
      <c r="B309" s="50" t="s">
        <v>46</v>
      </c>
      <c r="C309" s="51" t="s">
        <v>63</v>
      </c>
      <c r="D309" s="50"/>
      <c r="E309" s="50"/>
      <c r="F309" s="50"/>
      <c r="G309" s="50"/>
    </row>
    <row r="310" spans="1:7" hidden="1" x14ac:dyDescent="0.4">
      <c r="A310" s="49" t="s">
        <v>54</v>
      </c>
      <c r="B310" s="50" t="s">
        <v>46</v>
      </c>
      <c r="C310" s="51" t="s">
        <v>63</v>
      </c>
      <c r="D310" s="50"/>
      <c r="E310" s="50"/>
      <c r="F310" s="50"/>
      <c r="G310" s="50"/>
    </row>
    <row r="311" spans="1:7" hidden="1" x14ac:dyDescent="0.4">
      <c r="A311" s="49" t="s">
        <v>25</v>
      </c>
      <c r="B311" s="50" t="s">
        <v>46</v>
      </c>
      <c r="C311" s="51" t="s">
        <v>63</v>
      </c>
      <c r="D311" s="50"/>
      <c r="E311" s="50"/>
      <c r="F311" s="50"/>
      <c r="G311" s="50"/>
    </row>
    <row r="312" spans="1:7" hidden="1" x14ac:dyDescent="0.4">
      <c r="A312" s="49" t="s">
        <v>26</v>
      </c>
      <c r="B312" s="50" t="s">
        <v>46</v>
      </c>
      <c r="C312" s="51" t="s">
        <v>63</v>
      </c>
      <c r="D312" s="50"/>
      <c r="E312" s="50"/>
      <c r="F312" s="50"/>
      <c r="G312" s="50"/>
    </row>
    <row r="313" spans="1:7" hidden="1" x14ac:dyDescent="0.4">
      <c r="A313" s="49" t="s">
        <v>27</v>
      </c>
      <c r="B313" s="50" t="s">
        <v>46</v>
      </c>
      <c r="C313" s="51" t="s">
        <v>63</v>
      </c>
      <c r="D313" s="50"/>
      <c r="E313" s="50"/>
      <c r="F313" s="50"/>
      <c r="G313" s="50"/>
    </row>
    <row r="314" spans="1:7" hidden="1" x14ac:dyDescent="0.4">
      <c r="A314" s="49" t="s">
        <v>28</v>
      </c>
      <c r="B314" s="50" t="s">
        <v>46</v>
      </c>
      <c r="C314" s="51" t="s">
        <v>63</v>
      </c>
      <c r="D314" s="50"/>
      <c r="E314" s="50"/>
      <c r="F314" s="50"/>
      <c r="G314" s="50"/>
    </row>
    <row r="315" spans="1:7" hidden="1" x14ac:dyDescent="0.4">
      <c r="A315" s="49" t="s">
        <v>29</v>
      </c>
      <c r="B315" s="50" t="s">
        <v>46</v>
      </c>
      <c r="C315" s="51" t="s">
        <v>63</v>
      </c>
      <c r="D315" s="50"/>
      <c r="E315" s="50"/>
      <c r="F315" s="50"/>
      <c r="G315" s="50"/>
    </row>
    <row r="316" spans="1:7" hidden="1" x14ac:dyDescent="0.4">
      <c r="A316" s="49" t="s">
        <v>30</v>
      </c>
      <c r="B316" s="50" t="s">
        <v>46</v>
      </c>
      <c r="C316" s="51" t="s">
        <v>63</v>
      </c>
      <c r="D316" s="50"/>
      <c r="E316" s="50"/>
      <c r="F316" s="50"/>
      <c r="G316" s="50"/>
    </row>
    <row r="317" spans="1:7" hidden="1" x14ac:dyDescent="0.4">
      <c r="A317" s="49" t="s">
        <v>31</v>
      </c>
      <c r="B317" s="50" t="s">
        <v>46</v>
      </c>
      <c r="C317" s="51" t="s">
        <v>63</v>
      </c>
      <c r="D317" s="50"/>
      <c r="E317" s="50"/>
      <c r="F317" s="50"/>
      <c r="G317" s="50"/>
    </row>
    <row r="318" spans="1:7" hidden="1" x14ac:dyDescent="0.4">
      <c r="A318" s="49" t="s">
        <v>32</v>
      </c>
      <c r="B318" s="50" t="s">
        <v>46</v>
      </c>
      <c r="C318" s="51" t="s">
        <v>63</v>
      </c>
      <c r="D318" s="50"/>
      <c r="E318" s="50"/>
      <c r="F318" s="50"/>
      <c r="G318" s="50"/>
    </row>
    <row r="319" spans="1:7" hidden="1" x14ac:dyDescent="0.4">
      <c r="A319" s="49" t="s">
        <v>33</v>
      </c>
      <c r="B319" s="50" t="s">
        <v>46</v>
      </c>
      <c r="C319" s="51" t="s">
        <v>63</v>
      </c>
      <c r="D319" s="50"/>
      <c r="E319" s="50"/>
      <c r="F319" s="50"/>
      <c r="G319" s="50"/>
    </row>
    <row r="320" spans="1:7" hidden="1" x14ac:dyDescent="0.4">
      <c r="A320" s="49" t="s">
        <v>34</v>
      </c>
      <c r="B320" s="50" t="s">
        <v>46</v>
      </c>
      <c r="C320" s="51" t="s">
        <v>63</v>
      </c>
      <c r="D320" s="50"/>
      <c r="E320" s="50"/>
      <c r="F320" s="50"/>
      <c r="G320" s="50"/>
    </row>
    <row r="321" spans="1:7" hidden="1" x14ac:dyDescent="0.4">
      <c r="A321" s="49" t="s">
        <v>35</v>
      </c>
      <c r="B321" s="50" t="s">
        <v>46</v>
      </c>
      <c r="C321" s="51" t="s">
        <v>63</v>
      </c>
      <c r="D321" s="50"/>
      <c r="E321" s="50"/>
      <c r="F321" s="50"/>
      <c r="G321" s="50"/>
    </row>
    <row r="322" spans="1:7" hidden="1" x14ac:dyDescent="0.4">
      <c r="A322" s="49" t="s">
        <v>36</v>
      </c>
      <c r="B322" s="50" t="s">
        <v>46</v>
      </c>
      <c r="C322" s="51" t="s">
        <v>63</v>
      </c>
      <c r="D322" s="50"/>
      <c r="E322" s="50"/>
      <c r="F322" s="50"/>
      <c r="G322" s="50"/>
    </row>
    <row r="323" spans="1:7" hidden="1" x14ac:dyDescent="0.4">
      <c r="A323" s="49" t="s">
        <v>37</v>
      </c>
      <c r="B323" s="50" t="s">
        <v>46</v>
      </c>
      <c r="C323" s="51" t="s">
        <v>63</v>
      </c>
      <c r="D323" s="50"/>
      <c r="E323" s="50"/>
      <c r="F323" s="50"/>
      <c r="G323" s="50"/>
    </row>
    <row r="324" spans="1:7" hidden="1" x14ac:dyDescent="0.4">
      <c r="A324" s="49" t="s">
        <v>5</v>
      </c>
      <c r="B324" s="50" t="s">
        <v>47</v>
      </c>
      <c r="C324" s="51" t="s">
        <v>63</v>
      </c>
      <c r="D324" s="50"/>
      <c r="E324" s="50"/>
      <c r="F324" s="50"/>
      <c r="G324" s="50"/>
    </row>
    <row r="325" spans="1:7" hidden="1" x14ac:dyDescent="0.4">
      <c r="A325" s="49" t="s">
        <v>51</v>
      </c>
      <c r="B325" s="50" t="s">
        <v>47</v>
      </c>
      <c r="C325" s="51" t="s">
        <v>63</v>
      </c>
      <c r="D325" s="50"/>
      <c r="E325" s="50"/>
      <c r="F325" s="50"/>
      <c r="G325" s="50"/>
    </row>
    <row r="326" spans="1:7" hidden="1" x14ac:dyDescent="0.4">
      <c r="A326" s="49" t="s">
        <v>8</v>
      </c>
      <c r="B326" s="50" t="s">
        <v>47</v>
      </c>
      <c r="C326" s="51" t="s">
        <v>63</v>
      </c>
      <c r="D326" s="50"/>
      <c r="E326" s="50"/>
      <c r="F326" s="50"/>
      <c r="G326" s="50"/>
    </row>
    <row r="327" spans="1:7" hidden="1" x14ac:dyDescent="0.4">
      <c r="A327" s="49" t="s">
        <v>9</v>
      </c>
      <c r="B327" s="50" t="s">
        <v>47</v>
      </c>
      <c r="C327" s="51" t="s">
        <v>63</v>
      </c>
      <c r="D327" s="50"/>
      <c r="E327" s="50"/>
      <c r="F327" s="50"/>
      <c r="G327" s="50"/>
    </row>
    <row r="328" spans="1:7" hidden="1" x14ac:dyDescent="0.4">
      <c r="A328" s="49" t="s">
        <v>10</v>
      </c>
      <c r="B328" s="50" t="s">
        <v>47</v>
      </c>
      <c r="C328" s="51" t="s">
        <v>63</v>
      </c>
      <c r="D328" s="50"/>
      <c r="E328" s="50"/>
      <c r="F328" s="50"/>
      <c r="G328" s="50"/>
    </row>
    <row r="329" spans="1:7" hidden="1" x14ac:dyDescent="0.4">
      <c r="A329" s="49" t="s">
        <v>11</v>
      </c>
      <c r="B329" s="50" t="s">
        <v>47</v>
      </c>
      <c r="C329" s="51" t="s">
        <v>63</v>
      </c>
      <c r="D329" s="50"/>
      <c r="E329" s="50"/>
      <c r="F329" s="50"/>
      <c r="G329" s="50"/>
    </row>
    <row r="330" spans="1:7" hidden="1" x14ac:dyDescent="0.4">
      <c r="A330" s="49" t="s">
        <v>12</v>
      </c>
      <c r="B330" s="50" t="s">
        <v>47</v>
      </c>
      <c r="C330" s="51" t="s">
        <v>63</v>
      </c>
      <c r="D330" s="50"/>
      <c r="E330" s="50"/>
      <c r="F330" s="50"/>
      <c r="G330" s="50"/>
    </row>
    <row r="331" spans="1:7" hidden="1" x14ac:dyDescent="0.4">
      <c r="A331" s="49" t="s">
        <v>52</v>
      </c>
      <c r="B331" s="50" t="s">
        <v>47</v>
      </c>
      <c r="C331" s="51" t="s">
        <v>63</v>
      </c>
      <c r="D331" s="50"/>
      <c r="E331" s="50"/>
      <c r="F331" s="50"/>
      <c r="G331" s="50"/>
    </row>
    <row r="332" spans="1:7" hidden="1" x14ac:dyDescent="0.4">
      <c r="A332" s="49" t="s">
        <v>14</v>
      </c>
      <c r="B332" s="50" t="s">
        <v>47</v>
      </c>
      <c r="C332" s="51" t="s">
        <v>63</v>
      </c>
      <c r="D332" s="50"/>
      <c r="E332" s="50"/>
      <c r="F332" s="50"/>
      <c r="G332" s="50"/>
    </row>
    <row r="333" spans="1:7" hidden="1" x14ac:dyDescent="0.4">
      <c r="A333" s="49" t="s">
        <v>15</v>
      </c>
      <c r="B333" s="50" t="s">
        <v>47</v>
      </c>
      <c r="C333" s="51" t="s">
        <v>63</v>
      </c>
      <c r="D333" s="50"/>
      <c r="E333" s="50"/>
      <c r="F333" s="50"/>
      <c r="G333" s="50"/>
    </row>
    <row r="334" spans="1:7" hidden="1" x14ac:dyDescent="0.4">
      <c r="A334" s="49" t="s">
        <v>16</v>
      </c>
      <c r="B334" s="50" t="s">
        <v>47</v>
      </c>
      <c r="C334" s="51" t="s">
        <v>63</v>
      </c>
      <c r="D334" s="50"/>
      <c r="E334" s="50"/>
      <c r="F334" s="50"/>
      <c r="G334" s="50"/>
    </row>
    <row r="335" spans="1:7" hidden="1" x14ac:dyDescent="0.4">
      <c r="A335" s="49" t="s">
        <v>17</v>
      </c>
      <c r="B335" s="50" t="s">
        <v>47</v>
      </c>
      <c r="C335" s="51" t="s">
        <v>63</v>
      </c>
      <c r="D335" s="50"/>
      <c r="E335" s="50"/>
      <c r="F335" s="50"/>
      <c r="G335" s="50"/>
    </row>
    <row r="336" spans="1:7" hidden="1" x14ac:dyDescent="0.4">
      <c r="A336" s="49" t="s">
        <v>18</v>
      </c>
      <c r="B336" s="50" t="s">
        <v>47</v>
      </c>
      <c r="C336" s="51" t="s">
        <v>63</v>
      </c>
      <c r="D336" s="50"/>
      <c r="E336" s="50"/>
      <c r="F336" s="50"/>
      <c r="G336" s="50"/>
    </row>
    <row r="337" spans="1:7" hidden="1" x14ac:dyDescent="0.4">
      <c r="A337" s="49" t="s">
        <v>19</v>
      </c>
      <c r="B337" s="50" t="s">
        <v>47</v>
      </c>
      <c r="C337" s="51" t="s">
        <v>63</v>
      </c>
      <c r="D337" s="50"/>
      <c r="E337" s="50"/>
      <c r="F337" s="50"/>
      <c r="G337" s="50"/>
    </row>
    <row r="338" spans="1:7" hidden="1" x14ac:dyDescent="0.4">
      <c r="A338" s="49" t="s">
        <v>53</v>
      </c>
      <c r="B338" s="50" t="s">
        <v>47</v>
      </c>
      <c r="C338" s="51" t="s">
        <v>63</v>
      </c>
      <c r="D338" s="50"/>
      <c r="E338" s="50"/>
      <c r="F338" s="50"/>
      <c r="G338" s="50"/>
    </row>
    <row r="339" spans="1:7" hidden="1" x14ac:dyDescent="0.4">
      <c r="A339" s="49" t="s">
        <v>21</v>
      </c>
      <c r="B339" s="50" t="s">
        <v>47</v>
      </c>
      <c r="C339" s="51" t="s">
        <v>63</v>
      </c>
      <c r="D339" s="50"/>
      <c r="E339" s="50"/>
      <c r="F339" s="50"/>
      <c r="G339" s="50"/>
    </row>
    <row r="340" spans="1:7" hidden="1" x14ac:dyDescent="0.4">
      <c r="A340" s="49" t="s">
        <v>22</v>
      </c>
      <c r="B340" s="50" t="s">
        <v>47</v>
      </c>
      <c r="C340" s="51" t="s">
        <v>63</v>
      </c>
      <c r="D340" s="50"/>
      <c r="E340" s="50"/>
      <c r="F340" s="50"/>
      <c r="G340" s="50"/>
    </row>
    <row r="341" spans="1:7" hidden="1" x14ac:dyDescent="0.4">
      <c r="A341" s="49" t="s">
        <v>23</v>
      </c>
      <c r="B341" s="50" t="s">
        <v>47</v>
      </c>
      <c r="C341" s="51" t="s">
        <v>63</v>
      </c>
      <c r="D341" s="50"/>
      <c r="E341" s="50"/>
      <c r="F341" s="50"/>
      <c r="G341" s="50"/>
    </row>
    <row r="342" spans="1:7" hidden="1" x14ac:dyDescent="0.4">
      <c r="A342" s="49" t="s">
        <v>54</v>
      </c>
      <c r="B342" s="50" t="s">
        <v>47</v>
      </c>
      <c r="C342" s="51" t="s">
        <v>63</v>
      </c>
      <c r="D342" s="50"/>
      <c r="E342" s="50"/>
      <c r="F342" s="50"/>
      <c r="G342" s="50"/>
    </row>
    <row r="343" spans="1:7" hidden="1" x14ac:dyDescent="0.4">
      <c r="A343" s="49" t="s">
        <v>25</v>
      </c>
      <c r="B343" s="50" t="s">
        <v>47</v>
      </c>
      <c r="C343" s="51" t="s">
        <v>63</v>
      </c>
      <c r="D343" s="50"/>
      <c r="E343" s="50"/>
      <c r="F343" s="50"/>
      <c r="G343" s="50"/>
    </row>
    <row r="344" spans="1:7" hidden="1" x14ac:dyDescent="0.4">
      <c r="A344" s="49" t="s">
        <v>26</v>
      </c>
      <c r="B344" s="50" t="s">
        <v>47</v>
      </c>
      <c r="C344" s="51" t="s">
        <v>63</v>
      </c>
      <c r="D344" s="50"/>
      <c r="E344" s="50"/>
      <c r="F344" s="50"/>
      <c r="G344" s="50"/>
    </row>
    <row r="345" spans="1:7" hidden="1" x14ac:dyDescent="0.4">
      <c r="A345" s="49" t="s">
        <v>27</v>
      </c>
      <c r="B345" s="50" t="s">
        <v>47</v>
      </c>
      <c r="C345" s="51" t="s">
        <v>63</v>
      </c>
      <c r="D345" s="50"/>
      <c r="E345" s="50"/>
      <c r="F345" s="50"/>
      <c r="G345" s="50"/>
    </row>
    <row r="346" spans="1:7" hidden="1" x14ac:dyDescent="0.4">
      <c r="A346" s="49" t="s">
        <v>28</v>
      </c>
      <c r="B346" s="50" t="s">
        <v>47</v>
      </c>
      <c r="C346" s="51" t="s">
        <v>63</v>
      </c>
      <c r="D346" s="50"/>
      <c r="E346" s="50"/>
      <c r="F346" s="50"/>
      <c r="G346" s="50"/>
    </row>
    <row r="347" spans="1:7" hidden="1" x14ac:dyDescent="0.4">
      <c r="A347" s="49" t="s">
        <v>29</v>
      </c>
      <c r="B347" s="50" t="s">
        <v>47</v>
      </c>
      <c r="C347" s="51" t="s">
        <v>63</v>
      </c>
      <c r="D347" s="50"/>
      <c r="E347" s="50"/>
      <c r="F347" s="50"/>
      <c r="G347" s="50"/>
    </row>
    <row r="348" spans="1:7" hidden="1" x14ac:dyDescent="0.4">
      <c r="A348" s="49" t="s">
        <v>30</v>
      </c>
      <c r="B348" s="50" t="s">
        <v>47</v>
      </c>
      <c r="C348" s="51" t="s">
        <v>63</v>
      </c>
      <c r="D348" s="50"/>
      <c r="E348" s="50"/>
      <c r="F348" s="50"/>
      <c r="G348" s="50"/>
    </row>
    <row r="349" spans="1:7" hidden="1" x14ac:dyDescent="0.4">
      <c r="A349" s="49" t="s">
        <v>31</v>
      </c>
      <c r="B349" s="50" t="s">
        <v>47</v>
      </c>
      <c r="C349" s="51" t="s">
        <v>63</v>
      </c>
      <c r="D349" s="50"/>
      <c r="E349" s="50"/>
      <c r="F349" s="50"/>
      <c r="G349" s="50"/>
    </row>
    <row r="350" spans="1:7" hidden="1" x14ac:dyDescent="0.4">
      <c r="A350" s="49" t="s">
        <v>32</v>
      </c>
      <c r="B350" s="50" t="s">
        <v>47</v>
      </c>
      <c r="C350" s="51" t="s">
        <v>63</v>
      </c>
      <c r="D350" s="50"/>
      <c r="E350" s="50"/>
      <c r="F350" s="50"/>
      <c r="G350" s="50"/>
    </row>
    <row r="351" spans="1:7" hidden="1" x14ac:dyDescent="0.4">
      <c r="A351" s="49" t="s">
        <v>33</v>
      </c>
      <c r="B351" s="50" t="s">
        <v>47</v>
      </c>
      <c r="C351" s="51" t="s">
        <v>63</v>
      </c>
      <c r="D351" s="50"/>
      <c r="E351" s="50"/>
      <c r="F351" s="50"/>
      <c r="G351" s="50"/>
    </row>
    <row r="352" spans="1:7" hidden="1" x14ac:dyDescent="0.4">
      <c r="A352" s="49" t="s">
        <v>34</v>
      </c>
      <c r="B352" s="50" t="s">
        <v>47</v>
      </c>
      <c r="C352" s="51" t="s">
        <v>63</v>
      </c>
      <c r="D352" s="50"/>
      <c r="E352" s="50"/>
      <c r="F352" s="50"/>
      <c r="G352" s="50"/>
    </row>
    <row r="353" spans="1:7" hidden="1" x14ac:dyDescent="0.4">
      <c r="A353" s="49" t="s">
        <v>35</v>
      </c>
      <c r="B353" s="50" t="s">
        <v>47</v>
      </c>
      <c r="C353" s="51" t="s">
        <v>63</v>
      </c>
      <c r="D353" s="50"/>
      <c r="E353" s="50"/>
      <c r="F353" s="50"/>
      <c r="G353" s="50"/>
    </row>
    <row r="354" spans="1:7" hidden="1" x14ac:dyDescent="0.4">
      <c r="A354" s="49" t="s">
        <v>36</v>
      </c>
      <c r="B354" s="50" t="s">
        <v>47</v>
      </c>
      <c r="C354" s="51" t="s">
        <v>63</v>
      </c>
      <c r="D354" s="50"/>
      <c r="E354" s="50"/>
      <c r="F354" s="50"/>
      <c r="G354" s="50"/>
    </row>
    <row r="355" spans="1:7" hidden="1" x14ac:dyDescent="0.4">
      <c r="A355" s="49" t="s">
        <v>37</v>
      </c>
      <c r="B355" s="50" t="s">
        <v>47</v>
      </c>
      <c r="C355" s="51" t="s">
        <v>63</v>
      </c>
      <c r="D355" s="50"/>
      <c r="E355" s="50"/>
      <c r="F355" s="50"/>
      <c r="G355" s="50"/>
    </row>
    <row r="356" spans="1:7" hidden="1" x14ac:dyDescent="0.4">
      <c r="A356" s="49" t="s">
        <v>5</v>
      </c>
      <c r="B356" s="50" t="s">
        <v>48</v>
      </c>
      <c r="C356" s="51" t="s">
        <v>63</v>
      </c>
      <c r="D356" s="50"/>
      <c r="E356" s="50"/>
      <c r="F356" s="50"/>
      <c r="G356" s="50"/>
    </row>
    <row r="357" spans="1:7" hidden="1" x14ac:dyDescent="0.4">
      <c r="A357" s="49" t="s">
        <v>51</v>
      </c>
      <c r="B357" s="50" t="s">
        <v>48</v>
      </c>
      <c r="C357" s="51" t="s">
        <v>63</v>
      </c>
      <c r="D357" s="50"/>
      <c r="E357" s="50"/>
      <c r="F357" s="50"/>
      <c r="G357" s="50"/>
    </row>
    <row r="358" spans="1:7" hidden="1" x14ac:dyDescent="0.4">
      <c r="A358" s="49" t="s">
        <v>8</v>
      </c>
      <c r="B358" s="50" t="s">
        <v>48</v>
      </c>
      <c r="C358" s="51" t="s">
        <v>63</v>
      </c>
      <c r="D358" s="50"/>
      <c r="E358" s="50"/>
      <c r="F358" s="50"/>
      <c r="G358" s="50"/>
    </row>
    <row r="359" spans="1:7" hidden="1" x14ac:dyDescent="0.4">
      <c r="A359" s="49" t="s">
        <v>9</v>
      </c>
      <c r="B359" s="50" t="s">
        <v>48</v>
      </c>
      <c r="C359" s="51" t="s">
        <v>63</v>
      </c>
      <c r="D359" s="50"/>
      <c r="E359" s="50"/>
      <c r="F359" s="50"/>
      <c r="G359" s="50"/>
    </row>
    <row r="360" spans="1:7" hidden="1" x14ac:dyDescent="0.4">
      <c r="A360" s="49" t="s">
        <v>10</v>
      </c>
      <c r="B360" s="50" t="s">
        <v>48</v>
      </c>
      <c r="C360" s="51" t="s">
        <v>63</v>
      </c>
      <c r="D360" s="50"/>
      <c r="E360" s="50"/>
      <c r="F360" s="50"/>
      <c r="G360" s="50"/>
    </row>
    <row r="361" spans="1:7" hidden="1" x14ac:dyDescent="0.4">
      <c r="A361" s="49" t="s">
        <v>11</v>
      </c>
      <c r="B361" s="50" t="s">
        <v>48</v>
      </c>
      <c r="C361" s="51" t="s">
        <v>63</v>
      </c>
      <c r="D361" s="50"/>
      <c r="E361" s="50"/>
      <c r="F361" s="50"/>
      <c r="G361" s="50"/>
    </row>
    <row r="362" spans="1:7" hidden="1" x14ac:dyDescent="0.4">
      <c r="A362" s="49" t="s">
        <v>12</v>
      </c>
      <c r="B362" s="50" t="s">
        <v>48</v>
      </c>
      <c r="C362" s="51" t="s">
        <v>63</v>
      </c>
      <c r="D362" s="50"/>
      <c r="E362" s="50"/>
      <c r="F362" s="50"/>
      <c r="G362" s="50"/>
    </row>
    <row r="363" spans="1:7" hidden="1" x14ac:dyDescent="0.4">
      <c r="A363" s="49" t="s">
        <v>52</v>
      </c>
      <c r="B363" s="50" t="s">
        <v>48</v>
      </c>
      <c r="C363" s="51" t="s">
        <v>63</v>
      </c>
      <c r="D363" s="50"/>
      <c r="E363" s="50"/>
      <c r="F363" s="50"/>
      <c r="G363" s="50"/>
    </row>
    <row r="364" spans="1:7" hidden="1" x14ac:dyDescent="0.4">
      <c r="A364" s="49" t="s">
        <v>14</v>
      </c>
      <c r="B364" s="50" t="s">
        <v>48</v>
      </c>
      <c r="C364" s="51" t="s">
        <v>63</v>
      </c>
      <c r="D364" s="50"/>
      <c r="E364" s="50"/>
      <c r="F364" s="50"/>
      <c r="G364" s="50"/>
    </row>
    <row r="365" spans="1:7" hidden="1" x14ac:dyDescent="0.4">
      <c r="A365" s="49" t="s">
        <v>15</v>
      </c>
      <c r="B365" s="50" t="s">
        <v>48</v>
      </c>
      <c r="C365" s="51" t="s">
        <v>63</v>
      </c>
      <c r="D365" s="50"/>
      <c r="E365" s="50"/>
      <c r="F365" s="50"/>
      <c r="G365" s="50"/>
    </row>
    <row r="366" spans="1:7" hidden="1" x14ac:dyDescent="0.4">
      <c r="A366" s="49" t="s">
        <v>16</v>
      </c>
      <c r="B366" s="50" t="s">
        <v>48</v>
      </c>
      <c r="C366" s="51" t="s">
        <v>63</v>
      </c>
      <c r="D366" s="50"/>
      <c r="E366" s="50"/>
      <c r="F366" s="50"/>
      <c r="G366" s="50"/>
    </row>
    <row r="367" spans="1:7" hidden="1" x14ac:dyDescent="0.4">
      <c r="A367" s="49" t="s">
        <v>17</v>
      </c>
      <c r="B367" s="50" t="s">
        <v>48</v>
      </c>
      <c r="C367" s="51" t="s">
        <v>63</v>
      </c>
      <c r="D367" s="50"/>
      <c r="E367" s="50"/>
      <c r="F367" s="50"/>
      <c r="G367" s="50"/>
    </row>
    <row r="368" spans="1:7" hidden="1" x14ac:dyDescent="0.4">
      <c r="A368" s="49" t="s">
        <v>18</v>
      </c>
      <c r="B368" s="50" t="s">
        <v>48</v>
      </c>
      <c r="C368" s="51" t="s">
        <v>63</v>
      </c>
      <c r="D368" s="50"/>
      <c r="E368" s="50"/>
      <c r="F368" s="50"/>
      <c r="G368" s="50"/>
    </row>
    <row r="369" spans="1:7" hidden="1" x14ac:dyDescent="0.4">
      <c r="A369" s="49" t="s">
        <v>19</v>
      </c>
      <c r="B369" s="50" t="s">
        <v>48</v>
      </c>
      <c r="C369" s="51" t="s">
        <v>63</v>
      </c>
      <c r="D369" s="50"/>
      <c r="E369" s="50"/>
      <c r="F369" s="50"/>
      <c r="G369" s="50"/>
    </row>
    <row r="370" spans="1:7" hidden="1" x14ac:dyDescent="0.4">
      <c r="A370" s="49" t="s">
        <v>53</v>
      </c>
      <c r="B370" s="50" t="s">
        <v>48</v>
      </c>
      <c r="C370" s="51" t="s">
        <v>63</v>
      </c>
      <c r="D370" s="50"/>
      <c r="E370" s="50"/>
      <c r="F370" s="50"/>
      <c r="G370" s="50"/>
    </row>
    <row r="371" spans="1:7" hidden="1" x14ac:dyDescent="0.4">
      <c r="A371" s="49" t="s">
        <v>21</v>
      </c>
      <c r="B371" s="50" t="s">
        <v>48</v>
      </c>
      <c r="C371" s="51" t="s">
        <v>63</v>
      </c>
      <c r="D371" s="50"/>
      <c r="E371" s="50"/>
      <c r="F371" s="50"/>
      <c r="G371" s="50"/>
    </row>
    <row r="372" spans="1:7" hidden="1" x14ac:dyDescent="0.4">
      <c r="A372" s="49" t="s">
        <v>22</v>
      </c>
      <c r="B372" s="50" t="s">
        <v>48</v>
      </c>
      <c r="C372" s="51" t="s">
        <v>63</v>
      </c>
      <c r="D372" s="50"/>
      <c r="E372" s="50"/>
      <c r="F372" s="50"/>
      <c r="G372" s="50"/>
    </row>
    <row r="373" spans="1:7" hidden="1" x14ac:dyDescent="0.4">
      <c r="A373" s="49" t="s">
        <v>23</v>
      </c>
      <c r="B373" s="50" t="s">
        <v>48</v>
      </c>
      <c r="C373" s="51" t="s">
        <v>63</v>
      </c>
      <c r="D373" s="50"/>
      <c r="E373" s="50"/>
      <c r="F373" s="50"/>
      <c r="G373" s="50"/>
    </row>
    <row r="374" spans="1:7" hidden="1" x14ac:dyDescent="0.4">
      <c r="A374" s="49" t="s">
        <v>54</v>
      </c>
      <c r="B374" s="50" t="s">
        <v>48</v>
      </c>
      <c r="C374" s="51" t="s">
        <v>63</v>
      </c>
      <c r="D374" s="50"/>
      <c r="E374" s="50"/>
      <c r="F374" s="50"/>
      <c r="G374" s="50"/>
    </row>
    <row r="375" spans="1:7" hidden="1" x14ac:dyDescent="0.4">
      <c r="A375" s="49" t="s">
        <v>25</v>
      </c>
      <c r="B375" s="50" t="s">
        <v>48</v>
      </c>
      <c r="C375" s="51" t="s">
        <v>63</v>
      </c>
      <c r="D375" s="50"/>
      <c r="E375" s="50"/>
      <c r="F375" s="50"/>
      <c r="G375" s="50"/>
    </row>
    <row r="376" spans="1:7" hidden="1" x14ac:dyDescent="0.4">
      <c r="A376" s="49" t="s">
        <v>26</v>
      </c>
      <c r="B376" s="50" t="s">
        <v>48</v>
      </c>
      <c r="C376" s="51" t="s">
        <v>63</v>
      </c>
      <c r="D376" s="50"/>
      <c r="E376" s="50"/>
      <c r="F376" s="50"/>
      <c r="G376" s="50"/>
    </row>
    <row r="377" spans="1:7" hidden="1" x14ac:dyDescent="0.4">
      <c r="A377" s="49" t="s">
        <v>27</v>
      </c>
      <c r="B377" s="50" t="s">
        <v>48</v>
      </c>
      <c r="C377" s="51" t="s">
        <v>63</v>
      </c>
      <c r="D377" s="50"/>
      <c r="E377" s="50"/>
      <c r="F377" s="50"/>
      <c r="G377" s="50"/>
    </row>
    <row r="378" spans="1:7" hidden="1" x14ac:dyDescent="0.4">
      <c r="A378" s="49" t="s">
        <v>28</v>
      </c>
      <c r="B378" s="50" t="s">
        <v>48</v>
      </c>
      <c r="C378" s="51" t="s">
        <v>63</v>
      </c>
      <c r="D378" s="50"/>
      <c r="E378" s="50"/>
      <c r="F378" s="50"/>
      <c r="G378" s="50"/>
    </row>
    <row r="379" spans="1:7" hidden="1" x14ac:dyDescent="0.4">
      <c r="A379" s="49" t="s">
        <v>29</v>
      </c>
      <c r="B379" s="50" t="s">
        <v>48</v>
      </c>
      <c r="C379" s="51" t="s">
        <v>63</v>
      </c>
      <c r="D379" s="50"/>
      <c r="E379" s="50"/>
      <c r="F379" s="50"/>
      <c r="G379" s="50"/>
    </row>
    <row r="380" spans="1:7" hidden="1" x14ac:dyDescent="0.4">
      <c r="A380" s="49" t="s">
        <v>30</v>
      </c>
      <c r="B380" s="50" t="s">
        <v>48</v>
      </c>
      <c r="C380" s="51" t="s">
        <v>63</v>
      </c>
      <c r="D380" s="50"/>
      <c r="E380" s="50"/>
      <c r="F380" s="50"/>
      <c r="G380" s="50"/>
    </row>
    <row r="381" spans="1:7" hidden="1" x14ac:dyDescent="0.4">
      <c r="A381" s="49" t="s">
        <v>31</v>
      </c>
      <c r="B381" s="50" t="s">
        <v>48</v>
      </c>
      <c r="C381" s="51" t="s">
        <v>63</v>
      </c>
      <c r="D381" s="50"/>
      <c r="E381" s="50"/>
      <c r="F381" s="50"/>
      <c r="G381" s="50"/>
    </row>
    <row r="382" spans="1:7" hidden="1" x14ac:dyDescent="0.4">
      <c r="A382" s="49" t="s">
        <v>32</v>
      </c>
      <c r="B382" s="50" t="s">
        <v>48</v>
      </c>
      <c r="C382" s="51" t="s">
        <v>63</v>
      </c>
      <c r="D382" s="50"/>
      <c r="E382" s="50"/>
      <c r="F382" s="50"/>
      <c r="G382" s="50"/>
    </row>
    <row r="383" spans="1:7" hidden="1" x14ac:dyDescent="0.4">
      <c r="A383" s="49" t="s">
        <v>33</v>
      </c>
      <c r="B383" s="50" t="s">
        <v>48</v>
      </c>
      <c r="C383" s="51" t="s">
        <v>63</v>
      </c>
      <c r="D383" s="50"/>
      <c r="E383" s="50"/>
      <c r="F383" s="50"/>
      <c r="G383" s="50"/>
    </row>
    <row r="384" spans="1:7" hidden="1" x14ac:dyDescent="0.4">
      <c r="A384" s="49" t="s">
        <v>34</v>
      </c>
      <c r="B384" s="50" t="s">
        <v>48</v>
      </c>
      <c r="C384" s="51" t="s">
        <v>63</v>
      </c>
      <c r="D384" s="50"/>
      <c r="E384" s="50"/>
      <c r="F384" s="50"/>
      <c r="G384" s="50"/>
    </row>
    <row r="385" spans="1:7" hidden="1" x14ac:dyDescent="0.4">
      <c r="A385" s="49" t="s">
        <v>35</v>
      </c>
      <c r="B385" s="50" t="s">
        <v>48</v>
      </c>
      <c r="C385" s="51" t="s">
        <v>63</v>
      </c>
      <c r="D385" s="50"/>
      <c r="E385" s="50"/>
      <c r="F385" s="50"/>
      <c r="G385" s="50"/>
    </row>
    <row r="386" spans="1:7" hidden="1" x14ac:dyDescent="0.4">
      <c r="A386" s="49" t="s">
        <v>36</v>
      </c>
      <c r="B386" s="50" t="s">
        <v>48</v>
      </c>
      <c r="C386" s="51" t="s">
        <v>63</v>
      </c>
      <c r="D386" s="50"/>
      <c r="E386" s="50"/>
      <c r="F386" s="50"/>
      <c r="G386" s="50"/>
    </row>
    <row r="387" spans="1:7" hidden="1" x14ac:dyDescent="0.4">
      <c r="A387" s="49" t="s">
        <v>37</v>
      </c>
      <c r="B387" s="50" t="s">
        <v>48</v>
      </c>
      <c r="C387" s="51" t="s">
        <v>63</v>
      </c>
      <c r="D387" s="50"/>
      <c r="E387" s="50"/>
      <c r="F387" s="50"/>
      <c r="G387" s="50"/>
    </row>
    <row r="388" spans="1:7" ht="20.25" x14ac:dyDescent="0.45">
      <c r="A388" s="79" t="s">
        <v>55</v>
      </c>
      <c r="B388" s="79"/>
      <c r="C388" s="80"/>
      <c r="D388" s="56">
        <f>+SUBTOTAL(9,Tabla57[Total llamadas por extorsión])</f>
        <v>575</v>
      </c>
      <c r="E388" s="56">
        <f>+SUBTOTAL(9,Tabla57[Extorsiones consumadas])</f>
        <v>92</v>
      </c>
      <c r="F388" s="56">
        <f>+SUBTOTAL(9,Tabla57[Estorsiones no consumadas])</f>
        <v>483</v>
      </c>
      <c r="G388" s="56">
        <f>+SUBTOTAL(9,Tabla57[Denuncia de número que intentó engaño o extorsión pasada])</f>
        <v>0</v>
      </c>
    </row>
  </sheetData>
  <mergeCells count="3">
    <mergeCell ref="A1:G1"/>
    <mergeCell ref="A388:C388"/>
    <mergeCell ref="A2:G2"/>
  </mergeCell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A371-E3FF-4093-9B62-4C8F156FE6DC}">
  <dimension ref="A1:N35"/>
  <sheetViews>
    <sheetView showGridLines="0" topLeftCell="A2" workbookViewId="0">
      <selection activeCell="P17" sqref="P17"/>
    </sheetView>
  </sheetViews>
  <sheetFormatPr baseColWidth="10" defaultColWidth="11.42578125" defaultRowHeight="15" x14ac:dyDescent="0.25"/>
  <cols>
    <col min="1" max="1" width="20.140625" customWidth="1"/>
  </cols>
  <sheetData>
    <row r="1" spans="1:14" ht="45" customHeight="1" x14ac:dyDescent="0.25">
      <c r="A1" s="86" t="s">
        <v>64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 t="s">
        <v>55</v>
      </c>
    </row>
    <row r="2" spans="1:14" x14ac:dyDescent="0.25">
      <c r="A2" s="63" t="s">
        <v>65</v>
      </c>
      <c r="B2" s="63" t="s">
        <v>66</v>
      </c>
      <c r="C2" s="63" t="s">
        <v>67</v>
      </c>
      <c r="D2" s="63" t="s">
        <v>68</v>
      </c>
      <c r="E2" s="63" t="s">
        <v>69</v>
      </c>
      <c r="F2" s="63" t="s">
        <v>70</v>
      </c>
      <c r="G2" s="63" t="s">
        <v>71</v>
      </c>
      <c r="H2" s="63" t="s">
        <v>72</v>
      </c>
      <c r="I2" s="63" t="s">
        <v>73</v>
      </c>
      <c r="J2" s="63" t="s">
        <v>74</v>
      </c>
      <c r="K2" s="63" t="s">
        <v>75</v>
      </c>
      <c r="L2" s="63" t="s">
        <v>76</v>
      </c>
      <c r="M2" s="63" t="s">
        <v>77</v>
      </c>
      <c r="N2" s="87"/>
    </row>
    <row r="3" spans="1:14" x14ac:dyDescent="0.25">
      <c r="A3" s="61" t="s">
        <v>5</v>
      </c>
      <c r="B3" s="71">
        <v>83576</v>
      </c>
      <c r="C3" s="71">
        <v>81052</v>
      </c>
      <c r="D3" s="71">
        <v>94580</v>
      </c>
      <c r="E3" s="71">
        <v>93143</v>
      </c>
      <c r="F3" s="71">
        <v>97955</v>
      </c>
      <c r="G3" s="71">
        <v>86418</v>
      </c>
      <c r="H3" s="71">
        <v>89566</v>
      </c>
      <c r="I3" s="71">
        <v>89693</v>
      </c>
      <c r="J3" s="71">
        <v>89078</v>
      </c>
      <c r="K3" s="71">
        <v>84730</v>
      </c>
      <c r="L3" s="71">
        <v>82186</v>
      </c>
      <c r="M3" s="71">
        <v>82225</v>
      </c>
      <c r="N3" s="72">
        <v>1054202</v>
      </c>
    </row>
    <row r="4" spans="1:14" x14ac:dyDescent="0.25">
      <c r="A4" s="61" t="s">
        <v>51</v>
      </c>
      <c r="B4" s="71">
        <v>268251</v>
      </c>
      <c r="C4" s="71">
        <v>265790</v>
      </c>
      <c r="D4" s="71">
        <v>282538</v>
      </c>
      <c r="E4" s="71">
        <v>258291</v>
      </c>
      <c r="F4" s="71">
        <v>248078</v>
      </c>
      <c r="G4" s="71">
        <v>258702</v>
      </c>
      <c r="H4" s="71">
        <v>276802</v>
      </c>
      <c r="I4" s="71">
        <v>271193</v>
      </c>
      <c r="J4" s="71">
        <v>238725</v>
      </c>
      <c r="K4" s="71">
        <v>275966</v>
      </c>
      <c r="L4" s="71">
        <v>291721</v>
      </c>
      <c r="M4" s="71">
        <v>271480</v>
      </c>
      <c r="N4" s="72">
        <v>3207537</v>
      </c>
    </row>
    <row r="5" spans="1:14" x14ac:dyDescent="0.25">
      <c r="A5" s="61" t="s">
        <v>8</v>
      </c>
      <c r="B5" s="71">
        <v>35512</v>
      </c>
      <c r="C5" s="71">
        <v>35801</v>
      </c>
      <c r="D5" s="71">
        <v>41906</v>
      </c>
      <c r="E5" s="71">
        <v>40599</v>
      </c>
      <c r="F5" s="71">
        <v>40807</v>
      </c>
      <c r="G5" s="71">
        <v>34763</v>
      </c>
      <c r="H5" s="71">
        <v>43671</v>
      </c>
      <c r="I5" s="71">
        <v>43776</v>
      </c>
      <c r="J5" s="71">
        <v>38578</v>
      </c>
      <c r="K5" s="71">
        <v>42597</v>
      </c>
      <c r="L5" s="71">
        <v>41093</v>
      </c>
      <c r="M5" s="71">
        <v>40252</v>
      </c>
      <c r="N5" s="72">
        <v>479355</v>
      </c>
    </row>
    <row r="6" spans="1:14" x14ac:dyDescent="0.25">
      <c r="A6" s="61" t="s">
        <v>9</v>
      </c>
      <c r="B6" s="71">
        <v>36125</v>
      </c>
      <c r="C6" s="71">
        <v>34434</v>
      </c>
      <c r="D6" s="71">
        <v>39831</v>
      </c>
      <c r="E6" s="71">
        <v>39380</v>
      </c>
      <c r="F6" s="71">
        <v>43086</v>
      </c>
      <c r="G6" s="71">
        <v>42395</v>
      </c>
      <c r="H6" s="71">
        <v>43389</v>
      </c>
      <c r="I6" s="71">
        <v>42757</v>
      </c>
      <c r="J6" s="71">
        <v>40119</v>
      </c>
      <c r="K6" s="71">
        <v>41876</v>
      </c>
      <c r="L6" s="71">
        <v>39346</v>
      </c>
      <c r="M6" s="71">
        <v>42651</v>
      </c>
      <c r="N6" s="72">
        <v>485389</v>
      </c>
    </row>
    <row r="7" spans="1:14" x14ac:dyDescent="0.25">
      <c r="A7" s="61" t="s">
        <v>10</v>
      </c>
      <c r="B7" s="71">
        <v>37499</v>
      </c>
      <c r="C7" s="71">
        <v>44426</v>
      </c>
      <c r="D7" s="71">
        <v>44573</v>
      </c>
      <c r="E7" s="71">
        <v>46983</v>
      </c>
      <c r="F7" s="71">
        <v>36296</v>
      </c>
      <c r="G7" s="71">
        <v>28721</v>
      </c>
      <c r="H7" s="71">
        <v>29720</v>
      </c>
      <c r="I7" s="71">
        <v>39827</v>
      </c>
      <c r="J7" s="71">
        <v>55036</v>
      </c>
      <c r="K7" s="71">
        <v>55133</v>
      </c>
      <c r="L7" s="71">
        <v>53547</v>
      </c>
      <c r="M7" s="71">
        <v>60232</v>
      </c>
      <c r="N7" s="72">
        <v>531993</v>
      </c>
    </row>
    <row r="8" spans="1:14" x14ac:dyDescent="0.25">
      <c r="A8" s="61" t="s">
        <v>11</v>
      </c>
      <c r="B8" s="71">
        <v>182561</v>
      </c>
      <c r="C8" s="71">
        <v>186677</v>
      </c>
      <c r="D8" s="71">
        <v>217918</v>
      </c>
      <c r="E8" s="71">
        <v>215954</v>
      </c>
      <c r="F8" s="71">
        <v>225218</v>
      </c>
      <c r="G8" s="71">
        <v>210720</v>
      </c>
      <c r="H8" s="71">
        <v>227928</v>
      </c>
      <c r="I8" s="71">
        <v>210383</v>
      </c>
      <c r="J8" s="71">
        <v>201500</v>
      </c>
      <c r="K8" s="71">
        <v>197506</v>
      </c>
      <c r="L8" s="71">
        <v>183316</v>
      </c>
      <c r="M8" s="71">
        <v>194587</v>
      </c>
      <c r="N8" s="72">
        <v>2454268</v>
      </c>
    </row>
    <row r="9" spans="1:14" x14ac:dyDescent="0.25">
      <c r="A9" s="61" t="s">
        <v>12</v>
      </c>
      <c r="B9" s="71">
        <v>423581</v>
      </c>
      <c r="C9" s="71">
        <v>402676</v>
      </c>
      <c r="D9" s="71">
        <v>432419</v>
      </c>
      <c r="E9" s="71">
        <v>375485</v>
      </c>
      <c r="F9" s="71">
        <v>386440</v>
      </c>
      <c r="G9" s="71">
        <v>408993</v>
      </c>
      <c r="H9" s="71">
        <v>406682</v>
      </c>
      <c r="I9" s="71">
        <v>416784</v>
      </c>
      <c r="J9" s="71">
        <v>391891</v>
      </c>
      <c r="K9" s="71">
        <v>391066</v>
      </c>
      <c r="L9" s="71">
        <v>350607</v>
      </c>
      <c r="M9" s="71">
        <v>319543</v>
      </c>
      <c r="N9" s="72">
        <v>4706167</v>
      </c>
    </row>
    <row r="10" spans="1:14" x14ac:dyDescent="0.25">
      <c r="A10" s="61" t="s">
        <v>52</v>
      </c>
      <c r="B10" s="71">
        <v>149470</v>
      </c>
      <c r="C10" s="71">
        <v>135282</v>
      </c>
      <c r="D10" s="71">
        <v>155568</v>
      </c>
      <c r="E10" s="71">
        <v>157887</v>
      </c>
      <c r="F10" s="71">
        <v>154113</v>
      </c>
      <c r="G10" s="71">
        <v>149869</v>
      </c>
      <c r="H10" s="71">
        <v>152748</v>
      </c>
      <c r="I10" s="71">
        <v>152093</v>
      </c>
      <c r="J10" s="71">
        <v>147479</v>
      </c>
      <c r="K10" s="71">
        <v>160243</v>
      </c>
      <c r="L10" s="71">
        <v>162347</v>
      </c>
      <c r="M10" s="71">
        <v>179957</v>
      </c>
      <c r="N10" s="72">
        <v>1857056</v>
      </c>
    </row>
    <row r="11" spans="1:14" x14ac:dyDescent="0.25">
      <c r="A11" s="61" t="s">
        <v>14</v>
      </c>
      <c r="B11" s="71">
        <v>39173</v>
      </c>
      <c r="C11" s="71">
        <v>38913</v>
      </c>
      <c r="D11" s="71">
        <v>46855</v>
      </c>
      <c r="E11" s="71">
        <v>41669</v>
      </c>
      <c r="F11" s="71">
        <v>45240</v>
      </c>
      <c r="G11" s="71">
        <v>41545</v>
      </c>
      <c r="H11" s="71">
        <v>45148</v>
      </c>
      <c r="I11" s="71">
        <v>43787</v>
      </c>
      <c r="J11" s="71">
        <v>38490</v>
      </c>
      <c r="K11" s="71">
        <v>41511</v>
      </c>
      <c r="L11" s="71">
        <v>41058</v>
      </c>
      <c r="M11" s="71">
        <v>45322</v>
      </c>
      <c r="N11" s="72">
        <v>508711</v>
      </c>
    </row>
    <row r="12" spans="1:14" x14ac:dyDescent="0.25">
      <c r="A12" s="61" t="s">
        <v>15</v>
      </c>
      <c r="B12" s="71">
        <v>70751</v>
      </c>
      <c r="C12" s="71">
        <v>86083</v>
      </c>
      <c r="D12" s="71">
        <v>119913</v>
      </c>
      <c r="E12" s="71">
        <v>80600</v>
      </c>
      <c r="F12" s="71">
        <v>85499</v>
      </c>
      <c r="G12" s="71">
        <v>88537</v>
      </c>
      <c r="H12" s="71">
        <v>84870</v>
      </c>
      <c r="I12" s="71">
        <v>80867</v>
      </c>
      <c r="J12" s="71">
        <v>79206</v>
      </c>
      <c r="K12" s="71">
        <v>74773</v>
      </c>
      <c r="L12" s="71">
        <v>79437</v>
      </c>
      <c r="M12" s="71">
        <v>84485</v>
      </c>
      <c r="N12" s="72">
        <v>1015021</v>
      </c>
    </row>
    <row r="13" spans="1:14" x14ac:dyDescent="0.25">
      <c r="A13" s="61" t="s">
        <v>16</v>
      </c>
      <c r="B13" s="71">
        <v>333619</v>
      </c>
      <c r="C13" s="71">
        <v>315981</v>
      </c>
      <c r="D13" s="71">
        <v>368878</v>
      </c>
      <c r="E13" s="71">
        <v>354502</v>
      </c>
      <c r="F13" s="71">
        <v>375599</v>
      </c>
      <c r="G13" s="71">
        <v>336638</v>
      </c>
      <c r="H13" s="71">
        <v>339329</v>
      </c>
      <c r="I13" s="71">
        <v>342400</v>
      </c>
      <c r="J13" s="71">
        <v>327256</v>
      </c>
      <c r="K13" s="71">
        <v>341895</v>
      </c>
      <c r="L13" s="71">
        <v>321257</v>
      </c>
      <c r="M13" s="71">
        <v>336526</v>
      </c>
      <c r="N13" s="72">
        <v>4093880</v>
      </c>
    </row>
    <row r="14" spans="1:14" x14ac:dyDescent="0.25">
      <c r="A14" s="61" t="s">
        <v>17</v>
      </c>
      <c r="B14" s="71">
        <v>94529</v>
      </c>
      <c r="C14" s="71">
        <v>93373</v>
      </c>
      <c r="D14" s="71">
        <v>99315</v>
      </c>
      <c r="E14" s="71">
        <v>102170</v>
      </c>
      <c r="F14" s="71">
        <v>102566</v>
      </c>
      <c r="G14" s="71">
        <v>97985</v>
      </c>
      <c r="H14" s="71">
        <v>107226</v>
      </c>
      <c r="I14" s="71">
        <v>106193</v>
      </c>
      <c r="J14" s="71">
        <v>95615</v>
      </c>
      <c r="K14" s="71">
        <v>99989</v>
      </c>
      <c r="L14" s="71">
        <v>90592</v>
      </c>
      <c r="M14" s="71">
        <v>97971</v>
      </c>
      <c r="N14" s="72">
        <v>1187524</v>
      </c>
    </row>
    <row r="15" spans="1:14" x14ac:dyDescent="0.25">
      <c r="A15" s="61" t="s">
        <v>18</v>
      </c>
      <c r="B15" s="71">
        <v>83035</v>
      </c>
      <c r="C15" s="71">
        <v>82239</v>
      </c>
      <c r="D15" s="71">
        <v>101157</v>
      </c>
      <c r="E15" s="71">
        <v>96982</v>
      </c>
      <c r="F15" s="71">
        <v>96567</v>
      </c>
      <c r="G15" s="71">
        <v>84555</v>
      </c>
      <c r="H15" s="71">
        <v>91438</v>
      </c>
      <c r="I15" s="71">
        <v>91413</v>
      </c>
      <c r="J15" s="71">
        <v>92949</v>
      </c>
      <c r="K15" s="71">
        <v>95049</v>
      </c>
      <c r="L15" s="71">
        <v>87699</v>
      </c>
      <c r="M15" s="71">
        <v>95798</v>
      </c>
      <c r="N15" s="72">
        <v>1098881</v>
      </c>
    </row>
    <row r="16" spans="1:14" x14ac:dyDescent="0.25">
      <c r="A16" s="61" t="s">
        <v>19</v>
      </c>
      <c r="B16" s="71">
        <v>305031</v>
      </c>
      <c r="C16" s="71">
        <v>247052</v>
      </c>
      <c r="D16" s="71">
        <v>268901</v>
      </c>
      <c r="E16" s="71">
        <v>276818</v>
      </c>
      <c r="F16" s="71">
        <v>292611</v>
      </c>
      <c r="G16" s="71">
        <v>284233</v>
      </c>
      <c r="H16" s="71">
        <v>303729</v>
      </c>
      <c r="I16" s="71">
        <v>280001</v>
      </c>
      <c r="J16" s="71">
        <v>288425</v>
      </c>
      <c r="K16" s="71">
        <v>285761</v>
      </c>
      <c r="L16" s="71">
        <v>272420</v>
      </c>
      <c r="M16" s="71">
        <v>276837</v>
      </c>
      <c r="N16" s="72">
        <v>3381819</v>
      </c>
    </row>
    <row r="17" spans="1:14" x14ac:dyDescent="0.25">
      <c r="A17" s="61" t="s">
        <v>53</v>
      </c>
      <c r="B17" s="71">
        <v>245940</v>
      </c>
      <c r="C17" s="71">
        <v>245522</v>
      </c>
      <c r="D17" s="71">
        <v>266206</v>
      </c>
      <c r="E17" s="71">
        <v>217642</v>
      </c>
      <c r="F17" s="71">
        <v>239484</v>
      </c>
      <c r="G17" s="71">
        <v>246481</v>
      </c>
      <c r="H17" s="71">
        <v>288859</v>
      </c>
      <c r="I17" s="71">
        <v>278828</v>
      </c>
      <c r="J17" s="71">
        <v>293450</v>
      </c>
      <c r="K17" s="71">
        <v>305509</v>
      </c>
      <c r="L17" s="71">
        <v>382596</v>
      </c>
      <c r="M17" s="71">
        <v>379300</v>
      </c>
      <c r="N17" s="72">
        <v>3389817</v>
      </c>
    </row>
    <row r="18" spans="1:14" x14ac:dyDescent="0.25">
      <c r="A18" s="61" t="s">
        <v>21</v>
      </c>
      <c r="B18" s="71">
        <v>152629</v>
      </c>
      <c r="C18" s="71">
        <v>132256</v>
      </c>
      <c r="D18" s="71">
        <v>146435</v>
      </c>
      <c r="E18" s="71">
        <v>145702</v>
      </c>
      <c r="F18" s="71">
        <v>168941</v>
      </c>
      <c r="G18" s="71">
        <v>146153</v>
      </c>
      <c r="H18" s="71">
        <v>146294</v>
      </c>
      <c r="I18" s="71">
        <v>145811</v>
      </c>
      <c r="J18" s="71">
        <v>140002</v>
      </c>
      <c r="K18" s="71">
        <v>144146</v>
      </c>
      <c r="L18" s="71">
        <v>150039</v>
      </c>
      <c r="M18" s="71">
        <v>131659</v>
      </c>
      <c r="N18" s="72">
        <v>1750067</v>
      </c>
    </row>
    <row r="19" spans="1:14" x14ac:dyDescent="0.25">
      <c r="A19" s="61" t="s">
        <v>22</v>
      </c>
      <c r="B19" s="71">
        <v>50126</v>
      </c>
      <c r="C19" s="71">
        <v>43083</v>
      </c>
      <c r="D19" s="71">
        <v>47118</v>
      </c>
      <c r="E19" s="71">
        <v>39861</v>
      </c>
      <c r="F19" s="71">
        <v>43088</v>
      </c>
      <c r="G19" s="71">
        <v>42827</v>
      </c>
      <c r="H19" s="71">
        <v>44772</v>
      </c>
      <c r="I19" s="71">
        <v>46359</v>
      </c>
      <c r="J19" s="71">
        <v>38747</v>
      </c>
      <c r="K19" s="71">
        <v>37168</v>
      </c>
      <c r="L19" s="71">
        <v>33418</v>
      </c>
      <c r="M19" s="71">
        <v>30546</v>
      </c>
      <c r="N19" s="72">
        <v>497113</v>
      </c>
    </row>
    <row r="20" spans="1:14" x14ac:dyDescent="0.25">
      <c r="A20" s="61" t="s">
        <v>23</v>
      </c>
      <c r="B20" s="71">
        <v>29997</v>
      </c>
      <c r="C20" s="71">
        <v>27589</v>
      </c>
      <c r="D20" s="71">
        <v>30445</v>
      </c>
      <c r="E20" s="71">
        <v>32120</v>
      </c>
      <c r="F20" s="71">
        <v>30516</v>
      </c>
      <c r="G20" s="71">
        <v>22878</v>
      </c>
      <c r="H20" s="71">
        <v>33302</v>
      </c>
      <c r="I20" s="71">
        <v>33141</v>
      </c>
      <c r="J20" s="71">
        <v>30374</v>
      </c>
      <c r="K20" s="71">
        <v>33632</v>
      </c>
      <c r="L20" s="71">
        <v>30078</v>
      </c>
      <c r="M20" s="71">
        <v>33603</v>
      </c>
      <c r="N20" s="72">
        <v>367675</v>
      </c>
    </row>
    <row r="21" spans="1:14" x14ac:dyDescent="0.25">
      <c r="A21" s="61" t="s">
        <v>54</v>
      </c>
      <c r="B21" s="71">
        <v>242096</v>
      </c>
      <c r="C21" s="71">
        <v>234142</v>
      </c>
      <c r="D21" s="71">
        <v>270818</v>
      </c>
      <c r="E21" s="71">
        <v>252529</v>
      </c>
      <c r="F21" s="71">
        <v>255519</v>
      </c>
      <c r="G21" s="71">
        <v>253774</v>
      </c>
      <c r="H21" s="71">
        <v>262472</v>
      </c>
      <c r="I21" s="71">
        <v>272178</v>
      </c>
      <c r="J21" s="71">
        <v>248930</v>
      </c>
      <c r="K21" s="71">
        <v>246737</v>
      </c>
      <c r="L21" s="71">
        <v>230053</v>
      </c>
      <c r="M21" s="71">
        <v>244916</v>
      </c>
      <c r="N21" s="72">
        <v>3014164</v>
      </c>
    </row>
    <row r="22" spans="1:14" x14ac:dyDescent="0.25">
      <c r="A22" s="61" t="s">
        <v>25</v>
      </c>
      <c r="B22" s="71">
        <v>182888</v>
      </c>
      <c r="C22" s="71">
        <v>171234</v>
      </c>
      <c r="D22" s="71">
        <v>165827</v>
      </c>
      <c r="E22" s="71">
        <v>163829</v>
      </c>
      <c r="F22" s="71">
        <v>170310</v>
      </c>
      <c r="G22" s="71">
        <v>160046</v>
      </c>
      <c r="H22" s="71">
        <v>131525</v>
      </c>
      <c r="I22" s="71">
        <v>118555</v>
      </c>
      <c r="J22" s="71">
        <v>123430</v>
      </c>
      <c r="K22" s="71">
        <v>128425</v>
      </c>
      <c r="L22" s="71">
        <v>107264</v>
      </c>
      <c r="M22" s="71">
        <v>102864</v>
      </c>
      <c r="N22" s="72">
        <v>1726197</v>
      </c>
    </row>
    <row r="23" spans="1:14" x14ac:dyDescent="0.25">
      <c r="A23" s="61" t="s">
        <v>26</v>
      </c>
      <c r="B23" s="71">
        <v>112779</v>
      </c>
      <c r="C23" s="71">
        <v>146061</v>
      </c>
      <c r="D23" s="71">
        <v>182902</v>
      </c>
      <c r="E23" s="71">
        <v>211067</v>
      </c>
      <c r="F23" s="71">
        <v>198164</v>
      </c>
      <c r="G23" s="71">
        <v>204003</v>
      </c>
      <c r="H23" s="71">
        <v>214156</v>
      </c>
      <c r="I23" s="71">
        <v>221894</v>
      </c>
      <c r="J23" s="71">
        <v>211662</v>
      </c>
      <c r="K23" s="71">
        <v>215713</v>
      </c>
      <c r="L23" s="71">
        <v>190819</v>
      </c>
      <c r="M23" s="71">
        <v>197925</v>
      </c>
      <c r="N23" s="72">
        <v>2307145</v>
      </c>
    </row>
    <row r="24" spans="1:14" x14ac:dyDescent="0.25">
      <c r="A24" s="61" t="s">
        <v>27</v>
      </c>
      <c r="B24" s="71">
        <v>108636</v>
      </c>
      <c r="C24" s="71">
        <v>106740</v>
      </c>
      <c r="D24" s="71">
        <v>118583</v>
      </c>
      <c r="E24" s="71">
        <v>114258</v>
      </c>
      <c r="F24" s="71">
        <v>117423</v>
      </c>
      <c r="G24" s="71">
        <v>107501</v>
      </c>
      <c r="H24" s="71">
        <v>102624</v>
      </c>
      <c r="I24" s="71">
        <v>108231</v>
      </c>
      <c r="J24" s="71">
        <v>108054</v>
      </c>
      <c r="K24" s="71">
        <v>117654</v>
      </c>
      <c r="L24" s="71">
        <v>111300</v>
      </c>
      <c r="M24" s="71">
        <v>102591</v>
      </c>
      <c r="N24" s="72">
        <v>1323595</v>
      </c>
    </row>
    <row r="25" spans="1:14" x14ac:dyDescent="0.25">
      <c r="A25" s="61" t="s">
        <v>28</v>
      </c>
      <c r="B25" s="71">
        <v>107066</v>
      </c>
      <c r="C25" s="71">
        <v>103602</v>
      </c>
      <c r="D25" s="71">
        <v>111237</v>
      </c>
      <c r="E25" s="71">
        <v>107403</v>
      </c>
      <c r="F25" s="71">
        <v>119448</v>
      </c>
      <c r="G25" s="71">
        <v>110769</v>
      </c>
      <c r="H25" s="71">
        <v>116697</v>
      </c>
      <c r="I25" s="71">
        <v>112034</v>
      </c>
      <c r="J25" s="71">
        <v>104729</v>
      </c>
      <c r="K25" s="71">
        <v>104837</v>
      </c>
      <c r="L25" s="71">
        <v>98838</v>
      </c>
      <c r="M25" s="71">
        <v>107533</v>
      </c>
      <c r="N25" s="72">
        <v>1304193</v>
      </c>
    </row>
    <row r="26" spans="1:14" x14ac:dyDescent="0.25">
      <c r="A26" s="61" t="s">
        <v>29</v>
      </c>
      <c r="B26" s="71">
        <v>37674</v>
      </c>
      <c r="C26" s="71">
        <v>42005</v>
      </c>
      <c r="D26" s="71">
        <v>43694</v>
      </c>
      <c r="E26" s="71">
        <v>43970</v>
      </c>
      <c r="F26" s="71">
        <v>51591</v>
      </c>
      <c r="G26" s="71">
        <v>49683</v>
      </c>
      <c r="H26" s="71">
        <v>46424</v>
      </c>
      <c r="I26" s="71">
        <v>45263</v>
      </c>
      <c r="J26" s="71">
        <v>46673</v>
      </c>
      <c r="K26" s="71">
        <v>42671</v>
      </c>
      <c r="L26" s="71">
        <v>33644</v>
      </c>
      <c r="M26" s="71">
        <v>30765</v>
      </c>
      <c r="N26" s="72">
        <v>514057</v>
      </c>
    </row>
    <row r="27" spans="1:14" x14ac:dyDescent="0.25">
      <c r="A27" s="61" t="s">
        <v>30</v>
      </c>
      <c r="B27" s="71">
        <v>129897</v>
      </c>
      <c r="C27" s="71">
        <v>120894</v>
      </c>
      <c r="D27" s="71">
        <v>136532</v>
      </c>
      <c r="E27" s="71">
        <v>134397</v>
      </c>
      <c r="F27" s="71">
        <v>133093</v>
      </c>
      <c r="G27" s="71">
        <v>136073</v>
      </c>
      <c r="H27" s="71">
        <v>139281</v>
      </c>
      <c r="I27" s="71">
        <v>140788</v>
      </c>
      <c r="J27" s="71">
        <v>141073</v>
      </c>
      <c r="K27" s="71">
        <v>134319</v>
      </c>
      <c r="L27" s="71">
        <v>112752</v>
      </c>
      <c r="M27" s="71">
        <v>126113</v>
      </c>
      <c r="N27" s="72">
        <v>1585212</v>
      </c>
    </row>
    <row r="28" spans="1:14" x14ac:dyDescent="0.25">
      <c r="A28" s="61" t="s">
        <v>31</v>
      </c>
      <c r="B28" s="71">
        <v>194820</v>
      </c>
      <c r="C28" s="71">
        <v>189042</v>
      </c>
      <c r="D28" s="71">
        <v>202906</v>
      </c>
      <c r="E28" s="71">
        <v>194022</v>
      </c>
      <c r="F28" s="71">
        <v>202675</v>
      </c>
      <c r="G28" s="71">
        <v>204731</v>
      </c>
      <c r="H28" s="71">
        <v>214326</v>
      </c>
      <c r="I28" s="71">
        <v>211343</v>
      </c>
      <c r="J28" s="71">
        <v>199771</v>
      </c>
      <c r="K28" s="71">
        <v>206692</v>
      </c>
      <c r="L28" s="71">
        <v>193024</v>
      </c>
      <c r="M28" s="71">
        <v>212781</v>
      </c>
      <c r="N28" s="72">
        <v>2426133</v>
      </c>
    </row>
    <row r="29" spans="1:14" x14ac:dyDescent="0.25">
      <c r="A29" s="61" t="s">
        <v>32</v>
      </c>
      <c r="B29" s="71">
        <v>64476</v>
      </c>
      <c r="C29" s="71">
        <v>61830</v>
      </c>
      <c r="D29" s="71">
        <v>73836</v>
      </c>
      <c r="E29" s="71">
        <v>71324</v>
      </c>
      <c r="F29" s="71">
        <v>71042</v>
      </c>
      <c r="G29" s="71">
        <v>72328</v>
      </c>
      <c r="H29" s="71">
        <v>71561</v>
      </c>
      <c r="I29" s="71">
        <v>73198</v>
      </c>
      <c r="J29" s="71">
        <v>63695</v>
      </c>
      <c r="K29" s="71">
        <v>64992</v>
      </c>
      <c r="L29" s="71">
        <v>59231</v>
      </c>
      <c r="M29" s="71">
        <v>56667</v>
      </c>
      <c r="N29" s="72">
        <v>804180</v>
      </c>
    </row>
    <row r="30" spans="1:14" x14ac:dyDescent="0.25">
      <c r="A30" s="61" t="s">
        <v>33</v>
      </c>
      <c r="B30" s="71">
        <v>98646</v>
      </c>
      <c r="C30" s="71">
        <v>106232</v>
      </c>
      <c r="D30" s="71">
        <v>109648</v>
      </c>
      <c r="E30" s="71">
        <v>110642</v>
      </c>
      <c r="F30" s="71">
        <v>130669</v>
      </c>
      <c r="G30" s="71">
        <v>125709</v>
      </c>
      <c r="H30" s="71">
        <v>128052</v>
      </c>
      <c r="I30" s="71">
        <v>131954</v>
      </c>
      <c r="J30" s="71">
        <v>126987</v>
      </c>
      <c r="K30" s="71">
        <v>137679</v>
      </c>
      <c r="L30" s="71">
        <v>128233</v>
      </c>
      <c r="M30" s="71">
        <v>129034</v>
      </c>
      <c r="N30" s="72">
        <v>1463485</v>
      </c>
    </row>
    <row r="31" spans="1:14" x14ac:dyDescent="0.25">
      <c r="A31" s="61" t="s">
        <v>34</v>
      </c>
      <c r="B31" s="71">
        <v>44070</v>
      </c>
      <c r="C31" s="71">
        <v>41988</v>
      </c>
      <c r="D31" s="71">
        <v>46922</v>
      </c>
      <c r="E31" s="71">
        <v>45920</v>
      </c>
      <c r="F31" s="71">
        <v>49248</v>
      </c>
      <c r="G31" s="71">
        <v>45159</v>
      </c>
      <c r="H31" s="71">
        <v>44937</v>
      </c>
      <c r="I31" s="71">
        <v>44887</v>
      </c>
      <c r="J31" s="71">
        <v>45569</v>
      </c>
      <c r="K31" s="71">
        <v>46489</v>
      </c>
      <c r="L31" s="71">
        <v>40216</v>
      </c>
      <c r="M31" s="71">
        <v>36655</v>
      </c>
      <c r="N31" s="72">
        <v>532060</v>
      </c>
    </row>
    <row r="32" spans="1:14" x14ac:dyDescent="0.25">
      <c r="A32" s="61" t="s">
        <v>35</v>
      </c>
      <c r="B32" s="71">
        <v>299853</v>
      </c>
      <c r="C32" s="71">
        <v>266802</v>
      </c>
      <c r="D32" s="71">
        <v>317511</v>
      </c>
      <c r="E32" s="71">
        <v>289410</v>
      </c>
      <c r="F32" s="71">
        <v>289039</v>
      </c>
      <c r="G32" s="71">
        <v>281565</v>
      </c>
      <c r="H32" s="71">
        <v>303007</v>
      </c>
      <c r="I32" s="71">
        <v>316469</v>
      </c>
      <c r="J32" s="71">
        <v>271424</v>
      </c>
      <c r="K32" s="71">
        <v>263709</v>
      </c>
      <c r="L32" s="71">
        <v>241676</v>
      </c>
      <c r="M32" s="71">
        <v>270029</v>
      </c>
      <c r="N32" s="72">
        <v>3410494</v>
      </c>
    </row>
    <row r="33" spans="1:14" x14ac:dyDescent="0.25">
      <c r="A33" s="61" t="s">
        <v>36</v>
      </c>
      <c r="B33" s="71">
        <v>105456</v>
      </c>
      <c r="C33" s="71">
        <v>101159</v>
      </c>
      <c r="D33" s="71">
        <v>109847</v>
      </c>
      <c r="E33" s="71">
        <v>108713</v>
      </c>
      <c r="F33" s="71">
        <v>120758</v>
      </c>
      <c r="G33" s="71">
        <v>120368</v>
      </c>
      <c r="H33" s="71">
        <v>121161</v>
      </c>
      <c r="I33" s="71">
        <v>127759</v>
      </c>
      <c r="J33" s="71">
        <v>121750</v>
      </c>
      <c r="K33" s="71">
        <v>123970</v>
      </c>
      <c r="L33" s="71">
        <v>111864</v>
      </c>
      <c r="M33" s="71">
        <v>119998</v>
      </c>
      <c r="N33" s="72">
        <v>1392803</v>
      </c>
    </row>
    <row r="34" spans="1:14" x14ac:dyDescent="0.25">
      <c r="A34" s="61" t="s">
        <v>37</v>
      </c>
      <c r="B34" s="71">
        <v>22256</v>
      </c>
      <c r="C34" s="71">
        <v>23321</v>
      </c>
      <c r="D34" s="71">
        <v>24442</v>
      </c>
      <c r="E34" s="71">
        <v>23474</v>
      </c>
      <c r="F34" s="71">
        <v>21815</v>
      </c>
      <c r="G34" s="71">
        <v>23004</v>
      </c>
      <c r="H34" s="71">
        <v>20470</v>
      </c>
      <c r="I34" s="71">
        <v>23171</v>
      </c>
      <c r="J34" s="71">
        <v>33425</v>
      </c>
      <c r="K34" s="71">
        <v>33538</v>
      </c>
      <c r="L34" s="71">
        <v>32016</v>
      </c>
      <c r="M34" s="71">
        <v>37548</v>
      </c>
      <c r="N34" s="72">
        <v>318480</v>
      </c>
    </row>
    <row r="35" spans="1:14" ht="15.75" thickBot="1" x14ac:dyDescent="0.3">
      <c r="A35" s="65" t="s">
        <v>55</v>
      </c>
      <c r="B35" s="73">
        <v>4372018</v>
      </c>
      <c r="C35" s="73">
        <v>4213281</v>
      </c>
      <c r="D35" s="73">
        <v>4719261</v>
      </c>
      <c r="E35" s="73">
        <v>4486746</v>
      </c>
      <c r="F35" s="73">
        <v>4642898</v>
      </c>
      <c r="G35" s="73">
        <v>4507126</v>
      </c>
      <c r="H35" s="73">
        <v>4672166</v>
      </c>
      <c r="I35" s="73">
        <v>4663030</v>
      </c>
      <c r="J35" s="73">
        <v>4474092</v>
      </c>
      <c r="K35" s="73">
        <v>4575975</v>
      </c>
      <c r="L35" s="73">
        <v>4383687</v>
      </c>
      <c r="M35" s="73">
        <v>4478393</v>
      </c>
      <c r="N35" s="74">
        <v>54188673</v>
      </c>
    </row>
  </sheetData>
  <mergeCells count="2">
    <mergeCell ref="A1:M1"/>
    <mergeCell ref="N1:N2"/>
  </mergeCells>
  <phoneticPr fontId="2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2D9E-D277-452F-93D3-7E2B6FB57518}">
  <dimension ref="A1:N35"/>
  <sheetViews>
    <sheetView showGridLines="0" topLeftCell="A5" workbookViewId="0">
      <selection activeCell="L28" sqref="L28"/>
    </sheetView>
  </sheetViews>
  <sheetFormatPr baseColWidth="10" defaultColWidth="11.42578125" defaultRowHeight="15" x14ac:dyDescent="0.25"/>
  <cols>
    <col min="1" max="1" width="20.140625" customWidth="1"/>
  </cols>
  <sheetData>
    <row r="1" spans="1:14" ht="45" customHeight="1" x14ac:dyDescent="0.25">
      <c r="A1" s="86" t="s">
        <v>78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 t="s">
        <v>55</v>
      </c>
    </row>
    <row r="2" spans="1:14" x14ac:dyDescent="0.25">
      <c r="A2" s="63" t="s">
        <v>65</v>
      </c>
      <c r="B2" s="63" t="s">
        <v>66</v>
      </c>
      <c r="C2" s="63" t="s">
        <v>67</v>
      </c>
      <c r="D2" s="63" t="s">
        <v>68</v>
      </c>
      <c r="E2" s="63" t="s">
        <v>69</v>
      </c>
      <c r="F2" s="63" t="s">
        <v>70</v>
      </c>
      <c r="G2" s="63" t="s">
        <v>71</v>
      </c>
      <c r="H2" s="63" t="s">
        <v>72</v>
      </c>
      <c r="I2" s="63" t="s">
        <v>73</v>
      </c>
      <c r="J2" s="63" t="s">
        <v>74</v>
      </c>
      <c r="K2" s="63" t="s">
        <v>75</v>
      </c>
      <c r="L2" s="63" t="s">
        <v>76</v>
      </c>
      <c r="M2" s="63" t="s">
        <v>77</v>
      </c>
      <c r="N2" s="87"/>
    </row>
    <row r="3" spans="1:14" x14ac:dyDescent="0.25">
      <c r="A3" s="61" t="s">
        <v>5</v>
      </c>
      <c r="B3" s="62"/>
      <c r="C3" s="62"/>
      <c r="D3" s="62"/>
      <c r="E3" s="62"/>
      <c r="F3" s="62"/>
      <c r="G3" s="62"/>
      <c r="H3" s="62"/>
      <c r="I3" s="62"/>
      <c r="J3" s="62">
        <v>0</v>
      </c>
      <c r="K3" s="62">
        <v>107</v>
      </c>
      <c r="L3" s="62">
        <v>68</v>
      </c>
      <c r="M3" s="62">
        <v>75</v>
      </c>
      <c r="N3" s="66">
        <f>+SUM(B3:M3)</f>
        <v>250</v>
      </c>
    </row>
    <row r="4" spans="1:14" x14ac:dyDescent="0.25">
      <c r="A4" s="61" t="s">
        <v>51</v>
      </c>
      <c r="B4" s="62"/>
      <c r="C4" s="62"/>
      <c r="D4" s="62"/>
      <c r="E4" s="62"/>
      <c r="F4" s="62"/>
      <c r="G4" s="62"/>
      <c r="H4" s="62"/>
      <c r="I4" s="62"/>
      <c r="J4" s="62">
        <v>1949</v>
      </c>
      <c r="K4" s="62">
        <v>1805</v>
      </c>
      <c r="L4" s="62">
        <v>1462</v>
      </c>
      <c r="M4" s="62">
        <v>1661</v>
      </c>
      <c r="N4" s="66">
        <f t="shared" ref="N4:N35" si="0">+SUM(B4:M4)</f>
        <v>6877</v>
      </c>
    </row>
    <row r="5" spans="1:14" x14ac:dyDescent="0.25">
      <c r="A5" s="61" t="s">
        <v>8</v>
      </c>
      <c r="B5" s="62"/>
      <c r="C5" s="62"/>
      <c r="D5" s="62"/>
      <c r="E5" s="62"/>
      <c r="F5" s="62"/>
      <c r="G5" s="62"/>
      <c r="H5" s="62"/>
      <c r="I5" s="62"/>
      <c r="J5" s="62">
        <v>137</v>
      </c>
      <c r="K5" s="62">
        <v>202</v>
      </c>
      <c r="L5" s="62">
        <v>215</v>
      </c>
      <c r="M5" s="62">
        <v>144</v>
      </c>
      <c r="N5" s="66">
        <f t="shared" si="0"/>
        <v>698</v>
      </c>
    </row>
    <row r="6" spans="1:14" x14ac:dyDescent="0.25">
      <c r="A6" s="61" t="s">
        <v>9</v>
      </c>
      <c r="B6" s="62"/>
      <c r="C6" s="62"/>
      <c r="D6" s="62"/>
      <c r="E6" s="62"/>
      <c r="F6" s="62"/>
      <c r="G6" s="62"/>
      <c r="H6" s="62"/>
      <c r="I6" s="62"/>
      <c r="J6" s="62">
        <v>116</v>
      </c>
      <c r="K6" s="62">
        <v>148</v>
      </c>
      <c r="L6" s="62">
        <v>130</v>
      </c>
      <c r="M6" s="62">
        <v>114</v>
      </c>
      <c r="N6" s="66">
        <f t="shared" si="0"/>
        <v>508</v>
      </c>
    </row>
    <row r="7" spans="1:14" x14ac:dyDescent="0.25">
      <c r="A7" s="61" t="s">
        <v>10</v>
      </c>
      <c r="B7" s="62"/>
      <c r="C7" s="62"/>
      <c r="D7" s="62"/>
      <c r="E7" s="62"/>
      <c r="F7" s="62"/>
      <c r="G7" s="62"/>
      <c r="H7" s="62"/>
      <c r="I7" s="62"/>
      <c r="J7" s="62">
        <v>240</v>
      </c>
      <c r="K7" s="62">
        <v>303</v>
      </c>
      <c r="L7" s="62">
        <v>245</v>
      </c>
      <c r="M7" s="62">
        <v>257</v>
      </c>
      <c r="N7" s="66">
        <f t="shared" si="0"/>
        <v>1045</v>
      </c>
    </row>
    <row r="8" spans="1:14" x14ac:dyDescent="0.25">
      <c r="A8" s="61" t="s">
        <v>11</v>
      </c>
      <c r="B8" s="62"/>
      <c r="C8" s="62"/>
      <c r="D8" s="62"/>
      <c r="E8" s="62"/>
      <c r="F8" s="62"/>
      <c r="G8" s="62"/>
      <c r="H8" s="62"/>
      <c r="I8" s="62"/>
      <c r="J8" s="62">
        <v>371</v>
      </c>
      <c r="K8" s="62">
        <v>371</v>
      </c>
      <c r="L8" s="62">
        <v>337</v>
      </c>
      <c r="M8" s="62">
        <v>325</v>
      </c>
      <c r="N8" s="66">
        <f t="shared" si="0"/>
        <v>1404</v>
      </c>
    </row>
    <row r="9" spans="1:14" x14ac:dyDescent="0.25">
      <c r="A9" s="61" t="s">
        <v>12</v>
      </c>
      <c r="B9" s="62"/>
      <c r="C9" s="62"/>
      <c r="D9" s="62"/>
      <c r="E9" s="62"/>
      <c r="F9" s="62"/>
      <c r="G9" s="62"/>
      <c r="H9" s="62"/>
      <c r="I9" s="62"/>
      <c r="J9" s="62">
        <v>1147</v>
      </c>
      <c r="K9" s="62">
        <v>1296</v>
      </c>
      <c r="L9" s="62">
        <v>983</v>
      </c>
      <c r="M9" s="62">
        <v>1069</v>
      </c>
      <c r="N9" s="66">
        <f t="shared" si="0"/>
        <v>4495</v>
      </c>
    </row>
    <row r="10" spans="1:14" x14ac:dyDescent="0.25">
      <c r="A10" s="61" t="s">
        <v>52</v>
      </c>
      <c r="B10" s="62"/>
      <c r="C10" s="62"/>
      <c r="D10" s="62"/>
      <c r="E10" s="62"/>
      <c r="F10" s="62"/>
      <c r="G10" s="62"/>
      <c r="H10" s="62"/>
      <c r="I10" s="62"/>
      <c r="J10" s="62">
        <v>669</v>
      </c>
      <c r="K10" s="62">
        <v>721</v>
      </c>
      <c r="L10" s="62">
        <v>583</v>
      </c>
      <c r="M10" s="62">
        <v>601</v>
      </c>
      <c r="N10" s="66">
        <f t="shared" si="0"/>
        <v>2574</v>
      </c>
    </row>
    <row r="11" spans="1:14" x14ac:dyDescent="0.25">
      <c r="A11" s="61" t="s">
        <v>14</v>
      </c>
      <c r="B11" s="62"/>
      <c r="C11" s="62"/>
      <c r="D11" s="62"/>
      <c r="E11" s="62"/>
      <c r="F11" s="62"/>
      <c r="G11" s="62"/>
      <c r="H11" s="62"/>
      <c r="I11" s="62"/>
      <c r="J11" s="62">
        <v>10238</v>
      </c>
      <c r="K11" s="62">
        <v>10661</v>
      </c>
      <c r="L11" s="62">
        <v>8793</v>
      </c>
      <c r="M11" s="62">
        <v>8464</v>
      </c>
      <c r="N11" s="66">
        <f t="shared" si="0"/>
        <v>38156</v>
      </c>
    </row>
    <row r="12" spans="1:14" x14ac:dyDescent="0.25">
      <c r="A12" s="61" t="s">
        <v>15</v>
      </c>
      <c r="B12" s="62"/>
      <c r="C12" s="62"/>
      <c r="D12" s="62"/>
      <c r="E12" s="62"/>
      <c r="F12" s="62"/>
      <c r="G12" s="62"/>
      <c r="H12" s="62"/>
      <c r="I12" s="62"/>
      <c r="J12" s="62">
        <v>211</v>
      </c>
      <c r="K12" s="62">
        <v>166</v>
      </c>
      <c r="L12" s="62">
        <v>213</v>
      </c>
      <c r="M12" s="62">
        <v>162</v>
      </c>
      <c r="N12" s="66">
        <f t="shared" si="0"/>
        <v>752</v>
      </c>
    </row>
    <row r="13" spans="1:14" x14ac:dyDescent="0.25">
      <c r="A13" s="61" t="s">
        <v>16</v>
      </c>
      <c r="B13" s="62"/>
      <c r="C13" s="62"/>
      <c r="D13" s="62"/>
      <c r="E13" s="62"/>
      <c r="F13" s="62"/>
      <c r="G13" s="62"/>
      <c r="H13" s="62"/>
      <c r="I13" s="62"/>
      <c r="J13" s="62">
        <v>1344</v>
      </c>
      <c r="K13" s="62">
        <v>1323</v>
      </c>
      <c r="L13" s="62">
        <v>1241</v>
      </c>
      <c r="M13" s="62">
        <v>1293</v>
      </c>
      <c r="N13" s="66">
        <f t="shared" si="0"/>
        <v>5201</v>
      </c>
    </row>
    <row r="14" spans="1:14" x14ac:dyDescent="0.25">
      <c r="A14" s="61" t="s">
        <v>17</v>
      </c>
      <c r="B14" s="62"/>
      <c r="C14" s="62"/>
      <c r="D14" s="62"/>
      <c r="E14" s="62"/>
      <c r="F14" s="62"/>
      <c r="G14" s="62"/>
      <c r="H14" s="62"/>
      <c r="I14" s="62"/>
      <c r="J14" s="62">
        <v>235</v>
      </c>
      <c r="K14" s="62">
        <v>235</v>
      </c>
      <c r="L14" s="62">
        <v>181</v>
      </c>
      <c r="M14" s="62">
        <v>164</v>
      </c>
      <c r="N14" s="66">
        <f t="shared" si="0"/>
        <v>815</v>
      </c>
    </row>
    <row r="15" spans="1:14" x14ac:dyDescent="0.25">
      <c r="A15" s="61" t="s">
        <v>18</v>
      </c>
      <c r="B15" s="62"/>
      <c r="C15" s="62"/>
      <c r="D15" s="62"/>
      <c r="E15" s="62"/>
      <c r="F15" s="62"/>
      <c r="G15" s="62"/>
      <c r="H15" s="62"/>
      <c r="I15" s="62"/>
      <c r="J15" s="62">
        <v>966</v>
      </c>
      <c r="K15" s="62">
        <v>1008</v>
      </c>
      <c r="L15" s="62">
        <v>931</v>
      </c>
      <c r="M15" s="62">
        <v>834</v>
      </c>
      <c r="N15" s="66">
        <f t="shared" si="0"/>
        <v>3739</v>
      </c>
    </row>
    <row r="16" spans="1:14" x14ac:dyDescent="0.25">
      <c r="A16" s="61" t="s">
        <v>19</v>
      </c>
      <c r="B16" s="62"/>
      <c r="C16" s="62"/>
      <c r="D16" s="62"/>
      <c r="E16" s="62"/>
      <c r="F16" s="62"/>
      <c r="G16" s="62"/>
      <c r="H16" s="62"/>
      <c r="I16" s="62"/>
      <c r="J16" s="62">
        <v>1549</v>
      </c>
      <c r="K16" s="62">
        <v>1722</v>
      </c>
      <c r="L16" s="62">
        <v>571</v>
      </c>
      <c r="M16" s="62">
        <v>1397</v>
      </c>
      <c r="N16" s="66">
        <f t="shared" si="0"/>
        <v>5239</v>
      </c>
    </row>
    <row r="17" spans="1:14" x14ac:dyDescent="0.25">
      <c r="A17" s="61" t="s">
        <v>53</v>
      </c>
      <c r="B17" s="62"/>
      <c r="C17" s="62"/>
      <c r="D17" s="62"/>
      <c r="E17" s="62"/>
      <c r="F17" s="62"/>
      <c r="G17" s="62"/>
      <c r="H17" s="62"/>
      <c r="I17" s="62"/>
      <c r="J17" s="62">
        <v>6531</v>
      </c>
      <c r="K17" s="62">
        <v>6695</v>
      </c>
      <c r="L17" s="62">
        <v>6256</v>
      </c>
      <c r="M17" s="62">
        <v>6135</v>
      </c>
      <c r="N17" s="66">
        <f t="shared" si="0"/>
        <v>25617</v>
      </c>
    </row>
    <row r="18" spans="1:14" x14ac:dyDescent="0.25">
      <c r="A18" s="61" t="s">
        <v>21</v>
      </c>
      <c r="B18" s="62"/>
      <c r="C18" s="62"/>
      <c r="D18" s="62"/>
      <c r="E18" s="62"/>
      <c r="F18" s="62"/>
      <c r="G18" s="62"/>
      <c r="H18" s="62"/>
      <c r="I18" s="62"/>
      <c r="J18" s="62">
        <v>0</v>
      </c>
      <c r="K18" s="62">
        <v>1022</v>
      </c>
      <c r="L18" s="62">
        <v>1292</v>
      </c>
      <c r="M18" s="62">
        <v>1070</v>
      </c>
      <c r="N18" s="66">
        <f t="shared" si="0"/>
        <v>3384</v>
      </c>
    </row>
    <row r="19" spans="1:14" x14ac:dyDescent="0.25">
      <c r="A19" s="61" t="s">
        <v>22</v>
      </c>
      <c r="B19" s="62"/>
      <c r="C19" s="62"/>
      <c r="D19" s="62"/>
      <c r="E19" s="62"/>
      <c r="F19" s="62"/>
      <c r="G19" s="62"/>
      <c r="H19" s="62"/>
      <c r="I19" s="62"/>
      <c r="J19" s="62">
        <v>681</v>
      </c>
      <c r="K19" s="62">
        <v>675</v>
      </c>
      <c r="L19" s="62">
        <v>676</v>
      </c>
      <c r="M19" s="62">
        <v>555</v>
      </c>
      <c r="N19" s="66">
        <f t="shared" si="0"/>
        <v>2587</v>
      </c>
    </row>
    <row r="20" spans="1:14" x14ac:dyDescent="0.25">
      <c r="A20" s="61" t="s">
        <v>23</v>
      </c>
      <c r="B20" s="62"/>
      <c r="C20" s="62"/>
      <c r="D20" s="62"/>
      <c r="E20" s="62"/>
      <c r="F20" s="62"/>
      <c r="G20" s="62"/>
      <c r="H20" s="62"/>
      <c r="I20" s="62"/>
      <c r="J20" s="62">
        <v>168</v>
      </c>
      <c r="K20" s="62">
        <v>122</v>
      </c>
      <c r="L20" s="62">
        <v>100</v>
      </c>
      <c r="M20" s="62">
        <v>100</v>
      </c>
      <c r="N20" s="66">
        <f t="shared" si="0"/>
        <v>490</v>
      </c>
    </row>
    <row r="21" spans="1:14" x14ac:dyDescent="0.25">
      <c r="A21" s="61" t="s">
        <v>54</v>
      </c>
      <c r="B21" s="62"/>
      <c r="C21" s="62"/>
      <c r="D21" s="62"/>
      <c r="E21" s="62"/>
      <c r="F21" s="62"/>
      <c r="G21" s="62"/>
      <c r="H21" s="62"/>
      <c r="I21" s="62"/>
      <c r="J21" s="62">
        <v>1788</v>
      </c>
      <c r="K21" s="62">
        <v>1915</v>
      </c>
      <c r="L21" s="62">
        <v>1122</v>
      </c>
      <c r="M21" s="62">
        <v>1569</v>
      </c>
      <c r="N21" s="66">
        <f t="shared" si="0"/>
        <v>6394</v>
      </c>
    </row>
    <row r="22" spans="1:14" x14ac:dyDescent="0.25">
      <c r="A22" s="61" t="s">
        <v>25</v>
      </c>
      <c r="B22" s="62"/>
      <c r="C22" s="62"/>
      <c r="D22" s="62"/>
      <c r="E22" s="62"/>
      <c r="F22" s="62"/>
      <c r="G22" s="62"/>
      <c r="H22" s="62"/>
      <c r="I22" s="62"/>
      <c r="J22" s="62">
        <v>691</v>
      </c>
      <c r="K22" s="62">
        <v>733</v>
      </c>
      <c r="L22" s="62">
        <v>478</v>
      </c>
      <c r="M22" s="62">
        <v>576</v>
      </c>
      <c r="N22" s="66">
        <f t="shared" si="0"/>
        <v>2478</v>
      </c>
    </row>
    <row r="23" spans="1:14" x14ac:dyDescent="0.25">
      <c r="A23" s="61" t="s">
        <v>26</v>
      </c>
      <c r="B23" s="62"/>
      <c r="C23" s="62"/>
      <c r="D23" s="62"/>
      <c r="E23" s="62"/>
      <c r="F23" s="62"/>
      <c r="G23" s="62"/>
      <c r="H23" s="62"/>
      <c r="I23" s="62"/>
      <c r="J23" s="62">
        <v>836</v>
      </c>
      <c r="K23" s="62">
        <v>895</v>
      </c>
      <c r="L23" s="62">
        <v>1002</v>
      </c>
      <c r="M23" s="62">
        <v>727</v>
      </c>
      <c r="N23" s="66">
        <f t="shared" si="0"/>
        <v>3460</v>
      </c>
    </row>
    <row r="24" spans="1:14" x14ac:dyDescent="0.25">
      <c r="A24" s="61" t="s">
        <v>27</v>
      </c>
      <c r="B24" s="62"/>
      <c r="C24" s="62"/>
      <c r="D24" s="62"/>
      <c r="E24" s="62"/>
      <c r="F24" s="62"/>
      <c r="G24" s="62"/>
      <c r="H24" s="62"/>
      <c r="I24" s="62"/>
      <c r="J24" s="62">
        <v>1137</v>
      </c>
      <c r="K24" s="62">
        <v>1419</v>
      </c>
      <c r="L24" s="62">
        <v>1418</v>
      </c>
      <c r="M24" s="62">
        <v>1264</v>
      </c>
      <c r="N24" s="66">
        <f t="shared" si="0"/>
        <v>5238</v>
      </c>
    </row>
    <row r="25" spans="1:14" x14ac:dyDescent="0.25">
      <c r="A25" s="61" t="s">
        <v>28</v>
      </c>
      <c r="B25" s="62"/>
      <c r="C25" s="62"/>
      <c r="D25" s="62"/>
      <c r="E25" s="62"/>
      <c r="F25" s="62"/>
      <c r="G25" s="62"/>
      <c r="H25" s="62"/>
      <c r="I25" s="62"/>
      <c r="J25" s="62">
        <v>730</v>
      </c>
      <c r="K25" s="62">
        <v>720</v>
      </c>
      <c r="L25" s="62">
        <v>995</v>
      </c>
      <c r="M25" s="62">
        <v>276</v>
      </c>
      <c r="N25" s="66">
        <f t="shared" si="0"/>
        <v>2721</v>
      </c>
    </row>
    <row r="26" spans="1:14" x14ac:dyDescent="0.25">
      <c r="A26" s="61" t="s">
        <v>29</v>
      </c>
      <c r="B26" s="62"/>
      <c r="C26" s="62"/>
      <c r="D26" s="62"/>
      <c r="E26" s="62"/>
      <c r="F26" s="62"/>
      <c r="G26" s="62"/>
      <c r="H26" s="62"/>
      <c r="I26" s="62"/>
      <c r="J26" s="62">
        <v>222</v>
      </c>
      <c r="K26" s="62">
        <v>162</v>
      </c>
      <c r="L26" s="62">
        <v>123</v>
      </c>
      <c r="M26" s="62">
        <v>162</v>
      </c>
      <c r="N26" s="66">
        <f t="shared" si="0"/>
        <v>669</v>
      </c>
    </row>
    <row r="27" spans="1:14" x14ac:dyDescent="0.25">
      <c r="A27" s="61" t="s">
        <v>30</v>
      </c>
      <c r="B27" s="62"/>
      <c r="C27" s="62"/>
      <c r="D27" s="62"/>
      <c r="E27" s="62"/>
      <c r="F27" s="62"/>
      <c r="G27" s="62"/>
      <c r="H27" s="62"/>
      <c r="I27" s="62"/>
      <c r="J27" s="62">
        <v>284</v>
      </c>
      <c r="K27" s="62">
        <v>212</v>
      </c>
      <c r="L27" s="62">
        <v>224</v>
      </c>
      <c r="M27" s="62">
        <v>289</v>
      </c>
      <c r="N27" s="66">
        <f t="shared" si="0"/>
        <v>1009</v>
      </c>
    </row>
    <row r="28" spans="1:14" x14ac:dyDescent="0.25">
      <c r="A28" s="61" t="s">
        <v>31</v>
      </c>
      <c r="B28" s="62"/>
      <c r="C28" s="62"/>
      <c r="D28" s="62"/>
      <c r="E28" s="62"/>
      <c r="F28" s="62"/>
      <c r="G28" s="62"/>
      <c r="H28" s="62"/>
      <c r="I28" s="62"/>
      <c r="J28" s="62">
        <v>714</v>
      </c>
      <c r="K28" s="62">
        <v>944</v>
      </c>
      <c r="L28" s="62">
        <v>1131</v>
      </c>
      <c r="M28" s="62">
        <v>1099</v>
      </c>
      <c r="N28" s="66">
        <f t="shared" si="0"/>
        <v>3888</v>
      </c>
    </row>
    <row r="29" spans="1:14" x14ac:dyDescent="0.25">
      <c r="A29" s="61" t="s">
        <v>32</v>
      </c>
      <c r="B29" s="62"/>
      <c r="C29" s="62"/>
      <c r="D29" s="62"/>
      <c r="E29" s="62"/>
      <c r="F29" s="62"/>
      <c r="G29" s="62"/>
      <c r="H29" s="62"/>
      <c r="I29" s="62"/>
      <c r="J29" s="62">
        <v>432</v>
      </c>
      <c r="K29" s="62">
        <v>443</v>
      </c>
      <c r="L29" s="62">
        <v>384</v>
      </c>
      <c r="M29" s="62">
        <v>410</v>
      </c>
      <c r="N29" s="66">
        <f t="shared" si="0"/>
        <v>1669</v>
      </c>
    </row>
    <row r="30" spans="1:14" x14ac:dyDescent="0.25">
      <c r="A30" s="61" t="s">
        <v>33</v>
      </c>
      <c r="B30" s="62"/>
      <c r="C30" s="62"/>
      <c r="D30" s="62"/>
      <c r="E30" s="62"/>
      <c r="F30" s="62"/>
      <c r="G30" s="62"/>
      <c r="H30" s="62"/>
      <c r="I30" s="62"/>
      <c r="J30" s="62">
        <v>443</v>
      </c>
      <c r="K30" s="62">
        <v>363</v>
      </c>
      <c r="L30" s="62">
        <v>418</v>
      </c>
      <c r="M30" s="62">
        <v>349</v>
      </c>
      <c r="N30" s="66">
        <f t="shared" si="0"/>
        <v>1573</v>
      </c>
    </row>
    <row r="31" spans="1:14" x14ac:dyDescent="0.25">
      <c r="A31" s="61" t="s">
        <v>34</v>
      </c>
      <c r="B31" s="62"/>
      <c r="C31" s="62"/>
      <c r="D31" s="62"/>
      <c r="E31" s="62"/>
      <c r="F31" s="62"/>
      <c r="G31" s="62"/>
      <c r="H31" s="62"/>
      <c r="I31" s="62"/>
      <c r="J31" s="62">
        <v>604</v>
      </c>
      <c r="K31" s="62">
        <v>559</v>
      </c>
      <c r="L31" s="62">
        <v>546</v>
      </c>
      <c r="M31" s="62">
        <v>484</v>
      </c>
      <c r="N31" s="66">
        <f t="shared" si="0"/>
        <v>2193</v>
      </c>
    </row>
    <row r="32" spans="1:14" x14ac:dyDescent="0.25">
      <c r="A32" s="61" t="s">
        <v>35</v>
      </c>
      <c r="B32" s="62"/>
      <c r="C32" s="62"/>
      <c r="D32" s="62"/>
      <c r="E32" s="62"/>
      <c r="F32" s="62"/>
      <c r="G32" s="62"/>
      <c r="H32" s="62"/>
      <c r="I32" s="62"/>
      <c r="J32" s="62">
        <v>179</v>
      </c>
      <c r="K32" s="62">
        <v>172</v>
      </c>
      <c r="L32" s="62">
        <v>211</v>
      </c>
      <c r="M32" s="62">
        <v>177</v>
      </c>
      <c r="N32" s="66">
        <f t="shared" si="0"/>
        <v>739</v>
      </c>
    </row>
    <row r="33" spans="1:14" x14ac:dyDescent="0.25">
      <c r="A33" s="61" t="s">
        <v>36</v>
      </c>
      <c r="B33" s="62"/>
      <c r="C33" s="62"/>
      <c r="D33" s="62"/>
      <c r="E33" s="62"/>
      <c r="F33" s="62"/>
      <c r="G33" s="62"/>
      <c r="H33" s="62"/>
      <c r="I33" s="62"/>
      <c r="J33" s="62">
        <v>190</v>
      </c>
      <c r="K33" s="62">
        <v>189</v>
      </c>
      <c r="L33" s="62">
        <v>138</v>
      </c>
      <c r="M33" s="62">
        <v>171</v>
      </c>
      <c r="N33" s="66">
        <f t="shared" si="0"/>
        <v>688</v>
      </c>
    </row>
    <row r="34" spans="1:14" x14ac:dyDescent="0.25">
      <c r="A34" s="61" t="s">
        <v>37</v>
      </c>
      <c r="B34" s="62"/>
      <c r="C34" s="62"/>
      <c r="D34" s="62"/>
      <c r="E34" s="62"/>
      <c r="F34" s="62"/>
      <c r="G34" s="62"/>
      <c r="H34" s="62"/>
      <c r="I34" s="62"/>
      <c r="J34" s="62">
        <v>135</v>
      </c>
      <c r="K34" s="62">
        <v>115</v>
      </c>
      <c r="L34" s="62">
        <v>126</v>
      </c>
      <c r="M34" s="62">
        <v>98</v>
      </c>
      <c r="N34" s="66">
        <f t="shared" si="0"/>
        <v>474</v>
      </c>
    </row>
    <row r="35" spans="1:14" x14ac:dyDescent="0.25">
      <c r="A35" s="65" t="s">
        <v>55</v>
      </c>
      <c r="B35" s="64">
        <f>+SUBTOTAL(9,B3:B34)</f>
        <v>0</v>
      </c>
      <c r="C35" s="64">
        <f t="shared" ref="C35:M35" si="1">+SUBTOTAL(9,C3:C34)</f>
        <v>0</v>
      </c>
      <c r="D35" s="64">
        <f t="shared" si="1"/>
        <v>0</v>
      </c>
      <c r="E35" s="64">
        <f t="shared" si="1"/>
        <v>0</v>
      </c>
      <c r="F35" s="64">
        <f t="shared" si="1"/>
        <v>0</v>
      </c>
      <c r="G35" s="64">
        <f t="shared" si="1"/>
        <v>0</v>
      </c>
      <c r="H35" s="64">
        <f t="shared" si="1"/>
        <v>0</v>
      </c>
      <c r="I35" s="64">
        <f t="shared" si="1"/>
        <v>0</v>
      </c>
      <c r="J35" s="64">
        <f t="shared" si="1"/>
        <v>34937</v>
      </c>
      <c r="K35" s="64">
        <f t="shared" si="1"/>
        <v>37423</v>
      </c>
      <c r="L35" s="64">
        <f t="shared" si="1"/>
        <v>32593</v>
      </c>
      <c r="M35" s="64">
        <f t="shared" si="1"/>
        <v>32071</v>
      </c>
      <c r="N35" s="66">
        <f t="shared" si="0"/>
        <v>137024</v>
      </c>
    </row>
  </sheetData>
  <mergeCells count="2">
    <mergeCell ref="A1:M1"/>
    <mergeCell ref="N1:N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20003-F76C-4BD5-933A-6AEB3E550735}">
  <dimension ref="A1:Y834"/>
  <sheetViews>
    <sheetView showGridLines="0" zoomScale="80" zoomScaleNormal="80" workbookViewId="0">
      <pane ySplit="2" topLeftCell="A195" activePane="bottomLeft" state="frozen"/>
      <selection pane="bottomLeft" activeCell="J213" sqref="J213"/>
    </sheetView>
  </sheetViews>
  <sheetFormatPr baseColWidth="10" defaultColWidth="11.42578125" defaultRowHeight="17.25" x14ac:dyDescent="0.4"/>
  <cols>
    <col min="1" max="1" width="23.42578125" style="1" customWidth="1"/>
    <col min="2" max="2" width="12.85546875" style="1" customWidth="1"/>
    <col min="3" max="6" width="23.42578125" style="1" customWidth="1"/>
    <col min="7" max="7" width="30.140625" style="1" customWidth="1"/>
    <col min="8" max="12" width="11.42578125" style="1" customWidth="1"/>
    <col min="13" max="13" width="20.42578125" style="1" customWidth="1"/>
    <col min="14" max="16384" width="11.42578125" style="1"/>
  </cols>
  <sheetData>
    <row r="1" spans="1:7" ht="16.5" customHeight="1" x14ac:dyDescent="0.4">
      <c r="A1" s="88" t="s">
        <v>79</v>
      </c>
      <c r="B1" s="88"/>
      <c r="C1" s="88"/>
      <c r="D1" s="88"/>
      <c r="E1" s="88"/>
      <c r="F1" s="88"/>
      <c r="G1" s="88"/>
    </row>
    <row r="2" spans="1:7" ht="35.25" customHeight="1" x14ac:dyDescent="0.4">
      <c r="A2" s="29" t="s">
        <v>1</v>
      </c>
      <c r="B2" s="30" t="s">
        <v>2</v>
      </c>
      <c r="C2" s="30" t="s">
        <v>80</v>
      </c>
      <c r="D2" s="30" t="s">
        <v>81</v>
      </c>
      <c r="E2" s="31" t="s">
        <v>82</v>
      </c>
      <c r="F2" s="32" t="s">
        <v>83</v>
      </c>
      <c r="G2" s="33" t="s">
        <v>84</v>
      </c>
    </row>
    <row r="3" spans="1:7" hidden="1" x14ac:dyDescent="0.4">
      <c r="A3" s="34" t="s">
        <v>5</v>
      </c>
      <c r="B3" s="2" t="s">
        <v>6</v>
      </c>
      <c r="C3" s="28">
        <v>760</v>
      </c>
      <c r="D3" s="26">
        <v>3236</v>
      </c>
      <c r="E3" s="2"/>
      <c r="F3" s="2"/>
      <c r="G3" s="35"/>
    </row>
    <row r="4" spans="1:7" hidden="1" x14ac:dyDescent="0.4">
      <c r="A4" s="34" t="s">
        <v>51</v>
      </c>
      <c r="B4" s="2" t="s">
        <v>6</v>
      </c>
      <c r="C4" s="27">
        <v>1101</v>
      </c>
      <c r="D4" s="26">
        <v>4310</v>
      </c>
      <c r="E4" s="2"/>
      <c r="F4" s="2"/>
      <c r="G4" s="35"/>
    </row>
    <row r="5" spans="1:7" hidden="1" x14ac:dyDescent="0.4">
      <c r="A5" s="34" t="s">
        <v>8</v>
      </c>
      <c r="B5" s="2" t="s">
        <v>6</v>
      </c>
      <c r="C5" s="28">
        <v>789</v>
      </c>
      <c r="D5" s="26">
        <v>1309</v>
      </c>
      <c r="E5" s="2"/>
      <c r="F5" s="2"/>
      <c r="G5" s="35"/>
    </row>
    <row r="6" spans="1:7" hidden="1" x14ac:dyDescent="0.4">
      <c r="A6" s="34" t="s">
        <v>9</v>
      </c>
      <c r="B6" s="2" t="s">
        <v>6</v>
      </c>
      <c r="C6" s="28">
        <v>286</v>
      </c>
      <c r="D6" s="26">
        <v>1332</v>
      </c>
      <c r="E6" s="2"/>
      <c r="F6" s="2"/>
      <c r="G6" s="35"/>
    </row>
    <row r="7" spans="1:7" hidden="1" x14ac:dyDescent="0.4">
      <c r="A7" s="34" t="s">
        <v>10</v>
      </c>
      <c r="B7" s="2" t="s">
        <v>6</v>
      </c>
      <c r="C7" s="28">
        <v>835</v>
      </c>
      <c r="D7" s="26">
        <v>2675</v>
      </c>
      <c r="E7" s="2"/>
      <c r="F7" s="2"/>
      <c r="G7" s="35"/>
    </row>
    <row r="8" spans="1:7" hidden="1" x14ac:dyDescent="0.4">
      <c r="A8" s="34" t="s">
        <v>11</v>
      </c>
      <c r="B8" s="2" t="s">
        <v>6</v>
      </c>
      <c r="C8" s="27">
        <v>3433</v>
      </c>
      <c r="D8" s="26">
        <v>8359</v>
      </c>
      <c r="E8" s="2"/>
      <c r="F8" s="2"/>
      <c r="G8" s="35"/>
    </row>
    <row r="9" spans="1:7" hidden="1" x14ac:dyDescent="0.4">
      <c r="A9" s="34" t="s">
        <v>12</v>
      </c>
      <c r="B9" s="2" t="s">
        <v>6</v>
      </c>
      <c r="C9" s="27">
        <v>48724</v>
      </c>
      <c r="D9" s="26">
        <v>119650</v>
      </c>
      <c r="E9" s="2"/>
      <c r="F9" s="2"/>
      <c r="G9" s="35"/>
    </row>
    <row r="10" spans="1:7" hidden="1" x14ac:dyDescent="0.4">
      <c r="A10" s="34" t="s">
        <v>52</v>
      </c>
      <c r="B10" s="2" t="s">
        <v>6</v>
      </c>
      <c r="C10" s="28">
        <v>164</v>
      </c>
      <c r="D10" s="26">
        <v>1274</v>
      </c>
      <c r="E10" s="2"/>
      <c r="F10" s="2"/>
      <c r="G10" s="35"/>
    </row>
    <row r="11" spans="1:7" hidden="1" x14ac:dyDescent="0.4">
      <c r="A11" s="34" t="s">
        <v>14</v>
      </c>
      <c r="B11" s="2" t="s">
        <v>6</v>
      </c>
      <c r="C11" s="28">
        <v>258</v>
      </c>
      <c r="D11" s="26">
        <v>855</v>
      </c>
      <c r="E11" s="2"/>
      <c r="F11" s="2"/>
      <c r="G11" s="35"/>
    </row>
    <row r="12" spans="1:7" hidden="1" x14ac:dyDescent="0.4">
      <c r="A12" s="34" t="s">
        <v>15</v>
      </c>
      <c r="B12" s="2" t="s">
        <v>6</v>
      </c>
      <c r="C12" s="28">
        <v>547</v>
      </c>
      <c r="D12" s="26">
        <v>923</v>
      </c>
      <c r="E12" s="2"/>
      <c r="F12" s="2"/>
      <c r="G12" s="35"/>
    </row>
    <row r="13" spans="1:7" hidden="1" x14ac:dyDescent="0.4">
      <c r="A13" s="34" t="s">
        <v>16</v>
      </c>
      <c r="B13" s="2" t="s">
        <v>6</v>
      </c>
      <c r="C13" s="27">
        <v>1333</v>
      </c>
      <c r="D13" s="26">
        <v>4281</v>
      </c>
      <c r="E13" s="2"/>
      <c r="F13" s="2"/>
      <c r="G13" s="35"/>
    </row>
    <row r="14" spans="1:7" hidden="1" x14ac:dyDescent="0.4">
      <c r="A14" s="34" t="s">
        <v>17</v>
      </c>
      <c r="B14" s="2" t="s">
        <v>6</v>
      </c>
      <c r="C14" s="28">
        <v>734</v>
      </c>
      <c r="D14" s="26">
        <v>1207</v>
      </c>
      <c r="E14" s="2"/>
      <c r="F14" s="2"/>
      <c r="G14" s="35"/>
    </row>
    <row r="15" spans="1:7" hidden="1" x14ac:dyDescent="0.4">
      <c r="A15" s="34" t="s">
        <v>18</v>
      </c>
      <c r="B15" s="2" t="s">
        <v>6</v>
      </c>
      <c r="C15" s="27">
        <v>1457</v>
      </c>
      <c r="D15" s="26">
        <v>5531</v>
      </c>
      <c r="E15" s="2"/>
      <c r="F15" s="2"/>
      <c r="G15" s="35"/>
    </row>
    <row r="16" spans="1:7" hidden="1" x14ac:dyDescent="0.4">
      <c r="A16" s="34" t="s">
        <v>19</v>
      </c>
      <c r="B16" s="2" t="s">
        <v>6</v>
      </c>
      <c r="C16" s="27">
        <v>2702</v>
      </c>
      <c r="D16" s="26">
        <v>6890</v>
      </c>
      <c r="E16" s="2"/>
      <c r="F16" s="2"/>
      <c r="G16" s="35"/>
    </row>
    <row r="17" spans="1:7" hidden="1" x14ac:dyDescent="0.4">
      <c r="A17" s="34" t="s">
        <v>53</v>
      </c>
      <c r="B17" s="2" t="s">
        <v>6</v>
      </c>
      <c r="C17" s="27">
        <v>5000</v>
      </c>
      <c r="D17" s="27">
        <v>20000</v>
      </c>
      <c r="E17" s="2"/>
      <c r="F17" s="2"/>
      <c r="G17" s="35"/>
    </row>
    <row r="18" spans="1:7" hidden="1" x14ac:dyDescent="0.4">
      <c r="A18" s="34" t="s">
        <v>21</v>
      </c>
      <c r="B18" s="2" t="s">
        <v>6</v>
      </c>
      <c r="C18" s="27">
        <v>1319</v>
      </c>
      <c r="D18" s="27">
        <v>5795</v>
      </c>
      <c r="E18" s="2"/>
      <c r="F18" s="2"/>
      <c r="G18" s="35"/>
    </row>
    <row r="19" spans="1:7" hidden="1" x14ac:dyDescent="0.4">
      <c r="A19" s="34" t="s">
        <v>22</v>
      </c>
      <c r="B19" s="2" t="s">
        <v>6</v>
      </c>
      <c r="C19" s="28">
        <v>324</v>
      </c>
      <c r="D19" s="28">
        <v>934</v>
      </c>
      <c r="E19" s="2"/>
      <c r="F19" s="2"/>
      <c r="G19" s="35"/>
    </row>
    <row r="20" spans="1:7" hidden="1" x14ac:dyDescent="0.4">
      <c r="A20" s="34" t="s">
        <v>23</v>
      </c>
      <c r="B20" s="2" t="s">
        <v>6</v>
      </c>
      <c r="C20" s="28">
        <v>183</v>
      </c>
      <c r="D20" s="28">
        <v>236</v>
      </c>
      <c r="E20" s="2"/>
      <c r="F20" s="2"/>
      <c r="G20" s="35"/>
    </row>
    <row r="21" spans="1:7" hidden="1" x14ac:dyDescent="0.4">
      <c r="A21" s="34" t="s">
        <v>54</v>
      </c>
      <c r="B21" s="2" t="s">
        <v>6</v>
      </c>
      <c r="C21" s="28">
        <v>347</v>
      </c>
      <c r="D21" s="27">
        <v>1030</v>
      </c>
      <c r="E21" s="2"/>
      <c r="F21" s="2"/>
      <c r="G21" s="35"/>
    </row>
    <row r="22" spans="1:7" hidden="1" x14ac:dyDescent="0.4">
      <c r="A22" s="34" t="s">
        <v>25</v>
      </c>
      <c r="B22" s="2" t="s">
        <v>6</v>
      </c>
      <c r="C22" s="28">
        <v>450</v>
      </c>
      <c r="D22" s="27">
        <v>1623</v>
      </c>
      <c r="E22" s="2"/>
      <c r="F22" s="2"/>
      <c r="G22" s="35"/>
    </row>
    <row r="23" spans="1:7" hidden="1" x14ac:dyDescent="0.4">
      <c r="A23" s="34" t="s">
        <v>26</v>
      </c>
      <c r="B23" s="2" t="s">
        <v>6</v>
      </c>
      <c r="C23" s="28">
        <v>306</v>
      </c>
      <c r="D23" s="28">
        <v>857</v>
      </c>
      <c r="E23" s="2"/>
      <c r="F23" s="2"/>
      <c r="G23" s="35"/>
    </row>
    <row r="24" spans="1:7" hidden="1" x14ac:dyDescent="0.4">
      <c r="A24" s="34" t="s">
        <v>27</v>
      </c>
      <c r="B24" s="2" t="s">
        <v>6</v>
      </c>
      <c r="C24" s="28">
        <v>757</v>
      </c>
      <c r="D24" s="27">
        <v>2684</v>
      </c>
      <c r="E24" s="2"/>
      <c r="F24" s="2"/>
      <c r="G24" s="35"/>
    </row>
    <row r="25" spans="1:7" hidden="1" x14ac:dyDescent="0.4">
      <c r="A25" s="34" t="s">
        <v>28</v>
      </c>
      <c r="B25" s="2" t="s">
        <v>6</v>
      </c>
      <c r="C25" s="27">
        <v>1016</v>
      </c>
      <c r="D25" s="27">
        <v>3614</v>
      </c>
      <c r="E25" s="2"/>
      <c r="F25" s="2"/>
      <c r="G25" s="35"/>
    </row>
    <row r="26" spans="1:7" hidden="1" x14ac:dyDescent="0.4">
      <c r="A26" s="34" t="s">
        <v>29</v>
      </c>
      <c r="B26" s="2" t="s">
        <v>6</v>
      </c>
      <c r="C26" s="28">
        <v>383</v>
      </c>
      <c r="D26" s="27">
        <v>1305</v>
      </c>
      <c r="E26" s="2"/>
      <c r="F26" s="2"/>
      <c r="G26" s="35"/>
    </row>
    <row r="27" spans="1:7" hidden="1" x14ac:dyDescent="0.4">
      <c r="A27" s="34" t="s">
        <v>30</v>
      </c>
      <c r="B27" s="2" t="s">
        <v>6</v>
      </c>
      <c r="C27" s="28">
        <v>494</v>
      </c>
      <c r="D27" s="28">
        <v>842</v>
      </c>
      <c r="E27" s="2"/>
      <c r="F27" s="2"/>
      <c r="G27" s="35"/>
    </row>
    <row r="28" spans="1:7" hidden="1" x14ac:dyDescent="0.4">
      <c r="A28" s="34" t="s">
        <v>31</v>
      </c>
      <c r="B28" s="2" t="s">
        <v>6</v>
      </c>
      <c r="C28" s="28">
        <v>630</v>
      </c>
      <c r="D28" s="27">
        <v>2520</v>
      </c>
      <c r="E28" s="2"/>
      <c r="F28" s="2"/>
      <c r="G28" s="35"/>
    </row>
    <row r="29" spans="1:7" hidden="1" x14ac:dyDescent="0.4">
      <c r="A29" s="34" t="s">
        <v>32</v>
      </c>
      <c r="B29" s="2" t="s">
        <v>6</v>
      </c>
      <c r="C29" s="28">
        <v>327</v>
      </c>
      <c r="D29" s="27">
        <v>1027</v>
      </c>
      <c r="E29" s="2"/>
      <c r="F29" s="2"/>
      <c r="G29" s="35"/>
    </row>
    <row r="30" spans="1:7" hidden="1" x14ac:dyDescent="0.4">
      <c r="A30" s="34" t="s">
        <v>33</v>
      </c>
      <c r="B30" s="2" t="s">
        <v>6</v>
      </c>
      <c r="C30" s="27">
        <v>1642</v>
      </c>
      <c r="D30" s="27">
        <v>5537</v>
      </c>
      <c r="E30" s="2"/>
      <c r="F30" s="2"/>
      <c r="G30" s="35"/>
    </row>
    <row r="31" spans="1:7" hidden="1" x14ac:dyDescent="0.4">
      <c r="A31" s="34" t="s">
        <v>34</v>
      </c>
      <c r="B31" s="2" t="s">
        <v>6</v>
      </c>
      <c r="C31" s="28">
        <v>928</v>
      </c>
      <c r="D31" s="27">
        <v>2366</v>
      </c>
      <c r="E31" s="2"/>
      <c r="F31" s="2"/>
      <c r="G31" s="35"/>
    </row>
    <row r="32" spans="1:7" hidden="1" x14ac:dyDescent="0.4">
      <c r="A32" s="34" t="s">
        <v>35</v>
      </c>
      <c r="B32" s="2" t="s">
        <v>6</v>
      </c>
      <c r="C32" s="27">
        <v>2278</v>
      </c>
      <c r="D32" s="27">
        <v>7135</v>
      </c>
      <c r="E32" s="2"/>
      <c r="F32" s="2"/>
      <c r="G32" s="35"/>
    </row>
    <row r="33" spans="1:7" hidden="1" x14ac:dyDescent="0.4">
      <c r="A33" s="34" t="s">
        <v>36</v>
      </c>
      <c r="B33" s="2" t="s">
        <v>6</v>
      </c>
      <c r="C33" s="27">
        <v>1090</v>
      </c>
      <c r="D33" s="27">
        <v>5079</v>
      </c>
      <c r="E33" s="2"/>
      <c r="F33" s="2"/>
      <c r="G33" s="35"/>
    </row>
    <row r="34" spans="1:7" hidden="1" x14ac:dyDescent="0.4">
      <c r="A34" s="34" t="s">
        <v>37</v>
      </c>
      <c r="B34" s="2" t="s">
        <v>6</v>
      </c>
      <c r="C34" s="2"/>
      <c r="D34" s="28">
        <v>861</v>
      </c>
      <c r="E34" s="2"/>
      <c r="F34" s="2"/>
      <c r="G34" s="35"/>
    </row>
    <row r="35" spans="1:7" hidden="1" x14ac:dyDescent="0.4">
      <c r="A35" s="34" t="s">
        <v>5</v>
      </c>
      <c r="B35" s="36" t="s">
        <v>38</v>
      </c>
      <c r="C35" s="28">
        <v>760</v>
      </c>
      <c r="D35" s="26">
        <v>3236</v>
      </c>
      <c r="E35" s="36"/>
      <c r="F35" s="36"/>
      <c r="G35" s="37"/>
    </row>
    <row r="36" spans="1:7" hidden="1" x14ac:dyDescent="0.4">
      <c r="A36" s="34" t="s">
        <v>51</v>
      </c>
      <c r="B36" s="36" t="s">
        <v>38</v>
      </c>
      <c r="C36" s="27">
        <v>1101</v>
      </c>
      <c r="D36" s="26">
        <v>4310</v>
      </c>
      <c r="E36" s="36"/>
      <c r="F36" s="36"/>
      <c r="G36" s="37"/>
    </row>
    <row r="37" spans="1:7" hidden="1" x14ac:dyDescent="0.4">
      <c r="A37" s="34" t="s">
        <v>8</v>
      </c>
      <c r="B37" s="36" t="s">
        <v>38</v>
      </c>
      <c r="C37" s="28">
        <v>789</v>
      </c>
      <c r="D37" s="26">
        <v>1309</v>
      </c>
      <c r="E37" s="36"/>
      <c r="F37" s="36"/>
      <c r="G37" s="37"/>
    </row>
    <row r="38" spans="1:7" hidden="1" x14ac:dyDescent="0.4">
      <c r="A38" s="34" t="s">
        <v>9</v>
      </c>
      <c r="B38" s="36" t="s">
        <v>38</v>
      </c>
      <c r="C38" s="28">
        <v>286</v>
      </c>
      <c r="D38" s="26">
        <v>1332</v>
      </c>
      <c r="E38" s="36"/>
      <c r="F38" s="36"/>
      <c r="G38" s="37"/>
    </row>
    <row r="39" spans="1:7" hidden="1" x14ac:dyDescent="0.4">
      <c r="A39" s="34" t="s">
        <v>10</v>
      </c>
      <c r="B39" s="36" t="s">
        <v>38</v>
      </c>
      <c r="C39" s="28">
        <v>835</v>
      </c>
      <c r="D39" s="26">
        <v>2675</v>
      </c>
      <c r="E39" s="36"/>
      <c r="F39" s="36"/>
      <c r="G39" s="37"/>
    </row>
    <row r="40" spans="1:7" hidden="1" x14ac:dyDescent="0.4">
      <c r="A40" s="34" t="s">
        <v>11</v>
      </c>
      <c r="B40" s="36" t="s">
        <v>38</v>
      </c>
      <c r="C40" s="28">
        <v>3415</v>
      </c>
      <c r="D40" s="26">
        <v>8371</v>
      </c>
      <c r="E40" s="36"/>
      <c r="F40" s="36"/>
      <c r="G40" s="37"/>
    </row>
    <row r="41" spans="1:7" hidden="1" x14ac:dyDescent="0.4">
      <c r="A41" s="34" t="s">
        <v>12</v>
      </c>
      <c r="B41" s="36" t="s">
        <v>38</v>
      </c>
      <c r="C41" s="27">
        <v>48724</v>
      </c>
      <c r="D41" s="26">
        <v>119650</v>
      </c>
      <c r="E41" s="36"/>
      <c r="F41" s="36"/>
      <c r="G41" s="37"/>
    </row>
    <row r="42" spans="1:7" hidden="1" x14ac:dyDescent="0.4">
      <c r="A42" s="34" t="s">
        <v>52</v>
      </c>
      <c r="B42" s="36" t="s">
        <v>38</v>
      </c>
      <c r="C42" s="28">
        <v>164</v>
      </c>
      <c r="D42" s="26">
        <v>1274</v>
      </c>
      <c r="E42" s="36"/>
      <c r="F42" s="36"/>
      <c r="G42" s="37"/>
    </row>
    <row r="43" spans="1:7" hidden="1" x14ac:dyDescent="0.4">
      <c r="A43" s="34" t="s">
        <v>14</v>
      </c>
      <c r="B43" s="36" t="s">
        <v>38</v>
      </c>
      <c r="C43" s="28">
        <v>258</v>
      </c>
      <c r="D43" s="26">
        <v>855</v>
      </c>
      <c r="E43" s="36"/>
      <c r="F43" s="36"/>
      <c r="G43" s="37"/>
    </row>
    <row r="44" spans="1:7" hidden="1" x14ac:dyDescent="0.4">
      <c r="A44" s="34" t="s">
        <v>15</v>
      </c>
      <c r="B44" s="36" t="s">
        <v>38</v>
      </c>
      <c r="C44" s="28">
        <v>547</v>
      </c>
      <c r="D44" s="26">
        <v>923</v>
      </c>
      <c r="E44" s="36"/>
      <c r="F44" s="36"/>
      <c r="G44" s="37"/>
    </row>
    <row r="45" spans="1:7" hidden="1" x14ac:dyDescent="0.4">
      <c r="A45" s="34" t="s">
        <v>16</v>
      </c>
      <c r="B45" s="36" t="s">
        <v>38</v>
      </c>
      <c r="C45" s="27">
        <v>1333</v>
      </c>
      <c r="D45" s="26">
        <v>4281</v>
      </c>
      <c r="E45" s="36"/>
      <c r="F45" s="36"/>
      <c r="G45" s="37"/>
    </row>
    <row r="46" spans="1:7" hidden="1" x14ac:dyDescent="0.4">
      <c r="A46" s="34" t="s">
        <v>17</v>
      </c>
      <c r="B46" s="36" t="s">
        <v>38</v>
      </c>
      <c r="C46" s="28">
        <v>734</v>
      </c>
      <c r="D46" s="26">
        <v>1207</v>
      </c>
      <c r="E46" s="36"/>
      <c r="F46" s="36"/>
      <c r="G46" s="37"/>
    </row>
    <row r="47" spans="1:7" hidden="1" x14ac:dyDescent="0.4">
      <c r="A47" s="34" t="s">
        <v>18</v>
      </c>
      <c r="B47" s="36" t="s">
        <v>38</v>
      </c>
      <c r="C47" s="27">
        <v>1457</v>
      </c>
      <c r="D47" s="26">
        <v>5531</v>
      </c>
      <c r="E47" s="36"/>
      <c r="F47" s="36"/>
      <c r="G47" s="37"/>
    </row>
    <row r="48" spans="1:7" hidden="1" x14ac:dyDescent="0.4">
      <c r="A48" s="34" t="s">
        <v>19</v>
      </c>
      <c r="B48" s="36" t="s">
        <v>38</v>
      </c>
      <c r="C48" s="27">
        <v>2702</v>
      </c>
      <c r="D48" s="26">
        <v>6940</v>
      </c>
      <c r="E48" s="36"/>
      <c r="F48" s="36"/>
      <c r="G48" s="37"/>
    </row>
    <row r="49" spans="1:8" hidden="1" x14ac:dyDescent="0.4">
      <c r="A49" s="34" t="s">
        <v>53</v>
      </c>
      <c r="B49" s="36" t="s">
        <v>38</v>
      </c>
      <c r="C49" s="27">
        <v>5000</v>
      </c>
      <c r="D49" s="27">
        <v>20000</v>
      </c>
      <c r="E49" s="36"/>
      <c r="F49" s="36"/>
      <c r="G49" s="37"/>
    </row>
    <row r="50" spans="1:8" hidden="1" x14ac:dyDescent="0.4">
      <c r="A50" s="34" t="s">
        <v>21</v>
      </c>
      <c r="B50" s="36" t="s">
        <v>38</v>
      </c>
      <c r="C50" s="27">
        <v>1320</v>
      </c>
      <c r="D50" s="27">
        <v>5867</v>
      </c>
      <c r="E50" s="36"/>
      <c r="F50" s="36"/>
      <c r="G50" s="37"/>
    </row>
    <row r="51" spans="1:8" hidden="1" x14ac:dyDescent="0.4">
      <c r="A51" s="34" t="s">
        <v>22</v>
      </c>
      <c r="B51" s="36" t="s">
        <v>38</v>
      </c>
      <c r="C51" s="27">
        <v>333</v>
      </c>
      <c r="D51" s="27">
        <v>962</v>
      </c>
      <c r="E51" s="36"/>
      <c r="F51" s="36"/>
      <c r="G51" s="37"/>
    </row>
    <row r="52" spans="1:8" hidden="1" x14ac:dyDescent="0.4">
      <c r="A52" s="34" t="s">
        <v>23</v>
      </c>
      <c r="B52" s="36" t="s">
        <v>38</v>
      </c>
      <c r="C52" s="27">
        <v>189</v>
      </c>
      <c r="D52" s="27">
        <v>248</v>
      </c>
      <c r="E52" s="36"/>
      <c r="F52" s="36"/>
      <c r="G52" s="37"/>
    </row>
    <row r="53" spans="1:8" hidden="1" x14ac:dyDescent="0.4">
      <c r="A53" s="34" t="s">
        <v>54</v>
      </c>
      <c r="B53" s="36" t="s">
        <v>38</v>
      </c>
      <c r="C53" s="27">
        <v>318</v>
      </c>
      <c r="D53" s="27">
        <v>1030</v>
      </c>
      <c r="E53" s="36"/>
      <c r="F53" s="36"/>
      <c r="G53" s="37"/>
    </row>
    <row r="54" spans="1:8" hidden="1" x14ac:dyDescent="0.4">
      <c r="A54" s="34" t="s">
        <v>25</v>
      </c>
      <c r="B54" s="36" t="s">
        <v>38</v>
      </c>
      <c r="C54" s="27">
        <v>485</v>
      </c>
      <c r="D54" s="27">
        <v>1713</v>
      </c>
      <c r="E54" s="36"/>
      <c r="F54" s="36"/>
      <c r="G54" s="37"/>
    </row>
    <row r="55" spans="1:8" hidden="1" x14ac:dyDescent="0.4">
      <c r="A55" s="34" t="s">
        <v>26</v>
      </c>
      <c r="B55" s="36" t="s">
        <v>38</v>
      </c>
      <c r="C55" s="28">
        <v>306</v>
      </c>
      <c r="D55" s="28">
        <v>857</v>
      </c>
      <c r="E55" s="36"/>
      <c r="F55" s="36"/>
      <c r="G55" s="37"/>
    </row>
    <row r="56" spans="1:8" hidden="1" x14ac:dyDescent="0.4">
      <c r="A56" s="34" t="s">
        <v>27</v>
      </c>
      <c r="B56" s="36" t="s">
        <v>38</v>
      </c>
      <c r="C56" s="28">
        <v>757</v>
      </c>
      <c r="D56" s="27">
        <v>2684</v>
      </c>
      <c r="E56" s="36"/>
      <c r="F56" s="36"/>
      <c r="G56" s="37"/>
    </row>
    <row r="57" spans="1:8" hidden="1" x14ac:dyDescent="0.4">
      <c r="A57" s="34" t="s">
        <v>28</v>
      </c>
      <c r="B57" s="36" t="s">
        <v>38</v>
      </c>
      <c r="C57" s="27">
        <v>1016</v>
      </c>
      <c r="D57" s="27">
        <v>3614</v>
      </c>
      <c r="E57" s="36"/>
      <c r="F57" s="36"/>
      <c r="G57" s="37"/>
    </row>
    <row r="58" spans="1:8" hidden="1" x14ac:dyDescent="0.4">
      <c r="A58" s="34" t="s">
        <v>29</v>
      </c>
      <c r="B58" s="36" t="s">
        <v>38</v>
      </c>
      <c r="C58" s="27">
        <v>1305</v>
      </c>
      <c r="D58" s="28">
        <v>382</v>
      </c>
      <c r="E58" s="36"/>
      <c r="F58" s="36"/>
      <c r="G58" s="37"/>
    </row>
    <row r="59" spans="1:8" hidden="1" x14ac:dyDescent="0.4">
      <c r="A59" s="34" t="s">
        <v>30</v>
      </c>
      <c r="B59" s="36" t="s">
        <v>38</v>
      </c>
      <c r="C59" s="28">
        <v>842</v>
      </c>
      <c r="D59" s="28">
        <v>494</v>
      </c>
      <c r="E59" s="36"/>
      <c r="F59" s="36"/>
      <c r="G59" s="37"/>
    </row>
    <row r="60" spans="1:8" hidden="1" x14ac:dyDescent="0.4">
      <c r="A60" s="34" t="s">
        <v>31</v>
      </c>
      <c r="B60" s="36" t="s">
        <v>38</v>
      </c>
      <c r="C60" s="27">
        <v>2520</v>
      </c>
      <c r="D60" s="28">
        <v>630</v>
      </c>
      <c r="E60" s="36"/>
      <c r="F60" s="36"/>
      <c r="G60" s="37"/>
    </row>
    <row r="61" spans="1:8" hidden="1" x14ac:dyDescent="0.4">
      <c r="A61" s="34" t="s">
        <v>32</v>
      </c>
      <c r="B61" s="36" t="s">
        <v>38</v>
      </c>
      <c r="C61" s="27">
        <v>1036</v>
      </c>
      <c r="D61" s="28">
        <v>329</v>
      </c>
      <c r="E61" s="36"/>
      <c r="F61" s="36"/>
      <c r="G61" s="37"/>
    </row>
    <row r="62" spans="1:8" hidden="1" x14ac:dyDescent="0.4">
      <c r="A62" s="34" t="s">
        <v>33</v>
      </c>
      <c r="B62" s="36" t="s">
        <v>38</v>
      </c>
      <c r="C62" s="27">
        <v>1642</v>
      </c>
      <c r="D62" s="27">
        <v>5537</v>
      </c>
      <c r="E62" s="36"/>
      <c r="F62" s="36"/>
      <c r="G62" s="37"/>
    </row>
    <row r="63" spans="1:8" hidden="1" x14ac:dyDescent="0.4">
      <c r="A63" s="34" t="s">
        <v>34</v>
      </c>
      <c r="B63" s="36" t="s">
        <v>38</v>
      </c>
      <c r="C63" s="28">
        <v>928</v>
      </c>
      <c r="D63" s="27">
        <v>2366</v>
      </c>
      <c r="E63" s="36"/>
      <c r="F63" s="36"/>
      <c r="G63" s="37"/>
    </row>
    <row r="64" spans="1:8" hidden="1" x14ac:dyDescent="0.4">
      <c r="A64" s="34" t="s">
        <v>35</v>
      </c>
      <c r="B64" s="36" t="s">
        <v>38</v>
      </c>
      <c r="C64" s="28">
        <v>668</v>
      </c>
      <c r="D64" s="27">
        <v>1997</v>
      </c>
      <c r="E64" s="36"/>
      <c r="F64" s="36"/>
      <c r="G64" s="37"/>
      <c r="H64" t="s">
        <v>85</v>
      </c>
    </row>
    <row r="65" spans="1:19" hidden="1" x14ac:dyDescent="0.4">
      <c r="A65" s="34" t="s">
        <v>36</v>
      </c>
      <c r="B65" s="36" t="s">
        <v>38</v>
      </c>
      <c r="C65" s="27">
        <v>1090</v>
      </c>
      <c r="D65" s="27">
        <v>5079</v>
      </c>
      <c r="E65" s="36"/>
      <c r="F65" s="36"/>
      <c r="G65" s="37"/>
    </row>
    <row r="66" spans="1:19" hidden="1" x14ac:dyDescent="0.4">
      <c r="A66" s="34" t="s">
        <v>37</v>
      </c>
      <c r="B66" s="36" t="s">
        <v>38</v>
      </c>
      <c r="C66" s="27">
        <v>422</v>
      </c>
      <c r="D66" s="28">
        <v>861</v>
      </c>
      <c r="E66" s="36"/>
      <c r="F66" s="36"/>
      <c r="G66" s="37"/>
    </row>
    <row r="67" spans="1:19" customFormat="1" hidden="1" x14ac:dyDescent="0.4">
      <c r="A67" s="34" t="s">
        <v>5</v>
      </c>
      <c r="B67" s="36" t="s">
        <v>39</v>
      </c>
      <c r="C67" s="2"/>
      <c r="D67" s="2"/>
      <c r="E67" s="36"/>
      <c r="F67" s="36"/>
      <c r="G67" s="37"/>
      <c r="S67" s="1"/>
    </row>
    <row r="68" spans="1:19" customFormat="1" hidden="1" x14ac:dyDescent="0.4">
      <c r="A68" s="34" t="s">
        <v>51</v>
      </c>
      <c r="B68" s="36" t="s">
        <v>39</v>
      </c>
      <c r="C68" s="2"/>
      <c r="D68" s="2"/>
      <c r="E68" s="36"/>
      <c r="F68" s="36"/>
      <c r="G68" s="37"/>
      <c r="S68" s="1"/>
    </row>
    <row r="69" spans="1:19" customFormat="1" hidden="1" x14ac:dyDescent="0.4">
      <c r="A69" s="34" t="s">
        <v>8</v>
      </c>
      <c r="B69" s="36" t="s">
        <v>39</v>
      </c>
      <c r="C69" s="2"/>
      <c r="D69" s="2"/>
      <c r="E69" s="36"/>
      <c r="F69" s="36"/>
      <c r="G69" s="37"/>
      <c r="S69" s="1"/>
    </row>
    <row r="70" spans="1:19" customFormat="1" hidden="1" x14ac:dyDescent="0.4">
      <c r="A70" s="34" t="s">
        <v>9</v>
      </c>
      <c r="B70" s="36" t="s">
        <v>39</v>
      </c>
      <c r="C70" s="2"/>
      <c r="D70" s="2"/>
      <c r="E70" s="36"/>
      <c r="F70" s="36"/>
      <c r="G70" s="37"/>
      <c r="S70" s="1"/>
    </row>
    <row r="71" spans="1:19" customFormat="1" hidden="1" x14ac:dyDescent="0.4">
      <c r="A71" s="34" t="s">
        <v>10</v>
      </c>
      <c r="B71" s="36" t="s">
        <v>39</v>
      </c>
      <c r="C71" s="2"/>
      <c r="D71" s="2"/>
      <c r="E71" s="36"/>
      <c r="F71" s="36"/>
      <c r="G71" s="37"/>
      <c r="S71" s="1"/>
    </row>
    <row r="72" spans="1:19" customFormat="1" hidden="1" x14ac:dyDescent="0.4">
      <c r="A72" s="34" t="s">
        <v>11</v>
      </c>
      <c r="B72" s="36" t="s">
        <v>39</v>
      </c>
      <c r="C72" s="2"/>
      <c r="D72" s="2"/>
      <c r="E72" s="36"/>
      <c r="F72" s="36"/>
      <c r="G72" s="37"/>
      <c r="S72" s="1"/>
    </row>
    <row r="73" spans="1:19" customFormat="1" hidden="1" x14ac:dyDescent="0.4">
      <c r="A73" s="34" t="s">
        <v>12</v>
      </c>
      <c r="B73" s="36" t="s">
        <v>39</v>
      </c>
      <c r="C73" s="2"/>
      <c r="D73" s="2"/>
      <c r="E73" s="36"/>
      <c r="F73" s="36"/>
      <c r="G73" s="37"/>
      <c r="S73" s="1"/>
    </row>
    <row r="74" spans="1:19" customFormat="1" hidden="1" x14ac:dyDescent="0.4">
      <c r="A74" s="34" t="s">
        <v>52</v>
      </c>
      <c r="B74" s="36" t="s">
        <v>39</v>
      </c>
      <c r="C74" s="2"/>
      <c r="D74" s="2"/>
      <c r="E74" s="36"/>
      <c r="F74" s="36"/>
      <c r="G74" s="37"/>
      <c r="S74" s="1"/>
    </row>
    <row r="75" spans="1:19" customFormat="1" hidden="1" x14ac:dyDescent="0.4">
      <c r="A75" s="34" t="s">
        <v>14</v>
      </c>
      <c r="B75" s="36" t="s">
        <v>39</v>
      </c>
      <c r="C75" s="2"/>
      <c r="D75" s="2"/>
      <c r="E75" s="36"/>
      <c r="F75" s="36"/>
      <c r="G75" s="37"/>
      <c r="S75" s="1"/>
    </row>
    <row r="76" spans="1:19" customFormat="1" hidden="1" x14ac:dyDescent="0.4">
      <c r="A76" s="34" t="s">
        <v>15</v>
      </c>
      <c r="B76" s="36" t="s">
        <v>39</v>
      </c>
      <c r="C76" s="2"/>
      <c r="D76" s="2"/>
      <c r="E76" s="36"/>
      <c r="F76" s="36"/>
      <c r="G76" s="37"/>
      <c r="S76" s="1"/>
    </row>
    <row r="77" spans="1:19" customFormat="1" hidden="1" x14ac:dyDescent="0.4">
      <c r="A77" s="34" t="s">
        <v>16</v>
      </c>
      <c r="B77" s="36" t="s">
        <v>39</v>
      </c>
      <c r="C77" s="2"/>
      <c r="D77" s="2"/>
      <c r="E77" s="36"/>
      <c r="F77" s="36"/>
      <c r="G77" s="37"/>
      <c r="S77" s="1"/>
    </row>
    <row r="78" spans="1:19" customFormat="1" hidden="1" x14ac:dyDescent="0.4">
      <c r="A78" s="34" t="s">
        <v>17</v>
      </c>
      <c r="B78" s="36" t="s">
        <v>39</v>
      </c>
      <c r="C78" s="2"/>
      <c r="D78" s="2"/>
      <c r="E78" s="36"/>
      <c r="F78" s="36"/>
      <c r="G78" s="37"/>
      <c r="S78" s="1"/>
    </row>
    <row r="79" spans="1:19" customFormat="1" hidden="1" x14ac:dyDescent="0.4">
      <c r="A79" s="34" t="s">
        <v>18</v>
      </c>
      <c r="B79" s="36" t="s">
        <v>39</v>
      </c>
      <c r="C79" s="2"/>
      <c r="D79" s="2"/>
      <c r="E79" s="36"/>
      <c r="F79" s="36"/>
      <c r="G79" s="37"/>
      <c r="S79" s="1"/>
    </row>
    <row r="80" spans="1:19" customFormat="1" hidden="1" x14ac:dyDescent="0.4">
      <c r="A80" s="34" t="s">
        <v>19</v>
      </c>
      <c r="B80" s="36" t="s">
        <v>39</v>
      </c>
      <c r="C80" s="2"/>
      <c r="D80" s="2"/>
      <c r="E80" s="36"/>
      <c r="F80" s="36"/>
      <c r="G80" s="37"/>
      <c r="S80" s="1"/>
    </row>
    <row r="81" spans="1:19" customFormat="1" hidden="1" x14ac:dyDescent="0.4">
      <c r="A81" s="34" t="s">
        <v>53</v>
      </c>
      <c r="B81" s="36" t="s">
        <v>39</v>
      </c>
      <c r="C81" s="2"/>
      <c r="D81" s="2"/>
      <c r="E81" s="36"/>
      <c r="F81" s="36"/>
      <c r="G81" s="37"/>
      <c r="S81" s="1"/>
    </row>
    <row r="82" spans="1:19" customFormat="1" hidden="1" x14ac:dyDescent="0.4">
      <c r="A82" s="34" t="s">
        <v>21</v>
      </c>
      <c r="B82" s="36" t="s">
        <v>39</v>
      </c>
      <c r="C82" s="2"/>
      <c r="D82" s="2"/>
      <c r="E82" s="36"/>
      <c r="F82" s="36"/>
      <c r="G82" s="37"/>
      <c r="S82" s="1"/>
    </row>
    <row r="83" spans="1:19" customFormat="1" hidden="1" x14ac:dyDescent="0.4">
      <c r="A83" s="34" t="s">
        <v>22</v>
      </c>
      <c r="B83" s="36" t="s">
        <v>39</v>
      </c>
      <c r="C83" s="2"/>
      <c r="D83" s="2"/>
      <c r="E83" s="36"/>
      <c r="F83" s="36"/>
      <c r="G83" s="37"/>
      <c r="S83" s="1"/>
    </row>
    <row r="84" spans="1:19" customFormat="1" hidden="1" x14ac:dyDescent="0.4">
      <c r="A84" s="34" t="s">
        <v>23</v>
      </c>
      <c r="B84" s="36" t="s">
        <v>39</v>
      </c>
      <c r="C84" s="2"/>
      <c r="D84" s="2"/>
      <c r="E84" s="36"/>
      <c r="F84" s="36"/>
      <c r="G84" s="37"/>
      <c r="S84" s="1"/>
    </row>
    <row r="85" spans="1:19" customFormat="1" hidden="1" x14ac:dyDescent="0.4">
      <c r="A85" s="34" t="s">
        <v>54</v>
      </c>
      <c r="B85" s="36" t="s">
        <v>39</v>
      </c>
      <c r="C85" s="2"/>
      <c r="D85" s="2"/>
      <c r="E85" s="36"/>
      <c r="F85" s="36"/>
      <c r="G85" s="37"/>
      <c r="S85" s="1"/>
    </row>
    <row r="86" spans="1:19" customFormat="1" hidden="1" x14ac:dyDescent="0.4">
      <c r="A86" s="34" t="s">
        <v>25</v>
      </c>
      <c r="B86" s="36" t="s">
        <v>39</v>
      </c>
      <c r="C86" s="2"/>
      <c r="D86" s="2"/>
      <c r="E86" s="36"/>
      <c r="F86" s="36"/>
      <c r="G86" s="37"/>
      <c r="S86" s="1"/>
    </row>
    <row r="87" spans="1:19" customFormat="1" hidden="1" x14ac:dyDescent="0.4">
      <c r="A87" s="34" t="s">
        <v>26</v>
      </c>
      <c r="B87" s="36" t="s">
        <v>39</v>
      </c>
      <c r="C87" s="2"/>
      <c r="D87" s="2"/>
      <c r="E87" s="36"/>
      <c r="F87" s="36"/>
      <c r="G87" s="37"/>
      <c r="S87" s="1"/>
    </row>
    <row r="88" spans="1:19" customFormat="1" hidden="1" x14ac:dyDescent="0.4">
      <c r="A88" s="34" t="s">
        <v>27</v>
      </c>
      <c r="B88" s="36" t="s">
        <v>39</v>
      </c>
      <c r="C88" s="2"/>
      <c r="D88" s="2"/>
      <c r="E88" s="36"/>
      <c r="F88" s="36"/>
      <c r="G88" s="37"/>
      <c r="S88" s="1"/>
    </row>
    <row r="89" spans="1:19" customFormat="1" hidden="1" x14ac:dyDescent="0.4">
      <c r="A89" s="34" t="s">
        <v>28</v>
      </c>
      <c r="B89" s="36" t="s">
        <v>39</v>
      </c>
      <c r="C89" s="2"/>
      <c r="D89" s="2"/>
      <c r="E89" s="36"/>
      <c r="F89" s="36"/>
      <c r="G89" s="37"/>
      <c r="S89" s="1"/>
    </row>
    <row r="90" spans="1:19" customFormat="1" hidden="1" x14ac:dyDescent="0.4">
      <c r="A90" s="34" t="s">
        <v>29</v>
      </c>
      <c r="B90" s="36" t="s">
        <v>39</v>
      </c>
      <c r="C90" s="2"/>
      <c r="D90" s="2"/>
      <c r="E90" s="36"/>
      <c r="F90" s="36"/>
      <c r="G90" s="37"/>
      <c r="S90" s="1"/>
    </row>
    <row r="91" spans="1:19" customFormat="1" hidden="1" x14ac:dyDescent="0.4">
      <c r="A91" s="34" t="s">
        <v>30</v>
      </c>
      <c r="B91" s="36" t="s">
        <v>39</v>
      </c>
      <c r="C91" s="2"/>
      <c r="D91" s="2"/>
      <c r="E91" s="36"/>
      <c r="F91" s="36"/>
      <c r="G91" s="37"/>
      <c r="S91" s="1"/>
    </row>
    <row r="92" spans="1:19" customFormat="1" hidden="1" x14ac:dyDescent="0.4">
      <c r="A92" s="34" t="s">
        <v>31</v>
      </c>
      <c r="B92" s="36" t="s">
        <v>39</v>
      </c>
      <c r="C92" s="2"/>
      <c r="D92" s="2"/>
      <c r="E92" s="36"/>
      <c r="F92" s="36"/>
      <c r="G92" s="37"/>
      <c r="S92" s="1"/>
    </row>
    <row r="93" spans="1:19" customFormat="1" hidden="1" x14ac:dyDescent="0.4">
      <c r="A93" s="34" t="s">
        <v>32</v>
      </c>
      <c r="B93" s="36" t="s">
        <v>39</v>
      </c>
      <c r="C93" s="2"/>
      <c r="D93" s="2"/>
      <c r="E93" s="36"/>
      <c r="F93" s="36"/>
      <c r="G93" s="37"/>
      <c r="S93" s="1"/>
    </row>
    <row r="94" spans="1:19" customFormat="1" hidden="1" x14ac:dyDescent="0.4">
      <c r="A94" s="34" t="s">
        <v>33</v>
      </c>
      <c r="B94" s="36" t="s">
        <v>39</v>
      </c>
      <c r="C94" s="2"/>
      <c r="D94" s="2"/>
      <c r="E94" s="36"/>
      <c r="F94" s="36"/>
      <c r="G94" s="37"/>
      <c r="S94" s="1"/>
    </row>
    <row r="95" spans="1:19" customFormat="1" hidden="1" x14ac:dyDescent="0.4">
      <c r="A95" s="34" t="s">
        <v>34</v>
      </c>
      <c r="B95" s="36" t="s">
        <v>39</v>
      </c>
      <c r="C95" s="2"/>
      <c r="D95" s="2"/>
      <c r="E95" s="36"/>
      <c r="F95" s="36"/>
      <c r="G95" s="37"/>
      <c r="S95" s="1"/>
    </row>
    <row r="96" spans="1:19" customFormat="1" hidden="1" x14ac:dyDescent="0.4">
      <c r="A96" s="34" t="s">
        <v>35</v>
      </c>
      <c r="B96" s="36" t="s">
        <v>39</v>
      </c>
      <c r="C96" s="2"/>
      <c r="D96" s="2"/>
      <c r="E96" s="36"/>
      <c r="F96" s="36"/>
      <c r="G96" s="37"/>
      <c r="S96" s="1"/>
    </row>
    <row r="97" spans="1:19" customFormat="1" hidden="1" x14ac:dyDescent="0.4">
      <c r="A97" s="34" t="s">
        <v>36</v>
      </c>
      <c r="B97" s="36" t="s">
        <v>39</v>
      </c>
      <c r="C97" s="2"/>
      <c r="D97" s="2"/>
      <c r="E97" s="36"/>
      <c r="F97" s="36"/>
      <c r="G97" s="37"/>
      <c r="S97" s="1"/>
    </row>
    <row r="98" spans="1:19" customFormat="1" hidden="1" x14ac:dyDescent="0.4">
      <c r="A98" s="34" t="s">
        <v>37</v>
      </c>
      <c r="B98" s="36" t="s">
        <v>39</v>
      </c>
      <c r="C98" s="2"/>
      <c r="D98" s="2"/>
      <c r="E98" s="36"/>
      <c r="F98" s="36"/>
      <c r="G98" s="37"/>
      <c r="S98" s="1"/>
    </row>
    <row r="99" spans="1:19" customFormat="1" hidden="1" x14ac:dyDescent="0.4">
      <c r="A99" s="34" t="s">
        <v>5</v>
      </c>
      <c r="B99" s="36" t="s">
        <v>40</v>
      </c>
      <c r="C99" s="36">
        <v>760</v>
      </c>
      <c r="D99" s="36">
        <v>3236</v>
      </c>
      <c r="E99" s="36"/>
      <c r="F99" s="36"/>
      <c r="G99" s="37"/>
      <c r="S99" s="1"/>
    </row>
    <row r="100" spans="1:19" customFormat="1" hidden="1" x14ac:dyDescent="0.4">
      <c r="A100" s="34" t="s">
        <v>51</v>
      </c>
      <c r="B100" s="36" t="s">
        <v>40</v>
      </c>
      <c r="C100" s="36">
        <v>1101</v>
      </c>
      <c r="D100" s="36">
        <v>4312</v>
      </c>
      <c r="E100" s="36"/>
      <c r="F100" s="36"/>
      <c r="G100" s="37"/>
      <c r="S100" s="1"/>
    </row>
    <row r="101" spans="1:19" customFormat="1" hidden="1" x14ac:dyDescent="0.4">
      <c r="A101" s="34" t="s">
        <v>8</v>
      </c>
      <c r="B101" s="36" t="s">
        <v>40</v>
      </c>
      <c r="C101" s="36">
        <v>205</v>
      </c>
      <c r="D101" s="36">
        <v>951</v>
      </c>
      <c r="E101" s="36"/>
      <c r="F101" s="36"/>
      <c r="G101" s="37"/>
      <c r="S101" s="1"/>
    </row>
    <row r="102" spans="1:19" customFormat="1" hidden="1" x14ac:dyDescent="0.4">
      <c r="A102" s="34" t="s">
        <v>9</v>
      </c>
      <c r="B102" s="36" t="s">
        <v>40</v>
      </c>
      <c r="C102" s="36">
        <v>294</v>
      </c>
      <c r="D102" s="36">
        <v>1362</v>
      </c>
      <c r="E102" s="36"/>
      <c r="F102" s="36"/>
      <c r="G102" s="37"/>
      <c r="S102" s="1"/>
    </row>
    <row r="103" spans="1:19" customFormat="1" hidden="1" x14ac:dyDescent="0.4">
      <c r="A103" s="34" t="s">
        <v>10</v>
      </c>
      <c r="B103" s="36" t="s">
        <v>40</v>
      </c>
      <c r="C103" s="36">
        <v>835</v>
      </c>
      <c r="D103" s="36">
        <v>2675</v>
      </c>
      <c r="E103" s="36"/>
      <c r="F103" s="36"/>
      <c r="G103" s="37"/>
      <c r="S103" s="1"/>
    </row>
    <row r="104" spans="1:19" customFormat="1" hidden="1" x14ac:dyDescent="0.4">
      <c r="A104" s="34" t="s">
        <v>11</v>
      </c>
      <c r="B104" s="36" t="s">
        <v>40</v>
      </c>
      <c r="C104" s="36">
        <v>3433</v>
      </c>
      <c r="D104" s="36">
        <v>8393</v>
      </c>
      <c r="E104" s="36"/>
      <c r="F104" s="36"/>
      <c r="G104" s="37"/>
      <c r="S104" s="1"/>
    </row>
    <row r="105" spans="1:19" customFormat="1" hidden="1" x14ac:dyDescent="0.4">
      <c r="A105" s="34" t="s">
        <v>12</v>
      </c>
      <c r="B105" s="36" t="s">
        <v>40</v>
      </c>
      <c r="C105" s="36">
        <v>48724</v>
      </c>
      <c r="D105" s="36">
        <v>119650</v>
      </c>
      <c r="E105" s="36"/>
      <c r="F105" s="36"/>
      <c r="G105" s="37"/>
      <c r="S105" s="1"/>
    </row>
    <row r="106" spans="1:19" customFormat="1" hidden="1" x14ac:dyDescent="0.4">
      <c r="A106" s="34" t="s">
        <v>52</v>
      </c>
      <c r="B106" s="36" t="s">
        <v>40</v>
      </c>
      <c r="C106" s="36">
        <v>164</v>
      </c>
      <c r="D106" s="36">
        <v>1274</v>
      </c>
      <c r="E106" s="36"/>
      <c r="F106" s="36"/>
      <c r="G106" s="37"/>
      <c r="S106" s="1"/>
    </row>
    <row r="107" spans="1:19" customFormat="1" hidden="1" x14ac:dyDescent="0.4">
      <c r="A107" s="34" t="s">
        <v>14</v>
      </c>
      <c r="B107" s="36" t="s">
        <v>40</v>
      </c>
      <c r="C107" s="36">
        <v>360</v>
      </c>
      <c r="D107" s="36">
        <v>1005</v>
      </c>
      <c r="E107" s="36"/>
      <c r="F107" s="36"/>
      <c r="G107" s="37"/>
      <c r="S107" s="1"/>
    </row>
    <row r="108" spans="1:19" customFormat="1" hidden="1" x14ac:dyDescent="0.4">
      <c r="A108" s="34" t="s">
        <v>15</v>
      </c>
      <c r="B108" s="36" t="s">
        <v>40</v>
      </c>
      <c r="C108" s="36">
        <v>547</v>
      </c>
      <c r="D108" s="36">
        <v>923</v>
      </c>
      <c r="E108" s="36"/>
      <c r="F108" s="36"/>
      <c r="G108" s="37"/>
      <c r="S108" s="1"/>
    </row>
    <row r="109" spans="1:19" customFormat="1" hidden="1" x14ac:dyDescent="0.4">
      <c r="A109" s="34" t="s">
        <v>16</v>
      </c>
      <c r="B109" s="36" t="s">
        <v>40</v>
      </c>
      <c r="C109" s="36">
        <v>1333</v>
      </c>
      <c r="D109" s="36">
        <v>4281</v>
      </c>
      <c r="E109" s="36"/>
      <c r="F109" s="36"/>
      <c r="G109" s="37"/>
      <c r="S109" s="1"/>
    </row>
    <row r="110" spans="1:19" customFormat="1" hidden="1" x14ac:dyDescent="0.4">
      <c r="A110" s="34" t="s">
        <v>17</v>
      </c>
      <c r="B110" s="36" t="s">
        <v>40</v>
      </c>
      <c r="C110" s="36">
        <v>715</v>
      </c>
      <c r="D110" s="36">
        <v>1368</v>
      </c>
      <c r="E110" s="36"/>
      <c r="F110" s="36"/>
      <c r="G110" s="37"/>
      <c r="S110" s="1"/>
    </row>
    <row r="111" spans="1:19" customFormat="1" hidden="1" x14ac:dyDescent="0.4">
      <c r="A111" s="34" t="s">
        <v>18</v>
      </c>
      <c r="B111" s="36" t="s">
        <v>40</v>
      </c>
      <c r="C111" s="36">
        <v>1457</v>
      </c>
      <c r="D111" s="36">
        <v>5531</v>
      </c>
      <c r="E111" s="36"/>
      <c r="F111" s="36"/>
      <c r="G111" s="37"/>
      <c r="S111" s="1"/>
    </row>
    <row r="112" spans="1:19" customFormat="1" hidden="1" x14ac:dyDescent="0.4">
      <c r="A112" s="34" t="s">
        <v>19</v>
      </c>
      <c r="B112" s="36" t="s">
        <v>40</v>
      </c>
      <c r="C112" s="36">
        <v>2702</v>
      </c>
      <c r="D112" s="36">
        <v>6940</v>
      </c>
      <c r="E112" s="36"/>
      <c r="F112" s="36"/>
      <c r="G112" s="37"/>
      <c r="S112" s="1"/>
    </row>
    <row r="113" spans="1:19" customFormat="1" hidden="1" x14ac:dyDescent="0.4">
      <c r="A113" s="34" t="s">
        <v>53</v>
      </c>
      <c r="B113" s="36" t="s">
        <v>40</v>
      </c>
      <c r="C113" s="36">
        <v>5000</v>
      </c>
      <c r="D113" s="36">
        <v>20000</v>
      </c>
      <c r="E113" s="36"/>
      <c r="F113" s="36"/>
      <c r="G113" s="37"/>
      <c r="S113" s="1"/>
    </row>
    <row r="114" spans="1:19" customFormat="1" hidden="1" x14ac:dyDescent="0.4">
      <c r="A114" s="34" t="s">
        <v>21</v>
      </c>
      <c r="B114" s="36" t="s">
        <v>40</v>
      </c>
      <c r="C114" s="36">
        <v>1319</v>
      </c>
      <c r="D114" s="36">
        <v>5795</v>
      </c>
      <c r="E114" s="36"/>
      <c r="F114" s="36"/>
      <c r="G114" s="37"/>
      <c r="S114" s="1"/>
    </row>
    <row r="115" spans="1:19" customFormat="1" hidden="1" x14ac:dyDescent="0.4">
      <c r="A115" s="34" t="s">
        <v>22</v>
      </c>
      <c r="B115" s="36" t="s">
        <v>40</v>
      </c>
      <c r="C115" s="36">
        <v>347</v>
      </c>
      <c r="D115" s="36">
        <v>1012</v>
      </c>
      <c r="E115" s="36"/>
      <c r="F115" s="36"/>
      <c r="G115" s="37"/>
      <c r="S115" s="1"/>
    </row>
    <row r="116" spans="1:19" customFormat="1" hidden="1" x14ac:dyDescent="0.4">
      <c r="A116" s="34" t="s">
        <v>23</v>
      </c>
      <c r="B116" s="36" t="s">
        <v>40</v>
      </c>
      <c r="C116" s="36">
        <v>189</v>
      </c>
      <c r="D116" s="36">
        <v>248</v>
      </c>
      <c r="E116" s="36"/>
      <c r="F116" s="36"/>
      <c r="G116" s="37"/>
      <c r="S116" s="1"/>
    </row>
    <row r="117" spans="1:19" customFormat="1" hidden="1" x14ac:dyDescent="0.4">
      <c r="A117" s="34" t="s">
        <v>54</v>
      </c>
      <c r="B117" s="36" t="s">
        <v>40</v>
      </c>
      <c r="C117" s="36">
        <v>347</v>
      </c>
      <c r="D117" s="36">
        <v>1035</v>
      </c>
      <c r="E117" s="36"/>
      <c r="F117" s="36"/>
      <c r="G117" s="37"/>
      <c r="S117" s="1"/>
    </row>
    <row r="118" spans="1:19" customFormat="1" hidden="1" x14ac:dyDescent="0.4">
      <c r="A118" s="34" t="s">
        <v>25</v>
      </c>
      <c r="B118" s="36" t="s">
        <v>40</v>
      </c>
      <c r="C118" s="36">
        <v>485</v>
      </c>
      <c r="D118" s="36">
        <v>1713</v>
      </c>
      <c r="E118" s="36"/>
      <c r="F118" s="36"/>
      <c r="G118" s="37"/>
      <c r="S118" s="1"/>
    </row>
    <row r="119" spans="1:19" customFormat="1" hidden="1" x14ac:dyDescent="0.4">
      <c r="A119" s="34" t="s">
        <v>26</v>
      </c>
      <c r="B119" s="36" t="s">
        <v>40</v>
      </c>
      <c r="C119" s="36">
        <v>306</v>
      </c>
      <c r="D119" s="36">
        <v>857</v>
      </c>
      <c r="E119" s="36"/>
      <c r="F119" s="36"/>
      <c r="G119" s="37"/>
      <c r="S119" s="1"/>
    </row>
    <row r="120" spans="1:19" customFormat="1" hidden="1" x14ac:dyDescent="0.4">
      <c r="A120" s="34" t="s">
        <v>27</v>
      </c>
      <c r="B120" s="36" t="s">
        <v>40</v>
      </c>
      <c r="C120" s="36">
        <v>757</v>
      </c>
      <c r="D120" s="36">
        <v>2684</v>
      </c>
      <c r="E120" s="36"/>
      <c r="F120" s="36"/>
      <c r="G120" s="37"/>
      <c r="S120" s="1"/>
    </row>
    <row r="121" spans="1:19" customFormat="1" hidden="1" x14ac:dyDescent="0.4">
      <c r="A121" s="34" t="s">
        <v>28</v>
      </c>
      <c r="B121" s="36" t="s">
        <v>40</v>
      </c>
      <c r="C121" s="36">
        <v>1016</v>
      </c>
      <c r="D121" s="36">
        <v>3614</v>
      </c>
      <c r="E121" s="36"/>
      <c r="F121" s="36"/>
      <c r="G121" s="37"/>
      <c r="S121" s="1"/>
    </row>
    <row r="122" spans="1:19" customFormat="1" hidden="1" x14ac:dyDescent="0.4">
      <c r="A122" s="34" t="s">
        <v>29</v>
      </c>
      <c r="B122" s="36" t="s">
        <v>40</v>
      </c>
      <c r="C122" s="36">
        <v>1305</v>
      </c>
      <c r="D122" s="36">
        <v>383</v>
      </c>
      <c r="E122" s="36"/>
      <c r="F122" s="36"/>
      <c r="G122" s="37"/>
      <c r="S122" s="1"/>
    </row>
    <row r="123" spans="1:19" customFormat="1" hidden="1" x14ac:dyDescent="0.4">
      <c r="A123" s="34" t="s">
        <v>30</v>
      </c>
      <c r="B123" s="36" t="s">
        <v>40</v>
      </c>
      <c r="C123" s="36">
        <v>863</v>
      </c>
      <c r="D123" s="36">
        <v>589</v>
      </c>
      <c r="E123" s="36"/>
      <c r="F123" s="36"/>
      <c r="G123" s="37"/>
      <c r="S123" s="1"/>
    </row>
    <row r="124" spans="1:19" customFormat="1" hidden="1" x14ac:dyDescent="0.4">
      <c r="A124" s="34" t="s">
        <v>31</v>
      </c>
      <c r="B124" s="36" t="s">
        <v>40</v>
      </c>
      <c r="C124" s="36">
        <v>2520</v>
      </c>
      <c r="D124" s="36">
        <v>630</v>
      </c>
      <c r="E124" s="36"/>
      <c r="F124" s="36"/>
      <c r="G124" s="37"/>
      <c r="S124" s="1"/>
    </row>
    <row r="125" spans="1:19" customFormat="1" hidden="1" x14ac:dyDescent="0.4">
      <c r="A125" s="34" t="s">
        <v>32</v>
      </c>
      <c r="B125" s="36" t="s">
        <v>40</v>
      </c>
      <c r="C125" s="36">
        <v>1036</v>
      </c>
      <c r="D125" s="36">
        <v>329</v>
      </c>
      <c r="E125" s="36"/>
      <c r="F125" s="36"/>
      <c r="G125" s="37"/>
      <c r="H125" t="s">
        <v>85</v>
      </c>
      <c r="S125" s="1"/>
    </row>
    <row r="126" spans="1:19" customFormat="1" hidden="1" x14ac:dyDescent="0.4">
      <c r="A126" s="34" t="s">
        <v>33</v>
      </c>
      <c r="B126" s="36" t="s">
        <v>40</v>
      </c>
      <c r="C126" s="36">
        <v>1729</v>
      </c>
      <c r="D126" s="36">
        <v>5870</v>
      </c>
      <c r="E126" s="36"/>
      <c r="F126" s="36"/>
      <c r="G126" s="37"/>
      <c r="S126" s="1"/>
    </row>
    <row r="127" spans="1:19" customFormat="1" hidden="1" x14ac:dyDescent="0.4">
      <c r="A127" s="34" t="s">
        <v>34</v>
      </c>
      <c r="B127" s="36" t="s">
        <v>40</v>
      </c>
      <c r="C127" s="36">
        <v>1082</v>
      </c>
      <c r="D127" s="36">
        <v>2828</v>
      </c>
      <c r="E127" s="36"/>
      <c r="F127" s="36"/>
      <c r="G127" s="37"/>
      <c r="S127" s="1"/>
    </row>
    <row r="128" spans="1:19" customFormat="1" hidden="1" x14ac:dyDescent="0.4">
      <c r="A128" s="34" t="s">
        <v>35</v>
      </c>
      <c r="B128" s="36" t="s">
        <v>40</v>
      </c>
      <c r="C128" s="36">
        <v>712</v>
      </c>
      <c r="D128" s="36">
        <v>2048</v>
      </c>
      <c r="E128" s="36"/>
      <c r="F128" s="36"/>
      <c r="G128" s="37"/>
      <c r="S128" s="1"/>
    </row>
    <row r="129" spans="1:19" customFormat="1" hidden="1" x14ac:dyDescent="0.4">
      <c r="A129" s="34" t="s">
        <v>36</v>
      </c>
      <c r="B129" s="36" t="s">
        <v>40</v>
      </c>
      <c r="C129" s="36">
        <v>1090</v>
      </c>
      <c r="D129" s="36">
        <v>5775</v>
      </c>
      <c r="E129" s="36"/>
      <c r="F129" s="36"/>
      <c r="G129" s="37"/>
      <c r="S129" s="1"/>
    </row>
    <row r="130" spans="1:19" customFormat="1" hidden="1" x14ac:dyDescent="0.4">
      <c r="A130" s="34" t="s">
        <v>37</v>
      </c>
      <c r="B130" s="36" t="s">
        <v>40</v>
      </c>
      <c r="C130" s="36">
        <v>422</v>
      </c>
      <c r="D130" s="36">
        <v>861</v>
      </c>
      <c r="E130" s="36"/>
      <c r="F130" s="36"/>
      <c r="G130" s="37"/>
      <c r="S130" s="1"/>
    </row>
    <row r="131" spans="1:19" customFormat="1" hidden="1" x14ac:dyDescent="0.4">
      <c r="A131" s="34" t="s">
        <v>5</v>
      </c>
      <c r="B131" s="36" t="s">
        <v>41</v>
      </c>
      <c r="C131" s="36">
        <v>760</v>
      </c>
      <c r="D131" s="41">
        <v>3938</v>
      </c>
      <c r="E131" s="36"/>
      <c r="F131" s="36"/>
      <c r="G131" s="37"/>
      <c r="S131" s="1"/>
    </row>
    <row r="132" spans="1:19" customFormat="1" hidden="1" x14ac:dyDescent="0.4">
      <c r="A132" s="34" t="s">
        <v>51</v>
      </c>
      <c r="B132" s="36" t="s">
        <v>41</v>
      </c>
      <c r="C132" s="41">
        <v>1101</v>
      </c>
      <c r="D132" s="41">
        <v>4312</v>
      </c>
      <c r="E132" s="36"/>
      <c r="F132" s="36"/>
      <c r="G132" s="37"/>
      <c r="S132" s="1"/>
    </row>
    <row r="133" spans="1:19" customFormat="1" hidden="1" x14ac:dyDescent="0.4">
      <c r="A133" s="34" t="s">
        <v>8</v>
      </c>
      <c r="B133" s="36" t="s">
        <v>41</v>
      </c>
      <c r="C133" s="36">
        <v>205</v>
      </c>
      <c r="D133" s="36">
        <v>951</v>
      </c>
      <c r="E133" s="36"/>
      <c r="F133" s="36"/>
      <c r="G133" s="37"/>
      <c r="S133" s="1"/>
    </row>
    <row r="134" spans="1:19" customFormat="1" hidden="1" x14ac:dyDescent="0.4">
      <c r="A134" s="34" t="s">
        <v>9</v>
      </c>
      <c r="B134" s="36" t="s">
        <v>41</v>
      </c>
      <c r="C134" s="36">
        <v>294</v>
      </c>
      <c r="D134" s="36">
        <v>1362</v>
      </c>
      <c r="E134" s="36"/>
      <c r="F134" s="36"/>
      <c r="G134" s="37"/>
      <c r="S134" s="1"/>
    </row>
    <row r="135" spans="1:19" customFormat="1" hidden="1" x14ac:dyDescent="0.4">
      <c r="A135" s="34" t="s">
        <v>10</v>
      </c>
      <c r="B135" s="36" t="s">
        <v>41</v>
      </c>
      <c r="C135" s="36">
        <v>164</v>
      </c>
      <c r="D135" s="41">
        <v>1008</v>
      </c>
      <c r="E135" s="36"/>
      <c r="F135" s="36"/>
      <c r="G135" s="37"/>
      <c r="S135" s="1"/>
    </row>
    <row r="136" spans="1:19" customFormat="1" hidden="1" x14ac:dyDescent="0.4">
      <c r="A136" s="34" t="s">
        <v>11</v>
      </c>
      <c r="B136" s="36" t="s">
        <v>41</v>
      </c>
      <c r="C136" s="36">
        <v>370</v>
      </c>
      <c r="D136" s="41">
        <v>1000</v>
      </c>
      <c r="E136" s="36"/>
      <c r="F136" s="36"/>
      <c r="G136" s="37"/>
      <c r="S136" s="1"/>
    </row>
    <row r="137" spans="1:19" customFormat="1" hidden="1" x14ac:dyDescent="0.4">
      <c r="A137" s="42" t="s">
        <v>12</v>
      </c>
      <c r="B137" s="43" t="s">
        <v>41</v>
      </c>
      <c r="C137" s="43">
        <v>852</v>
      </c>
      <c r="D137" s="44">
        <v>2893</v>
      </c>
      <c r="E137" s="36"/>
      <c r="F137" s="36"/>
      <c r="G137" s="37"/>
      <c r="S137" s="1"/>
    </row>
    <row r="138" spans="1:19" customFormat="1" hidden="1" x14ac:dyDescent="0.4">
      <c r="A138" s="34" t="s">
        <v>52</v>
      </c>
      <c r="B138" s="36" t="s">
        <v>41</v>
      </c>
      <c r="C138" s="41">
        <v>3434</v>
      </c>
      <c r="D138" s="41">
        <v>8464</v>
      </c>
      <c r="E138" s="36"/>
      <c r="F138" s="36"/>
      <c r="G138" s="37"/>
      <c r="S138" s="1"/>
    </row>
    <row r="139" spans="1:19" customFormat="1" hidden="1" x14ac:dyDescent="0.4">
      <c r="A139" s="42" t="s">
        <v>14</v>
      </c>
      <c r="B139" s="43" t="s">
        <v>41</v>
      </c>
      <c r="C139" s="44">
        <v>48724</v>
      </c>
      <c r="D139" s="44">
        <v>119650</v>
      </c>
      <c r="E139" s="36"/>
      <c r="F139" s="36"/>
      <c r="G139" s="37"/>
      <c r="S139" s="1"/>
    </row>
    <row r="140" spans="1:19" customFormat="1" hidden="1" x14ac:dyDescent="0.4">
      <c r="A140" s="34" t="s">
        <v>15</v>
      </c>
      <c r="B140" s="36" t="s">
        <v>41</v>
      </c>
      <c r="C140" s="36">
        <v>547</v>
      </c>
      <c r="D140" s="36">
        <v>926</v>
      </c>
      <c r="E140" s="36"/>
      <c r="F140" s="36"/>
      <c r="G140" s="37"/>
      <c r="S140" s="1"/>
    </row>
    <row r="141" spans="1:19" customFormat="1" hidden="1" x14ac:dyDescent="0.4">
      <c r="A141" s="34" t="s">
        <v>16</v>
      </c>
      <c r="B141" s="36" t="s">
        <v>41</v>
      </c>
      <c r="C141" s="41">
        <v>1333</v>
      </c>
      <c r="D141" s="41">
        <v>4281</v>
      </c>
      <c r="E141" s="36"/>
      <c r="F141" s="36"/>
      <c r="G141" s="37"/>
      <c r="S141" s="1"/>
    </row>
    <row r="142" spans="1:19" customFormat="1" hidden="1" x14ac:dyDescent="0.4">
      <c r="A142" s="34" t="s">
        <v>17</v>
      </c>
      <c r="B142" s="36" t="s">
        <v>41</v>
      </c>
      <c r="C142" s="36">
        <v>715</v>
      </c>
      <c r="D142" s="41">
        <v>1368</v>
      </c>
      <c r="E142" s="36"/>
      <c r="F142" s="36"/>
      <c r="G142" s="37"/>
      <c r="S142" s="1"/>
    </row>
    <row r="143" spans="1:19" customFormat="1" hidden="1" x14ac:dyDescent="0.4">
      <c r="A143" s="34" t="s">
        <v>18</v>
      </c>
      <c r="B143" s="36" t="s">
        <v>41</v>
      </c>
      <c r="C143" s="41">
        <v>1458</v>
      </c>
      <c r="D143" s="41">
        <v>5531</v>
      </c>
      <c r="E143" s="36"/>
      <c r="F143" s="36"/>
      <c r="G143" s="37"/>
      <c r="S143" s="1"/>
    </row>
    <row r="144" spans="1:19" customFormat="1" hidden="1" x14ac:dyDescent="0.4">
      <c r="A144" s="34" t="s">
        <v>19</v>
      </c>
      <c r="B144" s="36" t="s">
        <v>41</v>
      </c>
      <c r="C144" s="41">
        <v>2699</v>
      </c>
      <c r="D144" s="36">
        <v>6940</v>
      </c>
      <c r="E144" s="36"/>
      <c r="F144" s="36"/>
      <c r="G144" s="37"/>
      <c r="S144" s="1"/>
    </row>
    <row r="145" spans="1:19" customFormat="1" hidden="1" x14ac:dyDescent="0.4">
      <c r="A145" s="34" t="s">
        <v>53</v>
      </c>
      <c r="B145" s="36" t="s">
        <v>41</v>
      </c>
      <c r="C145" s="41">
        <v>5000</v>
      </c>
      <c r="D145" s="41">
        <v>20000</v>
      </c>
      <c r="E145" s="36"/>
      <c r="F145" s="36"/>
      <c r="G145" s="37"/>
      <c r="S145" s="1"/>
    </row>
    <row r="146" spans="1:19" customFormat="1" hidden="1" x14ac:dyDescent="0.4">
      <c r="A146" s="34" t="s">
        <v>21</v>
      </c>
      <c r="B146" s="36" t="s">
        <v>41</v>
      </c>
      <c r="C146" s="41">
        <v>1301</v>
      </c>
      <c r="D146" s="41">
        <v>5820</v>
      </c>
      <c r="E146" s="36"/>
      <c r="F146" s="36"/>
      <c r="G146" s="37"/>
      <c r="S146" s="1"/>
    </row>
    <row r="147" spans="1:19" customFormat="1" hidden="1" x14ac:dyDescent="0.4">
      <c r="A147" s="34" t="s">
        <v>22</v>
      </c>
      <c r="B147" s="36" t="s">
        <v>41</v>
      </c>
      <c r="C147" s="36">
        <v>354</v>
      </c>
      <c r="D147" s="41">
        <v>1047</v>
      </c>
      <c r="E147" s="36"/>
      <c r="F147" s="36"/>
      <c r="G147" s="37"/>
      <c r="S147" s="1"/>
    </row>
    <row r="148" spans="1:19" customFormat="1" hidden="1" x14ac:dyDescent="0.4">
      <c r="A148" s="34" t="s">
        <v>23</v>
      </c>
      <c r="B148" s="36" t="s">
        <v>41</v>
      </c>
      <c r="C148" s="36">
        <v>189</v>
      </c>
      <c r="D148" s="36">
        <v>248</v>
      </c>
      <c r="E148" s="36"/>
      <c r="F148" s="36"/>
      <c r="G148" s="37"/>
      <c r="S148" s="1"/>
    </row>
    <row r="149" spans="1:19" customFormat="1" hidden="1" x14ac:dyDescent="0.4">
      <c r="A149" s="34" t="s">
        <v>54</v>
      </c>
      <c r="B149" s="36" t="s">
        <v>41</v>
      </c>
      <c r="C149" s="36">
        <v>347</v>
      </c>
      <c r="D149" s="36">
        <v>1030</v>
      </c>
      <c r="E149" s="36"/>
      <c r="F149" s="36"/>
      <c r="G149" s="37"/>
      <c r="S149" s="1"/>
    </row>
    <row r="150" spans="1:19" customFormat="1" hidden="1" x14ac:dyDescent="0.4">
      <c r="A150" s="34" t="s">
        <v>25</v>
      </c>
      <c r="B150" s="36" t="s">
        <v>41</v>
      </c>
      <c r="C150" s="36">
        <v>561</v>
      </c>
      <c r="D150" s="41">
        <v>1861</v>
      </c>
      <c r="E150" s="36"/>
      <c r="F150" s="36"/>
      <c r="G150" s="37"/>
      <c r="S150" s="1"/>
    </row>
    <row r="151" spans="1:19" customFormat="1" hidden="1" x14ac:dyDescent="0.4">
      <c r="A151" s="34" t="s">
        <v>26</v>
      </c>
      <c r="B151" s="36" t="s">
        <v>41</v>
      </c>
      <c r="C151" s="36">
        <v>306</v>
      </c>
      <c r="D151" s="36">
        <v>857</v>
      </c>
      <c r="E151" s="36"/>
      <c r="F151" s="36"/>
      <c r="G151" s="37"/>
      <c r="S151" s="1"/>
    </row>
    <row r="152" spans="1:19" customFormat="1" hidden="1" x14ac:dyDescent="0.4">
      <c r="A152" s="34" t="s">
        <v>27</v>
      </c>
      <c r="B152" s="36" t="s">
        <v>41</v>
      </c>
      <c r="C152" s="36">
        <v>757</v>
      </c>
      <c r="D152" s="41">
        <v>2684</v>
      </c>
      <c r="E152" s="36"/>
      <c r="F152" s="36"/>
      <c r="G152" s="37"/>
      <c r="S152" s="1"/>
    </row>
    <row r="153" spans="1:19" customFormat="1" hidden="1" x14ac:dyDescent="0.4">
      <c r="A153" s="34" t="s">
        <v>28</v>
      </c>
      <c r="B153" s="36" t="s">
        <v>41</v>
      </c>
      <c r="C153" s="41">
        <v>1141</v>
      </c>
      <c r="D153" s="41">
        <v>4564</v>
      </c>
      <c r="E153" s="36"/>
      <c r="F153" s="36"/>
      <c r="G153" s="37"/>
      <c r="S153" s="1"/>
    </row>
    <row r="154" spans="1:19" customFormat="1" hidden="1" x14ac:dyDescent="0.4">
      <c r="A154" s="34" t="s">
        <v>29</v>
      </c>
      <c r="B154" s="36" t="s">
        <v>41</v>
      </c>
      <c r="C154" s="36">
        <v>478</v>
      </c>
      <c r="D154" s="41">
        <v>1713</v>
      </c>
      <c r="E154" s="36"/>
      <c r="F154" s="36"/>
      <c r="G154" s="37"/>
      <c r="S154" s="1"/>
    </row>
    <row r="155" spans="1:19" customFormat="1" hidden="1" x14ac:dyDescent="0.4">
      <c r="A155" s="34" t="s">
        <v>30</v>
      </c>
      <c r="B155" s="36" t="s">
        <v>41</v>
      </c>
      <c r="C155" s="36">
        <v>589</v>
      </c>
      <c r="D155" s="41">
        <v>1191</v>
      </c>
      <c r="E155" s="36"/>
      <c r="F155" s="36"/>
      <c r="G155" s="37"/>
      <c r="S155" s="1"/>
    </row>
    <row r="156" spans="1:19" customFormat="1" hidden="1" x14ac:dyDescent="0.4">
      <c r="A156" s="34" t="s">
        <v>31</v>
      </c>
      <c r="B156" s="36" t="s">
        <v>41</v>
      </c>
      <c r="C156" s="36">
        <v>630</v>
      </c>
      <c r="D156" s="41">
        <v>2520</v>
      </c>
      <c r="E156" s="36"/>
      <c r="F156" s="36"/>
      <c r="G156" s="37"/>
      <c r="S156" s="1"/>
    </row>
    <row r="157" spans="1:19" customFormat="1" hidden="1" x14ac:dyDescent="0.4">
      <c r="A157" s="34" t="s">
        <v>32</v>
      </c>
      <c r="B157" s="36" t="s">
        <v>41</v>
      </c>
      <c r="C157" s="36">
        <v>428</v>
      </c>
      <c r="D157" s="41">
        <v>1532</v>
      </c>
      <c r="E157" s="36"/>
      <c r="F157" s="36"/>
      <c r="G157" s="37"/>
      <c r="S157" s="1"/>
    </row>
    <row r="158" spans="1:19" customFormat="1" hidden="1" x14ac:dyDescent="0.4">
      <c r="A158" s="34" t="s">
        <v>33</v>
      </c>
      <c r="B158" s="36" t="s">
        <v>41</v>
      </c>
      <c r="C158" s="41">
        <v>1797</v>
      </c>
      <c r="D158" s="41">
        <v>5978</v>
      </c>
      <c r="E158" s="36"/>
      <c r="F158" s="36"/>
      <c r="G158" s="37"/>
      <c r="S158" s="1"/>
    </row>
    <row r="159" spans="1:19" customFormat="1" hidden="1" x14ac:dyDescent="0.4">
      <c r="A159" s="34" t="s">
        <v>34</v>
      </c>
      <c r="B159" s="36" t="s">
        <v>41</v>
      </c>
      <c r="C159" s="41">
        <v>1028</v>
      </c>
      <c r="D159" s="41">
        <v>2747</v>
      </c>
      <c r="E159" s="36"/>
      <c r="F159" s="36"/>
      <c r="G159" s="37"/>
      <c r="S159" s="1"/>
    </row>
    <row r="160" spans="1:19" customFormat="1" hidden="1" x14ac:dyDescent="0.4">
      <c r="A160" s="34" t="s">
        <v>35</v>
      </c>
      <c r="B160" s="36" t="s">
        <v>41</v>
      </c>
      <c r="C160" s="36">
        <v>814</v>
      </c>
      <c r="D160" s="41">
        <v>2078</v>
      </c>
      <c r="E160" s="36"/>
      <c r="F160" s="36"/>
      <c r="G160" s="37"/>
      <c r="S160" s="1"/>
    </row>
    <row r="161" spans="1:19" customFormat="1" hidden="1" x14ac:dyDescent="0.4">
      <c r="A161" s="34" t="s">
        <v>36</v>
      </c>
      <c r="B161" s="36" t="s">
        <v>41</v>
      </c>
      <c r="C161" s="36">
        <v>970</v>
      </c>
      <c r="D161" s="41">
        <v>5091</v>
      </c>
      <c r="E161" s="36"/>
      <c r="F161" s="36"/>
      <c r="G161" s="37"/>
      <c r="S161" s="1"/>
    </row>
    <row r="162" spans="1:19" customFormat="1" hidden="1" x14ac:dyDescent="0.4">
      <c r="A162" s="34" t="s">
        <v>37</v>
      </c>
      <c r="B162" s="36" t="s">
        <v>41</v>
      </c>
      <c r="C162" s="36">
        <v>422</v>
      </c>
      <c r="D162" s="36">
        <v>861</v>
      </c>
      <c r="E162" s="36"/>
      <c r="F162" s="36"/>
      <c r="G162" s="37"/>
      <c r="S162" s="1"/>
    </row>
    <row r="163" spans="1:19" customFormat="1" hidden="1" x14ac:dyDescent="0.4">
      <c r="A163" s="34" t="s">
        <v>5</v>
      </c>
      <c r="B163" s="36" t="s">
        <v>42</v>
      </c>
      <c r="C163" s="36">
        <v>760</v>
      </c>
      <c r="D163" s="36">
        <v>3236</v>
      </c>
      <c r="E163" s="36">
        <v>0.95</v>
      </c>
      <c r="F163" s="36">
        <v>284</v>
      </c>
      <c r="G163" s="48">
        <v>1.4652777777777778E-2</v>
      </c>
      <c r="P163" s="46"/>
      <c r="R163" s="47"/>
      <c r="S163" s="1"/>
    </row>
    <row r="164" spans="1:19" customFormat="1" hidden="1" x14ac:dyDescent="0.4">
      <c r="A164" s="34" t="s">
        <v>51</v>
      </c>
      <c r="B164" s="36" t="s">
        <v>42</v>
      </c>
      <c r="C164" s="36">
        <v>1101</v>
      </c>
      <c r="D164" s="36">
        <v>4312</v>
      </c>
      <c r="E164" s="36">
        <v>0.97</v>
      </c>
      <c r="F164" s="36">
        <v>258</v>
      </c>
      <c r="G164" s="48">
        <v>6.1631944444444442E-3</v>
      </c>
      <c r="P164" s="46"/>
      <c r="R164" s="47"/>
      <c r="S164" s="1"/>
    </row>
    <row r="165" spans="1:19" customFormat="1" hidden="1" x14ac:dyDescent="0.4">
      <c r="A165" s="34" t="s">
        <v>8</v>
      </c>
      <c r="B165" s="36" t="s">
        <v>42</v>
      </c>
      <c r="C165" s="36">
        <v>209</v>
      </c>
      <c r="D165" s="36">
        <v>955</v>
      </c>
      <c r="E165" s="36">
        <v>0.89</v>
      </c>
      <c r="F165" s="36">
        <v>62</v>
      </c>
      <c r="G165" s="48">
        <v>2.7708333333333335E-2</v>
      </c>
      <c r="P165" s="46"/>
      <c r="R165" s="47"/>
      <c r="S165" s="1"/>
    </row>
    <row r="166" spans="1:19" customFormat="1" hidden="1" x14ac:dyDescent="0.4">
      <c r="A166" s="34" t="s">
        <v>9</v>
      </c>
      <c r="B166" s="36" t="s">
        <v>42</v>
      </c>
      <c r="C166" s="36">
        <v>294</v>
      </c>
      <c r="D166" s="36">
        <v>1362</v>
      </c>
      <c r="E166" s="36">
        <v>0.98</v>
      </c>
      <c r="F166" s="36">
        <v>185</v>
      </c>
      <c r="G166" s="48">
        <v>2.8009259259259258E-2</v>
      </c>
      <c r="P166" s="46"/>
      <c r="R166" s="47"/>
      <c r="S166" s="1"/>
    </row>
    <row r="167" spans="1:19" customFormat="1" hidden="1" x14ac:dyDescent="0.4">
      <c r="A167" s="34" t="s">
        <v>10</v>
      </c>
      <c r="B167" s="36" t="s">
        <v>42</v>
      </c>
      <c r="C167" s="36">
        <v>852</v>
      </c>
      <c r="D167" s="36">
        <v>2921</v>
      </c>
      <c r="E167" s="36">
        <v>0.93</v>
      </c>
      <c r="F167" s="36">
        <v>91</v>
      </c>
      <c r="G167" s="48">
        <v>4.8726851851851848E-3</v>
      </c>
      <c r="P167" s="46"/>
      <c r="R167" s="47"/>
      <c r="S167" s="1"/>
    </row>
    <row r="168" spans="1:19" customFormat="1" hidden="1" x14ac:dyDescent="0.4">
      <c r="A168" s="34" t="s">
        <v>11</v>
      </c>
      <c r="B168" s="36" t="s">
        <v>42</v>
      </c>
      <c r="C168" s="36">
        <v>3439</v>
      </c>
      <c r="D168" s="36">
        <v>8552</v>
      </c>
      <c r="E168" s="36">
        <v>0.79</v>
      </c>
      <c r="F168" s="36">
        <v>1580</v>
      </c>
      <c r="G168" s="48">
        <v>1.4085648148148149E-2</v>
      </c>
      <c r="P168" s="46"/>
      <c r="R168" s="47"/>
      <c r="S168" s="1"/>
    </row>
    <row r="169" spans="1:19" customFormat="1" hidden="1" x14ac:dyDescent="0.4">
      <c r="A169" s="34" t="s">
        <v>12</v>
      </c>
      <c r="B169" s="36" t="s">
        <v>42</v>
      </c>
      <c r="C169" s="36">
        <v>48101</v>
      </c>
      <c r="D169" s="36">
        <v>118893</v>
      </c>
      <c r="E169" s="36">
        <v>0.98</v>
      </c>
      <c r="F169" s="36">
        <v>898</v>
      </c>
      <c r="G169" s="48">
        <v>2.8587962962962963E-3</v>
      </c>
      <c r="P169" s="46"/>
      <c r="R169" s="47"/>
      <c r="S169" s="1"/>
    </row>
    <row r="170" spans="1:19" customFormat="1" hidden="1" x14ac:dyDescent="0.4">
      <c r="A170" s="34" t="s">
        <v>52</v>
      </c>
      <c r="B170" s="36" t="s">
        <v>42</v>
      </c>
      <c r="C170" s="36">
        <v>375</v>
      </c>
      <c r="D170" s="36">
        <v>1559</v>
      </c>
      <c r="E170" s="36">
        <v>0.95</v>
      </c>
      <c r="F170" s="36">
        <v>441</v>
      </c>
      <c r="G170" s="48">
        <v>7.2916666666666668E-3</v>
      </c>
      <c r="O170" s="1"/>
      <c r="P170" s="1"/>
      <c r="R170" s="47"/>
      <c r="S170" s="1"/>
    </row>
    <row r="171" spans="1:19" customFormat="1" hidden="1" x14ac:dyDescent="0.4">
      <c r="A171" s="34" t="s">
        <v>14</v>
      </c>
      <c r="B171" s="36" t="s">
        <v>42</v>
      </c>
      <c r="C171" s="36">
        <v>350</v>
      </c>
      <c r="D171" s="36">
        <v>975</v>
      </c>
      <c r="E171" s="36">
        <v>0.92</v>
      </c>
      <c r="F171" s="36">
        <v>195</v>
      </c>
      <c r="G171" s="48">
        <v>1.546875E-2</v>
      </c>
      <c r="O171" s="1"/>
      <c r="P171" s="1"/>
      <c r="R171" s="47"/>
      <c r="S171" s="1"/>
    </row>
    <row r="172" spans="1:19" customFormat="1" hidden="1" x14ac:dyDescent="0.4">
      <c r="A172" s="34" t="s">
        <v>15</v>
      </c>
      <c r="B172" s="36" t="s">
        <v>42</v>
      </c>
      <c r="C172" s="36">
        <v>547</v>
      </c>
      <c r="D172" s="36">
        <v>926</v>
      </c>
      <c r="E172" s="36">
        <v>0.85</v>
      </c>
      <c r="F172" s="36">
        <v>209</v>
      </c>
      <c r="G172" s="48">
        <v>2.6608796296296297E-2</v>
      </c>
      <c r="P172" s="46"/>
      <c r="R172" s="47"/>
      <c r="S172" s="1"/>
    </row>
    <row r="173" spans="1:19" customFormat="1" hidden="1" x14ac:dyDescent="0.4">
      <c r="A173" s="34" t="s">
        <v>16</v>
      </c>
      <c r="B173" s="36" t="s">
        <v>42</v>
      </c>
      <c r="C173" s="36">
        <v>1333</v>
      </c>
      <c r="D173" s="36">
        <v>4281</v>
      </c>
      <c r="E173" s="36">
        <v>0.997</v>
      </c>
      <c r="F173" s="36">
        <v>825</v>
      </c>
      <c r="G173" s="48">
        <v>9.7337962962962959E-3</v>
      </c>
      <c r="P173" s="46"/>
      <c r="R173" s="47"/>
      <c r="S173" s="1"/>
    </row>
    <row r="174" spans="1:19" customFormat="1" hidden="1" x14ac:dyDescent="0.4">
      <c r="A174" s="34" t="s">
        <v>17</v>
      </c>
      <c r="B174" s="36" t="s">
        <v>42</v>
      </c>
      <c r="C174" s="36">
        <v>789</v>
      </c>
      <c r="D174" s="36">
        <v>1381</v>
      </c>
      <c r="E174" s="36">
        <v>0.95</v>
      </c>
      <c r="F174" s="36">
        <v>58</v>
      </c>
      <c r="G174" s="48">
        <v>6.1574074074074074E-3</v>
      </c>
      <c r="P174" s="46"/>
      <c r="R174" s="47"/>
      <c r="S174" s="1"/>
    </row>
    <row r="175" spans="1:19" customFormat="1" hidden="1" x14ac:dyDescent="0.4">
      <c r="A175" s="34" t="s">
        <v>18</v>
      </c>
      <c r="B175" s="36" t="s">
        <v>42</v>
      </c>
      <c r="C175" s="36">
        <v>1458</v>
      </c>
      <c r="D175" s="36">
        <v>5531</v>
      </c>
      <c r="E175" s="36">
        <v>0.96</v>
      </c>
      <c r="F175" s="36">
        <v>757</v>
      </c>
      <c r="G175" s="48">
        <v>2.1093750000000001E-2</v>
      </c>
      <c r="P175" s="46"/>
      <c r="R175" s="47"/>
      <c r="S175" s="1"/>
    </row>
    <row r="176" spans="1:19" customFormat="1" hidden="1" x14ac:dyDescent="0.4">
      <c r="A176" s="34" t="s">
        <v>19</v>
      </c>
      <c r="B176" s="36" t="s">
        <v>42</v>
      </c>
      <c r="C176" s="36">
        <v>2698</v>
      </c>
      <c r="D176" s="36">
        <v>7001</v>
      </c>
      <c r="E176" s="36">
        <v>0.91</v>
      </c>
      <c r="F176" s="36">
        <v>298</v>
      </c>
      <c r="G176" s="48">
        <v>3.920717592592593E-2</v>
      </c>
      <c r="P176" s="46"/>
      <c r="R176" s="47"/>
      <c r="S176" s="1"/>
    </row>
    <row r="177" spans="1:25" customFormat="1" hidden="1" x14ac:dyDescent="0.4">
      <c r="A177" s="34" t="s">
        <v>53</v>
      </c>
      <c r="B177" s="36" t="s">
        <v>42</v>
      </c>
      <c r="C177" s="36">
        <v>5000</v>
      </c>
      <c r="D177" s="36">
        <v>20000</v>
      </c>
      <c r="E177" s="36">
        <v>0.85</v>
      </c>
      <c r="F177" s="36">
        <v>815</v>
      </c>
      <c r="G177" s="48">
        <v>7.7141203703703712E-3</v>
      </c>
      <c r="P177" s="46"/>
      <c r="R177" s="47"/>
      <c r="S177" s="1"/>
    </row>
    <row r="178" spans="1:25" customFormat="1" hidden="1" x14ac:dyDescent="0.4">
      <c r="A178" s="34" t="s">
        <v>21</v>
      </c>
      <c r="B178" s="36" t="s">
        <v>42</v>
      </c>
      <c r="C178" s="36">
        <v>1303</v>
      </c>
      <c r="D178" s="36">
        <v>5868</v>
      </c>
      <c r="E178" s="36">
        <v>0.91</v>
      </c>
      <c r="F178" s="36">
        <v>137</v>
      </c>
      <c r="G178" s="48">
        <v>2.6371527777777778E-2</v>
      </c>
      <c r="P178" s="46"/>
      <c r="R178" s="47"/>
      <c r="S178" s="1"/>
      <c r="T178" s="1"/>
      <c r="U178" s="1"/>
      <c r="V178" s="1"/>
      <c r="W178" s="1"/>
      <c r="X178" s="1"/>
      <c r="Y178" s="1"/>
    </row>
    <row r="179" spans="1:25" customFormat="1" hidden="1" x14ac:dyDescent="0.4">
      <c r="A179" s="34" t="s">
        <v>22</v>
      </c>
      <c r="B179" s="36" t="s">
        <v>42</v>
      </c>
      <c r="C179" s="36">
        <v>364</v>
      </c>
      <c r="D179" s="36">
        <v>1097</v>
      </c>
      <c r="E179" s="36">
        <v>0.85</v>
      </c>
      <c r="F179" s="36">
        <v>160</v>
      </c>
      <c r="G179" s="48">
        <v>6.4004629629629637E-3</v>
      </c>
      <c r="P179" s="46"/>
      <c r="R179" s="47"/>
      <c r="S179" s="1"/>
      <c r="T179" s="1"/>
      <c r="U179" s="1"/>
      <c r="V179" s="1"/>
      <c r="W179" s="1"/>
      <c r="X179" s="1"/>
      <c r="Y179" s="1"/>
    </row>
    <row r="180" spans="1:25" customFormat="1" hidden="1" x14ac:dyDescent="0.4">
      <c r="A180" s="34" t="s">
        <v>23</v>
      </c>
      <c r="B180" s="36" t="s">
        <v>42</v>
      </c>
      <c r="C180" s="36">
        <v>189</v>
      </c>
      <c r="D180" s="36">
        <v>248</v>
      </c>
      <c r="E180" s="36">
        <v>0.86</v>
      </c>
      <c r="F180" s="36">
        <v>17</v>
      </c>
      <c r="G180" s="48">
        <v>3.0850694444444444E-2</v>
      </c>
      <c r="P180" s="46"/>
      <c r="R180" s="47"/>
      <c r="S180" s="1"/>
    </row>
    <row r="181" spans="1:25" customFormat="1" hidden="1" x14ac:dyDescent="0.4">
      <c r="A181" s="34" t="s">
        <v>54</v>
      </c>
      <c r="B181" s="36" t="s">
        <v>42</v>
      </c>
      <c r="C181" s="36">
        <v>398</v>
      </c>
      <c r="D181" s="36">
        <v>1096</v>
      </c>
      <c r="E181" s="36">
        <v>0.53</v>
      </c>
      <c r="F181" s="36">
        <v>549</v>
      </c>
      <c r="G181" s="48">
        <v>1.804398148148148E-2</v>
      </c>
      <c r="P181" s="46"/>
      <c r="R181" s="47"/>
      <c r="S181" s="1"/>
    </row>
    <row r="182" spans="1:25" customFormat="1" hidden="1" x14ac:dyDescent="0.4">
      <c r="A182" s="34" t="s">
        <v>25</v>
      </c>
      <c r="B182" s="36" t="s">
        <v>42</v>
      </c>
      <c r="C182" s="36">
        <v>561</v>
      </c>
      <c r="D182" s="36">
        <v>1861</v>
      </c>
      <c r="E182" s="36">
        <v>0.92</v>
      </c>
      <c r="F182" s="36">
        <v>206</v>
      </c>
      <c r="G182" s="48">
        <v>7.0023148148148154E-3</v>
      </c>
      <c r="P182" s="46"/>
      <c r="R182" s="47"/>
      <c r="S182" s="1"/>
    </row>
    <row r="183" spans="1:25" customFormat="1" hidden="1" x14ac:dyDescent="0.4">
      <c r="A183" s="34" t="s">
        <v>26</v>
      </c>
      <c r="B183" s="36" t="s">
        <v>42</v>
      </c>
      <c r="C183" s="36">
        <v>306</v>
      </c>
      <c r="D183" s="36">
        <v>857</v>
      </c>
      <c r="E183" s="36">
        <v>0.75</v>
      </c>
      <c r="F183" s="36">
        <v>258</v>
      </c>
      <c r="G183" s="48">
        <v>7.2395833333333331E-3</v>
      </c>
      <c r="P183" s="46"/>
      <c r="R183" s="47"/>
      <c r="S183" s="1"/>
    </row>
    <row r="184" spans="1:25" customFormat="1" hidden="1" x14ac:dyDescent="0.4">
      <c r="A184" s="34" t="s">
        <v>27</v>
      </c>
      <c r="B184" s="36" t="s">
        <v>42</v>
      </c>
      <c r="C184" s="36">
        <v>757</v>
      </c>
      <c r="D184" s="36">
        <v>2684</v>
      </c>
      <c r="E184" s="36">
        <v>0.91</v>
      </c>
      <c r="F184" s="36">
        <v>232</v>
      </c>
      <c r="G184" s="48">
        <v>2.7922453703703703E-2</v>
      </c>
      <c r="P184" s="46"/>
      <c r="R184" s="47"/>
      <c r="S184" s="1"/>
    </row>
    <row r="185" spans="1:25" customFormat="1" hidden="1" x14ac:dyDescent="0.4">
      <c r="A185" s="34" t="s">
        <v>28</v>
      </c>
      <c r="B185" s="36" t="s">
        <v>42</v>
      </c>
      <c r="C185" s="36">
        <v>925</v>
      </c>
      <c r="D185" s="36">
        <v>3700</v>
      </c>
      <c r="E185" s="36">
        <v>0.96</v>
      </c>
      <c r="F185" s="36">
        <v>367</v>
      </c>
      <c r="G185" s="48">
        <v>6.2962962962962964E-3</v>
      </c>
      <c r="P185" s="46"/>
      <c r="R185" s="47"/>
      <c r="S185" s="1"/>
    </row>
    <row r="186" spans="1:25" customFormat="1" hidden="1" x14ac:dyDescent="0.4">
      <c r="A186" s="34" t="s">
        <v>29</v>
      </c>
      <c r="B186" s="36" t="s">
        <v>42</v>
      </c>
      <c r="C186" s="36">
        <v>478</v>
      </c>
      <c r="D186" s="36">
        <v>1713</v>
      </c>
      <c r="E186" s="36">
        <v>0.71</v>
      </c>
      <c r="F186" s="36">
        <v>264</v>
      </c>
      <c r="G186" s="48">
        <v>3.6030092592592593E-2</v>
      </c>
      <c r="P186" s="46"/>
      <c r="R186" s="47"/>
      <c r="S186" s="1"/>
    </row>
    <row r="187" spans="1:25" customFormat="1" hidden="1" x14ac:dyDescent="0.4">
      <c r="A187" s="34" t="s">
        <v>30</v>
      </c>
      <c r="B187" s="36" t="s">
        <v>42</v>
      </c>
      <c r="C187" s="36">
        <v>589</v>
      </c>
      <c r="D187" s="36">
        <v>1371</v>
      </c>
      <c r="E187" s="36">
        <v>0.74</v>
      </c>
      <c r="F187" s="36">
        <v>47</v>
      </c>
      <c r="G187" s="48">
        <v>9.0972222222222218E-3</v>
      </c>
      <c r="P187" s="46"/>
      <c r="R187" s="47"/>
      <c r="S187" s="1"/>
    </row>
    <row r="188" spans="1:25" customFormat="1" hidden="1" x14ac:dyDescent="0.4">
      <c r="A188" s="34" t="s">
        <v>31</v>
      </c>
      <c r="B188" s="36" t="s">
        <v>42</v>
      </c>
      <c r="C188" s="36">
        <v>630</v>
      </c>
      <c r="D188" s="36">
        <v>2520</v>
      </c>
      <c r="E188" s="36">
        <v>0.97</v>
      </c>
      <c r="F188" s="36">
        <v>177</v>
      </c>
      <c r="G188" s="48">
        <v>8.9409722222222217E-3</v>
      </c>
      <c r="P188" s="46"/>
      <c r="R188" s="47"/>
      <c r="S188" s="1"/>
    </row>
    <row r="189" spans="1:25" customFormat="1" hidden="1" x14ac:dyDescent="0.4">
      <c r="A189" s="34" t="s">
        <v>32</v>
      </c>
      <c r="B189" s="36" t="s">
        <v>42</v>
      </c>
      <c r="C189" s="36">
        <v>428</v>
      </c>
      <c r="D189" s="36">
        <v>1532</v>
      </c>
      <c r="E189" s="36">
        <v>0.96</v>
      </c>
      <c r="F189" s="36">
        <v>191</v>
      </c>
      <c r="G189" s="48">
        <v>1.1799768518518518E-2</v>
      </c>
      <c r="P189" s="46"/>
      <c r="R189" s="47"/>
      <c r="S189" s="1"/>
    </row>
    <row r="190" spans="1:25" customFormat="1" hidden="1" x14ac:dyDescent="0.4">
      <c r="A190" s="34" t="s">
        <v>33</v>
      </c>
      <c r="B190" s="36" t="s">
        <v>42</v>
      </c>
      <c r="C190" s="36">
        <v>1813</v>
      </c>
      <c r="D190" s="36">
        <v>6102</v>
      </c>
      <c r="E190" s="36">
        <v>0.79</v>
      </c>
      <c r="F190" s="36">
        <v>213</v>
      </c>
      <c r="G190" s="48">
        <v>3.1944444444444442E-2</v>
      </c>
      <c r="P190" s="46"/>
      <c r="R190" s="47"/>
      <c r="S190" s="1"/>
    </row>
    <row r="191" spans="1:25" customFormat="1" hidden="1" x14ac:dyDescent="0.4">
      <c r="A191" s="34" t="s">
        <v>34</v>
      </c>
      <c r="B191" s="36" t="s">
        <v>42</v>
      </c>
      <c r="C191" s="36">
        <v>1080</v>
      </c>
      <c r="D191" s="36">
        <v>2921</v>
      </c>
      <c r="E191" s="36">
        <v>0.9</v>
      </c>
      <c r="F191" s="36">
        <v>225</v>
      </c>
      <c r="G191" s="48">
        <v>3.6851851851851858E-2</v>
      </c>
      <c r="P191" s="46"/>
      <c r="R191" s="47"/>
      <c r="S191" s="1"/>
    </row>
    <row r="192" spans="1:25" customFormat="1" hidden="1" x14ac:dyDescent="0.4">
      <c r="A192" s="34" t="s">
        <v>35</v>
      </c>
      <c r="B192" s="36" t="s">
        <v>42</v>
      </c>
      <c r="C192" s="36">
        <v>814</v>
      </c>
      <c r="D192" s="36">
        <v>2078</v>
      </c>
      <c r="E192" s="36">
        <v>0.9</v>
      </c>
      <c r="F192" s="36">
        <v>133</v>
      </c>
      <c r="G192" s="48">
        <v>1.0127314814814815E-2</v>
      </c>
      <c r="P192" s="46"/>
      <c r="R192" s="47"/>
      <c r="S192" s="1"/>
    </row>
    <row r="193" spans="1:19" customFormat="1" hidden="1" x14ac:dyDescent="0.4">
      <c r="A193" s="34" t="s">
        <v>36</v>
      </c>
      <c r="B193" s="36" t="s">
        <v>42</v>
      </c>
      <c r="C193" s="36">
        <v>970</v>
      </c>
      <c r="D193" s="36">
        <v>5091</v>
      </c>
      <c r="E193" s="36">
        <v>0.83</v>
      </c>
      <c r="F193" s="36">
        <v>824</v>
      </c>
      <c r="G193" s="48">
        <v>9.4386574074074078E-3</v>
      </c>
      <c r="P193" s="46"/>
      <c r="R193" s="47"/>
      <c r="S193" s="1"/>
    </row>
    <row r="194" spans="1:19" customFormat="1" hidden="1" x14ac:dyDescent="0.4">
      <c r="A194" s="34" t="s">
        <v>37</v>
      </c>
      <c r="B194" s="36" t="s">
        <v>42</v>
      </c>
      <c r="C194" s="36">
        <v>422</v>
      </c>
      <c r="D194" s="36">
        <v>861</v>
      </c>
      <c r="E194" s="36">
        <v>0.97</v>
      </c>
      <c r="F194" s="36" t="s">
        <v>86</v>
      </c>
      <c r="G194" s="48">
        <v>1.9502314814814813E-2</v>
      </c>
      <c r="P194" s="46"/>
      <c r="R194" s="47"/>
      <c r="S194" s="1"/>
    </row>
    <row r="195" spans="1:19" customFormat="1" x14ac:dyDescent="0.4">
      <c r="A195" s="34" t="s">
        <v>5</v>
      </c>
      <c r="B195" s="36" t="s">
        <v>43</v>
      </c>
      <c r="C195" s="36">
        <v>760</v>
      </c>
      <c r="D195" s="36">
        <v>3236</v>
      </c>
      <c r="E195" s="70">
        <v>0.95</v>
      </c>
      <c r="F195" s="36">
        <v>284</v>
      </c>
      <c r="G195" s="48">
        <v>1.4699074074074074E-2</v>
      </c>
    </row>
    <row r="196" spans="1:19" customFormat="1" x14ac:dyDescent="0.4">
      <c r="A196" s="34" t="s">
        <v>51</v>
      </c>
      <c r="B196" s="36" t="s">
        <v>43</v>
      </c>
      <c r="C196" s="36">
        <v>1101</v>
      </c>
      <c r="D196" s="36">
        <v>4312</v>
      </c>
      <c r="E196" s="70">
        <v>0.96</v>
      </c>
      <c r="F196" s="36">
        <v>258</v>
      </c>
      <c r="G196" s="48">
        <v>5.5787037037037038E-3</v>
      </c>
    </row>
    <row r="197" spans="1:19" customFormat="1" x14ac:dyDescent="0.4">
      <c r="A197" s="34" t="s">
        <v>8</v>
      </c>
      <c r="B197" s="36" t="s">
        <v>43</v>
      </c>
      <c r="C197" s="36">
        <v>209</v>
      </c>
      <c r="D197" s="36">
        <v>955</v>
      </c>
      <c r="E197" s="70">
        <v>0.86</v>
      </c>
      <c r="F197" s="36">
        <v>62</v>
      </c>
      <c r="G197" s="48">
        <v>2.4693287037037038E-2</v>
      </c>
    </row>
    <row r="198" spans="1:19" customFormat="1" x14ac:dyDescent="0.4">
      <c r="A198" s="34" t="s">
        <v>9</v>
      </c>
      <c r="B198" s="36" t="s">
        <v>43</v>
      </c>
      <c r="C198" s="36">
        <v>294</v>
      </c>
      <c r="D198" s="36">
        <v>1362</v>
      </c>
      <c r="E198" s="70">
        <v>0.93</v>
      </c>
      <c r="F198" s="36">
        <v>185</v>
      </c>
      <c r="G198" s="48">
        <v>2.8888888888888888E-2</v>
      </c>
    </row>
    <row r="199" spans="1:19" customFormat="1" x14ac:dyDescent="0.4">
      <c r="A199" s="34" t="s">
        <v>10</v>
      </c>
      <c r="B199" s="36" t="s">
        <v>43</v>
      </c>
      <c r="C199" s="36">
        <v>852</v>
      </c>
      <c r="D199" s="36">
        <v>2921</v>
      </c>
      <c r="E199" s="70">
        <v>0.93</v>
      </c>
      <c r="F199" s="36">
        <v>91</v>
      </c>
      <c r="G199" s="48">
        <v>4.8379629629629623E-3</v>
      </c>
    </row>
    <row r="200" spans="1:19" customFormat="1" x14ac:dyDescent="0.4">
      <c r="A200" s="34" t="s">
        <v>11</v>
      </c>
      <c r="B200" s="36" t="s">
        <v>43</v>
      </c>
      <c r="C200" s="36">
        <v>3472</v>
      </c>
      <c r="D200" s="36">
        <v>8773</v>
      </c>
      <c r="E200" s="70">
        <v>0.8</v>
      </c>
      <c r="F200" s="36">
        <v>1579</v>
      </c>
      <c r="G200" s="48">
        <v>1.3321759259259259E-2</v>
      </c>
    </row>
    <row r="201" spans="1:19" customFormat="1" x14ac:dyDescent="0.4">
      <c r="A201" s="34" t="s">
        <v>12</v>
      </c>
      <c r="B201" s="36" t="s">
        <v>43</v>
      </c>
      <c r="C201" s="36">
        <v>48101</v>
      </c>
      <c r="D201" s="36">
        <v>118905</v>
      </c>
      <c r="E201" s="70">
        <v>0.9</v>
      </c>
      <c r="F201" s="36">
        <v>897</v>
      </c>
      <c r="G201" s="48">
        <v>2.8472222222222223E-3</v>
      </c>
    </row>
    <row r="202" spans="1:19" customFormat="1" x14ac:dyDescent="0.4">
      <c r="A202" s="34" t="s">
        <v>52</v>
      </c>
      <c r="B202" s="36" t="s">
        <v>43</v>
      </c>
      <c r="C202" s="36">
        <v>375</v>
      </c>
      <c r="D202" s="36">
        <v>1559</v>
      </c>
      <c r="E202" s="70">
        <v>0.95</v>
      </c>
      <c r="F202" s="36">
        <v>441</v>
      </c>
      <c r="G202" s="48">
        <v>7.7546296296296287E-3</v>
      </c>
    </row>
    <row r="203" spans="1:19" customFormat="1" x14ac:dyDescent="0.4">
      <c r="A203" s="34" t="s">
        <v>14</v>
      </c>
      <c r="B203" s="36" t="s">
        <v>43</v>
      </c>
      <c r="C203" s="36">
        <v>350</v>
      </c>
      <c r="D203" s="36">
        <v>975</v>
      </c>
      <c r="E203" s="70">
        <v>0.91</v>
      </c>
      <c r="F203" s="36">
        <v>195</v>
      </c>
      <c r="G203" s="48">
        <v>1.3674768518518518E-2</v>
      </c>
    </row>
    <row r="204" spans="1:19" customFormat="1" x14ac:dyDescent="0.4">
      <c r="A204" s="34" t="s">
        <v>15</v>
      </c>
      <c r="B204" s="36" t="s">
        <v>43</v>
      </c>
      <c r="C204" s="36">
        <v>548</v>
      </c>
      <c r="D204" s="36">
        <v>928</v>
      </c>
      <c r="E204" s="70">
        <v>0.87</v>
      </c>
      <c r="F204" s="36">
        <v>209</v>
      </c>
      <c r="G204" s="48">
        <v>3.0393518518518518E-2</v>
      </c>
    </row>
    <row r="205" spans="1:19" customFormat="1" x14ac:dyDescent="0.4">
      <c r="A205" s="34" t="s">
        <v>16</v>
      </c>
      <c r="B205" s="36" t="s">
        <v>43</v>
      </c>
      <c r="C205" s="36">
        <v>1333</v>
      </c>
      <c r="D205" s="36">
        <v>4281</v>
      </c>
      <c r="E205" s="70">
        <v>0.99</v>
      </c>
      <c r="F205" s="36">
        <v>825</v>
      </c>
      <c r="G205" s="48">
        <v>1.0393518518518519E-2</v>
      </c>
    </row>
    <row r="206" spans="1:19" customFormat="1" x14ac:dyDescent="0.4">
      <c r="A206" s="34" t="s">
        <v>17</v>
      </c>
      <c r="B206" s="36" t="s">
        <v>43</v>
      </c>
      <c r="C206" s="36">
        <v>789</v>
      </c>
      <c r="D206" s="36">
        <v>1381</v>
      </c>
      <c r="E206" s="70">
        <v>0.95</v>
      </c>
      <c r="F206" s="36">
        <v>58</v>
      </c>
      <c r="G206" s="48">
        <v>3.7673611111111111E-3</v>
      </c>
    </row>
    <row r="207" spans="1:19" customFormat="1" x14ac:dyDescent="0.4">
      <c r="A207" s="34" t="s">
        <v>18</v>
      </c>
      <c r="B207" s="36" t="s">
        <v>43</v>
      </c>
      <c r="C207" s="36">
        <v>1458</v>
      </c>
      <c r="D207" s="36">
        <v>5531</v>
      </c>
      <c r="E207" s="70">
        <v>0.96</v>
      </c>
      <c r="F207" s="36">
        <v>757</v>
      </c>
      <c r="G207" s="48">
        <v>2.0532407407407409E-2</v>
      </c>
    </row>
    <row r="208" spans="1:19" customFormat="1" x14ac:dyDescent="0.4">
      <c r="A208" s="34" t="s">
        <v>19</v>
      </c>
      <c r="B208" s="36" t="s">
        <v>43</v>
      </c>
      <c r="C208" s="36">
        <v>2713</v>
      </c>
      <c r="D208" s="36">
        <v>7043</v>
      </c>
      <c r="E208" s="70">
        <v>0.89</v>
      </c>
      <c r="F208" s="36">
        <v>301</v>
      </c>
      <c r="G208" s="48">
        <v>3.9212962962962963E-2</v>
      </c>
    </row>
    <row r="209" spans="1:7" customFormat="1" x14ac:dyDescent="0.4">
      <c r="A209" s="34" t="s">
        <v>53</v>
      </c>
      <c r="B209" s="36" t="s">
        <v>43</v>
      </c>
      <c r="C209" s="36">
        <v>5000</v>
      </c>
      <c r="D209" s="36">
        <v>20000</v>
      </c>
      <c r="E209" s="70">
        <v>0.88</v>
      </c>
      <c r="F209" s="36">
        <v>815</v>
      </c>
      <c r="G209" s="48">
        <v>8.292824074074074E-3</v>
      </c>
    </row>
    <row r="210" spans="1:7" customFormat="1" x14ac:dyDescent="0.4">
      <c r="A210" s="34" t="s">
        <v>21</v>
      </c>
      <c r="B210" s="36" t="s">
        <v>43</v>
      </c>
      <c r="C210" s="36">
        <v>1303</v>
      </c>
      <c r="D210" s="36">
        <v>5868</v>
      </c>
      <c r="E210" s="70">
        <v>0.91</v>
      </c>
      <c r="F210" s="36">
        <v>133</v>
      </c>
      <c r="G210" s="48">
        <v>2.509259259259259E-2</v>
      </c>
    </row>
    <row r="211" spans="1:7" customFormat="1" x14ac:dyDescent="0.4">
      <c r="A211" s="34" t="s">
        <v>22</v>
      </c>
      <c r="B211" s="36" t="s">
        <v>43</v>
      </c>
      <c r="C211" s="36">
        <v>377</v>
      </c>
      <c r="D211" s="36">
        <v>1157</v>
      </c>
      <c r="E211" s="70">
        <v>0.92</v>
      </c>
      <c r="F211" s="36">
        <v>163</v>
      </c>
      <c r="G211" s="48">
        <v>5.7581018518518519E-3</v>
      </c>
    </row>
    <row r="212" spans="1:7" customFormat="1" x14ac:dyDescent="0.4">
      <c r="A212" s="34" t="s">
        <v>23</v>
      </c>
      <c r="B212" s="36" t="s">
        <v>43</v>
      </c>
      <c r="C212" s="36">
        <v>189</v>
      </c>
      <c r="D212" s="36">
        <v>248</v>
      </c>
      <c r="E212" s="70">
        <v>0.86</v>
      </c>
      <c r="F212" s="36">
        <v>17</v>
      </c>
      <c r="G212" s="48">
        <v>1.0862268518518518E-2</v>
      </c>
    </row>
    <row r="213" spans="1:7" customFormat="1" x14ac:dyDescent="0.4">
      <c r="A213" s="34" t="s">
        <v>54</v>
      </c>
      <c r="B213" s="36" t="s">
        <v>43</v>
      </c>
      <c r="C213" s="36">
        <v>318</v>
      </c>
      <c r="D213" s="36">
        <v>1047</v>
      </c>
      <c r="E213" s="70">
        <v>0.42</v>
      </c>
      <c r="F213" s="36">
        <v>700</v>
      </c>
      <c r="G213" s="48">
        <v>1.6620370370370369E-2</v>
      </c>
    </row>
    <row r="214" spans="1:7" customFormat="1" x14ac:dyDescent="0.4">
      <c r="A214" s="34" t="s">
        <v>25</v>
      </c>
      <c r="B214" s="36" t="s">
        <v>43</v>
      </c>
      <c r="C214" s="36">
        <v>597</v>
      </c>
      <c r="D214" s="36">
        <v>1979</v>
      </c>
      <c r="E214" s="70">
        <v>0.82</v>
      </c>
      <c r="F214" s="36">
        <v>206</v>
      </c>
      <c r="G214" s="48">
        <v>7.0081018518518522E-3</v>
      </c>
    </row>
    <row r="215" spans="1:7" customFormat="1" x14ac:dyDescent="0.4">
      <c r="A215" s="34" t="s">
        <v>26</v>
      </c>
      <c r="B215" s="36" t="s">
        <v>43</v>
      </c>
      <c r="C215" s="36">
        <v>306</v>
      </c>
      <c r="D215" s="36">
        <v>857</v>
      </c>
      <c r="E215" s="70">
        <v>0.72</v>
      </c>
      <c r="F215" s="36">
        <v>268</v>
      </c>
      <c r="G215" s="48">
        <v>7.2395833333333331E-3</v>
      </c>
    </row>
    <row r="216" spans="1:7" customFormat="1" x14ac:dyDescent="0.4">
      <c r="A216" s="34" t="s">
        <v>27</v>
      </c>
      <c r="B216" s="36" t="s">
        <v>43</v>
      </c>
      <c r="C216" s="36">
        <v>757</v>
      </c>
      <c r="D216" s="36">
        <v>2684</v>
      </c>
      <c r="E216" s="70">
        <v>0.93</v>
      </c>
      <c r="F216" s="36">
        <v>232</v>
      </c>
      <c r="G216" s="48"/>
    </row>
    <row r="217" spans="1:7" customFormat="1" x14ac:dyDescent="0.4">
      <c r="A217" s="34" t="s">
        <v>28</v>
      </c>
      <c r="B217" s="36" t="s">
        <v>43</v>
      </c>
      <c r="C217" s="36">
        <v>926</v>
      </c>
      <c r="D217" s="36">
        <v>3704</v>
      </c>
      <c r="E217" s="70">
        <v>0.99</v>
      </c>
      <c r="F217" s="36">
        <v>359</v>
      </c>
      <c r="G217" s="48"/>
    </row>
    <row r="218" spans="1:7" customFormat="1" x14ac:dyDescent="0.4">
      <c r="A218" s="34" t="s">
        <v>29</v>
      </c>
      <c r="B218" s="36" t="s">
        <v>43</v>
      </c>
      <c r="C218" s="36">
        <v>478</v>
      </c>
      <c r="D218" s="36">
        <v>1713</v>
      </c>
      <c r="E218" s="70">
        <v>0.71</v>
      </c>
      <c r="F218" s="36">
        <v>264</v>
      </c>
      <c r="G218" s="48"/>
    </row>
    <row r="219" spans="1:7" customFormat="1" x14ac:dyDescent="0.4">
      <c r="A219" s="34" t="s">
        <v>30</v>
      </c>
      <c r="B219" s="36" t="s">
        <v>43</v>
      </c>
      <c r="C219" s="36">
        <v>589</v>
      </c>
      <c r="D219" s="36">
        <v>1449</v>
      </c>
      <c r="E219" s="70">
        <v>0.88</v>
      </c>
      <c r="F219" s="36">
        <v>60</v>
      </c>
      <c r="G219" s="48">
        <v>8.4085648148148149E-3</v>
      </c>
    </row>
    <row r="220" spans="1:7" customFormat="1" x14ac:dyDescent="0.4">
      <c r="A220" s="34" t="s">
        <v>31</v>
      </c>
      <c r="B220" s="36" t="s">
        <v>43</v>
      </c>
      <c r="C220" s="36">
        <v>630</v>
      </c>
      <c r="D220" s="36">
        <v>2520</v>
      </c>
      <c r="E220" s="70">
        <v>0.97</v>
      </c>
      <c r="F220" s="36">
        <v>177</v>
      </c>
      <c r="G220" s="48">
        <v>9.2071759259259259E-3</v>
      </c>
    </row>
    <row r="221" spans="1:7" customFormat="1" x14ac:dyDescent="0.4">
      <c r="A221" s="34" t="s">
        <v>32</v>
      </c>
      <c r="B221" s="36" t="s">
        <v>43</v>
      </c>
      <c r="C221" s="36">
        <v>428</v>
      </c>
      <c r="D221" s="36">
        <v>1532</v>
      </c>
      <c r="E221" s="70">
        <v>0.97</v>
      </c>
      <c r="F221" s="36">
        <v>191</v>
      </c>
      <c r="G221" s="48">
        <v>1.0590277777777778E-2</v>
      </c>
    </row>
    <row r="222" spans="1:7" customFormat="1" x14ac:dyDescent="0.4">
      <c r="A222" s="34" t="s">
        <v>33</v>
      </c>
      <c r="B222" s="36" t="s">
        <v>43</v>
      </c>
      <c r="C222" s="36">
        <v>1818</v>
      </c>
      <c r="D222" s="36">
        <v>6127</v>
      </c>
      <c r="E222" s="70">
        <v>0.81</v>
      </c>
      <c r="F222" s="36">
        <v>274</v>
      </c>
      <c r="G222" s="48">
        <v>3.0011574074074072E-2</v>
      </c>
    </row>
    <row r="223" spans="1:7" customFormat="1" x14ac:dyDescent="0.4">
      <c r="A223" s="34" t="s">
        <v>34</v>
      </c>
      <c r="B223" s="36" t="s">
        <v>43</v>
      </c>
      <c r="C223" s="36">
        <v>1081</v>
      </c>
      <c r="D223" s="36">
        <v>2924</v>
      </c>
      <c r="E223" s="70">
        <v>0.9</v>
      </c>
      <c r="F223" s="36">
        <v>225</v>
      </c>
      <c r="G223" s="48">
        <v>3.8761574074074073E-2</v>
      </c>
    </row>
    <row r="224" spans="1:7" customFormat="1" x14ac:dyDescent="0.4">
      <c r="A224" s="34" t="s">
        <v>35</v>
      </c>
      <c r="B224" s="36" t="s">
        <v>43</v>
      </c>
      <c r="C224" s="36">
        <v>837</v>
      </c>
      <c r="D224" s="36">
        <v>2101</v>
      </c>
      <c r="E224" s="70">
        <v>0.91</v>
      </c>
      <c r="F224" s="36">
        <v>133</v>
      </c>
      <c r="G224" s="48">
        <v>0.01</v>
      </c>
    </row>
    <row r="225" spans="1:7" customFormat="1" x14ac:dyDescent="0.4">
      <c r="A225" s="34" t="s">
        <v>36</v>
      </c>
      <c r="B225" s="36" t="s">
        <v>43</v>
      </c>
      <c r="C225" s="36">
        <v>970</v>
      </c>
      <c r="D225" s="36">
        <v>5091</v>
      </c>
      <c r="E225" s="70">
        <v>0.83</v>
      </c>
      <c r="F225" s="36">
        <v>824</v>
      </c>
      <c r="G225" s="48">
        <v>9.4386574074074078E-3</v>
      </c>
    </row>
    <row r="226" spans="1:7" customFormat="1" x14ac:dyDescent="0.4">
      <c r="A226" s="34" t="s">
        <v>37</v>
      </c>
      <c r="B226" s="36" t="s">
        <v>43</v>
      </c>
      <c r="C226" s="36">
        <v>422</v>
      </c>
      <c r="D226" s="36">
        <v>861</v>
      </c>
      <c r="E226" s="70">
        <v>0.96</v>
      </c>
      <c r="F226" s="36"/>
      <c r="G226" s="48">
        <v>2.0416666666666666E-2</v>
      </c>
    </row>
    <row r="227" spans="1:7" customFormat="1" hidden="1" x14ac:dyDescent="0.4">
      <c r="A227" s="34" t="s">
        <v>5</v>
      </c>
      <c r="B227" s="36" t="s">
        <v>44</v>
      </c>
      <c r="C227" s="36"/>
      <c r="D227" s="36"/>
      <c r="E227" s="36"/>
      <c r="F227" s="36"/>
      <c r="G227" s="37"/>
    </row>
    <row r="228" spans="1:7" customFormat="1" hidden="1" x14ac:dyDescent="0.4">
      <c r="A228" s="34" t="s">
        <v>51</v>
      </c>
      <c r="B228" s="36" t="s">
        <v>44</v>
      </c>
      <c r="C228" s="36"/>
      <c r="D228" s="36"/>
      <c r="E228" s="36"/>
      <c r="F228" s="36"/>
      <c r="G228" s="37"/>
    </row>
    <row r="229" spans="1:7" customFormat="1" hidden="1" x14ac:dyDescent="0.4">
      <c r="A229" s="34" t="s">
        <v>8</v>
      </c>
      <c r="B229" s="36" t="s">
        <v>44</v>
      </c>
      <c r="C229" s="36"/>
      <c r="D229" s="36"/>
      <c r="E229" s="36"/>
      <c r="F229" s="36"/>
      <c r="G229" s="37"/>
    </row>
    <row r="230" spans="1:7" customFormat="1" hidden="1" x14ac:dyDescent="0.4">
      <c r="A230" s="34" t="s">
        <v>9</v>
      </c>
      <c r="B230" s="36" t="s">
        <v>44</v>
      </c>
      <c r="C230" s="36"/>
      <c r="D230" s="36"/>
      <c r="E230" s="36"/>
      <c r="F230" s="36"/>
      <c r="G230" s="37"/>
    </row>
    <row r="231" spans="1:7" customFormat="1" hidden="1" x14ac:dyDescent="0.4">
      <c r="A231" s="34" t="s">
        <v>10</v>
      </c>
      <c r="B231" s="36" t="s">
        <v>44</v>
      </c>
      <c r="C231" s="36"/>
      <c r="D231" s="36"/>
      <c r="E231" s="36"/>
      <c r="F231" s="36"/>
      <c r="G231" s="37"/>
    </row>
    <row r="232" spans="1:7" customFormat="1" hidden="1" x14ac:dyDescent="0.4">
      <c r="A232" s="34" t="s">
        <v>11</v>
      </c>
      <c r="B232" s="36" t="s">
        <v>44</v>
      </c>
      <c r="C232" s="36"/>
      <c r="D232" s="36"/>
      <c r="E232" s="36"/>
      <c r="F232" s="36"/>
      <c r="G232" s="37"/>
    </row>
    <row r="233" spans="1:7" customFormat="1" hidden="1" x14ac:dyDescent="0.4">
      <c r="A233" s="34" t="s">
        <v>12</v>
      </c>
      <c r="B233" s="36" t="s">
        <v>44</v>
      </c>
      <c r="C233" s="36"/>
      <c r="D233" s="36"/>
      <c r="E233" s="36"/>
      <c r="F233" s="36"/>
      <c r="G233" s="37"/>
    </row>
    <row r="234" spans="1:7" customFormat="1" hidden="1" x14ac:dyDescent="0.4">
      <c r="A234" s="34" t="s">
        <v>52</v>
      </c>
      <c r="B234" s="36" t="s">
        <v>44</v>
      </c>
      <c r="C234" s="36"/>
      <c r="D234" s="36"/>
      <c r="E234" s="36"/>
      <c r="F234" s="36"/>
      <c r="G234" s="37"/>
    </row>
    <row r="235" spans="1:7" customFormat="1" hidden="1" x14ac:dyDescent="0.4">
      <c r="A235" s="34" t="s">
        <v>14</v>
      </c>
      <c r="B235" s="36" t="s">
        <v>44</v>
      </c>
      <c r="C235" s="36"/>
      <c r="D235" s="36"/>
      <c r="E235" s="36"/>
      <c r="F235" s="36"/>
      <c r="G235" s="37"/>
    </row>
    <row r="236" spans="1:7" customFormat="1" hidden="1" x14ac:dyDescent="0.4">
      <c r="A236" s="34" t="s">
        <v>15</v>
      </c>
      <c r="B236" s="36" t="s">
        <v>44</v>
      </c>
      <c r="C236" s="36"/>
      <c r="D236" s="36"/>
      <c r="E236" s="36"/>
      <c r="F236" s="36"/>
      <c r="G236" s="37"/>
    </row>
    <row r="237" spans="1:7" customFormat="1" hidden="1" x14ac:dyDescent="0.4">
      <c r="A237" s="34" t="s">
        <v>16</v>
      </c>
      <c r="B237" s="36" t="s">
        <v>44</v>
      </c>
      <c r="C237" s="36"/>
      <c r="D237" s="36"/>
      <c r="E237" s="36"/>
      <c r="F237" s="36"/>
      <c r="G237" s="37"/>
    </row>
    <row r="238" spans="1:7" customFormat="1" hidden="1" x14ac:dyDescent="0.4">
      <c r="A238" s="34" t="s">
        <v>17</v>
      </c>
      <c r="B238" s="36" t="s">
        <v>44</v>
      </c>
      <c r="C238" s="36"/>
      <c r="D238" s="36"/>
      <c r="E238" s="36"/>
      <c r="F238" s="36"/>
      <c r="G238" s="37"/>
    </row>
    <row r="239" spans="1:7" customFormat="1" hidden="1" x14ac:dyDescent="0.4">
      <c r="A239" s="34" t="s">
        <v>18</v>
      </c>
      <c r="B239" s="36" t="s">
        <v>44</v>
      </c>
      <c r="C239" s="36"/>
      <c r="D239" s="36"/>
      <c r="E239" s="36"/>
      <c r="F239" s="36"/>
      <c r="G239" s="37"/>
    </row>
    <row r="240" spans="1:7" customFormat="1" hidden="1" x14ac:dyDescent="0.4">
      <c r="A240" s="34" t="s">
        <v>19</v>
      </c>
      <c r="B240" s="36" t="s">
        <v>44</v>
      </c>
      <c r="C240" s="36"/>
      <c r="D240" s="36"/>
      <c r="E240" s="36"/>
      <c r="F240" s="36"/>
      <c r="G240" s="37"/>
    </row>
    <row r="241" spans="1:7" customFormat="1" hidden="1" x14ac:dyDescent="0.4">
      <c r="A241" s="34" t="s">
        <v>53</v>
      </c>
      <c r="B241" s="36" t="s">
        <v>44</v>
      </c>
      <c r="C241" s="36"/>
      <c r="D241" s="36"/>
      <c r="E241" s="36"/>
      <c r="F241" s="36"/>
      <c r="G241" s="37"/>
    </row>
    <row r="242" spans="1:7" customFormat="1" hidden="1" x14ac:dyDescent="0.4">
      <c r="A242" s="34" t="s">
        <v>21</v>
      </c>
      <c r="B242" s="36" t="s">
        <v>44</v>
      </c>
      <c r="C242" s="36"/>
      <c r="D242" s="36"/>
      <c r="E242" s="36"/>
      <c r="F242" s="36"/>
      <c r="G242" s="37"/>
    </row>
    <row r="243" spans="1:7" customFormat="1" hidden="1" x14ac:dyDescent="0.4">
      <c r="A243" s="34" t="s">
        <v>22</v>
      </c>
      <c r="B243" s="36" t="s">
        <v>44</v>
      </c>
      <c r="C243" s="36"/>
      <c r="D243" s="36"/>
      <c r="E243" s="36"/>
      <c r="F243" s="36"/>
      <c r="G243" s="37"/>
    </row>
    <row r="244" spans="1:7" customFormat="1" hidden="1" x14ac:dyDescent="0.4">
      <c r="A244" s="34" t="s">
        <v>23</v>
      </c>
      <c r="B244" s="36" t="s">
        <v>44</v>
      </c>
      <c r="C244" s="36"/>
      <c r="D244" s="36"/>
      <c r="E244" s="36"/>
      <c r="F244" s="36"/>
      <c r="G244" s="37"/>
    </row>
    <row r="245" spans="1:7" customFormat="1" hidden="1" x14ac:dyDescent="0.4">
      <c r="A245" s="34" t="s">
        <v>54</v>
      </c>
      <c r="B245" s="36" t="s">
        <v>44</v>
      </c>
      <c r="C245" s="36"/>
      <c r="D245" s="36"/>
      <c r="E245" s="36"/>
      <c r="F245" s="36"/>
      <c r="G245" s="37"/>
    </row>
    <row r="246" spans="1:7" customFormat="1" hidden="1" x14ac:dyDescent="0.4">
      <c r="A246" s="34" t="s">
        <v>25</v>
      </c>
      <c r="B246" s="36" t="s">
        <v>44</v>
      </c>
      <c r="C246" s="36"/>
      <c r="D246" s="36"/>
      <c r="E246" s="36"/>
      <c r="F246" s="36"/>
      <c r="G246" s="37"/>
    </row>
    <row r="247" spans="1:7" customFormat="1" hidden="1" x14ac:dyDescent="0.4">
      <c r="A247" s="34" t="s">
        <v>26</v>
      </c>
      <c r="B247" s="36" t="s">
        <v>44</v>
      </c>
      <c r="C247" s="36"/>
      <c r="D247" s="36"/>
      <c r="E247" s="36"/>
      <c r="F247" s="36"/>
      <c r="G247" s="37"/>
    </row>
    <row r="248" spans="1:7" customFormat="1" hidden="1" x14ac:dyDescent="0.4">
      <c r="A248" s="34" t="s">
        <v>27</v>
      </c>
      <c r="B248" s="36" t="s">
        <v>44</v>
      </c>
      <c r="C248" s="36"/>
      <c r="D248" s="36"/>
      <c r="E248" s="36"/>
      <c r="F248" s="36"/>
      <c r="G248" s="37"/>
    </row>
    <row r="249" spans="1:7" customFormat="1" hidden="1" x14ac:dyDescent="0.4">
      <c r="A249" s="34" t="s">
        <v>28</v>
      </c>
      <c r="B249" s="36" t="s">
        <v>44</v>
      </c>
      <c r="C249" s="36"/>
      <c r="D249" s="36"/>
      <c r="E249" s="36"/>
      <c r="F249" s="36"/>
      <c r="G249" s="37"/>
    </row>
    <row r="250" spans="1:7" customFormat="1" hidden="1" x14ac:dyDescent="0.4">
      <c r="A250" s="34" t="s">
        <v>29</v>
      </c>
      <c r="B250" s="36" t="s">
        <v>44</v>
      </c>
      <c r="C250" s="36"/>
      <c r="D250" s="36"/>
      <c r="E250" s="36"/>
      <c r="F250" s="36"/>
      <c r="G250" s="37"/>
    </row>
    <row r="251" spans="1:7" customFormat="1" hidden="1" x14ac:dyDescent="0.4">
      <c r="A251" s="34" t="s">
        <v>30</v>
      </c>
      <c r="B251" s="36" t="s">
        <v>44</v>
      </c>
      <c r="C251" s="36"/>
      <c r="D251" s="36"/>
      <c r="E251" s="36"/>
      <c r="F251" s="36"/>
      <c r="G251" s="37"/>
    </row>
    <row r="252" spans="1:7" customFormat="1" hidden="1" x14ac:dyDescent="0.4">
      <c r="A252" s="34" t="s">
        <v>31</v>
      </c>
      <c r="B252" s="36" t="s">
        <v>44</v>
      </c>
      <c r="C252" s="36"/>
      <c r="D252" s="36"/>
      <c r="E252" s="36"/>
      <c r="F252" s="36"/>
      <c r="G252" s="37"/>
    </row>
    <row r="253" spans="1:7" customFormat="1" hidden="1" x14ac:dyDescent="0.4">
      <c r="A253" s="34" t="s">
        <v>32</v>
      </c>
      <c r="B253" s="36" t="s">
        <v>44</v>
      </c>
      <c r="C253" s="36"/>
      <c r="D253" s="36"/>
      <c r="E253" s="36"/>
      <c r="F253" s="36"/>
      <c r="G253" s="37"/>
    </row>
    <row r="254" spans="1:7" customFormat="1" hidden="1" x14ac:dyDescent="0.4">
      <c r="A254" s="34" t="s">
        <v>33</v>
      </c>
      <c r="B254" s="36" t="s">
        <v>44</v>
      </c>
      <c r="C254" s="36"/>
      <c r="D254" s="36"/>
      <c r="E254" s="36"/>
      <c r="F254" s="36"/>
      <c r="G254" s="37"/>
    </row>
    <row r="255" spans="1:7" customFormat="1" hidden="1" x14ac:dyDescent="0.4">
      <c r="A255" s="34" t="s">
        <v>34</v>
      </c>
      <c r="B255" s="36" t="s">
        <v>44</v>
      </c>
      <c r="C255" s="36"/>
      <c r="D255" s="36"/>
      <c r="E255" s="36"/>
      <c r="F255" s="36"/>
      <c r="G255" s="37"/>
    </row>
    <row r="256" spans="1:7" customFormat="1" hidden="1" x14ac:dyDescent="0.4">
      <c r="A256" s="34" t="s">
        <v>35</v>
      </c>
      <c r="B256" s="36" t="s">
        <v>44</v>
      </c>
      <c r="C256" s="36"/>
      <c r="D256" s="36"/>
      <c r="E256" s="36"/>
      <c r="F256" s="36"/>
      <c r="G256" s="37"/>
    </row>
    <row r="257" spans="1:7" customFormat="1" hidden="1" x14ac:dyDescent="0.4">
      <c r="A257" s="34" t="s">
        <v>36</v>
      </c>
      <c r="B257" s="36" t="s">
        <v>44</v>
      </c>
      <c r="C257" s="36"/>
      <c r="D257" s="36"/>
      <c r="E257" s="36"/>
      <c r="F257" s="36"/>
      <c r="G257" s="37"/>
    </row>
    <row r="258" spans="1:7" customFormat="1" hidden="1" x14ac:dyDescent="0.4">
      <c r="A258" s="34" t="s">
        <v>37</v>
      </c>
      <c r="B258" s="36" t="s">
        <v>44</v>
      </c>
      <c r="C258" s="36"/>
      <c r="D258" s="36"/>
      <c r="E258" s="36"/>
      <c r="F258" s="36"/>
      <c r="G258" s="37"/>
    </row>
    <row r="259" spans="1:7" customFormat="1" hidden="1" x14ac:dyDescent="0.4">
      <c r="A259" s="34" t="s">
        <v>5</v>
      </c>
      <c r="B259" s="36" t="s">
        <v>45</v>
      </c>
      <c r="C259" s="36"/>
      <c r="D259" s="36"/>
      <c r="E259" s="36"/>
      <c r="F259" s="36"/>
      <c r="G259" s="37"/>
    </row>
    <row r="260" spans="1:7" customFormat="1" hidden="1" x14ac:dyDescent="0.4">
      <c r="A260" s="34" t="s">
        <v>51</v>
      </c>
      <c r="B260" s="36" t="s">
        <v>45</v>
      </c>
      <c r="C260" s="36"/>
      <c r="D260" s="36"/>
      <c r="E260" s="36"/>
      <c r="F260" s="36"/>
      <c r="G260" s="37"/>
    </row>
    <row r="261" spans="1:7" customFormat="1" hidden="1" x14ac:dyDescent="0.4">
      <c r="A261" s="34" t="s">
        <v>8</v>
      </c>
      <c r="B261" s="36" t="s">
        <v>45</v>
      </c>
      <c r="C261" s="36"/>
      <c r="D261" s="36"/>
      <c r="E261" s="36"/>
      <c r="F261" s="36"/>
      <c r="G261" s="37"/>
    </row>
    <row r="262" spans="1:7" customFormat="1" hidden="1" x14ac:dyDescent="0.4">
      <c r="A262" s="34" t="s">
        <v>9</v>
      </c>
      <c r="B262" s="36" t="s">
        <v>45</v>
      </c>
      <c r="C262" s="36"/>
      <c r="D262" s="36"/>
      <c r="E262" s="36"/>
      <c r="F262" s="36"/>
      <c r="G262" s="37"/>
    </row>
    <row r="263" spans="1:7" customFormat="1" hidden="1" x14ac:dyDescent="0.4">
      <c r="A263" s="34" t="s">
        <v>10</v>
      </c>
      <c r="B263" s="36" t="s">
        <v>45</v>
      </c>
      <c r="C263" s="36"/>
      <c r="D263" s="36"/>
      <c r="E263" s="36"/>
      <c r="F263" s="36"/>
      <c r="G263" s="37"/>
    </row>
    <row r="264" spans="1:7" customFormat="1" hidden="1" x14ac:dyDescent="0.4">
      <c r="A264" s="34" t="s">
        <v>11</v>
      </c>
      <c r="B264" s="36" t="s">
        <v>45</v>
      </c>
      <c r="C264" s="36"/>
      <c r="D264" s="36"/>
      <c r="E264" s="36"/>
      <c r="F264" s="36"/>
      <c r="G264" s="37"/>
    </row>
    <row r="265" spans="1:7" customFormat="1" hidden="1" x14ac:dyDescent="0.4">
      <c r="A265" s="34" t="s">
        <v>12</v>
      </c>
      <c r="B265" s="36" t="s">
        <v>45</v>
      </c>
      <c r="C265" s="36"/>
      <c r="D265" s="36"/>
      <c r="E265" s="36"/>
      <c r="F265" s="36"/>
      <c r="G265" s="37"/>
    </row>
    <row r="266" spans="1:7" customFormat="1" hidden="1" x14ac:dyDescent="0.4">
      <c r="A266" s="34" t="s">
        <v>52</v>
      </c>
      <c r="B266" s="36" t="s">
        <v>45</v>
      </c>
      <c r="C266" s="36"/>
      <c r="D266" s="36"/>
      <c r="E266" s="36"/>
      <c r="F266" s="36"/>
      <c r="G266" s="37"/>
    </row>
    <row r="267" spans="1:7" customFormat="1" hidden="1" x14ac:dyDescent="0.4">
      <c r="A267" s="34" t="s">
        <v>14</v>
      </c>
      <c r="B267" s="36" t="s">
        <v>45</v>
      </c>
      <c r="C267" s="36"/>
      <c r="D267" s="36"/>
      <c r="E267" s="36"/>
      <c r="F267" s="36"/>
      <c r="G267" s="37"/>
    </row>
    <row r="268" spans="1:7" customFormat="1" hidden="1" x14ac:dyDescent="0.4">
      <c r="A268" s="34" t="s">
        <v>15</v>
      </c>
      <c r="B268" s="36" t="s">
        <v>45</v>
      </c>
      <c r="C268" s="36"/>
      <c r="D268" s="36"/>
      <c r="E268" s="36"/>
      <c r="F268" s="36"/>
      <c r="G268" s="37"/>
    </row>
    <row r="269" spans="1:7" customFormat="1" hidden="1" x14ac:dyDescent="0.4">
      <c r="A269" s="34" t="s">
        <v>16</v>
      </c>
      <c r="B269" s="36" t="s">
        <v>45</v>
      </c>
      <c r="C269" s="36"/>
      <c r="D269" s="36"/>
      <c r="E269" s="36"/>
      <c r="F269" s="36"/>
      <c r="G269" s="37"/>
    </row>
    <row r="270" spans="1:7" customFormat="1" hidden="1" x14ac:dyDescent="0.4">
      <c r="A270" s="34" t="s">
        <v>17</v>
      </c>
      <c r="B270" s="36" t="s">
        <v>45</v>
      </c>
      <c r="C270" s="36"/>
      <c r="D270" s="36"/>
      <c r="E270" s="36"/>
      <c r="F270" s="36"/>
      <c r="G270" s="37"/>
    </row>
    <row r="271" spans="1:7" customFormat="1" hidden="1" x14ac:dyDescent="0.4">
      <c r="A271" s="34" t="s">
        <v>18</v>
      </c>
      <c r="B271" s="36" t="s">
        <v>45</v>
      </c>
      <c r="C271" s="36"/>
      <c r="D271" s="36"/>
      <c r="E271" s="36"/>
      <c r="F271" s="36"/>
      <c r="G271" s="37"/>
    </row>
    <row r="272" spans="1:7" customFormat="1" hidden="1" x14ac:dyDescent="0.4">
      <c r="A272" s="34" t="s">
        <v>19</v>
      </c>
      <c r="B272" s="36" t="s">
        <v>45</v>
      </c>
      <c r="C272" s="36"/>
      <c r="D272" s="36"/>
      <c r="E272" s="36"/>
      <c r="F272" s="36"/>
      <c r="G272" s="37"/>
    </row>
    <row r="273" spans="1:7" customFormat="1" hidden="1" x14ac:dyDescent="0.4">
      <c r="A273" s="34" t="s">
        <v>53</v>
      </c>
      <c r="B273" s="36" t="s">
        <v>45</v>
      </c>
      <c r="C273" s="36"/>
      <c r="D273" s="36"/>
      <c r="E273" s="36"/>
      <c r="F273" s="36"/>
      <c r="G273" s="37"/>
    </row>
    <row r="274" spans="1:7" customFormat="1" hidden="1" x14ac:dyDescent="0.4">
      <c r="A274" s="34" t="s">
        <v>21</v>
      </c>
      <c r="B274" s="36" t="s">
        <v>45</v>
      </c>
      <c r="C274" s="36"/>
      <c r="D274" s="36"/>
      <c r="E274" s="36"/>
      <c r="F274" s="36"/>
      <c r="G274" s="37"/>
    </row>
    <row r="275" spans="1:7" customFormat="1" hidden="1" x14ac:dyDescent="0.4">
      <c r="A275" s="34" t="s">
        <v>22</v>
      </c>
      <c r="B275" s="36" t="s">
        <v>45</v>
      </c>
      <c r="C275" s="36"/>
      <c r="D275" s="36"/>
      <c r="E275" s="36"/>
      <c r="F275" s="36"/>
      <c r="G275" s="37"/>
    </row>
    <row r="276" spans="1:7" customFormat="1" hidden="1" x14ac:dyDescent="0.4">
      <c r="A276" s="34" t="s">
        <v>23</v>
      </c>
      <c r="B276" s="36" t="s">
        <v>45</v>
      </c>
      <c r="C276" s="36"/>
      <c r="D276" s="36"/>
      <c r="E276" s="36"/>
      <c r="F276" s="36"/>
      <c r="G276" s="37"/>
    </row>
    <row r="277" spans="1:7" customFormat="1" hidden="1" x14ac:dyDescent="0.4">
      <c r="A277" s="34" t="s">
        <v>54</v>
      </c>
      <c r="B277" s="36" t="s">
        <v>45</v>
      </c>
      <c r="C277" s="36"/>
      <c r="D277" s="36"/>
      <c r="E277" s="36"/>
      <c r="F277" s="36"/>
      <c r="G277" s="37"/>
    </row>
    <row r="278" spans="1:7" customFormat="1" hidden="1" x14ac:dyDescent="0.4">
      <c r="A278" s="34" t="s">
        <v>25</v>
      </c>
      <c r="B278" s="36" t="s">
        <v>45</v>
      </c>
      <c r="C278" s="36"/>
      <c r="D278" s="36"/>
      <c r="E278" s="36"/>
      <c r="F278" s="36"/>
      <c r="G278" s="37"/>
    </row>
    <row r="279" spans="1:7" customFormat="1" hidden="1" x14ac:dyDescent="0.4">
      <c r="A279" s="34" t="s">
        <v>26</v>
      </c>
      <c r="B279" s="36" t="s">
        <v>45</v>
      </c>
      <c r="C279" s="36"/>
      <c r="D279" s="36"/>
      <c r="E279" s="36"/>
      <c r="F279" s="36"/>
      <c r="G279" s="37"/>
    </row>
    <row r="280" spans="1:7" customFormat="1" hidden="1" x14ac:dyDescent="0.4">
      <c r="A280" s="34" t="s">
        <v>27</v>
      </c>
      <c r="B280" s="36" t="s">
        <v>45</v>
      </c>
      <c r="C280" s="36"/>
      <c r="D280" s="36"/>
      <c r="E280" s="36"/>
      <c r="F280" s="36"/>
      <c r="G280" s="37"/>
    </row>
    <row r="281" spans="1:7" customFormat="1" hidden="1" x14ac:dyDescent="0.4">
      <c r="A281" s="34" t="s">
        <v>28</v>
      </c>
      <c r="B281" s="36" t="s">
        <v>45</v>
      </c>
      <c r="C281" s="36"/>
      <c r="D281" s="36"/>
      <c r="E281" s="36"/>
      <c r="F281" s="36"/>
      <c r="G281" s="37"/>
    </row>
    <row r="282" spans="1:7" customFormat="1" hidden="1" x14ac:dyDescent="0.4">
      <c r="A282" s="34" t="s">
        <v>29</v>
      </c>
      <c r="B282" s="36" t="s">
        <v>45</v>
      </c>
      <c r="C282" s="36"/>
      <c r="D282" s="36"/>
      <c r="E282" s="36"/>
      <c r="F282" s="36"/>
      <c r="G282" s="37"/>
    </row>
    <row r="283" spans="1:7" customFormat="1" hidden="1" x14ac:dyDescent="0.4">
      <c r="A283" s="34" t="s">
        <v>30</v>
      </c>
      <c r="B283" s="36" t="s">
        <v>45</v>
      </c>
      <c r="C283" s="36"/>
      <c r="D283" s="36"/>
      <c r="E283" s="36"/>
      <c r="F283" s="36"/>
      <c r="G283" s="37"/>
    </row>
    <row r="284" spans="1:7" customFormat="1" hidden="1" x14ac:dyDescent="0.4">
      <c r="A284" s="34" t="s">
        <v>31</v>
      </c>
      <c r="B284" s="36" t="s">
        <v>45</v>
      </c>
      <c r="C284" s="36"/>
      <c r="D284" s="36"/>
      <c r="E284" s="36"/>
      <c r="F284" s="36"/>
      <c r="G284" s="37"/>
    </row>
    <row r="285" spans="1:7" customFormat="1" hidden="1" x14ac:dyDescent="0.4">
      <c r="A285" s="34" t="s">
        <v>32</v>
      </c>
      <c r="B285" s="36" t="s">
        <v>45</v>
      </c>
      <c r="C285" s="36"/>
      <c r="D285" s="36"/>
      <c r="E285" s="36"/>
      <c r="F285" s="36"/>
      <c r="G285" s="37"/>
    </row>
    <row r="286" spans="1:7" customFormat="1" hidden="1" x14ac:dyDescent="0.4">
      <c r="A286" s="34" t="s">
        <v>33</v>
      </c>
      <c r="B286" s="36" t="s">
        <v>45</v>
      </c>
      <c r="C286" s="36"/>
      <c r="D286" s="36"/>
      <c r="E286" s="36"/>
      <c r="F286" s="36"/>
      <c r="G286" s="37"/>
    </row>
    <row r="287" spans="1:7" customFormat="1" hidden="1" x14ac:dyDescent="0.4">
      <c r="A287" s="34" t="s">
        <v>34</v>
      </c>
      <c r="B287" s="36" t="s">
        <v>45</v>
      </c>
      <c r="C287" s="36"/>
      <c r="D287" s="36"/>
      <c r="E287" s="36"/>
      <c r="F287" s="36"/>
      <c r="G287" s="37"/>
    </row>
    <row r="288" spans="1:7" customFormat="1" hidden="1" x14ac:dyDescent="0.4">
      <c r="A288" s="34" t="s">
        <v>35</v>
      </c>
      <c r="B288" s="36" t="s">
        <v>45</v>
      </c>
      <c r="C288" s="36"/>
      <c r="D288" s="36"/>
      <c r="E288" s="36"/>
      <c r="F288" s="36"/>
      <c r="G288" s="37"/>
    </row>
    <row r="289" spans="1:7" customFormat="1" hidden="1" x14ac:dyDescent="0.4">
      <c r="A289" s="34" t="s">
        <v>36</v>
      </c>
      <c r="B289" s="36" t="s">
        <v>45</v>
      </c>
      <c r="C289" s="36"/>
      <c r="D289" s="36"/>
      <c r="E289" s="36"/>
      <c r="F289" s="36"/>
      <c r="G289" s="37"/>
    </row>
    <row r="290" spans="1:7" customFormat="1" hidden="1" x14ac:dyDescent="0.4">
      <c r="A290" s="34" t="s">
        <v>37</v>
      </c>
      <c r="B290" s="36" t="s">
        <v>45</v>
      </c>
      <c r="C290" s="36"/>
      <c r="D290" s="36"/>
      <c r="E290" s="36"/>
      <c r="F290" s="36"/>
      <c r="G290" s="37"/>
    </row>
    <row r="291" spans="1:7" customFormat="1" hidden="1" x14ac:dyDescent="0.4">
      <c r="A291" s="34" t="s">
        <v>5</v>
      </c>
      <c r="B291" s="36" t="s">
        <v>46</v>
      </c>
      <c r="C291" s="36"/>
      <c r="D291" s="36"/>
      <c r="E291" s="36"/>
      <c r="F291" s="36"/>
      <c r="G291" s="37"/>
    </row>
    <row r="292" spans="1:7" customFormat="1" hidden="1" x14ac:dyDescent="0.4">
      <c r="A292" s="34" t="s">
        <v>51</v>
      </c>
      <c r="B292" s="36" t="s">
        <v>46</v>
      </c>
      <c r="C292" s="36"/>
      <c r="D292" s="36"/>
      <c r="E292" s="36"/>
      <c r="F292" s="36"/>
      <c r="G292" s="37"/>
    </row>
    <row r="293" spans="1:7" customFormat="1" hidden="1" x14ac:dyDescent="0.4">
      <c r="A293" s="34" t="s">
        <v>8</v>
      </c>
      <c r="B293" s="36" t="s">
        <v>46</v>
      </c>
      <c r="C293" s="36"/>
      <c r="D293" s="36"/>
      <c r="E293" s="36"/>
      <c r="F293" s="36"/>
      <c r="G293" s="37"/>
    </row>
    <row r="294" spans="1:7" customFormat="1" hidden="1" x14ac:dyDescent="0.4">
      <c r="A294" s="34" t="s">
        <v>9</v>
      </c>
      <c r="B294" s="36" t="s">
        <v>46</v>
      </c>
      <c r="C294" s="36"/>
      <c r="D294" s="36"/>
      <c r="E294" s="36"/>
      <c r="F294" s="36"/>
      <c r="G294" s="37"/>
    </row>
    <row r="295" spans="1:7" customFormat="1" hidden="1" x14ac:dyDescent="0.4">
      <c r="A295" s="34" t="s">
        <v>10</v>
      </c>
      <c r="B295" s="36" t="s">
        <v>46</v>
      </c>
      <c r="C295" s="36"/>
      <c r="D295" s="36"/>
      <c r="E295" s="36"/>
      <c r="F295" s="36"/>
      <c r="G295" s="37"/>
    </row>
    <row r="296" spans="1:7" customFormat="1" hidden="1" x14ac:dyDescent="0.4">
      <c r="A296" s="34" t="s">
        <v>11</v>
      </c>
      <c r="B296" s="36" t="s">
        <v>46</v>
      </c>
      <c r="C296" s="36"/>
      <c r="D296" s="36"/>
      <c r="E296" s="36"/>
      <c r="F296" s="36"/>
      <c r="G296" s="37"/>
    </row>
    <row r="297" spans="1:7" customFormat="1" hidden="1" x14ac:dyDescent="0.4">
      <c r="A297" s="34" t="s">
        <v>12</v>
      </c>
      <c r="B297" s="36" t="s">
        <v>46</v>
      </c>
      <c r="C297" s="36"/>
      <c r="D297" s="36"/>
      <c r="E297" s="36"/>
      <c r="F297" s="36"/>
      <c r="G297" s="37"/>
    </row>
    <row r="298" spans="1:7" customFormat="1" hidden="1" x14ac:dyDescent="0.4">
      <c r="A298" s="34" t="s">
        <v>52</v>
      </c>
      <c r="B298" s="36" t="s">
        <v>46</v>
      </c>
      <c r="C298" s="36"/>
      <c r="D298" s="36"/>
      <c r="E298" s="36"/>
      <c r="F298" s="36"/>
      <c r="G298" s="37"/>
    </row>
    <row r="299" spans="1:7" customFormat="1" hidden="1" x14ac:dyDescent="0.4">
      <c r="A299" s="34" t="s">
        <v>14</v>
      </c>
      <c r="B299" s="36" t="s">
        <v>46</v>
      </c>
      <c r="C299" s="36"/>
      <c r="D299" s="36"/>
      <c r="E299" s="36"/>
      <c r="F299" s="36"/>
      <c r="G299" s="37"/>
    </row>
    <row r="300" spans="1:7" customFormat="1" hidden="1" x14ac:dyDescent="0.4">
      <c r="A300" s="34" t="s">
        <v>15</v>
      </c>
      <c r="B300" s="36" t="s">
        <v>46</v>
      </c>
      <c r="C300" s="36"/>
      <c r="D300" s="36"/>
      <c r="E300" s="36"/>
      <c r="F300" s="36"/>
      <c r="G300" s="37"/>
    </row>
    <row r="301" spans="1:7" customFormat="1" hidden="1" x14ac:dyDescent="0.4">
      <c r="A301" s="34" t="s">
        <v>16</v>
      </c>
      <c r="B301" s="36" t="s">
        <v>46</v>
      </c>
      <c r="C301" s="36"/>
      <c r="D301" s="36"/>
      <c r="E301" s="36"/>
      <c r="F301" s="36"/>
      <c r="G301" s="37"/>
    </row>
    <row r="302" spans="1:7" customFormat="1" hidden="1" x14ac:dyDescent="0.4">
      <c r="A302" s="34" t="s">
        <v>17</v>
      </c>
      <c r="B302" s="36" t="s">
        <v>46</v>
      </c>
      <c r="C302" s="36"/>
      <c r="D302" s="36"/>
      <c r="E302" s="36"/>
      <c r="F302" s="36"/>
      <c r="G302" s="37"/>
    </row>
    <row r="303" spans="1:7" customFormat="1" hidden="1" x14ac:dyDescent="0.4">
      <c r="A303" s="34" t="s">
        <v>18</v>
      </c>
      <c r="B303" s="36" t="s">
        <v>46</v>
      </c>
      <c r="C303" s="36"/>
      <c r="D303" s="36"/>
      <c r="E303" s="36"/>
      <c r="F303" s="36"/>
      <c r="G303" s="37"/>
    </row>
    <row r="304" spans="1:7" customFormat="1" hidden="1" x14ac:dyDescent="0.4">
      <c r="A304" s="34" t="s">
        <v>19</v>
      </c>
      <c r="B304" s="36" t="s">
        <v>46</v>
      </c>
      <c r="C304" s="36"/>
      <c r="D304" s="36"/>
      <c r="E304" s="36"/>
      <c r="F304" s="36"/>
      <c r="G304" s="37"/>
    </row>
    <row r="305" spans="1:7" customFormat="1" hidden="1" x14ac:dyDescent="0.4">
      <c r="A305" s="34" t="s">
        <v>53</v>
      </c>
      <c r="B305" s="36" t="s">
        <v>46</v>
      </c>
      <c r="C305" s="36"/>
      <c r="D305" s="36"/>
      <c r="E305" s="36"/>
      <c r="F305" s="36"/>
      <c r="G305" s="37"/>
    </row>
    <row r="306" spans="1:7" customFormat="1" hidden="1" x14ac:dyDescent="0.4">
      <c r="A306" s="34" t="s">
        <v>21</v>
      </c>
      <c r="B306" s="36" t="s">
        <v>46</v>
      </c>
      <c r="C306" s="36"/>
      <c r="D306" s="36"/>
      <c r="E306" s="36"/>
      <c r="F306" s="36"/>
      <c r="G306" s="37"/>
    </row>
    <row r="307" spans="1:7" customFormat="1" hidden="1" x14ac:dyDescent="0.4">
      <c r="A307" s="34" t="s">
        <v>22</v>
      </c>
      <c r="B307" s="36" t="s">
        <v>46</v>
      </c>
      <c r="C307" s="36"/>
      <c r="D307" s="36"/>
      <c r="E307" s="36"/>
      <c r="F307" s="36"/>
      <c r="G307" s="37"/>
    </row>
    <row r="308" spans="1:7" customFormat="1" hidden="1" x14ac:dyDescent="0.4">
      <c r="A308" s="34" t="s">
        <v>23</v>
      </c>
      <c r="B308" s="36" t="s">
        <v>46</v>
      </c>
      <c r="C308" s="36"/>
      <c r="D308" s="36"/>
      <c r="E308" s="36"/>
      <c r="F308" s="36"/>
      <c r="G308" s="37"/>
    </row>
    <row r="309" spans="1:7" customFormat="1" hidden="1" x14ac:dyDescent="0.4">
      <c r="A309" s="34" t="s">
        <v>54</v>
      </c>
      <c r="B309" s="36" t="s">
        <v>46</v>
      </c>
      <c r="C309" s="36"/>
      <c r="D309" s="36"/>
      <c r="E309" s="36"/>
      <c r="F309" s="36"/>
      <c r="G309" s="37"/>
    </row>
    <row r="310" spans="1:7" customFormat="1" hidden="1" x14ac:dyDescent="0.4">
      <c r="A310" s="34" t="s">
        <v>25</v>
      </c>
      <c r="B310" s="36" t="s">
        <v>46</v>
      </c>
      <c r="C310" s="36"/>
      <c r="D310" s="36"/>
      <c r="E310" s="36"/>
      <c r="F310" s="36"/>
      <c r="G310" s="37"/>
    </row>
    <row r="311" spans="1:7" customFormat="1" hidden="1" x14ac:dyDescent="0.4">
      <c r="A311" s="34" t="s">
        <v>26</v>
      </c>
      <c r="B311" s="36" t="s">
        <v>46</v>
      </c>
      <c r="C311" s="36"/>
      <c r="D311" s="36"/>
      <c r="E311" s="36"/>
      <c r="F311" s="36"/>
      <c r="G311" s="37"/>
    </row>
    <row r="312" spans="1:7" customFormat="1" hidden="1" x14ac:dyDescent="0.4">
      <c r="A312" s="34" t="s">
        <v>27</v>
      </c>
      <c r="B312" s="36" t="s">
        <v>46</v>
      </c>
      <c r="C312" s="36"/>
      <c r="D312" s="36"/>
      <c r="E312" s="36"/>
      <c r="F312" s="36"/>
      <c r="G312" s="37"/>
    </row>
    <row r="313" spans="1:7" customFormat="1" hidden="1" x14ac:dyDescent="0.4">
      <c r="A313" s="34" t="s">
        <v>28</v>
      </c>
      <c r="B313" s="36" t="s">
        <v>46</v>
      </c>
      <c r="C313" s="36"/>
      <c r="D313" s="36"/>
      <c r="E313" s="36"/>
      <c r="F313" s="36"/>
      <c r="G313" s="37"/>
    </row>
    <row r="314" spans="1:7" customFormat="1" hidden="1" x14ac:dyDescent="0.4">
      <c r="A314" s="34" t="s">
        <v>29</v>
      </c>
      <c r="B314" s="36" t="s">
        <v>46</v>
      </c>
      <c r="C314" s="36"/>
      <c r="D314" s="36"/>
      <c r="E314" s="36"/>
      <c r="F314" s="36"/>
      <c r="G314" s="37"/>
    </row>
    <row r="315" spans="1:7" customFormat="1" hidden="1" x14ac:dyDescent="0.4">
      <c r="A315" s="34" t="s">
        <v>30</v>
      </c>
      <c r="B315" s="36" t="s">
        <v>46</v>
      </c>
      <c r="C315" s="36"/>
      <c r="D315" s="36"/>
      <c r="E315" s="36"/>
      <c r="F315" s="36"/>
      <c r="G315" s="37"/>
    </row>
    <row r="316" spans="1:7" customFormat="1" hidden="1" x14ac:dyDescent="0.4">
      <c r="A316" s="34" t="s">
        <v>31</v>
      </c>
      <c r="B316" s="36" t="s">
        <v>46</v>
      </c>
      <c r="C316" s="36"/>
      <c r="D316" s="36"/>
      <c r="E316" s="36"/>
      <c r="F316" s="36"/>
      <c r="G316" s="37"/>
    </row>
    <row r="317" spans="1:7" customFormat="1" hidden="1" x14ac:dyDescent="0.4">
      <c r="A317" s="34" t="s">
        <v>32</v>
      </c>
      <c r="B317" s="36" t="s">
        <v>46</v>
      </c>
      <c r="C317" s="36"/>
      <c r="D317" s="36"/>
      <c r="E317" s="36"/>
      <c r="F317" s="36"/>
      <c r="G317" s="37"/>
    </row>
    <row r="318" spans="1:7" customFormat="1" hidden="1" x14ac:dyDescent="0.4">
      <c r="A318" s="34" t="s">
        <v>33</v>
      </c>
      <c r="B318" s="36" t="s">
        <v>46</v>
      </c>
      <c r="C318" s="36"/>
      <c r="D318" s="36"/>
      <c r="E318" s="36"/>
      <c r="F318" s="36"/>
      <c r="G318" s="37"/>
    </row>
    <row r="319" spans="1:7" customFormat="1" hidden="1" x14ac:dyDescent="0.4">
      <c r="A319" s="34" t="s">
        <v>34</v>
      </c>
      <c r="B319" s="36" t="s">
        <v>46</v>
      </c>
      <c r="C319" s="36"/>
      <c r="D319" s="36"/>
      <c r="E319" s="36"/>
      <c r="F319" s="36"/>
      <c r="G319" s="37"/>
    </row>
    <row r="320" spans="1:7" customFormat="1" hidden="1" x14ac:dyDescent="0.4">
      <c r="A320" s="34" t="s">
        <v>35</v>
      </c>
      <c r="B320" s="36" t="s">
        <v>46</v>
      </c>
      <c r="C320" s="36"/>
      <c r="D320" s="36"/>
      <c r="E320" s="36"/>
      <c r="F320" s="36"/>
      <c r="G320" s="37"/>
    </row>
    <row r="321" spans="1:7" customFormat="1" hidden="1" x14ac:dyDescent="0.4">
      <c r="A321" s="34" t="s">
        <v>36</v>
      </c>
      <c r="B321" s="36" t="s">
        <v>46</v>
      </c>
      <c r="C321" s="36"/>
      <c r="D321" s="36"/>
      <c r="E321" s="36"/>
      <c r="F321" s="36"/>
      <c r="G321" s="37"/>
    </row>
    <row r="322" spans="1:7" customFormat="1" hidden="1" x14ac:dyDescent="0.4">
      <c r="A322" s="34" t="s">
        <v>37</v>
      </c>
      <c r="B322" s="36" t="s">
        <v>46</v>
      </c>
      <c r="C322" s="36"/>
      <c r="D322" s="36"/>
      <c r="E322" s="36"/>
      <c r="F322" s="36"/>
      <c r="G322" s="37"/>
    </row>
    <row r="323" spans="1:7" customFormat="1" hidden="1" x14ac:dyDescent="0.4">
      <c r="A323" s="34" t="s">
        <v>5</v>
      </c>
      <c r="B323" s="36" t="s">
        <v>47</v>
      </c>
      <c r="C323" s="36"/>
      <c r="D323" s="36"/>
      <c r="E323" s="36"/>
      <c r="F323" s="36"/>
      <c r="G323" s="37"/>
    </row>
    <row r="324" spans="1:7" customFormat="1" hidden="1" x14ac:dyDescent="0.4">
      <c r="A324" s="34" t="s">
        <v>51</v>
      </c>
      <c r="B324" s="36" t="s">
        <v>47</v>
      </c>
      <c r="C324" s="36"/>
      <c r="D324" s="36"/>
      <c r="E324" s="36"/>
      <c r="F324" s="36"/>
      <c r="G324" s="37"/>
    </row>
    <row r="325" spans="1:7" customFormat="1" hidden="1" x14ac:dyDescent="0.4">
      <c r="A325" s="34" t="s">
        <v>8</v>
      </c>
      <c r="B325" s="36" t="s">
        <v>47</v>
      </c>
      <c r="C325" s="36"/>
      <c r="D325" s="36"/>
      <c r="E325" s="36"/>
      <c r="F325" s="36"/>
      <c r="G325" s="37"/>
    </row>
    <row r="326" spans="1:7" customFormat="1" hidden="1" x14ac:dyDescent="0.4">
      <c r="A326" s="34" t="s">
        <v>9</v>
      </c>
      <c r="B326" s="36" t="s">
        <v>47</v>
      </c>
      <c r="C326" s="36"/>
      <c r="D326" s="36"/>
      <c r="E326" s="36"/>
      <c r="F326" s="36"/>
      <c r="G326" s="37"/>
    </row>
    <row r="327" spans="1:7" customFormat="1" hidden="1" x14ac:dyDescent="0.4">
      <c r="A327" s="34" t="s">
        <v>10</v>
      </c>
      <c r="B327" s="36" t="s">
        <v>47</v>
      </c>
      <c r="C327" s="36"/>
      <c r="D327" s="36"/>
      <c r="E327" s="36"/>
      <c r="F327" s="36"/>
      <c r="G327" s="37"/>
    </row>
    <row r="328" spans="1:7" customFormat="1" hidden="1" x14ac:dyDescent="0.4">
      <c r="A328" s="34" t="s">
        <v>11</v>
      </c>
      <c r="B328" s="36" t="s">
        <v>47</v>
      </c>
      <c r="C328" s="36"/>
      <c r="D328" s="36"/>
      <c r="E328" s="36"/>
      <c r="F328" s="36"/>
      <c r="G328" s="37"/>
    </row>
    <row r="329" spans="1:7" customFormat="1" hidden="1" x14ac:dyDescent="0.4">
      <c r="A329" s="34" t="s">
        <v>12</v>
      </c>
      <c r="B329" s="36" t="s">
        <v>47</v>
      </c>
      <c r="C329" s="36"/>
      <c r="D329" s="36"/>
      <c r="E329" s="36"/>
      <c r="F329" s="36"/>
      <c r="G329" s="37"/>
    </row>
    <row r="330" spans="1:7" customFormat="1" hidden="1" x14ac:dyDescent="0.4">
      <c r="A330" s="34" t="s">
        <v>52</v>
      </c>
      <c r="B330" s="36" t="s">
        <v>47</v>
      </c>
      <c r="C330" s="36"/>
      <c r="D330" s="36"/>
      <c r="E330" s="36"/>
      <c r="F330" s="36"/>
      <c r="G330" s="37"/>
    </row>
    <row r="331" spans="1:7" customFormat="1" hidden="1" x14ac:dyDescent="0.4">
      <c r="A331" s="34" t="s">
        <v>14</v>
      </c>
      <c r="B331" s="36" t="s">
        <v>47</v>
      </c>
      <c r="C331" s="36"/>
      <c r="D331" s="36"/>
      <c r="E331" s="36"/>
      <c r="F331" s="36"/>
      <c r="G331" s="37"/>
    </row>
    <row r="332" spans="1:7" customFormat="1" hidden="1" x14ac:dyDescent="0.4">
      <c r="A332" s="34" t="s">
        <v>15</v>
      </c>
      <c r="B332" s="36" t="s">
        <v>47</v>
      </c>
      <c r="C332" s="36"/>
      <c r="D332" s="36"/>
      <c r="E332" s="36"/>
      <c r="F332" s="36"/>
      <c r="G332" s="37"/>
    </row>
    <row r="333" spans="1:7" customFormat="1" hidden="1" x14ac:dyDescent="0.4">
      <c r="A333" s="34" t="s">
        <v>16</v>
      </c>
      <c r="B333" s="36" t="s">
        <v>47</v>
      </c>
      <c r="C333" s="36"/>
      <c r="D333" s="36"/>
      <c r="E333" s="36"/>
      <c r="F333" s="36"/>
      <c r="G333" s="37"/>
    </row>
    <row r="334" spans="1:7" customFormat="1" hidden="1" x14ac:dyDescent="0.4">
      <c r="A334" s="34" t="s">
        <v>17</v>
      </c>
      <c r="B334" s="36" t="s">
        <v>47</v>
      </c>
      <c r="C334" s="36"/>
      <c r="D334" s="36"/>
      <c r="E334" s="36"/>
      <c r="F334" s="36"/>
      <c r="G334" s="37"/>
    </row>
    <row r="335" spans="1:7" customFormat="1" hidden="1" x14ac:dyDescent="0.4">
      <c r="A335" s="34" t="s">
        <v>18</v>
      </c>
      <c r="B335" s="36" t="s">
        <v>47</v>
      </c>
      <c r="C335" s="36"/>
      <c r="D335" s="36"/>
      <c r="E335" s="36"/>
      <c r="F335" s="36"/>
      <c r="G335" s="37"/>
    </row>
    <row r="336" spans="1:7" customFormat="1" hidden="1" x14ac:dyDescent="0.4">
      <c r="A336" s="34" t="s">
        <v>19</v>
      </c>
      <c r="B336" s="36" t="s">
        <v>47</v>
      </c>
      <c r="C336" s="36"/>
      <c r="D336" s="36"/>
      <c r="E336" s="36"/>
      <c r="F336" s="36"/>
      <c r="G336" s="37"/>
    </row>
    <row r="337" spans="1:7" customFormat="1" hidden="1" x14ac:dyDescent="0.4">
      <c r="A337" s="34" t="s">
        <v>53</v>
      </c>
      <c r="B337" s="36" t="s">
        <v>47</v>
      </c>
      <c r="C337" s="36"/>
      <c r="D337" s="36"/>
      <c r="E337" s="36"/>
      <c r="F337" s="36"/>
      <c r="G337" s="37"/>
    </row>
    <row r="338" spans="1:7" customFormat="1" hidden="1" x14ac:dyDescent="0.4">
      <c r="A338" s="34" t="s">
        <v>21</v>
      </c>
      <c r="B338" s="36" t="s">
        <v>47</v>
      </c>
      <c r="C338" s="36"/>
      <c r="D338" s="36"/>
      <c r="E338" s="36"/>
      <c r="F338" s="36"/>
      <c r="G338" s="37"/>
    </row>
    <row r="339" spans="1:7" customFormat="1" hidden="1" x14ac:dyDescent="0.4">
      <c r="A339" s="34" t="s">
        <v>22</v>
      </c>
      <c r="B339" s="36" t="s">
        <v>47</v>
      </c>
      <c r="C339" s="36"/>
      <c r="D339" s="36"/>
      <c r="E339" s="36"/>
      <c r="F339" s="36"/>
      <c r="G339" s="37"/>
    </row>
    <row r="340" spans="1:7" customFormat="1" hidden="1" x14ac:dyDescent="0.4">
      <c r="A340" s="34" t="s">
        <v>23</v>
      </c>
      <c r="B340" s="36" t="s">
        <v>47</v>
      </c>
      <c r="C340" s="36"/>
      <c r="D340" s="36"/>
      <c r="E340" s="36"/>
      <c r="F340" s="36"/>
      <c r="G340" s="37"/>
    </row>
    <row r="341" spans="1:7" customFormat="1" hidden="1" x14ac:dyDescent="0.4">
      <c r="A341" s="34" t="s">
        <v>54</v>
      </c>
      <c r="B341" s="36" t="s">
        <v>47</v>
      </c>
      <c r="C341" s="36"/>
      <c r="D341" s="36"/>
      <c r="E341" s="36"/>
      <c r="F341" s="36"/>
      <c r="G341" s="37"/>
    </row>
    <row r="342" spans="1:7" customFormat="1" hidden="1" x14ac:dyDescent="0.4">
      <c r="A342" s="34" t="s">
        <v>25</v>
      </c>
      <c r="B342" s="36" t="s">
        <v>47</v>
      </c>
      <c r="C342" s="36"/>
      <c r="D342" s="36"/>
      <c r="E342" s="36"/>
      <c r="F342" s="36"/>
      <c r="G342" s="37"/>
    </row>
    <row r="343" spans="1:7" customFormat="1" hidden="1" x14ac:dyDescent="0.4">
      <c r="A343" s="34" t="s">
        <v>26</v>
      </c>
      <c r="B343" s="36" t="s">
        <v>47</v>
      </c>
      <c r="C343" s="36"/>
      <c r="D343" s="36"/>
      <c r="E343" s="36"/>
      <c r="F343" s="36"/>
      <c r="G343" s="37"/>
    </row>
    <row r="344" spans="1:7" customFormat="1" hidden="1" x14ac:dyDescent="0.4">
      <c r="A344" s="34" t="s">
        <v>27</v>
      </c>
      <c r="B344" s="36" t="s">
        <v>47</v>
      </c>
      <c r="C344" s="36"/>
      <c r="D344" s="36"/>
      <c r="E344" s="36"/>
      <c r="F344" s="36"/>
      <c r="G344" s="37"/>
    </row>
    <row r="345" spans="1:7" customFormat="1" hidden="1" x14ac:dyDescent="0.4">
      <c r="A345" s="34" t="s">
        <v>28</v>
      </c>
      <c r="B345" s="36" t="s">
        <v>47</v>
      </c>
      <c r="C345" s="36"/>
      <c r="D345" s="36"/>
      <c r="E345" s="36"/>
      <c r="F345" s="36"/>
      <c r="G345" s="37"/>
    </row>
    <row r="346" spans="1:7" customFormat="1" hidden="1" x14ac:dyDescent="0.4">
      <c r="A346" s="34" t="s">
        <v>29</v>
      </c>
      <c r="B346" s="36" t="s">
        <v>47</v>
      </c>
      <c r="C346" s="36"/>
      <c r="D346" s="36"/>
      <c r="E346" s="36"/>
      <c r="F346" s="36"/>
      <c r="G346" s="37"/>
    </row>
    <row r="347" spans="1:7" customFormat="1" hidden="1" x14ac:dyDescent="0.4">
      <c r="A347" s="34" t="s">
        <v>30</v>
      </c>
      <c r="B347" s="36" t="s">
        <v>47</v>
      </c>
      <c r="C347" s="36"/>
      <c r="D347" s="36"/>
      <c r="E347" s="36"/>
      <c r="F347" s="36"/>
      <c r="G347" s="37"/>
    </row>
    <row r="348" spans="1:7" customFormat="1" hidden="1" x14ac:dyDescent="0.4">
      <c r="A348" s="34" t="s">
        <v>31</v>
      </c>
      <c r="B348" s="36" t="s">
        <v>47</v>
      </c>
      <c r="C348" s="36"/>
      <c r="D348" s="36"/>
      <c r="E348" s="36"/>
      <c r="F348" s="36"/>
      <c r="G348" s="37"/>
    </row>
    <row r="349" spans="1:7" customFormat="1" hidden="1" x14ac:dyDescent="0.4">
      <c r="A349" s="34" t="s">
        <v>32</v>
      </c>
      <c r="B349" s="36" t="s">
        <v>47</v>
      </c>
      <c r="C349" s="36"/>
      <c r="D349" s="36"/>
      <c r="E349" s="36"/>
      <c r="F349" s="36"/>
      <c r="G349" s="37"/>
    </row>
    <row r="350" spans="1:7" customFormat="1" hidden="1" x14ac:dyDescent="0.4">
      <c r="A350" s="34" t="s">
        <v>33</v>
      </c>
      <c r="B350" s="36" t="s">
        <v>47</v>
      </c>
      <c r="C350" s="36"/>
      <c r="D350" s="36"/>
      <c r="E350" s="36"/>
      <c r="F350" s="36"/>
      <c r="G350" s="37"/>
    </row>
    <row r="351" spans="1:7" customFormat="1" hidden="1" x14ac:dyDescent="0.4">
      <c r="A351" s="34" t="s">
        <v>34</v>
      </c>
      <c r="B351" s="36" t="s">
        <v>47</v>
      </c>
      <c r="C351" s="36"/>
      <c r="D351" s="36"/>
      <c r="E351" s="36"/>
      <c r="F351" s="36"/>
      <c r="G351" s="37"/>
    </row>
    <row r="352" spans="1:7" customFormat="1" hidden="1" x14ac:dyDescent="0.4">
      <c r="A352" s="34" t="s">
        <v>35</v>
      </c>
      <c r="B352" s="36" t="s">
        <v>47</v>
      </c>
      <c r="C352" s="36"/>
      <c r="D352" s="36"/>
      <c r="E352" s="36"/>
      <c r="F352" s="36"/>
      <c r="G352" s="37"/>
    </row>
    <row r="353" spans="1:7" customFormat="1" hidden="1" x14ac:dyDescent="0.4">
      <c r="A353" s="34" t="s">
        <v>36</v>
      </c>
      <c r="B353" s="36" t="s">
        <v>47</v>
      </c>
      <c r="C353" s="36"/>
      <c r="D353" s="36"/>
      <c r="E353" s="36"/>
      <c r="F353" s="36"/>
      <c r="G353" s="37"/>
    </row>
    <row r="354" spans="1:7" customFormat="1" hidden="1" x14ac:dyDescent="0.4">
      <c r="A354" s="34" t="s">
        <v>37</v>
      </c>
      <c r="B354" s="36" t="s">
        <v>47</v>
      </c>
      <c r="C354" s="36"/>
      <c r="D354" s="36"/>
      <c r="E354" s="36"/>
      <c r="F354" s="36"/>
      <c r="G354" s="37"/>
    </row>
    <row r="355" spans="1:7" customFormat="1" hidden="1" x14ac:dyDescent="0.4">
      <c r="A355" s="34" t="s">
        <v>5</v>
      </c>
      <c r="B355" s="36" t="s">
        <v>48</v>
      </c>
      <c r="C355" s="36"/>
      <c r="D355" s="36"/>
      <c r="E355" s="36"/>
      <c r="F355" s="36"/>
      <c r="G355" s="37"/>
    </row>
    <row r="356" spans="1:7" customFormat="1" hidden="1" x14ac:dyDescent="0.4">
      <c r="A356" s="34" t="s">
        <v>51</v>
      </c>
      <c r="B356" s="36" t="s">
        <v>48</v>
      </c>
      <c r="C356" s="36"/>
      <c r="D356" s="36"/>
      <c r="E356" s="36"/>
      <c r="F356" s="36"/>
      <c r="G356" s="37"/>
    </row>
    <row r="357" spans="1:7" customFormat="1" hidden="1" x14ac:dyDescent="0.4">
      <c r="A357" s="34" t="s">
        <v>8</v>
      </c>
      <c r="B357" s="36" t="s">
        <v>48</v>
      </c>
      <c r="C357" s="36"/>
      <c r="D357" s="36"/>
      <c r="E357" s="36"/>
      <c r="F357" s="36"/>
      <c r="G357" s="37"/>
    </row>
    <row r="358" spans="1:7" customFormat="1" hidden="1" x14ac:dyDescent="0.4">
      <c r="A358" s="34" t="s">
        <v>9</v>
      </c>
      <c r="B358" s="36" t="s">
        <v>48</v>
      </c>
      <c r="C358" s="36"/>
      <c r="D358" s="36"/>
      <c r="E358" s="36"/>
      <c r="F358" s="36"/>
      <c r="G358" s="37"/>
    </row>
    <row r="359" spans="1:7" customFormat="1" hidden="1" x14ac:dyDescent="0.4">
      <c r="A359" s="34" t="s">
        <v>10</v>
      </c>
      <c r="B359" s="36" t="s">
        <v>48</v>
      </c>
      <c r="C359" s="36"/>
      <c r="D359" s="36"/>
      <c r="E359" s="36"/>
      <c r="F359" s="36"/>
      <c r="G359" s="37"/>
    </row>
    <row r="360" spans="1:7" customFormat="1" hidden="1" x14ac:dyDescent="0.4">
      <c r="A360" s="34" t="s">
        <v>11</v>
      </c>
      <c r="B360" s="36" t="s">
        <v>48</v>
      </c>
      <c r="C360" s="36"/>
      <c r="D360" s="36"/>
      <c r="E360" s="36"/>
      <c r="F360" s="36"/>
      <c r="G360" s="37"/>
    </row>
    <row r="361" spans="1:7" customFormat="1" hidden="1" x14ac:dyDescent="0.4">
      <c r="A361" s="34" t="s">
        <v>12</v>
      </c>
      <c r="B361" s="36" t="s">
        <v>48</v>
      </c>
      <c r="C361" s="36"/>
      <c r="D361" s="36"/>
      <c r="E361" s="36"/>
      <c r="F361" s="36"/>
      <c r="G361" s="37"/>
    </row>
    <row r="362" spans="1:7" customFormat="1" hidden="1" x14ac:dyDescent="0.4">
      <c r="A362" s="34" t="s">
        <v>52</v>
      </c>
      <c r="B362" s="36" t="s">
        <v>48</v>
      </c>
      <c r="C362" s="36"/>
      <c r="D362" s="36"/>
      <c r="E362" s="36"/>
      <c r="F362" s="36"/>
      <c r="G362" s="37"/>
    </row>
    <row r="363" spans="1:7" customFormat="1" hidden="1" x14ac:dyDescent="0.4">
      <c r="A363" s="34" t="s">
        <v>14</v>
      </c>
      <c r="B363" s="36" t="s">
        <v>48</v>
      </c>
      <c r="C363" s="36"/>
      <c r="D363" s="36"/>
      <c r="E363" s="36"/>
      <c r="F363" s="36"/>
      <c r="G363" s="37"/>
    </row>
    <row r="364" spans="1:7" customFormat="1" hidden="1" x14ac:dyDescent="0.4">
      <c r="A364" s="34" t="s">
        <v>15</v>
      </c>
      <c r="B364" s="36" t="s">
        <v>48</v>
      </c>
      <c r="C364" s="36"/>
      <c r="D364" s="36"/>
      <c r="E364" s="36"/>
      <c r="F364" s="36"/>
      <c r="G364" s="37"/>
    </row>
    <row r="365" spans="1:7" customFormat="1" hidden="1" x14ac:dyDescent="0.4">
      <c r="A365" s="34" t="s">
        <v>16</v>
      </c>
      <c r="B365" s="36" t="s">
        <v>48</v>
      </c>
      <c r="C365" s="36"/>
      <c r="D365" s="36"/>
      <c r="E365" s="36"/>
      <c r="F365" s="36"/>
      <c r="G365" s="37"/>
    </row>
    <row r="366" spans="1:7" customFormat="1" hidden="1" x14ac:dyDescent="0.4">
      <c r="A366" s="34" t="s">
        <v>17</v>
      </c>
      <c r="B366" s="36" t="s">
        <v>48</v>
      </c>
      <c r="C366" s="36"/>
      <c r="D366" s="36"/>
      <c r="E366" s="36"/>
      <c r="F366" s="36"/>
      <c r="G366" s="37"/>
    </row>
    <row r="367" spans="1:7" customFormat="1" hidden="1" x14ac:dyDescent="0.4">
      <c r="A367" s="34" t="s">
        <v>18</v>
      </c>
      <c r="B367" s="36" t="s">
        <v>48</v>
      </c>
      <c r="C367" s="36"/>
      <c r="D367" s="36"/>
      <c r="E367" s="36"/>
      <c r="F367" s="36"/>
      <c r="G367" s="37"/>
    </row>
    <row r="368" spans="1:7" customFormat="1" hidden="1" x14ac:dyDescent="0.4">
      <c r="A368" s="34" t="s">
        <v>19</v>
      </c>
      <c r="B368" s="36" t="s">
        <v>48</v>
      </c>
      <c r="C368" s="36"/>
      <c r="D368" s="36"/>
      <c r="E368" s="36"/>
      <c r="F368" s="36"/>
      <c r="G368" s="37"/>
    </row>
    <row r="369" spans="1:7" customFormat="1" hidden="1" x14ac:dyDescent="0.4">
      <c r="A369" s="34" t="s">
        <v>53</v>
      </c>
      <c r="B369" s="36" t="s">
        <v>48</v>
      </c>
      <c r="C369" s="36"/>
      <c r="D369" s="36"/>
      <c r="E369" s="36"/>
      <c r="F369" s="36"/>
      <c r="G369" s="37"/>
    </row>
    <row r="370" spans="1:7" customFormat="1" hidden="1" x14ac:dyDescent="0.4">
      <c r="A370" s="34" t="s">
        <v>21</v>
      </c>
      <c r="B370" s="36" t="s">
        <v>48</v>
      </c>
      <c r="C370" s="36"/>
      <c r="D370" s="36"/>
      <c r="E370" s="36"/>
      <c r="F370" s="36"/>
      <c r="G370" s="37"/>
    </row>
    <row r="371" spans="1:7" customFormat="1" hidden="1" x14ac:dyDescent="0.4">
      <c r="A371" s="34" t="s">
        <v>22</v>
      </c>
      <c r="B371" s="36" t="s">
        <v>48</v>
      </c>
      <c r="C371" s="36"/>
      <c r="D371" s="36"/>
      <c r="E371" s="36"/>
      <c r="F371" s="36"/>
      <c r="G371" s="37"/>
    </row>
    <row r="372" spans="1:7" customFormat="1" hidden="1" x14ac:dyDescent="0.4">
      <c r="A372" s="34" t="s">
        <v>23</v>
      </c>
      <c r="B372" s="36" t="s">
        <v>48</v>
      </c>
      <c r="C372" s="36"/>
      <c r="D372" s="36"/>
      <c r="E372" s="36"/>
      <c r="F372" s="36"/>
      <c r="G372" s="37"/>
    </row>
    <row r="373" spans="1:7" customFormat="1" hidden="1" x14ac:dyDescent="0.4">
      <c r="A373" s="34" t="s">
        <v>54</v>
      </c>
      <c r="B373" s="36" t="s">
        <v>48</v>
      </c>
      <c r="C373" s="36"/>
      <c r="D373" s="36"/>
      <c r="E373" s="36"/>
      <c r="F373" s="36"/>
      <c r="G373" s="37"/>
    </row>
    <row r="374" spans="1:7" customFormat="1" hidden="1" x14ac:dyDescent="0.4">
      <c r="A374" s="34" t="s">
        <v>25</v>
      </c>
      <c r="B374" s="36" t="s">
        <v>48</v>
      </c>
      <c r="C374" s="36"/>
      <c r="D374" s="36"/>
      <c r="E374" s="36"/>
      <c r="F374" s="36"/>
      <c r="G374" s="37"/>
    </row>
    <row r="375" spans="1:7" customFormat="1" hidden="1" x14ac:dyDescent="0.4">
      <c r="A375" s="34" t="s">
        <v>26</v>
      </c>
      <c r="B375" s="36" t="s">
        <v>48</v>
      </c>
      <c r="C375" s="36"/>
      <c r="D375" s="36"/>
      <c r="E375" s="36"/>
      <c r="F375" s="36"/>
      <c r="G375" s="37"/>
    </row>
    <row r="376" spans="1:7" customFormat="1" hidden="1" x14ac:dyDescent="0.4">
      <c r="A376" s="34" t="s">
        <v>27</v>
      </c>
      <c r="B376" s="36" t="s">
        <v>48</v>
      </c>
      <c r="C376" s="36"/>
      <c r="D376" s="36"/>
      <c r="E376" s="36"/>
      <c r="F376" s="36"/>
      <c r="G376" s="37"/>
    </row>
    <row r="377" spans="1:7" customFormat="1" hidden="1" x14ac:dyDescent="0.4">
      <c r="A377" s="34" t="s">
        <v>28</v>
      </c>
      <c r="B377" s="36" t="s">
        <v>48</v>
      </c>
      <c r="C377" s="36"/>
      <c r="D377" s="36"/>
      <c r="E377" s="36"/>
      <c r="F377" s="36"/>
      <c r="G377" s="37"/>
    </row>
    <row r="378" spans="1:7" customFormat="1" hidden="1" x14ac:dyDescent="0.4">
      <c r="A378" s="34" t="s">
        <v>29</v>
      </c>
      <c r="B378" s="36" t="s">
        <v>48</v>
      </c>
      <c r="C378" s="36"/>
      <c r="D378" s="36"/>
      <c r="E378" s="36"/>
      <c r="F378" s="36"/>
      <c r="G378" s="37"/>
    </row>
    <row r="379" spans="1:7" customFormat="1" hidden="1" x14ac:dyDescent="0.4">
      <c r="A379" s="34" t="s">
        <v>30</v>
      </c>
      <c r="B379" s="36" t="s">
        <v>48</v>
      </c>
      <c r="C379" s="36"/>
      <c r="D379" s="36"/>
      <c r="E379" s="36"/>
      <c r="F379" s="36"/>
      <c r="G379" s="37"/>
    </row>
    <row r="380" spans="1:7" customFormat="1" hidden="1" x14ac:dyDescent="0.4">
      <c r="A380" s="34" t="s">
        <v>31</v>
      </c>
      <c r="B380" s="36" t="s">
        <v>48</v>
      </c>
      <c r="C380" s="36"/>
      <c r="D380" s="36"/>
      <c r="E380" s="36"/>
      <c r="F380" s="36"/>
      <c r="G380" s="37"/>
    </row>
    <row r="381" spans="1:7" customFormat="1" hidden="1" x14ac:dyDescent="0.4">
      <c r="A381" s="34" t="s">
        <v>32</v>
      </c>
      <c r="B381" s="36" t="s">
        <v>48</v>
      </c>
      <c r="C381" s="36"/>
      <c r="D381" s="36"/>
      <c r="E381" s="36"/>
      <c r="F381" s="36"/>
      <c r="G381" s="37"/>
    </row>
    <row r="382" spans="1:7" customFormat="1" hidden="1" x14ac:dyDescent="0.4">
      <c r="A382" s="34" t="s">
        <v>33</v>
      </c>
      <c r="B382" s="36" t="s">
        <v>48</v>
      </c>
      <c r="C382" s="36"/>
      <c r="D382" s="36"/>
      <c r="E382" s="36"/>
      <c r="F382" s="36"/>
      <c r="G382" s="37"/>
    </row>
    <row r="383" spans="1:7" customFormat="1" hidden="1" x14ac:dyDescent="0.4">
      <c r="A383" s="34" t="s">
        <v>34</v>
      </c>
      <c r="B383" s="36" t="s">
        <v>48</v>
      </c>
      <c r="C383" s="36"/>
      <c r="D383" s="36"/>
      <c r="E383" s="36"/>
      <c r="F383" s="36"/>
      <c r="G383" s="37"/>
    </row>
    <row r="384" spans="1:7" customFormat="1" hidden="1" x14ac:dyDescent="0.4">
      <c r="A384" s="34" t="s">
        <v>35</v>
      </c>
      <c r="B384" s="36" t="s">
        <v>48</v>
      </c>
      <c r="C384" s="36"/>
      <c r="D384" s="36"/>
      <c r="E384" s="36"/>
      <c r="F384" s="36"/>
      <c r="G384" s="37"/>
    </row>
    <row r="385" spans="1:7" customFormat="1" hidden="1" x14ac:dyDescent="0.4">
      <c r="A385" s="34" t="s">
        <v>36</v>
      </c>
      <c r="B385" s="36" t="s">
        <v>48</v>
      </c>
      <c r="C385" s="36"/>
      <c r="D385" s="36"/>
      <c r="E385" s="36"/>
      <c r="F385" s="36"/>
      <c r="G385" s="37"/>
    </row>
    <row r="386" spans="1:7" customFormat="1" hidden="1" x14ac:dyDescent="0.4">
      <c r="A386" s="38" t="s">
        <v>37</v>
      </c>
      <c r="B386" s="39" t="s">
        <v>48</v>
      </c>
      <c r="C386" s="39"/>
      <c r="D386" s="39"/>
      <c r="E386" s="39"/>
      <c r="F386" s="39"/>
      <c r="G386" s="40"/>
    </row>
    <row r="387" spans="1:7" customFormat="1" ht="15.75" x14ac:dyDescent="0.25">
      <c r="A387" s="89" t="s">
        <v>55</v>
      </c>
      <c r="B387" s="90"/>
      <c r="C387" s="59">
        <f>+SUBTOTAL(9,Tabla511124[Total de PMI])</f>
        <v>79381</v>
      </c>
      <c r="D387" s="59">
        <f>+SUBTOTAL(9,Tabla511124[Total de cámaras])</f>
        <v>224024</v>
      </c>
      <c r="E387" s="59">
        <f>+SUBTOTAL(9,Tabla511124[Porcentaje de disponibilidad])</f>
        <v>28.239999999999991</v>
      </c>
      <c r="F387" s="59">
        <f>+SUBTOTAL(9,Tabla511124[Total de lectores de placa])</f>
        <v>11183</v>
      </c>
      <c r="G387" s="60">
        <f>IFERROR((SUBTOTAL(101,Tabla511124[Tiempo promedio de respuesta (policías)])),0)</f>
        <v>1.5113944763729251E-2</v>
      </c>
    </row>
    <row r="388" spans="1:7" customFormat="1" ht="15" x14ac:dyDescent="0.25"/>
    <row r="389" spans="1:7" customFormat="1" ht="15" x14ac:dyDescent="0.25"/>
    <row r="390" spans="1:7" customFormat="1" ht="15" x14ac:dyDescent="0.25"/>
    <row r="391" spans="1:7" customFormat="1" ht="15" x14ac:dyDescent="0.25"/>
    <row r="392" spans="1:7" customFormat="1" ht="15" x14ac:dyDescent="0.25"/>
    <row r="393" spans="1:7" customFormat="1" ht="15" x14ac:dyDescent="0.25"/>
    <row r="394" spans="1:7" customFormat="1" ht="15" x14ac:dyDescent="0.25"/>
    <row r="395" spans="1:7" customFormat="1" ht="15" x14ac:dyDescent="0.25"/>
    <row r="396" spans="1:7" customFormat="1" ht="15" x14ac:dyDescent="0.25"/>
    <row r="397" spans="1:7" customFormat="1" ht="15" x14ac:dyDescent="0.25"/>
    <row r="398" spans="1:7" customFormat="1" ht="15" x14ac:dyDescent="0.25"/>
    <row r="399" spans="1:7" customFormat="1" ht="15" x14ac:dyDescent="0.25"/>
    <row r="400" spans="1:7" customFormat="1" ht="15" x14ac:dyDescent="0.25"/>
    <row r="401" customFormat="1" ht="15" x14ac:dyDescent="0.25"/>
    <row r="402" customFormat="1" ht="15" x14ac:dyDescent="0.25"/>
    <row r="403" customFormat="1" ht="15" x14ac:dyDescent="0.25"/>
    <row r="404" customFormat="1" ht="15" x14ac:dyDescent="0.25"/>
    <row r="405" customFormat="1" ht="15" x14ac:dyDescent="0.25"/>
    <row r="406" customFormat="1" ht="15" x14ac:dyDescent="0.25"/>
    <row r="407" customFormat="1" ht="15" x14ac:dyDescent="0.25"/>
    <row r="408" customFormat="1" ht="15" x14ac:dyDescent="0.25"/>
    <row r="409" customFormat="1" ht="15" x14ac:dyDescent="0.25"/>
    <row r="410" customFormat="1" ht="15" x14ac:dyDescent="0.25"/>
    <row r="411" customFormat="1" ht="15" x14ac:dyDescent="0.25"/>
    <row r="412" customFormat="1" ht="15" x14ac:dyDescent="0.25"/>
    <row r="413" customFormat="1" ht="15" x14ac:dyDescent="0.25"/>
    <row r="414" customFormat="1" ht="15" x14ac:dyDescent="0.25"/>
    <row r="415" customFormat="1" ht="15" x14ac:dyDescent="0.25"/>
    <row r="416" customFormat="1" ht="15" x14ac:dyDescent="0.25"/>
    <row r="417" customFormat="1" ht="15" x14ac:dyDescent="0.25"/>
    <row r="418" customFormat="1" ht="15" x14ac:dyDescent="0.25"/>
    <row r="419" customFormat="1" ht="15" x14ac:dyDescent="0.25"/>
    <row r="420" customFormat="1" ht="15" x14ac:dyDescent="0.25"/>
    <row r="421" customFormat="1" ht="15" x14ac:dyDescent="0.25"/>
    <row r="422" customFormat="1" ht="15" x14ac:dyDescent="0.25"/>
    <row r="423" customFormat="1" ht="15" x14ac:dyDescent="0.25"/>
    <row r="424" customFormat="1" ht="15" x14ac:dyDescent="0.25"/>
    <row r="425" customFormat="1" ht="15" x14ac:dyDescent="0.25"/>
    <row r="426" customFormat="1" ht="15" x14ac:dyDescent="0.25"/>
    <row r="427" customFormat="1" ht="15" x14ac:dyDescent="0.25"/>
    <row r="428" customFormat="1" ht="15" x14ac:dyDescent="0.25"/>
    <row r="429" customFormat="1" ht="15" x14ac:dyDescent="0.25"/>
    <row r="430" customFormat="1" ht="15" x14ac:dyDescent="0.25"/>
    <row r="431" customFormat="1" ht="15" x14ac:dyDescent="0.25"/>
    <row r="432" customFormat="1" ht="15" x14ac:dyDescent="0.25"/>
    <row r="433" customFormat="1" ht="15" x14ac:dyDescent="0.25"/>
    <row r="434" customFormat="1" ht="15" x14ac:dyDescent="0.25"/>
    <row r="435" customFormat="1" ht="15" x14ac:dyDescent="0.25"/>
    <row r="436" customFormat="1" ht="15" x14ac:dyDescent="0.25"/>
    <row r="437" customFormat="1" ht="15" x14ac:dyDescent="0.25"/>
    <row r="438" customFormat="1" ht="15" x14ac:dyDescent="0.25"/>
    <row r="439" customFormat="1" ht="15" x14ac:dyDescent="0.25"/>
    <row r="440" customFormat="1" ht="15" x14ac:dyDescent="0.25"/>
    <row r="441" customFormat="1" ht="15" x14ac:dyDescent="0.25"/>
    <row r="442" customFormat="1" ht="15" x14ac:dyDescent="0.25"/>
    <row r="443" customFormat="1" ht="15" x14ac:dyDescent="0.25"/>
    <row r="444" customFormat="1" ht="15" x14ac:dyDescent="0.25"/>
    <row r="445" customFormat="1" ht="15" x14ac:dyDescent="0.25"/>
    <row r="446" customFormat="1" ht="15" x14ac:dyDescent="0.25"/>
    <row r="447" customFormat="1" ht="15" x14ac:dyDescent="0.25"/>
    <row r="448" customFormat="1" ht="15" x14ac:dyDescent="0.25"/>
    <row r="449" customFormat="1" ht="15" x14ac:dyDescent="0.25"/>
    <row r="450" customFormat="1" ht="15" x14ac:dyDescent="0.25"/>
    <row r="451" customFormat="1" ht="15" x14ac:dyDescent="0.25"/>
    <row r="452" customFormat="1" ht="15" x14ac:dyDescent="0.25"/>
    <row r="453" customFormat="1" ht="15" x14ac:dyDescent="0.25"/>
    <row r="454" customFormat="1" ht="15" x14ac:dyDescent="0.25"/>
    <row r="455" customFormat="1" ht="15" x14ac:dyDescent="0.25"/>
    <row r="456" customFormat="1" ht="15" x14ac:dyDescent="0.25"/>
    <row r="457" customFormat="1" ht="15" x14ac:dyDescent="0.25"/>
    <row r="458" customFormat="1" ht="15" x14ac:dyDescent="0.25"/>
    <row r="459" customFormat="1" ht="15" x14ac:dyDescent="0.25"/>
    <row r="460" customFormat="1" ht="15" x14ac:dyDescent="0.25"/>
    <row r="461" customFormat="1" ht="15" x14ac:dyDescent="0.25"/>
    <row r="462" customFormat="1" ht="15" x14ac:dyDescent="0.25"/>
    <row r="463" customFormat="1" ht="15" x14ac:dyDescent="0.25"/>
    <row r="464" customFormat="1" ht="15" x14ac:dyDescent="0.25"/>
    <row r="465" customFormat="1" ht="15" x14ac:dyDescent="0.25"/>
    <row r="466" customFormat="1" ht="15" x14ac:dyDescent="0.25"/>
    <row r="467" customFormat="1" ht="15" x14ac:dyDescent="0.25"/>
    <row r="468" customFormat="1" ht="15" x14ac:dyDescent="0.25"/>
    <row r="469" customFormat="1" ht="15" x14ac:dyDescent="0.25"/>
    <row r="470" customFormat="1" ht="15" x14ac:dyDescent="0.25"/>
    <row r="471" customFormat="1" ht="15" x14ac:dyDescent="0.25"/>
    <row r="472" customFormat="1" ht="15" x14ac:dyDescent="0.25"/>
    <row r="473" customFormat="1" ht="15" x14ac:dyDescent="0.25"/>
    <row r="474" customFormat="1" ht="15" x14ac:dyDescent="0.25"/>
    <row r="475" customFormat="1" ht="15" x14ac:dyDescent="0.25"/>
    <row r="476" customFormat="1" ht="15" x14ac:dyDescent="0.25"/>
    <row r="477" customFormat="1" ht="15" x14ac:dyDescent="0.25"/>
    <row r="478" customFormat="1" ht="15" x14ac:dyDescent="0.25"/>
    <row r="479" customFormat="1" ht="15" x14ac:dyDescent="0.25"/>
    <row r="480" customFormat="1" ht="15" x14ac:dyDescent="0.25"/>
    <row r="481" customFormat="1" ht="15" x14ac:dyDescent="0.25"/>
    <row r="482" customFormat="1" ht="15" x14ac:dyDescent="0.25"/>
    <row r="483" customFormat="1" ht="15" x14ac:dyDescent="0.25"/>
    <row r="484" customFormat="1" ht="15" x14ac:dyDescent="0.25"/>
    <row r="485" customFormat="1" ht="15" x14ac:dyDescent="0.25"/>
    <row r="486" customFormat="1" ht="15" x14ac:dyDescent="0.25"/>
    <row r="487" customFormat="1" ht="15" x14ac:dyDescent="0.25"/>
    <row r="488" customFormat="1" ht="15" x14ac:dyDescent="0.25"/>
    <row r="489" customFormat="1" ht="15" x14ac:dyDescent="0.25"/>
    <row r="490" customFormat="1" ht="15" x14ac:dyDescent="0.25"/>
    <row r="491" customFormat="1" ht="15" x14ac:dyDescent="0.25"/>
    <row r="492" customFormat="1" ht="15" x14ac:dyDescent="0.25"/>
    <row r="493" customFormat="1" ht="15" x14ac:dyDescent="0.25"/>
    <row r="494" customFormat="1" ht="15" x14ac:dyDescent="0.25"/>
    <row r="495" customFormat="1" ht="15" x14ac:dyDescent="0.25"/>
    <row r="496" customFormat="1" ht="15" x14ac:dyDescent="0.25"/>
    <row r="497" customFormat="1" ht="15" x14ac:dyDescent="0.25"/>
    <row r="498" customFormat="1" ht="15" x14ac:dyDescent="0.25"/>
    <row r="499" customFormat="1" ht="15" x14ac:dyDescent="0.25"/>
    <row r="500" customFormat="1" ht="15" x14ac:dyDescent="0.25"/>
    <row r="501" customFormat="1" ht="15" x14ac:dyDescent="0.25"/>
    <row r="502" customFormat="1" ht="15" x14ac:dyDescent="0.25"/>
    <row r="503" customFormat="1" ht="15" x14ac:dyDescent="0.25"/>
    <row r="504" customFormat="1" ht="15" x14ac:dyDescent="0.25"/>
    <row r="505" customFormat="1" ht="15" x14ac:dyDescent="0.25"/>
    <row r="506" customFormat="1" ht="15" x14ac:dyDescent="0.25"/>
    <row r="507" customFormat="1" ht="15" x14ac:dyDescent="0.25"/>
    <row r="508" customFormat="1" ht="15" x14ac:dyDescent="0.25"/>
    <row r="509" customFormat="1" ht="15" x14ac:dyDescent="0.25"/>
    <row r="510" customFormat="1" ht="15" x14ac:dyDescent="0.25"/>
    <row r="511" customFormat="1" ht="15" x14ac:dyDescent="0.25"/>
    <row r="512" customFormat="1" ht="15" x14ac:dyDescent="0.25"/>
    <row r="513" customFormat="1" ht="15" x14ac:dyDescent="0.25"/>
    <row r="514" customFormat="1" ht="15" x14ac:dyDescent="0.25"/>
    <row r="515" customFormat="1" ht="15" x14ac:dyDescent="0.25"/>
    <row r="516" customFormat="1" ht="15" x14ac:dyDescent="0.25"/>
    <row r="517" customFormat="1" ht="15" x14ac:dyDescent="0.25"/>
    <row r="518" customFormat="1" ht="15" x14ac:dyDescent="0.25"/>
    <row r="519" customFormat="1" ht="15" x14ac:dyDescent="0.25"/>
    <row r="520" customFormat="1" ht="15" x14ac:dyDescent="0.25"/>
    <row r="521" customFormat="1" ht="15" x14ac:dyDescent="0.25"/>
    <row r="522" customFormat="1" ht="15" x14ac:dyDescent="0.25"/>
    <row r="523" customFormat="1" ht="15" x14ac:dyDescent="0.25"/>
    <row r="524" customFormat="1" ht="15" x14ac:dyDescent="0.25"/>
    <row r="525" customFormat="1" ht="15" x14ac:dyDescent="0.25"/>
    <row r="526" customFormat="1" ht="15" x14ac:dyDescent="0.25"/>
    <row r="527" customFormat="1" ht="15" x14ac:dyDescent="0.25"/>
    <row r="528" customFormat="1" ht="15" x14ac:dyDescent="0.25"/>
    <row r="529" customFormat="1" ht="15" x14ac:dyDescent="0.25"/>
    <row r="530" customFormat="1" ht="15" x14ac:dyDescent="0.25"/>
    <row r="531" customFormat="1" ht="15" x14ac:dyDescent="0.25"/>
    <row r="532" customFormat="1" ht="15" x14ac:dyDescent="0.25"/>
    <row r="533" customFormat="1" ht="15" x14ac:dyDescent="0.25"/>
    <row r="534" customFormat="1" ht="15" x14ac:dyDescent="0.25"/>
    <row r="535" customFormat="1" ht="15" x14ac:dyDescent="0.25"/>
    <row r="536" customFormat="1" ht="15" x14ac:dyDescent="0.25"/>
    <row r="537" customFormat="1" ht="15" x14ac:dyDescent="0.25"/>
    <row r="538" customFormat="1" ht="15" x14ac:dyDescent="0.25"/>
    <row r="539" customFormat="1" ht="15" x14ac:dyDescent="0.25"/>
    <row r="540" customFormat="1" ht="15" x14ac:dyDescent="0.25"/>
    <row r="541" customFormat="1" ht="15" x14ac:dyDescent="0.25"/>
    <row r="542" customFormat="1" ht="15" x14ac:dyDescent="0.25"/>
    <row r="543" customFormat="1" ht="15" x14ac:dyDescent="0.25"/>
    <row r="544" customFormat="1" ht="15" x14ac:dyDescent="0.25"/>
    <row r="545" customFormat="1" ht="15" x14ac:dyDescent="0.25"/>
    <row r="546" customFormat="1" ht="15" x14ac:dyDescent="0.25"/>
    <row r="547" customFormat="1" ht="15" x14ac:dyDescent="0.25"/>
    <row r="548" customFormat="1" ht="15" x14ac:dyDescent="0.25"/>
    <row r="549" customFormat="1" ht="15" x14ac:dyDescent="0.25"/>
    <row r="550" customFormat="1" ht="15" x14ac:dyDescent="0.25"/>
    <row r="551" customFormat="1" ht="15" x14ac:dyDescent="0.25"/>
    <row r="552" customFormat="1" ht="15" x14ac:dyDescent="0.25"/>
    <row r="553" customFormat="1" ht="15" x14ac:dyDescent="0.25"/>
    <row r="554" customFormat="1" ht="15" x14ac:dyDescent="0.25"/>
    <row r="555" customFormat="1" ht="15" x14ac:dyDescent="0.25"/>
    <row r="556" customFormat="1" ht="15" x14ac:dyDescent="0.25"/>
    <row r="557" customFormat="1" ht="15" x14ac:dyDescent="0.25"/>
    <row r="558" customFormat="1" ht="15" x14ac:dyDescent="0.25"/>
    <row r="559" customFormat="1" ht="15" x14ac:dyDescent="0.25"/>
    <row r="560" customFormat="1" ht="15" x14ac:dyDescent="0.25"/>
    <row r="561" customFormat="1" ht="15" x14ac:dyDescent="0.25"/>
    <row r="562" customFormat="1" ht="15" x14ac:dyDescent="0.25"/>
    <row r="563" customFormat="1" ht="15" x14ac:dyDescent="0.25"/>
    <row r="564" customFormat="1" ht="15" x14ac:dyDescent="0.25"/>
    <row r="565" customFormat="1" ht="15" x14ac:dyDescent="0.25"/>
    <row r="566" customFormat="1" ht="15" x14ac:dyDescent="0.25"/>
    <row r="567" customFormat="1" ht="15" x14ac:dyDescent="0.25"/>
    <row r="568" customFormat="1" ht="15" x14ac:dyDescent="0.25"/>
    <row r="569" customFormat="1" ht="15" x14ac:dyDescent="0.25"/>
    <row r="570" customFormat="1" ht="15" x14ac:dyDescent="0.25"/>
    <row r="571" customFormat="1" ht="15" x14ac:dyDescent="0.25"/>
    <row r="572" customFormat="1" ht="15" x14ac:dyDescent="0.25"/>
    <row r="573" customFormat="1" ht="15" x14ac:dyDescent="0.25"/>
    <row r="574" customFormat="1" ht="15" x14ac:dyDescent="0.25"/>
    <row r="575" customFormat="1" ht="15" x14ac:dyDescent="0.25"/>
    <row r="576" customFormat="1" ht="15" x14ac:dyDescent="0.25"/>
    <row r="577" customFormat="1" ht="15" x14ac:dyDescent="0.25"/>
    <row r="578" customFormat="1" ht="15" x14ac:dyDescent="0.25"/>
    <row r="579" customFormat="1" ht="15" x14ac:dyDescent="0.25"/>
    <row r="580" customFormat="1" ht="15" x14ac:dyDescent="0.25"/>
    <row r="581" customFormat="1" ht="15" x14ac:dyDescent="0.25"/>
    <row r="582" customFormat="1" ht="15" x14ac:dyDescent="0.25"/>
    <row r="583" customFormat="1" ht="15" x14ac:dyDescent="0.25"/>
    <row r="584" customFormat="1" ht="15" x14ac:dyDescent="0.25"/>
    <row r="585" customFormat="1" ht="15" x14ac:dyDescent="0.25"/>
    <row r="586" customFormat="1" ht="15" x14ac:dyDescent="0.25"/>
    <row r="587" customFormat="1" ht="15" x14ac:dyDescent="0.25"/>
    <row r="588" customFormat="1" ht="15" x14ac:dyDescent="0.25"/>
    <row r="589" customFormat="1" ht="15" x14ac:dyDescent="0.25"/>
    <row r="590" customFormat="1" ht="15" x14ac:dyDescent="0.25"/>
    <row r="591" customFormat="1" ht="15" x14ac:dyDescent="0.25"/>
    <row r="592" customFormat="1" ht="15" x14ac:dyDescent="0.25"/>
    <row r="593" customFormat="1" ht="15" x14ac:dyDescent="0.25"/>
    <row r="594" customFormat="1" ht="15" x14ac:dyDescent="0.25"/>
    <row r="595" customFormat="1" ht="15" x14ac:dyDescent="0.25"/>
    <row r="596" customFormat="1" ht="15" x14ac:dyDescent="0.25"/>
    <row r="597" customFormat="1" ht="15" x14ac:dyDescent="0.25"/>
    <row r="598" customFormat="1" ht="15" x14ac:dyDescent="0.25"/>
    <row r="599" customFormat="1" ht="15" x14ac:dyDescent="0.25"/>
    <row r="600" customFormat="1" ht="15" x14ac:dyDescent="0.25"/>
    <row r="601" customFormat="1" ht="15" x14ac:dyDescent="0.25"/>
    <row r="602" customFormat="1" ht="15" x14ac:dyDescent="0.25"/>
    <row r="603" customFormat="1" ht="15" x14ac:dyDescent="0.25"/>
    <row r="604" customFormat="1" ht="15" x14ac:dyDescent="0.25"/>
    <row r="605" customFormat="1" ht="15" x14ac:dyDescent="0.25"/>
    <row r="606" customFormat="1" ht="15" x14ac:dyDescent="0.25"/>
    <row r="607" customFormat="1" ht="15" x14ac:dyDescent="0.25"/>
    <row r="608" customFormat="1" ht="15" x14ac:dyDescent="0.25"/>
    <row r="609" customFormat="1" ht="15" x14ac:dyDescent="0.25"/>
    <row r="610" customFormat="1" ht="15" x14ac:dyDescent="0.25"/>
    <row r="611" customFormat="1" ht="15" x14ac:dyDescent="0.25"/>
    <row r="612" customFormat="1" ht="15" x14ac:dyDescent="0.25"/>
    <row r="613" customFormat="1" ht="15" x14ac:dyDescent="0.25"/>
    <row r="614" customFormat="1" ht="15" x14ac:dyDescent="0.25"/>
    <row r="615" customFormat="1" ht="15" x14ac:dyDescent="0.25"/>
    <row r="616" customFormat="1" ht="15" x14ac:dyDescent="0.25"/>
    <row r="617" customFormat="1" ht="15" x14ac:dyDescent="0.25"/>
    <row r="618" customFormat="1" ht="15" x14ac:dyDescent="0.25"/>
    <row r="619" customFormat="1" ht="15" x14ac:dyDescent="0.25"/>
    <row r="620" customFormat="1" ht="15" x14ac:dyDescent="0.25"/>
    <row r="621" customFormat="1" ht="15" x14ac:dyDescent="0.25"/>
    <row r="622" customFormat="1" ht="15" x14ac:dyDescent="0.25"/>
    <row r="623" customFormat="1" ht="15" x14ac:dyDescent="0.25"/>
    <row r="624" customFormat="1" ht="15" x14ac:dyDescent="0.25"/>
    <row r="625" customFormat="1" ht="15" x14ac:dyDescent="0.25"/>
    <row r="626" customFormat="1" ht="15" x14ac:dyDescent="0.25"/>
    <row r="627" customFormat="1" ht="15" x14ac:dyDescent="0.25"/>
    <row r="628" customFormat="1" ht="15" x14ac:dyDescent="0.25"/>
    <row r="629" customFormat="1" ht="15" x14ac:dyDescent="0.25"/>
    <row r="630" customFormat="1" ht="15" x14ac:dyDescent="0.25"/>
    <row r="631" customFormat="1" ht="15" x14ac:dyDescent="0.25"/>
    <row r="632" customFormat="1" ht="15" x14ac:dyDescent="0.25"/>
    <row r="633" customFormat="1" ht="15" x14ac:dyDescent="0.25"/>
    <row r="634" customFormat="1" ht="15" x14ac:dyDescent="0.25"/>
    <row r="635" customFormat="1" ht="15" x14ac:dyDescent="0.25"/>
    <row r="636" customFormat="1" ht="15" x14ac:dyDescent="0.25"/>
    <row r="637" customFormat="1" ht="15" x14ac:dyDescent="0.25"/>
    <row r="638" customFormat="1" ht="15" x14ac:dyDescent="0.25"/>
    <row r="639" customFormat="1" ht="15" x14ac:dyDescent="0.25"/>
    <row r="640" customFormat="1" ht="15" x14ac:dyDescent="0.25"/>
    <row r="641" customFormat="1" ht="15" x14ac:dyDescent="0.25"/>
    <row r="642" customFormat="1" ht="15" x14ac:dyDescent="0.25"/>
    <row r="643" customFormat="1" ht="15" x14ac:dyDescent="0.25"/>
    <row r="644" customFormat="1" ht="15" x14ac:dyDescent="0.25"/>
    <row r="645" customFormat="1" ht="15" x14ac:dyDescent="0.25"/>
    <row r="646" customFormat="1" ht="15" x14ac:dyDescent="0.25"/>
    <row r="647" customFormat="1" ht="15" x14ac:dyDescent="0.25"/>
    <row r="648" customFormat="1" ht="15" x14ac:dyDescent="0.25"/>
    <row r="649" customFormat="1" ht="15" x14ac:dyDescent="0.25"/>
    <row r="650" customFormat="1" ht="15" x14ac:dyDescent="0.25"/>
    <row r="651" customFormat="1" ht="15" x14ac:dyDescent="0.25"/>
    <row r="652" customFormat="1" ht="15" x14ac:dyDescent="0.25"/>
    <row r="653" customFormat="1" ht="15" x14ac:dyDescent="0.25"/>
    <row r="654" customFormat="1" ht="15" x14ac:dyDescent="0.25"/>
    <row r="655" customFormat="1" ht="15" x14ac:dyDescent="0.25"/>
    <row r="656" customFormat="1" ht="15" x14ac:dyDescent="0.25"/>
    <row r="657" customFormat="1" ht="15" x14ac:dyDescent="0.25"/>
    <row r="658" customFormat="1" ht="15" x14ac:dyDescent="0.25"/>
    <row r="659" customFormat="1" ht="15" x14ac:dyDescent="0.25"/>
    <row r="660" customFormat="1" ht="15" x14ac:dyDescent="0.25"/>
    <row r="661" customFormat="1" ht="15" x14ac:dyDescent="0.25"/>
    <row r="662" customFormat="1" ht="15" x14ac:dyDescent="0.25"/>
    <row r="663" customFormat="1" ht="15" x14ac:dyDescent="0.25"/>
    <row r="664" customFormat="1" ht="15" x14ac:dyDescent="0.25"/>
    <row r="665" customFormat="1" ht="15" x14ac:dyDescent="0.25"/>
    <row r="666" customFormat="1" ht="15" x14ac:dyDescent="0.25"/>
    <row r="667" customFormat="1" ht="15" x14ac:dyDescent="0.25"/>
    <row r="668" customFormat="1" ht="15" x14ac:dyDescent="0.25"/>
    <row r="669" customFormat="1" ht="15" x14ac:dyDescent="0.25"/>
    <row r="670" customFormat="1" ht="15" x14ac:dyDescent="0.25"/>
    <row r="671" customFormat="1" ht="15" x14ac:dyDescent="0.25"/>
    <row r="672" customFormat="1" ht="15" x14ac:dyDescent="0.25"/>
    <row r="673" customFormat="1" ht="15" x14ac:dyDescent="0.25"/>
    <row r="674" customFormat="1" ht="15" x14ac:dyDescent="0.25"/>
    <row r="675" customFormat="1" ht="15" x14ac:dyDescent="0.25"/>
    <row r="676" customFormat="1" ht="15" x14ac:dyDescent="0.25"/>
    <row r="677" customFormat="1" ht="15" x14ac:dyDescent="0.25"/>
    <row r="678" customFormat="1" ht="15" x14ac:dyDescent="0.25"/>
    <row r="679" customFormat="1" ht="15" x14ac:dyDescent="0.25"/>
    <row r="680" customFormat="1" ht="15" x14ac:dyDescent="0.25"/>
    <row r="681" customFormat="1" ht="15" x14ac:dyDescent="0.25"/>
    <row r="682" customFormat="1" ht="15" x14ac:dyDescent="0.25"/>
    <row r="683" customFormat="1" ht="15" x14ac:dyDescent="0.25"/>
    <row r="684" customFormat="1" ht="15" x14ac:dyDescent="0.25"/>
    <row r="685" customFormat="1" ht="15" x14ac:dyDescent="0.25"/>
    <row r="686" customFormat="1" ht="15" x14ac:dyDescent="0.25"/>
    <row r="687" customFormat="1" ht="15" x14ac:dyDescent="0.25"/>
    <row r="688" customFormat="1" ht="15" x14ac:dyDescent="0.25"/>
    <row r="689" customFormat="1" ht="15" x14ac:dyDescent="0.25"/>
    <row r="690" customFormat="1" ht="15" x14ac:dyDescent="0.25"/>
    <row r="691" customFormat="1" ht="15" x14ac:dyDescent="0.25"/>
    <row r="692" customFormat="1" ht="15" x14ac:dyDescent="0.25"/>
    <row r="693" customFormat="1" ht="15" x14ac:dyDescent="0.25"/>
    <row r="694" customFormat="1" ht="15" x14ac:dyDescent="0.25"/>
    <row r="695" customFormat="1" ht="15" x14ac:dyDescent="0.25"/>
    <row r="696" customFormat="1" ht="15" x14ac:dyDescent="0.25"/>
    <row r="697" customFormat="1" ht="15" x14ac:dyDescent="0.25"/>
    <row r="698" customFormat="1" ht="15" x14ac:dyDescent="0.25"/>
    <row r="699" customFormat="1" ht="15" x14ac:dyDescent="0.25"/>
    <row r="700" customFormat="1" ht="15" x14ac:dyDescent="0.25"/>
    <row r="701" customFormat="1" ht="15" x14ac:dyDescent="0.25"/>
    <row r="702" customFormat="1" ht="15" x14ac:dyDescent="0.25"/>
    <row r="703" customFormat="1" ht="15" x14ac:dyDescent="0.25"/>
    <row r="704" customFormat="1" ht="15" x14ac:dyDescent="0.25"/>
    <row r="705" customFormat="1" ht="15" x14ac:dyDescent="0.25"/>
    <row r="706" customFormat="1" ht="15" x14ac:dyDescent="0.25"/>
    <row r="707" customFormat="1" ht="15" x14ac:dyDescent="0.25"/>
    <row r="708" customFormat="1" ht="15" x14ac:dyDescent="0.25"/>
    <row r="709" customFormat="1" ht="15" x14ac:dyDescent="0.25"/>
    <row r="710" customFormat="1" ht="15" x14ac:dyDescent="0.25"/>
    <row r="711" customFormat="1" ht="15" x14ac:dyDescent="0.25"/>
    <row r="712" customFormat="1" ht="15" x14ac:dyDescent="0.25"/>
    <row r="713" customFormat="1" ht="15" x14ac:dyDescent="0.25"/>
    <row r="714" customFormat="1" ht="15" x14ac:dyDescent="0.25"/>
    <row r="715" customFormat="1" ht="15" x14ac:dyDescent="0.25"/>
    <row r="716" customFormat="1" ht="15" x14ac:dyDescent="0.25"/>
    <row r="717" customFormat="1" ht="15" x14ac:dyDescent="0.25"/>
    <row r="718" customFormat="1" ht="15" x14ac:dyDescent="0.25"/>
    <row r="719" customFormat="1" ht="15" x14ac:dyDescent="0.25"/>
    <row r="720" customFormat="1" ht="15" x14ac:dyDescent="0.25"/>
    <row r="721" customFormat="1" ht="15" x14ac:dyDescent="0.25"/>
    <row r="722" customFormat="1" ht="15" x14ac:dyDescent="0.25"/>
    <row r="723" customFormat="1" ht="15" x14ac:dyDescent="0.25"/>
    <row r="724" customFormat="1" ht="15" x14ac:dyDescent="0.25"/>
    <row r="725" customFormat="1" ht="15" x14ac:dyDescent="0.25"/>
    <row r="726" customFormat="1" ht="15" x14ac:dyDescent="0.25"/>
    <row r="727" customFormat="1" ht="15" x14ac:dyDescent="0.25"/>
    <row r="728" customFormat="1" ht="15" x14ac:dyDescent="0.25"/>
    <row r="729" customFormat="1" ht="15" x14ac:dyDescent="0.25"/>
    <row r="730" customFormat="1" ht="15" x14ac:dyDescent="0.25"/>
    <row r="731" customFormat="1" ht="15" x14ac:dyDescent="0.25"/>
    <row r="732" customFormat="1" ht="15" x14ac:dyDescent="0.25"/>
    <row r="733" customFormat="1" ht="15" x14ac:dyDescent="0.25"/>
    <row r="734" customFormat="1" ht="15" x14ac:dyDescent="0.25"/>
    <row r="735" customFormat="1" ht="15" x14ac:dyDescent="0.25"/>
    <row r="736" customFormat="1" ht="15" x14ac:dyDescent="0.25"/>
    <row r="737" customFormat="1" ht="15" x14ac:dyDescent="0.25"/>
    <row r="738" customFormat="1" ht="15" x14ac:dyDescent="0.25"/>
    <row r="739" customFormat="1" ht="15" x14ac:dyDescent="0.25"/>
    <row r="740" customFormat="1" ht="15" x14ac:dyDescent="0.25"/>
    <row r="741" customFormat="1" ht="15" x14ac:dyDescent="0.25"/>
    <row r="742" customFormat="1" ht="15" x14ac:dyDescent="0.25"/>
    <row r="743" customFormat="1" ht="15" x14ac:dyDescent="0.25"/>
    <row r="744" customFormat="1" ht="15" x14ac:dyDescent="0.25"/>
    <row r="745" customFormat="1" ht="15" x14ac:dyDescent="0.25"/>
    <row r="746" customFormat="1" ht="15" x14ac:dyDescent="0.25"/>
    <row r="747" customFormat="1" ht="15" x14ac:dyDescent="0.25"/>
    <row r="748" customFormat="1" ht="15" x14ac:dyDescent="0.25"/>
    <row r="749" customFormat="1" ht="15" x14ac:dyDescent="0.25"/>
    <row r="750" customFormat="1" ht="15" x14ac:dyDescent="0.25"/>
    <row r="751" customFormat="1" ht="15" x14ac:dyDescent="0.25"/>
    <row r="752" customFormat="1" ht="15" x14ac:dyDescent="0.25"/>
    <row r="753" customFormat="1" ht="15" x14ac:dyDescent="0.25"/>
    <row r="754" customFormat="1" ht="15" x14ac:dyDescent="0.25"/>
    <row r="755" customFormat="1" ht="15" x14ac:dyDescent="0.25"/>
    <row r="756" customFormat="1" ht="15" x14ac:dyDescent="0.25"/>
    <row r="757" customFormat="1" ht="15" x14ac:dyDescent="0.25"/>
    <row r="758" customFormat="1" ht="15" x14ac:dyDescent="0.25"/>
    <row r="759" customFormat="1" ht="15" x14ac:dyDescent="0.25"/>
    <row r="760" customFormat="1" ht="15" x14ac:dyDescent="0.25"/>
    <row r="761" customFormat="1" ht="15" x14ac:dyDescent="0.25"/>
    <row r="762" customFormat="1" ht="15" x14ac:dyDescent="0.25"/>
    <row r="763" customFormat="1" ht="15" x14ac:dyDescent="0.25"/>
    <row r="764" customFormat="1" ht="15" x14ac:dyDescent="0.25"/>
    <row r="765" customFormat="1" ht="15" x14ac:dyDescent="0.25"/>
    <row r="766" customFormat="1" ht="15" x14ac:dyDescent="0.25"/>
    <row r="767" customFormat="1" ht="15" x14ac:dyDescent="0.25"/>
    <row r="768" customFormat="1" ht="15" x14ac:dyDescent="0.25"/>
    <row r="769" customFormat="1" ht="15" x14ac:dyDescent="0.25"/>
    <row r="770" customFormat="1" ht="15" x14ac:dyDescent="0.25"/>
    <row r="771" customFormat="1" ht="15" x14ac:dyDescent="0.25"/>
    <row r="772" customFormat="1" ht="15" x14ac:dyDescent="0.25"/>
    <row r="773" customFormat="1" ht="15" x14ac:dyDescent="0.25"/>
    <row r="774" customFormat="1" ht="15" x14ac:dyDescent="0.25"/>
    <row r="775" customFormat="1" ht="15" x14ac:dyDescent="0.25"/>
    <row r="776" customFormat="1" ht="15" x14ac:dyDescent="0.25"/>
    <row r="777" customFormat="1" ht="15" x14ac:dyDescent="0.25"/>
    <row r="778" customFormat="1" ht="15" x14ac:dyDescent="0.25"/>
    <row r="779" customFormat="1" ht="15" x14ac:dyDescent="0.25"/>
    <row r="780" customFormat="1" ht="15" x14ac:dyDescent="0.25"/>
    <row r="781" customFormat="1" ht="15" x14ac:dyDescent="0.25"/>
    <row r="782" customFormat="1" ht="15" x14ac:dyDescent="0.25"/>
    <row r="783" customFormat="1" ht="15" x14ac:dyDescent="0.25"/>
    <row r="784" customFormat="1" ht="15" x14ac:dyDescent="0.25"/>
    <row r="785" customFormat="1" ht="15" x14ac:dyDescent="0.25"/>
    <row r="786" customFormat="1" ht="15" x14ac:dyDescent="0.25"/>
    <row r="787" customFormat="1" ht="15" x14ac:dyDescent="0.25"/>
    <row r="788" customFormat="1" ht="15" x14ac:dyDescent="0.25"/>
    <row r="789" customFormat="1" ht="15" x14ac:dyDescent="0.25"/>
    <row r="790" customFormat="1" ht="15" x14ac:dyDescent="0.25"/>
    <row r="791" customFormat="1" ht="15" x14ac:dyDescent="0.25"/>
    <row r="792" customFormat="1" ht="15" x14ac:dyDescent="0.25"/>
    <row r="793" customFormat="1" ht="15" x14ac:dyDescent="0.25"/>
    <row r="794" customFormat="1" ht="15" x14ac:dyDescent="0.25"/>
    <row r="795" customFormat="1" ht="15" x14ac:dyDescent="0.25"/>
    <row r="796" customFormat="1" ht="15" x14ac:dyDescent="0.25"/>
    <row r="797" customFormat="1" ht="15" x14ac:dyDescent="0.25"/>
    <row r="798" customFormat="1" ht="15" x14ac:dyDescent="0.25"/>
    <row r="799" customFormat="1" ht="15" x14ac:dyDescent="0.25"/>
    <row r="800" customFormat="1" ht="15" x14ac:dyDescent="0.25"/>
    <row r="801" customFormat="1" ht="15" x14ac:dyDescent="0.25"/>
    <row r="802" customFormat="1" ht="15" x14ac:dyDescent="0.25"/>
    <row r="803" customFormat="1" ht="15" x14ac:dyDescent="0.25"/>
    <row r="804" customFormat="1" ht="15" x14ac:dyDescent="0.25"/>
    <row r="805" customFormat="1" ht="15" x14ac:dyDescent="0.25"/>
    <row r="806" customFormat="1" ht="15" x14ac:dyDescent="0.25"/>
    <row r="807" customFormat="1" ht="15" x14ac:dyDescent="0.25"/>
    <row r="808" customFormat="1" ht="15" x14ac:dyDescent="0.25"/>
    <row r="809" customFormat="1" ht="15" x14ac:dyDescent="0.25"/>
    <row r="810" customFormat="1" ht="15" x14ac:dyDescent="0.25"/>
    <row r="811" customFormat="1" ht="15" x14ac:dyDescent="0.25"/>
    <row r="812" customFormat="1" ht="15" x14ac:dyDescent="0.25"/>
    <row r="813" customFormat="1" ht="15" x14ac:dyDescent="0.25"/>
    <row r="814" customFormat="1" ht="15" x14ac:dyDescent="0.25"/>
    <row r="815" customFormat="1" ht="15" x14ac:dyDescent="0.25"/>
    <row r="816" customFormat="1" ht="15" x14ac:dyDescent="0.25"/>
    <row r="817" customFormat="1" ht="15" x14ac:dyDescent="0.25"/>
    <row r="818" customFormat="1" ht="15" x14ac:dyDescent="0.25"/>
    <row r="819" customFormat="1" ht="15" x14ac:dyDescent="0.25"/>
    <row r="820" customFormat="1" ht="15" x14ac:dyDescent="0.25"/>
    <row r="821" customFormat="1" ht="15" x14ac:dyDescent="0.25"/>
    <row r="822" customFormat="1" ht="15" x14ac:dyDescent="0.25"/>
    <row r="823" customFormat="1" ht="15" x14ac:dyDescent="0.25"/>
    <row r="824" customFormat="1" ht="15" x14ac:dyDescent="0.25"/>
    <row r="825" customFormat="1" ht="15" x14ac:dyDescent="0.25"/>
    <row r="826" customFormat="1" ht="15" x14ac:dyDescent="0.25"/>
    <row r="827" customFormat="1" ht="15" x14ac:dyDescent="0.25"/>
    <row r="828" customFormat="1" ht="15" x14ac:dyDescent="0.25"/>
    <row r="829" customFormat="1" ht="15" x14ac:dyDescent="0.25"/>
    <row r="830" customFormat="1" ht="15" x14ac:dyDescent="0.25"/>
    <row r="831" customFormat="1" ht="15" x14ac:dyDescent="0.25"/>
    <row r="832" customFormat="1" ht="15" x14ac:dyDescent="0.25"/>
    <row r="833" customFormat="1" ht="15" x14ac:dyDescent="0.25"/>
    <row r="834" customFormat="1" ht="15" x14ac:dyDescent="0.25"/>
  </sheetData>
  <mergeCells count="2">
    <mergeCell ref="A1:G1"/>
    <mergeCell ref="A387:B387"/>
  </mergeCells>
  <phoneticPr fontId="2" type="noConversion"/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4B60-A6DD-49A4-A0E7-06EB3F7AD4BD}">
  <sheetPr>
    <pageSetUpPr fitToPage="1"/>
  </sheetPr>
  <dimension ref="A1:F5"/>
  <sheetViews>
    <sheetView workbookViewId="0">
      <selection activeCell="D13" sqref="D13"/>
    </sheetView>
  </sheetViews>
  <sheetFormatPr baseColWidth="10" defaultColWidth="11.42578125" defaultRowHeight="15" x14ac:dyDescent="0.25"/>
  <cols>
    <col min="1" max="1" width="37.7109375" customWidth="1"/>
    <col min="2" max="2" width="56.140625" customWidth="1"/>
    <col min="3" max="3" width="49.28515625" customWidth="1"/>
  </cols>
  <sheetData>
    <row r="1" spans="1:6" ht="17.25" x14ac:dyDescent="0.25">
      <c r="A1" s="45" t="s">
        <v>87</v>
      </c>
      <c r="B1" s="45" t="s">
        <v>105</v>
      </c>
      <c r="C1" s="45" t="s">
        <v>88</v>
      </c>
    </row>
    <row r="2" spans="1:6" ht="75.75" customHeight="1" x14ac:dyDescent="0.25">
      <c r="A2" s="91" t="s">
        <v>89</v>
      </c>
      <c r="B2" s="67" t="s">
        <v>90</v>
      </c>
      <c r="C2" s="92" t="s">
        <v>91</v>
      </c>
      <c r="D2" s="93" t="s">
        <v>106</v>
      </c>
      <c r="E2" s="94"/>
      <c r="F2" s="94"/>
    </row>
    <row r="3" spans="1:6" ht="27" customHeight="1" x14ac:dyDescent="0.25">
      <c r="A3" s="91"/>
      <c r="B3" s="67" t="s">
        <v>92</v>
      </c>
      <c r="C3" s="92"/>
      <c r="D3" s="93"/>
      <c r="E3" s="94"/>
      <c r="F3" s="94"/>
    </row>
    <row r="4" spans="1:6" ht="47.25" customHeight="1" x14ac:dyDescent="0.25">
      <c r="A4" s="91"/>
      <c r="B4" s="67" t="s">
        <v>93</v>
      </c>
      <c r="C4" s="92"/>
      <c r="D4" s="93"/>
      <c r="E4" s="94"/>
      <c r="F4" s="94"/>
    </row>
    <row r="5" spans="1:6" ht="63" customHeight="1" x14ac:dyDescent="0.25">
      <c r="A5" s="69" t="s">
        <v>94</v>
      </c>
      <c r="B5" s="68" t="s">
        <v>104</v>
      </c>
      <c r="C5" s="68" t="s">
        <v>95</v>
      </c>
    </row>
  </sheetData>
  <mergeCells count="3">
    <mergeCell ref="A2:A4"/>
    <mergeCell ref="C2:C4"/>
    <mergeCell ref="D2:F4"/>
  </mergeCells>
  <pageMargins left="0.7" right="0.7" top="0.75" bottom="0.75" header="0.3" footer="0.3"/>
  <pageSetup paperSize="9" scale="9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8D956-C64F-463E-97DC-A2F9004ADA47}">
  <sheetPr>
    <tabColor rgb="FF00B050"/>
  </sheetPr>
  <dimension ref="A1:Q111"/>
  <sheetViews>
    <sheetView zoomScale="90" zoomScaleNormal="90" workbookViewId="0">
      <selection activeCell="I78" sqref="I78"/>
    </sheetView>
  </sheetViews>
  <sheetFormatPr baseColWidth="10" defaultColWidth="11.42578125" defaultRowHeight="15" x14ac:dyDescent="0.25"/>
  <cols>
    <col min="1" max="1" width="20.42578125" style="4" customWidth="1"/>
    <col min="2" max="6" width="14.5703125" style="5" customWidth="1"/>
    <col min="7" max="17" width="14.5703125" customWidth="1"/>
  </cols>
  <sheetData>
    <row r="1" spans="1:6" ht="20.25" customHeight="1" x14ac:dyDescent="0.25">
      <c r="A1" s="10" t="s">
        <v>1</v>
      </c>
      <c r="B1" s="11" t="s">
        <v>96</v>
      </c>
      <c r="C1" s="12">
        <v>46023</v>
      </c>
      <c r="D1" s="12">
        <v>46054</v>
      </c>
      <c r="E1" s="12">
        <v>46082</v>
      </c>
      <c r="F1" s="12">
        <v>46113</v>
      </c>
    </row>
    <row r="2" spans="1:6" x14ac:dyDescent="0.25">
      <c r="A2" s="7" t="s">
        <v>5</v>
      </c>
      <c r="B2" s="8" t="s">
        <v>97</v>
      </c>
      <c r="C2" s="9">
        <v>62</v>
      </c>
      <c r="D2" s="9">
        <v>69</v>
      </c>
      <c r="E2" s="9">
        <v>94</v>
      </c>
      <c r="F2" s="9">
        <v>100</v>
      </c>
    </row>
    <row r="3" spans="1:6" x14ac:dyDescent="0.25">
      <c r="A3" s="7" t="s">
        <v>51</v>
      </c>
      <c r="B3" s="9" t="s">
        <v>97</v>
      </c>
      <c r="C3" s="9">
        <v>1469</v>
      </c>
      <c r="D3" s="9">
        <v>1475</v>
      </c>
      <c r="E3" s="9">
        <v>1475</v>
      </c>
      <c r="F3" s="9">
        <v>1752</v>
      </c>
    </row>
    <row r="4" spans="1:6" x14ac:dyDescent="0.25">
      <c r="A4" s="7" t="s">
        <v>8</v>
      </c>
      <c r="B4" s="9" t="s">
        <v>97</v>
      </c>
      <c r="C4" s="9">
        <v>196</v>
      </c>
      <c r="D4" s="9">
        <v>174</v>
      </c>
      <c r="E4" s="9">
        <v>259</v>
      </c>
      <c r="F4" s="9">
        <v>200</v>
      </c>
    </row>
    <row r="5" spans="1:6" x14ac:dyDescent="0.25">
      <c r="A5" s="7" t="s">
        <v>9</v>
      </c>
      <c r="B5" s="9" t="s">
        <v>97</v>
      </c>
      <c r="C5" s="9">
        <v>123</v>
      </c>
      <c r="D5" s="9">
        <v>117</v>
      </c>
      <c r="E5" s="9">
        <v>139</v>
      </c>
      <c r="F5" s="9">
        <v>120</v>
      </c>
    </row>
    <row r="6" spans="1:6" x14ac:dyDescent="0.25">
      <c r="A6" s="7" t="s">
        <v>52</v>
      </c>
      <c r="B6" s="9" t="s">
        <v>97</v>
      </c>
      <c r="C6" s="9">
        <v>278</v>
      </c>
      <c r="D6" s="9">
        <v>338</v>
      </c>
      <c r="E6" s="9">
        <v>374</v>
      </c>
      <c r="F6" s="9">
        <v>346</v>
      </c>
    </row>
    <row r="7" spans="1:6" x14ac:dyDescent="0.25">
      <c r="A7" s="7" t="s">
        <v>14</v>
      </c>
      <c r="B7" s="9" t="s">
        <v>97</v>
      </c>
      <c r="C7" s="9">
        <v>344</v>
      </c>
      <c r="D7" s="9">
        <v>286</v>
      </c>
      <c r="E7" s="9">
        <v>425</v>
      </c>
      <c r="F7" s="9">
        <v>347</v>
      </c>
    </row>
    <row r="8" spans="1:6" x14ac:dyDescent="0.25">
      <c r="A8" s="7" t="s">
        <v>10</v>
      </c>
      <c r="B8" s="9" t="s">
        <v>97</v>
      </c>
      <c r="C8" s="9">
        <v>1210</v>
      </c>
      <c r="D8" s="9">
        <v>1150</v>
      </c>
      <c r="E8" s="9">
        <v>1149</v>
      </c>
      <c r="F8" s="9">
        <v>1246</v>
      </c>
    </row>
    <row r="9" spans="1:6" x14ac:dyDescent="0.25">
      <c r="A9" s="7" t="s">
        <v>11</v>
      </c>
      <c r="B9" s="9" t="s">
        <v>97</v>
      </c>
      <c r="C9" s="9">
        <v>571</v>
      </c>
      <c r="D9" s="9">
        <v>663</v>
      </c>
      <c r="E9" s="9">
        <v>805</v>
      </c>
      <c r="F9" s="9">
        <v>842</v>
      </c>
    </row>
    <row r="10" spans="1:6" x14ac:dyDescent="0.25">
      <c r="A10" s="7" t="s">
        <v>12</v>
      </c>
      <c r="B10" s="9" t="s">
        <v>97</v>
      </c>
      <c r="C10" s="9">
        <v>9936</v>
      </c>
      <c r="D10" s="9">
        <v>8269</v>
      </c>
      <c r="E10" s="9">
        <v>9574</v>
      </c>
      <c r="F10" s="9">
        <v>10180</v>
      </c>
    </row>
    <row r="11" spans="1:6" x14ac:dyDescent="0.25">
      <c r="A11" s="7" t="s">
        <v>15</v>
      </c>
      <c r="B11" s="9" t="s">
        <v>97</v>
      </c>
      <c r="C11" s="9">
        <v>204</v>
      </c>
      <c r="D11" s="9">
        <v>191</v>
      </c>
      <c r="E11" s="9">
        <v>242</v>
      </c>
      <c r="F11" s="9">
        <v>216</v>
      </c>
    </row>
    <row r="12" spans="1:6" x14ac:dyDescent="0.25">
      <c r="A12" s="7" t="s">
        <v>16</v>
      </c>
      <c r="B12" s="9" t="s">
        <v>97</v>
      </c>
      <c r="C12" s="9">
        <v>1329</v>
      </c>
      <c r="D12" s="9">
        <v>1233</v>
      </c>
      <c r="E12" s="9">
        <v>1568</v>
      </c>
      <c r="F12" s="9">
        <v>1634</v>
      </c>
    </row>
    <row r="13" spans="1:6" x14ac:dyDescent="0.25">
      <c r="A13" s="7" t="s">
        <v>17</v>
      </c>
      <c r="B13" s="9" t="s">
        <v>97</v>
      </c>
      <c r="C13" s="9">
        <v>180</v>
      </c>
      <c r="D13" s="9">
        <v>213</v>
      </c>
      <c r="E13" s="9">
        <v>217</v>
      </c>
      <c r="F13" s="9">
        <v>217</v>
      </c>
    </row>
    <row r="14" spans="1:6" x14ac:dyDescent="0.25">
      <c r="A14" s="7" t="s">
        <v>18</v>
      </c>
      <c r="B14" s="9" t="s">
        <v>97</v>
      </c>
      <c r="C14" s="9">
        <v>747</v>
      </c>
      <c r="D14" s="9">
        <v>812</v>
      </c>
      <c r="E14" s="9">
        <v>945</v>
      </c>
      <c r="F14" s="9">
        <v>878</v>
      </c>
    </row>
    <row r="15" spans="1:6" x14ac:dyDescent="0.25">
      <c r="A15" s="7" t="s">
        <v>19</v>
      </c>
      <c r="B15" s="9" t="s">
        <v>97</v>
      </c>
      <c r="C15" s="9">
        <v>1596</v>
      </c>
      <c r="D15" s="9">
        <v>1557</v>
      </c>
      <c r="E15" s="9">
        <v>1929</v>
      </c>
      <c r="F15" s="9">
        <v>2024</v>
      </c>
    </row>
    <row r="16" spans="1:6" x14ac:dyDescent="0.25">
      <c r="A16" s="7" t="s">
        <v>53</v>
      </c>
      <c r="B16" s="9" t="s">
        <v>97</v>
      </c>
      <c r="C16" s="9">
        <v>6376</v>
      </c>
      <c r="D16" s="9">
        <v>6853</v>
      </c>
      <c r="E16" s="9">
        <v>7819</v>
      </c>
      <c r="F16" s="9">
        <v>8090</v>
      </c>
    </row>
    <row r="17" spans="1:6" x14ac:dyDescent="0.25">
      <c r="A17" s="7" t="s">
        <v>21</v>
      </c>
      <c r="B17" s="9" t="s">
        <v>97</v>
      </c>
      <c r="C17" s="9">
        <v>1177</v>
      </c>
      <c r="D17" s="9">
        <v>1287</v>
      </c>
      <c r="E17" s="9">
        <v>1460</v>
      </c>
      <c r="F17" s="9">
        <v>1425</v>
      </c>
    </row>
    <row r="18" spans="1:6" x14ac:dyDescent="0.25">
      <c r="A18" s="7" t="s">
        <v>22</v>
      </c>
      <c r="B18" s="9" t="s">
        <v>97</v>
      </c>
      <c r="C18" s="9">
        <v>585</v>
      </c>
      <c r="D18" s="9">
        <v>504</v>
      </c>
      <c r="E18" s="9">
        <v>619</v>
      </c>
      <c r="F18" s="9">
        <v>752</v>
      </c>
    </row>
    <row r="19" spans="1:6" x14ac:dyDescent="0.25">
      <c r="A19" s="7" t="s">
        <v>23</v>
      </c>
      <c r="B19" s="9" t="s">
        <v>97</v>
      </c>
      <c r="C19" s="9">
        <v>223</v>
      </c>
      <c r="D19" s="9">
        <v>100</v>
      </c>
      <c r="E19" s="9">
        <v>218</v>
      </c>
      <c r="F19" s="9">
        <v>315</v>
      </c>
    </row>
    <row r="20" spans="1:6" x14ac:dyDescent="0.25">
      <c r="A20" s="7" t="s">
        <v>54</v>
      </c>
      <c r="B20" s="9" t="s">
        <v>97</v>
      </c>
      <c r="C20" s="9">
        <v>1720</v>
      </c>
      <c r="D20" s="9">
        <v>1797</v>
      </c>
      <c r="E20" s="9">
        <v>2224</v>
      </c>
      <c r="F20" s="9">
        <v>2207</v>
      </c>
    </row>
    <row r="21" spans="1:6" x14ac:dyDescent="0.25">
      <c r="A21" s="7" t="s">
        <v>25</v>
      </c>
      <c r="B21" s="9" t="s">
        <v>97</v>
      </c>
      <c r="C21" s="9">
        <v>667</v>
      </c>
      <c r="D21" s="9">
        <v>634</v>
      </c>
      <c r="E21" s="9">
        <v>905</v>
      </c>
      <c r="F21" s="9">
        <v>962</v>
      </c>
    </row>
    <row r="22" spans="1:6" x14ac:dyDescent="0.25">
      <c r="A22" s="7" t="s">
        <v>26</v>
      </c>
      <c r="B22" s="9" t="s">
        <v>97</v>
      </c>
      <c r="C22" s="9">
        <v>741</v>
      </c>
      <c r="D22" s="9">
        <v>891</v>
      </c>
      <c r="E22" s="9">
        <v>851</v>
      </c>
      <c r="F22" s="9">
        <v>932</v>
      </c>
    </row>
    <row r="23" spans="1:6" x14ac:dyDescent="0.25">
      <c r="A23" s="7" t="s">
        <v>27</v>
      </c>
      <c r="B23" s="9" t="s">
        <v>97</v>
      </c>
      <c r="C23" s="9">
        <v>1170</v>
      </c>
      <c r="D23" s="9">
        <v>1170</v>
      </c>
      <c r="E23" s="9">
        <v>1685</v>
      </c>
      <c r="F23" s="9">
        <v>1685</v>
      </c>
    </row>
    <row r="24" spans="1:6" x14ac:dyDescent="0.25">
      <c r="A24" s="7" t="s">
        <v>28</v>
      </c>
      <c r="B24" s="9" t="s">
        <v>97</v>
      </c>
      <c r="C24" s="9">
        <v>456</v>
      </c>
      <c r="D24" s="9">
        <v>682</v>
      </c>
      <c r="E24" s="9">
        <v>915</v>
      </c>
      <c r="F24" s="9">
        <v>926</v>
      </c>
    </row>
    <row r="25" spans="1:6" x14ac:dyDescent="0.25">
      <c r="A25" s="7" t="s">
        <v>29</v>
      </c>
      <c r="B25" s="9" t="s">
        <v>97</v>
      </c>
      <c r="C25" s="9">
        <v>173</v>
      </c>
      <c r="D25" s="9">
        <v>175</v>
      </c>
      <c r="E25" s="9">
        <v>186</v>
      </c>
      <c r="F25" s="9">
        <v>125</v>
      </c>
    </row>
    <row r="26" spans="1:6" x14ac:dyDescent="0.25">
      <c r="A26" s="7" t="s">
        <v>30</v>
      </c>
      <c r="B26" s="9" t="s">
        <v>97</v>
      </c>
      <c r="C26" s="9">
        <v>298</v>
      </c>
      <c r="D26" s="9">
        <v>366</v>
      </c>
      <c r="E26" s="9">
        <v>438</v>
      </c>
      <c r="F26" s="9">
        <v>555</v>
      </c>
    </row>
    <row r="27" spans="1:6" x14ac:dyDescent="0.25">
      <c r="A27" s="7" t="s">
        <v>31</v>
      </c>
      <c r="B27" s="9" t="s">
        <v>97</v>
      </c>
      <c r="C27" s="9">
        <v>1069</v>
      </c>
      <c r="D27" s="9">
        <v>1056</v>
      </c>
      <c r="E27" s="9">
        <v>925</v>
      </c>
      <c r="F27" s="9">
        <v>962</v>
      </c>
    </row>
    <row r="28" spans="1:6" x14ac:dyDescent="0.25">
      <c r="A28" s="7" t="s">
        <v>32</v>
      </c>
      <c r="B28" s="9" t="s">
        <v>97</v>
      </c>
      <c r="C28" s="9">
        <v>492</v>
      </c>
      <c r="D28" s="9">
        <v>423</v>
      </c>
      <c r="E28" s="9">
        <v>568</v>
      </c>
      <c r="F28" s="9">
        <v>575</v>
      </c>
    </row>
    <row r="29" spans="1:6" x14ac:dyDescent="0.25">
      <c r="A29" s="7" t="s">
        <v>33</v>
      </c>
      <c r="B29" s="9" t="s">
        <v>97</v>
      </c>
      <c r="C29" s="9">
        <v>438</v>
      </c>
      <c r="D29" s="9">
        <v>458</v>
      </c>
      <c r="E29" s="9">
        <v>543</v>
      </c>
      <c r="F29" s="9">
        <v>470</v>
      </c>
    </row>
    <row r="30" spans="1:6" x14ac:dyDescent="0.25">
      <c r="A30" s="7" t="s">
        <v>34</v>
      </c>
      <c r="B30" s="9" t="s">
        <v>97</v>
      </c>
      <c r="C30" s="9">
        <v>477</v>
      </c>
      <c r="D30" s="9">
        <v>468</v>
      </c>
      <c r="E30" s="9">
        <v>542</v>
      </c>
      <c r="F30" s="9">
        <v>521</v>
      </c>
    </row>
    <row r="31" spans="1:6" x14ac:dyDescent="0.25">
      <c r="A31" s="7" t="s">
        <v>35</v>
      </c>
      <c r="B31" s="9" t="s">
        <v>97</v>
      </c>
      <c r="C31" s="9">
        <v>205</v>
      </c>
      <c r="D31" s="9">
        <v>266</v>
      </c>
      <c r="E31" s="9">
        <v>264</v>
      </c>
      <c r="F31" s="9">
        <v>278</v>
      </c>
    </row>
    <row r="32" spans="1:6" x14ac:dyDescent="0.25">
      <c r="A32" s="7" t="s">
        <v>36</v>
      </c>
      <c r="B32" s="9" t="s">
        <v>97</v>
      </c>
      <c r="C32" s="9">
        <v>177</v>
      </c>
      <c r="D32" s="9">
        <v>171</v>
      </c>
      <c r="E32" s="9">
        <v>171</v>
      </c>
      <c r="F32" s="9">
        <v>149</v>
      </c>
    </row>
    <row r="33" spans="1:17" x14ac:dyDescent="0.25">
      <c r="A33" s="7" t="s">
        <v>37</v>
      </c>
      <c r="B33" s="9" t="s">
        <v>97</v>
      </c>
      <c r="C33" s="9">
        <v>116</v>
      </c>
      <c r="D33" s="9">
        <v>95</v>
      </c>
      <c r="E33" s="9">
        <v>114</v>
      </c>
      <c r="F33" s="9">
        <v>65</v>
      </c>
    </row>
    <row r="36" spans="1:17" ht="15.75" thickBot="1" x14ac:dyDescent="0.3"/>
    <row r="37" spans="1:17" ht="18.75" x14ac:dyDescent="0.3">
      <c r="A37" s="18" t="s">
        <v>98</v>
      </c>
      <c r="B37" s="95">
        <v>46023</v>
      </c>
      <c r="C37" s="96"/>
      <c r="D37" s="96"/>
      <c r="E37" s="97"/>
      <c r="F37" s="98">
        <v>46054</v>
      </c>
      <c r="G37" s="99"/>
      <c r="H37" s="99"/>
      <c r="I37" s="100"/>
      <c r="J37" s="98">
        <v>46082</v>
      </c>
      <c r="K37" s="101"/>
      <c r="L37" s="101"/>
      <c r="M37" s="102"/>
      <c r="N37" s="98">
        <v>46113</v>
      </c>
      <c r="O37" s="101"/>
      <c r="P37" s="101"/>
      <c r="Q37" s="102"/>
    </row>
    <row r="38" spans="1:17" ht="75.75" customHeight="1" x14ac:dyDescent="0.25">
      <c r="A38" s="6" t="s">
        <v>1</v>
      </c>
      <c r="B38" s="20" t="s">
        <v>57</v>
      </c>
      <c r="C38" s="13" t="s">
        <v>58</v>
      </c>
      <c r="D38" s="13" t="s">
        <v>59</v>
      </c>
      <c r="E38" s="14" t="s">
        <v>60</v>
      </c>
      <c r="F38" s="20" t="s">
        <v>57</v>
      </c>
      <c r="G38" s="13" t="s">
        <v>58</v>
      </c>
      <c r="H38" s="13" t="s">
        <v>59</v>
      </c>
      <c r="I38" s="14" t="s">
        <v>60</v>
      </c>
      <c r="J38" s="20" t="s">
        <v>57</v>
      </c>
      <c r="K38" s="13" t="s">
        <v>58</v>
      </c>
      <c r="L38" s="13" t="s">
        <v>59</v>
      </c>
      <c r="M38" s="14" t="s">
        <v>60</v>
      </c>
      <c r="N38" s="20" t="s">
        <v>57</v>
      </c>
      <c r="O38" s="13" t="s">
        <v>58</v>
      </c>
      <c r="P38" s="13" t="s">
        <v>59</v>
      </c>
      <c r="Q38" s="14" t="s">
        <v>60</v>
      </c>
    </row>
    <row r="39" spans="1:17" x14ac:dyDescent="0.25">
      <c r="A39" t="s">
        <v>5</v>
      </c>
      <c r="B39" s="21">
        <v>63</v>
      </c>
      <c r="C39">
        <v>16</v>
      </c>
      <c r="D39">
        <v>47</v>
      </c>
      <c r="E39" s="15"/>
      <c r="F39" s="21">
        <v>69</v>
      </c>
      <c r="G39">
        <v>16</v>
      </c>
      <c r="H39">
        <v>52</v>
      </c>
      <c r="I39" s="15">
        <v>1</v>
      </c>
      <c r="J39" s="21">
        <v>81</v>
      </c>
      <c r="K39">
        <v>17</v>
      </c>
      <c r="L39">
        <v>59</v>
      </c>
      <c r="M39" s="15">
        <v>5</v>
      </c>
      <c r="N39" s="21">
        <v>90</v>
      </c>
      <c r="O39">
        <v>22</v>
      </c>
      <c r="P39">
        <v>68</v>
      </c>
      <c r="Q39" s="15"/>
    </row>
    <row r="40" spans="1:17" x14ac:dyDescent="0.25">
      <c r="A40" t="s">
        <v>7</v>
      </c>
      <c r="B40" s="21">
        <v>983</v>
      </c>
      <c r="C40">
        <v>103</v>
      </c>
      <c r="D40">
        <v>880</v>
      </c>
      <c r="E40" s="15"/>
      <c r="F40" s="21">
        <v>964</v>
      </c>
      <c r="G40">
        <v>97</v>
      </c>
      <c r="H40">
        <v>867</v>
      </c>
      <c r="I40" s="15"/>
      <c r="J40" s="21">
        <v>1031</v>
      </c>
      <c r="K40">
        <v>114</v>
      </c>
      <c r="L40">
        <v>917</v>
      </c>
      <c r="M40" s="15"/>
      <c r="N40" s="21">
        <v>1060</v>
      </c>
      <c r="O40">
        <v>132</v>
      </c>
      <c r="P40">
        <v>928</v>
      </c>
      <c r="Q40" s="15"/>
    </row>
    <row r="41" spans="1:17" x14ac:dyDescent="0.25">
      <c r="A41" t="s">
        <v>8</v>
      </c>
      <c r="B41" s="21">
        <v>148</v>
      </c>
      <c r="C41">
        <v>2</v>
      </c>
      <c r="D41">
        <v>128</v>
      </c>
      <c r="E41" s="15">
        <v>18</v>
      </c>
      <c r="F41" s="21">
        <v>141</v>
      </c>
      <c r="G41">
        <v>1</v>
      </c>
      <c r="H41">
        <v>117</v>
      </c>
      <c r="I41" s="15">
        <v>23</v>
      </c>
      <c r="J41" s="21">
        <v>201</v>
      </c>
      <c r="K41">
        <v>1</v>
      </c>
      <c r="L41">
        <v>181</v>
      </c>
      <c r="M41" s="15">
        <v>19</v>
      </c>
      <c r="N41" s="21">
        <v>158</v>
      </c>
      <c r="O41">
        <v>3</v>
      </c>
      <c r="P41">
        <v>138</v>
      </c>
      <c r="Q41" s="15">
        <v>17</v>
      </c>
    </row>
    <row r="42" spans="1:17" x14ac:dyDescent="0.25">
      <c r="A42" t="s">
        <v>9</v>
      </c>
      <c r="B42" s="21">
        <v>35</v>
      </c>
      <c r="C42">
        <v>4</v>
      </c>
      <c r="D42">
        <v>21</v>
      </c>
      <c r="E42" s="15">
        <v>10</v>
      </c>
      <c r="F42" s="21">
        <v>35</v>
      </c>
      <c r="G42">
        <v>7</v>
      </c>
      <c r="H42">
        <v>20</v>
      </c>
      <c r="I42" s="15">
        <v>8</v>
      </c>
      <c r="J42" s="21">
        <v>47</v>
      </c>
      <c r="K42">
        <v>2</v>
      </c>
      <c r="L42">
        <v>27</v>
      </c>
      <c r="M42" s="15">
        <v>18</v>
      </c>
      <c r="N42" s="21">
        <v>43</v>
      </c>
      <c r="O42">
        <v>6</v>
      </c>
      <c r="P42">
        <v>23</v>
      </c>
      <c r="Q42" s="15">
        <v>14</v>
      </c>
    </row>
    <row r="43" spans="1:17" x14ac:dyDescent="0.25">
      <c r="A43" t="s">
        <v>99</v>
      </c>
      <c r="B43" s="21">
        <v>127</v>
      </c>
      <c r="C43">
        <v>14</v>
      </c>
      <c r="D43">
        <v>101</v>
      </c>
      <c r="E43" s="15">
        <v>12</v>
      </c>
      <c r="F43" s="21">
        <v>134</v>
      </c>
      <c r="G43">
        <v>20</v>
      </c>
      <c r="H43">
        <v>91</v>
      </c>
      <c r="I43" s="15">
        <v>23</v>
      </c>
      <c r="J43" s="21">
        <v>148</v>
      </c>
      <c r="K43">
        <v>31</v>
      </c>
      <c r="L43">
        <v>97</v>
      </c>
      <c r="M43" s="15">
        <v>20</v>
      </c>
      <c r="N43" s="21">
        <v>160</v>
      </c>
      <c r="O43">
        <v>25</v>
      </c>
      <c r="P43">
        <v>99</v>
      </c>
      <c r="Q43" s="15">
        <v>36</v>
      </c>
    </row>
    <row r="44" spans="1:17" x14ac:dyDescent="0.25">
      <c r="A44" t="s">
        <v>14</v>
      </c>
      <c r="B44" s="21">
        <v>110</v>
      </c>
      <c r="C44">
        <v>12</v>
      </c>
      <c r="D44">
        <v>94</v>
      </c>
      <c r="E44" s="15">
        <v>4</v>
      </c>
      <c r="F44" s="21">
        <v>104</v>
      </c>
      <c r="G44">
        <v>2</v>
      </c>
      <c r="H44">
        <v>94</v>
      </c>
      <c r="I44" s="15">
        <v>8</v>
      </c>
      <c r="J44" s="21">
        <v>123</v>
      </c>
      <c r="K44">
        <v>12</v>
      </c>
      <c r="L44">
        <v>104</v>
      </c>
      <c r="M44" s="15">
        <v>7</v>
      </c>
      <c r="N44" s="21">
        <v>110</v>
      </c>
      <c r="O44">
        <v>9</v>
      </c>
      <c r="P44">
        <v>95</v>
      </c>
      <c r="Q44" s="15">
        <v>6</v>
      </c>
    </row>
    <row r="45" spans="1:17" x14ac:dyDescent="0.25">
      <c r="A45" t="s">
        <v>10</v>
      </c>
      <c r="B45" s="21">
        <v>295</v>
      </c>
      <c r="C45">
        <v>26</v>
      </c>
      <c r="D45">
        <v>242</v>
      </c>
      <c r="E45" s="15">
        <v>27</v>
      </c>
      <c r="F45" s="21">
        <v>252</v>
      </c>
      <c r="G45">
        <v>41</v>
      </c>
      <c r="H45">
        <v>200</v>
      </c>
      <c r="I45" s="15">
        <v>11</v>
      </c>
      <c r="J45" s="21">
        <v>299</v>
      </c>
      <c r="K45">
        <v>54</v>
      </c>
      <c r="L45">
        <v>234</v>
      </c>
      <c r="M45" s="15">
        <v>11</v>
      </c>
      <c r="N45" s="21">
        <v>208</v>
      </c>
      <c r="O45">
        <v>28</v>
      </c>
      <c r="P45">
        <v>151</v>
      </c>
      <c r="Q45" s="15">
        <v>29</v>
      </c>
    </row>
    <row r="46" spans="1:17" x14ac:dyDescent="0.25">
      <c r="A46" t="s">
        <v>11</v>
      </c>
      <c r="B46" s="21">
        <v>88</v>
      </c>
      <c r="C46">
        <v>5</v>
      </c>
      <c r="D46">
        <v>79</v>
      </c>
      <c r="E46" s="15">
        <v>4</v>
      </c>
      <c r="F46" s="21">
        <v>123</v>
      </c>
      <c r="G46">
        <v>8</v>
      </c>
      <c r="H46">
        <v>114</v>
      </c>
      <c r="I46" s="15">
        <v>1</v>
      </c>
      <c r="J46" s="21">
        <v>100</v>
      </c>
      <c r="K46">
        <v>10</v>
      </c>
      <c r="L46">
        <v>90</v>
      </c>
      <c r="M46" s="15"/>
      <c r="N46" s="21">
        <v>98</v>
      </c>
      <c r="O46">
        <v>13</v>
      </c>
      <c r="P46">
        <v>84</v>
      </c>
      <c r="Q46" s="15">
        <v>1</v>
      </c>
    </row>
    <row r="47" spans="1:17" x14ac:dyDescent="0.25">
      <c r="A47" t="s">
        <v>12</v>
      </c>
      <c r="B47" s="21">
        <v>2715</v>
      </c>
      <c r="C47">
        <v>270</v>
      </c>
      <c r="D47">
        <v>2378</v>
      </c>
      <c r="E47" s="15">
        <v>67</v>
      </c>
      <c r="F47" s="21">
        <v>2136</v>
      </c>
      <c r="G47">
        <v>216</v>
      </c>
      <c r="H47">
        <v>1848</v>
      </c>
      <c r="I47" s="15">
        <v>72</v>
      </c>
      <c r="J47" s="21">
        <v>2716</v>
      </c>
      <c r="K47">
        <v>206</v>
      </c>
      <c r="L47">
        <v>2364</v>
      </c>
      <c r="M47" s="15">
        <v>146</v>
      </c>
      <c r="N47" s="21">
        <v>2929</v>
      </c>
      <c r="O47">
        <v>223</v>
      </c>
      <c r="P47">
        <v>2557</v>
      </c>
      <c r="Q47" s="15">
        <v>149</v>
      </c>
    </row>
    <row r="48" spans="1:17" x14ac:dyDescent="0.25">
      <c r="A48" t="s">
        <v>15</v>
      </c>
      <c r="B48" s="21">
        <v>167</v>
      </c>
      <c r="C48">
        <v>34</v>
      </c>
      <c r="D48">
        <v>90</v>
      </c>
      <c r="E48" s="15">
        <v>43</v>
      </c>
      <c r="F48" s="21">
        <v>157</v>
      </c>
      <c r="G48">
        <v>38</v>
      </c>
      <c r="H48">
        <v>99</v>
      </c>
      <c r="I48" s="15">
        <v>20</v>
      </c>
      <c r="J48" s="21">
        <v>218</v>
      </c>
      <c r="K48">
        <v>37</v>
      </c>
      <c r="L48">
        <v>138</v>
      </c>
      <c r="M48" s="15">
        <v>43</v>
      </c>
      <c r="N48" s="21">
        <v>190</v>
      </c>
      <c r="O48">
        <v>52</v>
      </c>
      <c r="P48">
        <v>105</v>
      </c>
      <c r="Q48" s="15">
        <v>33</v>
      </c>
    </row>
    <row r="49" spans="1:17" x14ac:dyDescent="0.25">
      <c r="A49" t="s">
        <v>16</v>
      </c>
      <c r="B49" s="21">
        <v>946</v>
      </c>
      <c r="C49">
        <v>151</v>
      </c>
      <c r="D49">
        <v>793</v>
      </c>
      <c r="E49" s="15">
        <v>2</v>
      </c>
      <c r="F49" s="21">
        <v>877</v>
      </c>
      <c r="G49">
        <v>122</v>
      </c>
      <c r="H49">
        <v>755</v>
      </c>
      <c r="I49" s="15"/>
      <c r="J49" s="21">
        <v>1152</v>
      </c>
      <c r="K49">
        <v>134</v>
      </c>
      <c r="L49">
        <v>1017</v>
      </c>
      <c r="M49" s="15">
        <v>1</v>
      </c>
      <c r="N49" s="21">
        <v>1206</v>
      </c>
      <c r="O49">
        <v>136</v>
      </c>
      <c r="P49">
        <v>1068</v>
      </c>
      <c r="Q49" s="15">
        <v>2</v>
      </c>
    </row>
    <row r="50" spans="1:17" x14ac:dyDescent="0.25">
      <c r="A50" t="s">
        <v>17</v>
      </c>
      <c r="B50" s="21">
        <v>171</v>
      </c>
      <c r="C50">
        <v>35</v>
      </c>
      <c r="D50">
        <v>109</v>
      </c>
      <c r="E50" s="15">
        <v>27</v>
      </c>
      <c r="F50" s="21">
        <v>193</v>
      </c>
      <c r="G50">
        <v>36</v>
      </c>
      <c r="H50">
        <v>124</v>
      </c>
      <c r="I50" s="15">
        <v>33</v>
      </c>
      <c r="J50" s="21">
        <v>184</v>
      </c>
      <c r="K50">
        <v>36</v>
      </c>
      <c r="L50">
        <v>108</v>
      </c>
      <c r="M50" s="15">
        <v>40</v>
      </c>
      <c r="N50" s="21">
        <v>188</v>
      </c>
      <c r="O50">
        <v>36</v>
      </c>
      <c r="P50">
        <v>119</v>
      </c>
      <c r="Q50" s="15">
        <v>33</v>
      </c>
    </row>
    <row r="51" spans="1:17" x14ac:dyDescent="0.25">
      <c r="A51" t="s">
        <v>18</v>
      </c>
      <c r="B51" s="21">
        <v>549</v>
      </c>
      <c r="C51">
        <v>80</v>
      </c>
      <c r="D51">
        <v>433</v>
      </c>
      <c r="E51" s="15">
        <v>36</v>
      </c>
      <c r="F51" s="21">
        <v>670</v>
      </c>
      <c r="G51">
        <v>101</v>
      </c>
      <c r="H51">
        <v>529</v>
      </c>
      <c r="I51" s="15">
        <v>40</v>
      </c>
      <c r="J51" s="21">
        <v>766</v>
      </c>
      <c r="K51">
        <v>105</v>
      </c>
      <c r="L51">
        <v>602</v>
      </c>
      <c r="M51" s="15">
        <v>59</v>
      </c>
      <c r="N51" s="21">
        <v>680</v>
      </c>
      <c r="O51">
        <v>96</v>
      </c>
      <c r="P51">
        <v>541</v>
      </c>
      <c r="Q51" s="15">
        <v>43</v>
      </c>
    </row>
    <row r="52" spans="1:17" x14ac:dyDescent="0.25">
      <c r="A52" t="s">
        <v>19</v>
      </c>
      <c r="B52" s="21">
        <v>1263</v>
      </c>
      <c r="C52">
        <v>90</v>
      </c>
      <c r="D52">
        <v>989</v>
      </c>
      <c r="E52" s="15">
        <v>184</v>
      </c>
      <c r="F52" s="21">
        <v>1128</v>
      </c>
      <c r="G52">
        <v>102</v>
      </c>
      <c r="H52">
        <v>852</v>
      </c>
      <c r="I52" s="15">
        <v>174</v>
      </c>
      <c r="J52" s="21">
        <v>1487</v>
      </c>
      <c r="K52">
        <v>133</v>
      </c>
      <c r="L52">
        <v>1146</v>
      </c>
      <c r="M52" s="15">
        <v>208</v>
      </c>
      <c r="N52" s="21">
        <v>1457</v>
      </c>
      <c r="O52">
        <v>96</v>
      </c>
      <c r="P52">
        <v>1232</v>
      </c>
      <c r="Q52" s="15">
        <v>129</v>
      </c>
    </row>
    <row r="53" spans="1:17" x14ac:dyDescent="0.25">
      <c r="A53" t="s">
        <v>20</v>
      </c>
      <c r="B53" s="21">
        <v>3288</v>
      </c>
      <c r="C53">
        <v>330</v>
      </c>
      <c r="D53">
        <v>2586</v>
      </c>
      <c r="E53" s="15">
        <v>372</v>
      </c>
      <c r="F53" s="21">
        <v>3416</v>
      </c>
      <c r="G53">
        <v>382</v>
      </c>
      <c r="H53">
        <v>2641</v>
      </c>
      <c r="I53" s="15">
        <v>393</v>
      </c>
      <c r="J53" s="21">
        <v>4255</v>
      </c>
      <c r="K53">
        <v>424</v>
      </c>
      <c r="L53">
        <v>2786</v>
      </c>
      <c r="M53" s="15">
        <v>1045</v>
      </c>
      <c r="N53" s="21">
        <v>4272</v>
      </c>
      <c r="O53">
        <v>435</v>
      </c>
      <c r="P53">
        <v>3375</v>
      </c>
      <c r="Q53" s="15">
        <v>462</v>
      </c>
    </row>
    <row r="54" spans="1:17" x14ac:dyDescent="0.25">
      <c r="A54" t="s">
        <v>100</v>
      </c>
      <c r="B54" s="21">
        <v>433</v>
      </c>
      <c r="C54">
        <v>86</v>
      </c>
      <c r="D54">
        <v>302</v>
      </c>
      <c r="E54" s="15">
        <v>45</v>
      </c>
      <c r="F54" s="21">
        <v>429</v>
      </c>
      <c r="G54">
        <v>119</v>
      </c>
      <c r="H54">
        <v>248</v>
      </c>
      <c r="I54" s="15">
        <v>62</v>
      </c>
      <c r="J54" s="21">
        <v>437</v>
      </c>
      <c r="K54">
        <v>81</v>
      </c>
      <c r="L54">
        <v>297</v>
      </c>
      <c r="M54" s="15">
        <v>59</v>
      </c>
      <c r="N54" s="21">
        <v>466</v>
      </c>
      <c r="O54">
        <v>99</v>
      </c>
      <c r="P54">
        <v>291</v>
      </c>
      <c r="Q54" s="15">
        <v>76</v>
      </c>
    </row>
    <row r="55" spans="1:17" x14ac:dyDescent="0.25">
      <c r="A55" t="s">
        <v>22</v>
      </c>
      <c r="B55" s="21">
        <v>368</v>
      </c>
      <c r="C55">
        <v>77</v>
      </c>
      <c r="D55">
        <v>217</v>
      </c>
      <c r="E55" s="15">
        <v>74</v>
      </c>
      <c r="F55" s="21">
        <v>308</v>
      </c>
      <c r="G55">
        <v>43</v>
      </c>
      <c r="H55">
        <v>198</v>
      </c>
      <c r="I55" s="15">
        <v>67</v>
      </c>
      <c r="J55" s="21">
        <v>388</v>
      </c>
      <c r="K55">
        <v>112</v>
      </c>
      <c r="L55">
        <v>199</v>
      </c>
      <c r="M55" s="15">
        <v>77</v>
      </c>
      <c r="N55" s="21">
        <v>456</v>
      </c>
      <c r="O55">
        <v>98</v>
      </c>
      <c r="P55">
        <v>266</v>
      </c>
      <c r="Q55" s="15">
        <v>92</v>
      </c>
    </row>
    <row r="56" spans="1:17" x14ac:dyDescent="0.25">
      <c r="A56" t="s">
        <v>23</v>
      </c>
      <c r="B56" s="21">
        <v>160</v>
      </c>
      <c r="C56">
        <v>34</v>
      </c>
      <c r="D56">
        <v>103</v>
      </c>
      <c r="E56" s="15">
        <v>23</v>
      </c>
      <c r="F56" s="21">
        <v>137</v>
      </c>
      <c r="G56">
        <v>29</v>
      </c>
      <c r="H56">
        <v>83</v>
      </c>
      <c r="I56" s="15">
        <v>25</v>
      </c>
      <c r="J56" s="21">
        <v>133</v>
      </c>
      <c r="K56">
        <v>28</v>
      </c>
      <c r="L56">
        <v>83</v>
      </c>
      <c r="M56" s="15">
        <v>22</v>
      </c>
      <c r="N56" s="21">
        <v>145</v>
      </c>
      <c r="O56">
        <v>34</v>
      </c>
      <c r="P56">
        <v>78</v>
      </c>
      <c r="Q56" s="15">
        <v>33</v>
      </c>
    </row>
    <row r="57" spans="1:17" x14ac:dyDescent="0.25">
      <c r="A57" t="s">
        <v>24</v>
      </c>
      <c r="B57" s="21">
        <v>1089</v>
      </c>
      <c r="C57">
        <v>60</v>
      </c>
      <c r="D57">
        <v>913</v>
      </c>
      <c r="E57" s="15">
        <v>116</v>
      </c>
      <c r="F57" s="21">
        <v>1069</v>
      </c>
      <c r="G57">
        <v>47</v>
      </c>
      <c r="H57">
        <v>915</v>
      </c>
      <c r="I57" s="15">
        <v>107</v>
      </c>
      <c r="J57" s="21">
        <v>1411</v>
      </c>
      <c r="K57">
        <v>55</v>
      </c>
      <c r="L57">
        <v>1216</v>
      </c>
      <c r="M57" s="15">
        <v>140</v>
      </c>
      <c r="N57" s="21">
        <v>1390</v>
      </c>
      <c r="O57">
        <v>64</v>
      </c>
      <c r="P57">
        <v>1204</v>
      </c>
      <c r="Q57" s="15">
        <v>122</v>
      </c>
    </row>
    <row r="58" spans="1:17" x14ac:dyDescent="0.25">
      <c r="A58" t="s">
        <v>25</v>
      </c>
      <c r="B58" s="21">
        <v>440</v>
      </c>
      <c r="C58">
        <v>74</v>
      </c>
      <c r="D58">
        <v>317</v>
      </c>
      <c r="E58" s="15">
        <v>49</v>
      </c>
      <c r="F58" s="21">
        <v>462</v>
      </c>
      <c r="G58">
        <v>59</v>
      </c>
      <c r="H58">
        <v>331</v>
      </c>
      <c r="I58" s="15">
        <v>72</v>
      </c>
      <c r="J58" s="21">
        <v>596</v>
      </c>
      <c r="K58">
        <v>87</v>
      </c>
      <c r="L58">
        <v>417</v>
      </c>
      <c r="M58" s="15">
        <v>92</v>
      </c>
      <c r="N58" s="21">
        <v>659</v>
      </c>
      <c r="O58">
        <v>98</v>
      </c>
      <c r="P58">
        <v>462</v>
      </c>
      <c r="Q58" s="15">
        <v>99</v>
      </c>
    </row>
    <row r="59" spans="1:17" x14ac:dyDescent="0.25">
      <c r="A59" t="s">
        <v>26</v>
      </c>
      <c r="B59" s="21">
        <v>741</v>
      </c>
      <c r="C59">
        <v>94</v>
      </c>
      <c r="D59">
        <v>582</v>
      </c>
      <c r="E59" s="15">
        <v>65</v>
      </c>
      <c r="F59" s="21">
        <v>893</v>
      </c>
      <c r="G59">
        <v>141</v>
      </c>
      <c r="H59">
        <v>673</v>
      </c>
      <c r="I59" s="15">
        <v>79</v>
      </c>
      <c r="J59" s="21">
        <v>855</v>
      </c>
      <c r="K59">
        <v>146</v>
      </c>
      <c r="L59">
        <v>641</v>
      </c>
      <c r="M59" s="15">
        <v>68</v>
      </c>
      <c r="N59" s="21">
        <v>942</v>
      </c>
      <c r="O59">
        <v>144</v>
      </c>
      <c r="P59">
        <v>789</v>
      </c>
      <c r="Q59" s="15">
        <v>9</v>
      </c>
    </row>
    <row r="60" spans="1:17" x14ac:dyDescent="0.25">
      <c r="A60" t="s">
        <v>27</v>
      </c>
      <c r="B60" s="21">
        <v>699</v>
      </c>
      <c r="C60">
        <v>109</v>
      </c>
      <c r="D60">
        <v>401</v>
      </c>
      <c r="E60" s="15">
        <v>189</v>
      </c>
      <c r="F60" s="21">
        <v>627</v>
      </c>
      <c r="G60">
        <v>117</v>
      </c>
      <c r="H60">
        <v>351</v>
      </c>
      <c r="I60" s="15">
        <v>159</v>
      </c>
      <c r="J60" s="21">
        <v>740</v>
      </c>
      <c r="K60">
        <v>112</v>
      </c>
      <c r="L60">
        <v>431</v>
      </c>
      <c r="M60" s="15">
        <v>197</v>
      </c>
      <c r="N60" s="21">
        <v>751</v>
      </c>
      <c r="O60">
        <v>111</v>
      </c>
      <c r="P60">
        <v>411</v>
      </c>
      <c r="Q60" s="15">
        <v>229</v>
      </c>
    </row>
    <row r="61" spans="1:17" x14ac:dyDescent="0.25">
      <c r="A61" t="s">
        <v>28</v>
      </c>
      <c r="B61" s="21">
        <v>490</v>
      </c>
      <c r="C61">
        <v>88</v>
      </c>
      <c r="D61">
        <v>331</v>
      </c>
      <c r="E61" s="15">
        <v>71</v>
      </c>
      <c r="F61" s="21">
        <v>479</v>
      </c>
      <c r="G61">
        <v>87</v>
      </c>
      <c r="H61">
        <v>355</v>
      </c>
      <c r="I61" s="15">
        <v>37</v>
      </c>
      <c r="J61" s="21">
        <v>585</v>
      </c>
      <c r="K61">
        <v>133</v>
      </c>
      <c r="L61">
        <v>392</v>
      </c>
      <c r="M61" s="15">
        <v>60</v>
      </c>
      <c r="N61" s="21">
        <v>675</v>
      </c>
      <c r="O61">
        <v>149</v>
      </c>
      <c r="P61">
        <v>457</v>
      </c>
      <c r="Q61" s="15">
        <v>69</v>
      </c>
    </row>
    <row r="62" spans="1:17" x14ac:dyDescent="0.25">
      <c r="A62" t="s">
        <v>29</v>
      </c>
      <c r="B62" s="21">
        <v>79</v>
      </c>
      <c r="C62">
        <v>25</v>
      </c>
      <c r="D62">
        <v>39</v>
      </c>
      <c r="E62" s="15">
        <v>15</v>
      </c>
      <c r="F62" s="21">
        <v>72</v>
      </c>
      <c r="G62">
        <v>21</v>
      </c>
      <c r="H62">
        <v>42</v>
      </c>
      <c r="I62" s="15">
        <v>9</v>
      </c>
      <c r="J62" s="21">
        <v>67</v>
      </c>
      <c r="K62">
        <v>29</v>
      </c>
      <c r="L62">
        <v>33</v>
      </c>
      <c r="M62" s="15">
        <v>5</v>
      </c>
      <c r="N62" s="21">
        <v>50</v>
      </c>
      <c r="O62">
        <v>24</v>
      </c>
      <c r="P62">
        <v>16</v>
      </c>
      <c r="Q62" s="15">
        <v>10</v>
      </c>
    </row>
    <row r="63" spans="1:17" x14ac:dyDescent="0.25">
      <c r="A63" t="s">
        <v>30</v>
      </c>
      <c r="B63" s="21">
        <v>183</v>
      </c>
      <c r="C63">
        <v>37</v>
      </c>
      <c r="D63">
        <v>103</v>
      </c>
      <c r="E63" s="15">
        <v>43</v>
      </c>
      <c r="F63" s="21">
        <v>199</v>
      </c>
      <c r="G63">
        <v>42</v>
      </c>
      <c r="H63">
        <v>156</v>
      </c>
      <c r="I63" s="15">
        <v>1</v>
      </c>
      <c r="J63" s="21">
        <v>237</v>
      </c>
      <c r="K63">
        <v>40</v>
      </c>
      <c r="L63">
        <v>196</v>
      </c>
      <c r="M63" s="15">
        <v>1</v>
      </c>
      <c r="N63" s="21">
        <v>310</v>
      </c>
      <c r="O63">
        <v>41</v>
      </c>
      <c r="P63">
        <v>269</v>
      </c>
      <c r="Q63" s="15"/>
    </row>
    <row r="64" spans="1:17" x14ac:dyDescent="0.25">
      <c r="A64" t="s">
        <v>31</v>
      </c>
      <c r="B64" s="21">
        <v>752</v>
      </c>
      <c r="C64">
        <v>110</v>
      </c>
      <c r="D64">
        <v>642</v>
      </c>
      <c r="E64" s="15"/>
      <c r="F64" s="21">
        <v>734</v>
      </c>
      <c r="G64">
        <v>124</v>
      </c>
      <c r="H64">
        <v>610</v>
      </c>
      <c r="I64" s="15"/>
      <c r="J64" s="21">
        <v>624</v>
      </c>
      <c r="K64">
        <v>132</v>
      </c>
      <c r="L64">
        <v>492</v>
      </c>
      <c r="M64" s="15"/>
      <c r="N64" s="21">
        <v>516</v>
      </c>
      <c r="O64">
        <v>99</v>
      </c>
      <c r="P64">
        <v>417</v>
      </c>
      <c r="Q64" s="15"/>
    </row>
    <row r="65" spans="1:17" x14ac:dyDescent="0.25">
      <c r="A65" t="s">
        <v>32</v>
      </c>
      <c r="B65" s="21">
        <v>282</v>
      </c>
      <c r="C65">
        <v>58</v>
      </c>
      <c r="D65">
        <v>167</v>
      </c>
      <c r="E65" s="15">
        <v>57</v>
      </c>
      <c r="F65" s="21">
        <v>261</v>
      </c>
      <c r="G65">
        <v>59</v>
      </c>
      <c r="H65">
        <v>140</v>
      </c>
      <c r="I65" s="15">
        <v>62</v>
      </c>
      <c r="J65" s="21">
        <v>363</v>
      </c>
      <c r="K65">
        <v>93</v>
      </c>
      <c r="L65">
        <v>215</v>
      </c>
      <c r="M65" s="15">
        <v>55</v>
      </c>
      <c r="N65" s="21">
        <v>424</v>
      </c>
      <c r="O65">
        <v>95</v>
      </c>
      <c r="P65">
        <v>259</v>
      </c>
      <c r="Q65" s="15">
        <v>70</v>
      </c>
    </row>
    <row r="66" spans="1:17" x14ac:dyDescent="0.25">
      <c r="A66" t="s">
        <v>33</v>
      </c>
      <c r="B66" s="21">
        <v>161</v>
      </c>
      <c r="C66">
        <v>17</v>
      </c>
      <c r="D66">
        <v>64</v>
      </c>
      <c r="E66" s="15">
        <v>80</v>
      </c>
      <c r="F66" s="21">
        <v>162</v>
      </c>
      <c r="G66">
        <v>15</v>
      </c>
      <c r="H66">
        <v>51</v>
      </c>
      <c r="I66" s="15">
        <v>96</v>
      </c>
      <c r="J66" s="21">
        <v>215</v>
      </c>
      <c r="K66">
        <v>23</v>
      </c>
      <c r="L66">
        <v>66</v>
      </c>
      <c r="M66" s="15">
        <v>126</v>
      </c>
      <c r="N66" s="21">
        <v>187</v>
      </c>
      <c r="O66">
        <v>17</v>
      </c>
      <c r="P66">
        <v>64</v>
      </c>
      <c r="Q66" s="15">
        <v>106</v>
      </c>
    </row>
    <row r="67" spans="1:17" x14ac:dyDescent="0.25">
      <c r="A67" t="s">
        <v>34</v>
      </c>
      <c r="B67" s="21">
        <v>326</v>
      </c>
      <c r="C67">
        <v>42</v>
      </c>
      <c r="D67">
        <v>236</v>
      </c>
      <c r="E67" s="15">
        <v>48</v>
      </c>
      <c r="F67" s="21">
        <v>297</v>
      </c>
      <c r="G67">
        <v>43</v>
      </c>
      <c r="H67">
        <v>216</v>
      </c>
      <c r="I67" s="15">
        <v>38</v>
      </c>
      <c r="J67" s="21">
        <v>366</v>
      </c>
      <c r="K67">
        <v>43</v>
      </c>
      <c r="L67">
        <v>269</v>
      </c>
      <c r="M67" s="15">
        <v>54</v>
      </c>
      <c r="N67" s="21">
        <v>346</v>
      </c>
      <c r="O67">
        <v>55</v>
      </c>
      <c r="P67">
        <v>252</v>
      </c>
      <c r="Q67" s="15">
        <v>39</v>
      </c>
    </row>
    <row r="68" spans="1:17" x14ac:dyDescent="0.25">
      <c r="A68" t="s">
        <v>101</v>
      </c>
      <c r="B68" s="21">
        <v>1059</v>
      </c>
      <c r="C68">
        <v>93</v>
      </c>
      <c r="D68">
        <v>828</v>
      </c>
      <c r="E68" s="15">
        <v>138</v>
      </c>
      <c r="F68" s="21">
        <v>969</v>
      </c>
      <c r="G68">
        <v>85</v>
      </c>
      <c r="H68">
        <v>762</v>
      </c>
      <c r="I68" s="15">
        <v>122</v>
      </c>
      <c r="J68" s="21">
        <v>1049</v>
      </c>
      <c r="K68">
        <v>74</v>
      </c>
      <c r="L68">
        <v>866</v>
      </c>
      <c r="M68" s="15">
        <v>109</v>
      </c>
      <c r="N68" s="21">
        <v>1021</v>
      </c>
      <c r="O68">
        <v>84</v>
      </c>
      <c r="P68">
        <v>792</v>
      </c>
      <c r="Q68" s="15">
        <v>145</v>
      </c>
    </row>
    <row r="69" spans="1:17" x14ac:dyDescent="0.25">
      <c r="A69" t="s">
        <v>36</v>
      </c>
      <c r="B69" s="21">
        <v>69</v>
      </c>
      <c r="C69">
        <v>10</v>
      </c>
      <c r="D69">
        <v>48</v>
      </c>
      <c r="E69" s="15">
        <v>11</v>
      </c>
      <c r="F69" s="21">
        <v>57</v>
      </c>
      <c r="G69">
        <v>9</v>
      </c>
      <c r="H69">
        <v>38</v>
      </c>
      <c r="I69" s="15">
        <v>10</v>
      </c>
      <c r="J69" s="21">
        <v>62</v>
      </c>
      <c r="K69">
        <v>16</v>
      </c>
      <c r="L69">
        <v>33</v>
      </c>
      <c r="M69" s="15">
        <v>13</v>
      </c>
      <c r="N69" s="21">
        <v>53</v>
      </c>
      <c r="O69">
        <v>17</v>
      </c>
      <c r="P69">
        <v>31</v>
      </c>
      <c r="Q69" s="15">
        <v>5</v>
      </c>
    </row>
    <row r="70" spans="1:17" x14ac:dyDescent="0.25">
      <c r="A70" t="s">
        <v>37</v>
      </c>
      <c r="B70" s="21">
        <v>78</v>
      </c>
      <c r="C70">
        <v>16</v>
      </c>
      <c r="D70">
        <v>1</v>
      </c>
      <c r="E70" s="15">
        <v>61</v>
      </c>
      <c r="F70" s="21">
        <v>70</v>
      </c>
      <c r="G70">
        <v>13</v>
      </c>
      <c r="H70">
        <v>10</v>
      </c>
      <c r="I70" s="15">
        <v>47</v>
      </c>
      <c r="J70" s="21">
        <v>67</v>
      </c>
      <c r="K70">
        <v>14</v>
      </c>
      <c r="L70">
        <v>1</v>
      </c>
      <c r="M70" s="15">
        <v>52</v>
      </c>
      <c r="N70" s="21">
        <v>44</v>
      </c>
      <c r="O70">
        <v>11</v>
      </c>
      <c r="P70">
        <v>1</v>
      </c>
      <c r="Q70" s="15">
        <v>32</v>
      </c>
    </row>
    <row r="71" spans="1:17" ht="15.75" thickBot="1" x14ac:dyDescent="0.3">
      <c r="A71" t="s">
        <v>102</v>
      </c>
      <c r="B71" s="22">
        <v>18357</v>
      </c>
      <c r="C71" s="16">
        <v>2202</v>
      </c>
      <c r="D71" s="16">
        <v>14264</v>
      </c>
      <c r="E71" s="17">
        <v>1891</v>
      </c>
      <c r="F71" s="22">
        <v>17624</v>
      </c>
      <c r="G71" s="16">
        <v>2242</v>
      </c>
      <c r="H71" s="16">
        <v>13582</v>
      </c>
      <c r="I71" s="17">
        <v>1800</v>
      </c>
      <c r="J71" s="22">
        <v>21003</v>
      </c>
      <c r="K71" s="16">
        <v>2534</v>
      </c>
      <c r="L71" s="16">
        <v>15717</v>
      </c>
      <c r="M71" s="17">
        <v>2752</v>
      </c>
      <c r="N71" s="22">
        <v>21284</v>
      </c>
      <c r="O71" s="16">
        <v>2552</v>
      </c>
      <c r="P71" s="16">
        <v>16642</v>
      </c>
      <c r="Q71" s="17">
        <v>2090</v>
      </c>
    </row>
    <row r="72" spans="1:17" x14ac:dyDescent="0.25">
      <c r="A72"/>
      <c r="B72"/>
      <c r="C72"/>
      <c r="D72"/>
      <c r="E72"/>
      <c r="F72"/>
    </row>
    <row r="73" spans="1:17" x14ac:dyDescent="0.25">
      <c r="A73"/>
      <c r="B73"/>
      <c r="C73"/>
      <c r="D73"/>
      <c r="E73"/>
      <c r="F73"/>
    </row>
    <row r="74" spans="1:17" x14ac:dyDescent="0.25">
      <c r="A74"/>
      <c r="B74"/>
      <c r="C74"/>
      <c r="D74"/>
      <c r="E74"/>
      <c r="F74"/>
    </row>
    <row r="75" spans="1:17" x14ac:dyDescent="0.25">
      <c r="A75"/>
      <c r="B75"/>
      <c r="C75"/>
      <c r="D75"/>
      <c r="E75"/>
      <c r="F75"/>
    </row>
    <row r="76" spans="1:17" ht="15.75" thickBot="1" x14ac:dyDescent="0.3">
      <c r="A76"/>
      <c r="B76"/>
      <c r="C76"/>
      <c r="D76"/>
      <c r="E76"/>
      <c r="F76"/>
    </row>
    <row r="77" spans="1:17" ht="18.75" x14ac:dyDescent="0.3">
      <c r="A77" s="19" t="s">
        <v>103</v>
      </c>
      <c r="B77" s="95">
        <v>46023</v>
      </c>
      <c r="C77" s="96"/>
      <c r="D77" s="96"/>
      <c r="E77" s="97"/>
      <c r="F77" s="98">
        <v>46054</v>
      </c>
      <c r="G77" s="99"/>
      <c r="H77" s="99"/>
      <c r="I77" s="100"/>
      <c r="J77" s="98">
        <v>46082</v>
      </c>
      <c r="K77" s="101"/>
      <c r="L77" s="101"/>
      <c r="M77" s="102"/>
      <c r="N77" s="98">
        <v>46113</v>
      </c>
      <c r="O77" s="101"/>
      <c r="P77" s="101"/>
      <c r="Q77" s="102"/>
    </row>
    <row r="78" spans="1:17" ht="82.5" customHeight="1" x14ac:dyDescent="0.25">
      <c r="A78" s="6" t="s">
        <v>1</v>
      </c>
      <c r="B78" s="20" t="s">
        <v>57</v>
      </c>
      <c r="C78" s="13" t="s">
        <v>58</v>
      </c>
      <c r="D78" s="13" t="s">
        <v>59</v>
      </c>
      <c r="E78" s="14" t="s">
        <v>60</v>
      </c>
      <c r="F78" s="20" t="s">
        <v>57</v>
      </c>
      <c r="G78" s="13" t="s">
        <v>58</v>
      </c>
      <c r="H78" s="13" t="s">
        <v>59</v>
      </c>
      <c r="I78" s="14" t="s">
        <v>60</v>
      </c>
      <c r="J78" s="20" t="s">
        <v>57</v>
      </c>
      <c r="K78" s="13" t="s">
        <v>58</v>
      </c>
      <c r="L78" s="13" t="s">
        <v>59</v>
      </c>
      <c r="M78" s="14" t="s">
        <v>60</v>
      </c>
      <c r="N78" s="20" t="s">
        <v>57</v>
      </c>
      <c r="O78" s="13" t="s">
        <v>58</v>
      </c>
      <c r="P78" s="13" t="s">
        <v>59</v>
      </c>
      <c r="Q78" s="14" t="s">
        <v>60</v>
      </c>
    </row>
    <row r="79" spans="1:17" x14ac:dyDescent="0.25">
      <c r="A79" t="s">
        <v>5</v>
      </c>
      <c r="B79" s="21">
        <v>22</v>
      </c>
      <c r="C79">
        <v>2</v>
      </c>
      <c r="D79">
        <v>18</v>
      </c>
      <c r="E79" s="15">
        <v>2</v>
      </c>
      <c r="F79" s="21">
        <v>8</v>
      </c>
      <c r="G79">
        <v>1</v>
      </c>
      <c r="H79">
        <v>6</v>
      </c>
      <c r="I79" s="15">
        <v>1</v>
      </c>
      <c r="J79" s="21">
        <v>4</v>
      </c>
      <c r="L79">
        <v>4</v>
      </c>
      <c r="M79" s="15"/>
      <c r="N79" s="21">
        <v>2</v>
      </c>
      <c r="P79">
        <v>2</v>
      </c>
      <c r="Q79" s="15"/>
    </row>
    <row r="80" spans="1:17" x14ac:dyDescent="0.25">
      <c r="A80" t="s">
        <v>7</v>
      </c>
      <c r="B80" s="21">
        <v>66</v>
      </c>
      <c r="C80">
        <v>15</v>
      </c>
      <c r="D80">
        <v>41</v>
      </c>
      <c r="E80" s="15">
        <v>10</v>
      </c>
      <c r="F80" s="21">
        <v>26</v>
      </c>
      <c r="G80">
        <v>4</v>
      </c>
      <c r="H80">
        <v>21</v>
      </c>
      <c r="I80" s="15">
        <v>1</v>
      </c>
      <c r="J80" s="21">
        <v>19</v>
      </c>
      <c r="K80">
        <v>3</v>
      </c>
      <c r="L80">
        <v>16</v>
      </c>
      <c r="M80" s="15"/>
      <c r="N80" s="21">
        <v>14</v>
      </c>
      <c r="O80">
        <v>4</v>
      </c>
      <c r="P80">
        <v>8</v>
      </c>
      <c r="Q80" s="15">
        <v>2</v>
      </c>
    </row>
    <row r="81" spans="1:17" x14ac:dyDescent="0.25">
      <c r="A81" t="s">
        <v>8</v>
      </c>
      <c r="B81" s="21">
        <v>20</v>
      </c>
      <c r="C81">
        <v>3</v>
      </c>
      <c r="D81">
        <v>15</v>
      </c>
      <c r="E81" s="15">
        <v>2</v>
      </c>
      <c r="F81" s="21">
        <v>7</v>
      </c>
      <c r="H81">
        <v>6</v>
      </c>
      <c r="I81" s="15">
        <v>1</v>
      </c>
      <c r="J81" s="21">
        <v>4</v>
      </c>
      <c r="K81">
        <v>2</v>
      </c>
      <c r="L81">
        <v>2</v>
      </c>
      <c r="M81" s="15"/>
      <c r="N81" s="21">
        <v>4</v>
      </c>
      <c r="O81">
        <v>2</v>
      </c>
      <c r="P81">
        <v>2</v>
      </c>
      <c r="Q81" s="15"/>
    </row>
    <row r="82" spans="1:17" x14ac:dyDescent="0.25">
      <c r="A82" t="s">
        <v>9</v>
      </c>
      <c r="B82" s="21">
        <v>13</v>
      </c>
      <c r="C82">
        <v>4</v>
      </c>
      <c r="D82">
        <v>8</v>
      </c>
      <c r="E82" s="15">
        <v>1</v>
      </c>
      <c r="F82" s="21">
        <v>8</v>
      </c>
      <c r="H82">
        <v>6</v>
      </c>
      <c r="I82" s="15">
        <v>2</v>
      </c>
      <c r="J82" s="21"/>
      <c r="M82" s="15"/>
      <c r="N82" s="21">
        <v>3</v>
      </c>
      <c r="O82">
        <v>1</v>
      </c>
      <c r="P82">
        <v>2</v>
      </c>
      <c r="Q82" s="15"/>
    </row>
    <row r="83" spans="1:17" x14ac:dyDescent="0.25">
      <c r="A83" t="s">
        <v>99</v>
      </c>
      <c r="B83" s="21">
        <v>38</v>
      </c>
      <c r="C83">
        <v>10</v>
      </c>
      <c r="D83">
        <v>26</v>
      </c>
      <c r="E83" s="15">
        <v>2</v>
      </c>
      <c r="F83" s="21">
        <v>19</v>
      </c>
      <c r="G83">
        <v>3</v>
      </c>
      <c r="H83">
        <v>14</v>
      </c>
      <c r="I83" s="15">
        <v>2</v>
      </c>
      <c r="J83" s="21">
        <v>13</v>
      </c>
      <c r="K83">
        <v>1</v>
      </c>
      <c r="L83">
        <v>11</v>
      </c>
      <c r="M83" s="15">
        <v>1</v>
      </c>
      <c r="N83" s="21">
        <v>11</v>
      </c>
      <c r="O83">
        <v>3</v>
      </c>
      <c r="P83">
        <v>6</v>
      </c>
      <c r="Q83" s="15">
        <v>2</v>
      </c>
    </row>
    <row r="84" spans="1:17" x14ac:dyDescent="0.25">
      <c r="A84" t="s">
        <v>14</v>
      </c>
      <c r="B84" s="21">
        <v>16</v>
      </c>
      <c r="C84">
        <v>3</v>
      </c>
      <c r="D84">
        <v>11</v>
      </c>
      <c r="E84" s="15">
        <v>2</v>
      </c>
      <c r="F84" s="21"/>
      <c r="I84" s="15"/>
      <c r="J84" s="21">
        <v>3</v>
      </c>
      <c r="K84">
        <v>1</v>
      </c>
      <c r="L84">
        <v>2</v>
      </c>
      <c r="M84" s="15"/>
      <c r="N84" s="21">
        <v>5</v>
      </c>
      <c r="P84">
        <v>5</v>
      </c>
      <c r="Q84" s="15"/>
    </row>
    <row r="85" spans="1:17" x14ac:dyDescent="0.25">
      <c r="A85" t="s">
        <v>10</v>
      </c>
      <c r="B85" s="21">
        <v>39</v>
      </c>
      <c r="C85">
        <v>9</v>
      </c>
      <c r="D85">
        <v>21</v>
      </c>
      <c r="E85" s="15">
        <v>9</v>
      </c>
      <c r="F85" s="21">
        <v>22</v>
      </c>
      <c r="G85">
        <v>4</v>
      </c>
      <c r="H85">
        <v>15</v>
      </c>
      <c r="I85" s="15">
        <v>3</v>
      </c>
      <c r="J85" s="21">
        <v>17</v>
      </c>
      <c r="K85">
        <v>2</v>
      </c>
      <c r="L85">
        <v>13</v>
      </c>
      <c r="M85" s="15">
        <v>2</v>
      </c>
      <c r="N85" s="21">
        <v>15</v>
      </c>
      <c r="O85">
        <v>2</v>
      </c>
      <c r="P85">
        <v>12</v>
      </c>
      <c r="Q85" s="15">
        <v>1</v>
      </c>
    </row>
    <row r="86" spans="1:17" x14ac:dyDescent="0.25">
      <c r="A86" t="s">
        <v>11</v>
      </c>
      <c r="B86" s="21">
        <v>33</v>
      </c>
      <c r="C86">
        <v>8</v>
      </c>
      <c r="D86">
        <v>22</v>
      </c>
      <c r="E86" s="15">
        <v>3</v>
      </c>
      <c r="F86" s="21">
        <v>14</v>
      </c>
      <c r="G86">
        <v>1</v>
      </c>
      <c r="H86">
        <v>12</v>
      </c>
      <c r="I86" s="15">
        <v>1</v>
      </c>
      <c r="J86" s="21">
        <v>7</v>
      </c>
      <c r="K86">
        <v>1</v>
      </c>
      <c r="L86">
        <v>6</v>
      </c>
      <c r="M86" s="15"/>
      <c r="N86" s="21">
        <v>5</v>
      </c>
      <c r="O86">
        <v>1</v>
      </c>
      <c r="P86">
        <v>4</v>
      </c>
      <c r="Q86" s="15"/>
    </row>
    <row r="87" spans="1:17" x14ac:dyDescent="0.25">
      <c r="A87" t="s">
        <v>12</v>
      </c>
      <c r="B87" s="21">
        <v>423</v>
      </c>
      <c r="C87">
        <v>53</v>
      </c>
      <c r="D87">
        <v>332</v>
      </c>
      <c r="E87" s="15">
        <v>38</v>
      </c>
      <c r="F87" s="21">
        <v>184</v>
      </c>
      <c r="G87">
        <v>20</v>
      </c>
      <c r="H87">
        <v>135</v>
      </c>
      <c r="I87" s="15">
        <v>29</v>
      </c>
      <c r="J87" s="21">
        <v>105</v>
      </c>
      <c r="K87">
        <v>12</v>
      </c>
      <c r="L87">
        <v>79</v>
      </c>
      <c r="M87" s="15">
        <v>14</v>
      </c>
      <c r="N87" s="21">
        <v>90</v>
      </c>
      <c r="O87">
        <v>13</v>
      </c>
      <c r="P87">
        <v>70</v>
      </c>
      <c r="Q87" s="15">
        <v>7</v>
      </c>
    </row>
    <row r="88" spans="1:17" x14ac:dyDescent="0.25">
      <c r="A88" t="s">
        <v>15</v>
      </c>
      <c r="B88" s="21">
        <v>21</v>
      </c>
      <c r="C88">
        <v>8</v>
      </c>
      <c r="D88">
        <v>11</v>
      </c>
      <c r="E88" s="15">
        <v>2</v>
      </c>
      <c r="F88" s="21">
        <v>11</v>
      </c>
      <c r="G88">
        <v>2</v>
      </c>
      <c r="H88">
        <v>6</v>
      </c>
      <c r="I88" s="15">
        <v>3</v>
      </c>
      <c r="J88" s="21">
        <v>3</v>
      </c>
      <c r="L88">
        <v>3</v>
      </c>
      <c r="M88" s="15"/>
      <c r="N88" s="21">
        <v>5</v>
      </c>
      <c r="P88">
        <v>4</v>
      </c>
      <c r="Q88" s="15">
        <v>1</v>
      </c>
    </row>
    <row r="89" spans="1:17" x14ac:dyDescent="0.25">
      <c r="A89" t="s">
        <v>16</v>
      </c>
      <c r="B89" s="21">
        <v>75</v>
      </c>
      <c r="C89">
        <v>16</v>
      </c>
      <c r="D89">
        <v>51</v>
      </c>
      <c r="E89" s="15">
        <v>8</v>
      </c>
      <c r="F89" s="21">
        <v>50</v>
      </c>
      <c r="G89">
        <v>11</v>
      </c>
      <c r="H89">
        <v>36</v>
      </c>
      <c r="I89" s="15">
        <v>3</v>
      </c>
      <c r="J89" s="21">
        <v>31</v>
      </c>
      <c r="K89">
        <v>7</v>
      </c>
      <c r="L89">
        <v>21</v>
      </c>
      <c r="M89" s="15">
        <v>3</v>
      </c>
      <c r="N89" s="21">
        <v>29</v>
      </c>
      <c r="O89">
        <v>6</v>
      </c>
      <c r="P89">
        <v>19</v>
      </c>
      <c r="Q89" s="15">
        <v>4</v>
      </c>
    </row>
    <row r="90" spans="1:17" x14ac:dyDescent="0.25">
      <c r="A90" t="s">
        <v>17</v>
      </c>
      <c r="B90" s="21">
        <v>26</v>
      </c>
      <c r="C90">
        <v>9</v>
      </c>
      <c r="D90">
        <v>14</v>
      </c>
      <c r="E90" s="15">
        <v>3</v>
      </c>
      <c r="F90" s="21">
        <v>14</v>
      </c>
      <c r="G90">
        <v>4</v>
      </c>
      <c r="H90">
        <v>8</v>
      </c>
      <c r="I90" s="15">
        <v>2</v>
      </c>
      <c r="J90" s="21">
        <v>9</v>
      </c>
      <c r="K90">
        <v>2</v>
      </c>
      <c r="L90">
        <v>4</v>
      </c>
      <c r="M90" s="15">
        <v>3</v>
      </c>
      <c r="N90" s="21">
        <v>12</v>
      </c>
      <c r="O90">
        <v>2</v>
      </c>
      <c r="P90">
        <v>8</v>
      </c>
      <c r="Q90" s="15">
        <v>2</v>
      </c>
    </row>
    <row r="91" spans="1:17" x14ac:dyDescent="0.25">
      <c r="A91" t="s">
        <v>18</v>
      </c>
      <c r="B91" s="21">
        <v>46</v>
      </c>
      <c r="C91">
        <v>11</v>
      </c>
      <c r="D91">
        <v>31</v>
      </c>
      <c r="E91" s="15">
        <v>4</v>
      </c>
      <c r="F91" s="21">
        <v>20</v>
      </c>
      <c r="G91">
        <v>2</v>
      </c>
      <c r="H91">
        <v>17</v>
      </c>
      <c r="I91" s="15">
        <v>1</v>
      </c>
      <c r="J91" s="21">
        <v>17</v>
      </c>
      <c r="K91">
        <v>3</v>
      </c>
      <c r="L91">
        <v>10</v>
      </c>
      <c r="M91" s="15">
        <v>4</v>
      </c>
      <c r="N91" s="21">
        <v>10</v>
      </c>
      <c r="O91">
        <v>3</v>
      </c>
      <c r="P91">
        <v>6</v>
      </c>
      <c r="Q91" s="15">
        <v>1</v>
      </c>
    </row>
    <row r="92" spans="1:17" x14ac:dyDescent="0.25">
      <c r="A92" t="s">
        <v>19</v>
      </c>
      <c r="B92" s="21">
        <v>163</v>
      </c>
      <c r="C92">
        <v>31</v>
      </c>
      <c r="D92">
        <v>120</v>
      </c>
      <c r="E92" s="15">
        <v>12</v>
      </c>
      <c r="F92" s="21">
        <v>75</v>
      </c>
      <c r="G92">
        <v>12</v>
      </c>
      <c r="H92">
        <v>57</v>
      </c>
      <c r="I92" s="15">
        <v>6</v>
      </c>
      <c r="J92" s="21">
        <v>26</v>
      </c>
      <c r="K92">
        <v>6</v>
      </c>
      <c r="L92">
        <v>17</v>
      </c>
      <c r="M92" s="15">
        <v>3</v>
      </c>
      <c r="N92" s="21">
        <v>36</v>
      </c>
      <c r="O92">
        <v>6</v>
      </c>
      <c r="P92">
        <v>24</v>
      </c>
      <c r="Q92" s="15">
        <v>6</v>
      </c>
    </row>
    <row r="93" spans="1:17" x14ac:dyDescent="0.25">
      <c r="A93" t="s">
        <v>20</v>
      </c>
      <c r="B93" s="21">
        <v>377</v>
      </c>
      <c r="C93">
        <v>64</v>
      </c>
      <c r="D93">
        <v>270</v>
      </c>
      <c r="E93" s="15">
        <v>43</v>
      </c>
      <c r="F93" s="21">
        <v>210</v>
      </c>
      <c r="G93">
        <v>36</v>
      </c>
      <c r="H93">
        <v>152</v>
      </c>
      <c r="I93" s="15">
        <v>22</v>
      </c>
      <c r="J93" s="21">
        <v>116</v>
      </c>
      <c r="K93">
        <v>15</v>
      </c>
      <c r="L93">
        <v>84</v>
      </c>
      <c r="M93" s="15">
        <v>17</v>
      </c>
      <c r="N93" s="21">
        <v>73</v>
      </c>
      <c r="O93">
        <v>18</v>
      </c>
      <c r="P93">
        <v>45</v>
      </c>
      <c r="Q93" s="15">
        <v>10</v>
      </c>
    </row>
    <row r="94" spans="1:17" x14ac:dyDescent="0.25">
      <c r="A94" t="s">
        <v>100</v>
      </c>
      <c r="B94" s="21">
        <v>47</v>
      </c>
      <c r="C94">
        <v>6</v>
      </c>
      <c r="D94">
        <v>37</v>
      </c>
      <c r="E94" s="15">
        <v>4</v>
      </c>
      <c r="F94" s="21">
        <v>22</v>
      </c>
      <c r="G94">
        <v>3</v>
      </c>
      <c r="H94">
        <v>16</v>
      </c>
      <c r="I94" s="15">
        <v>3</v>
      </c>
      <c r="J94" s="21">
        <v>15</v>
      </c>
      <c r="K94">
        <v>3</v>
      </c>
      <c r="L94">
        <v>9</v>
      </c>
      <c r="M94" s="15">
        <v>3</v>
      </c>
      <c r="N94" s="21">
        <v>11</v>
      </c>
      <c r="O94">
        <v>2</v>
      </c>
      <c r="P94">
        <v>6</v>
      </c>
      <c r="Q94" s="15">
        <v>3</v>
      </c>
    </row>
    <row r="95" spans="1:17" x14ac:dyDescent="0.25">
      <c r="A95" t="s">
        <v>22</v>
      </c>
      <c r="B95" s="21">
        <v>49</v>
      </c>
      <c r="C95">
        <v>2</v>
      </c>
      <c r="D95">
        <v>44</v>
      </c>
      <c r="E95" s="15">
        <v>3</v>
      </c>
      <c r="F95" s="21">
        <v>34</v>
      </c>
      <c r="G95">
        <v>2</v>
      </c>
      <c r="H95">
        <v>28</v>
      </c>
      <c r="I95" s="15">
        <v>4</v>
      </c>
      <c r="J95" s="21">
        <v>19</v>
      </c>
      <c r="K95">
        <v>2</v>
      </c>
      <c r="L95">
        <v>14</v>
      </c>
      <c r="M95" s="15">
        <v>3</v>
      </c>
      <c r="N95" s="21">
        <v>23</v>
      </c>
      <c r="O95">
        <v>2</v>
      </c>
      <c r="P95">
        <v>19</v>
      </c>
      <c r="Q95" s="15">
        <v>2</v>
      </c>
    </row>
    <row r="96" spans="1:17" x14ac:dyDescent="0.25">
      <c r="A96" t="s">
        <v>23</v>
      </c>
      <c r="B96" s="21">
        <v>8</v>
      </c>
      <c r="C96">
        <v>2</v>
      </c>
      <c r="D96">
        <v>4</v>
      </c>
      <c r="E96" s="15">
        <v>2</v>
      </c>
      <c r="F96" s="21">
        <v>7</v>
      </c>
      <c r="G96">
        <v>1</v>
      </c>
      <c r="H96">
        <v>4</v>
      </c>
      <c r="I96" s="15">
        <v>2</v>
      </c>
      <c r="J96" s="21">
        <v>4</v>
      </c>
      <c r="K96">
        <v>1</v>
      </c>
      <c r="M96" s="15">
        <v>3</v>
      </c>
      <c r="N96" s="21">
        <v>5</v>
      </c>
      <c r="P96">
        <v>4</v>
      </c>
      <c r="Q96" s="15">
        <v>1</v>
      </c>
    </row>
    <row r="97" spans="1:17" x14ac:dyDescent="0.25">
      <c r="A97" t="s">
        <v>24</v>
      </c>
      <c r="B97" s="21">
        <v>126</v>
      </c>
      <c r="C97">
        <v>28</v>
      </c>
      <c r="D97">
        <v>89</v>
      </c>
      <c r="E97" s="15">
        <v>9</v>
      </c>
      <c r="F97" s="21">
        <v>44</v>
      </c>
      <c r="G97">
        <v>9</v>
      </c>
      <c r="H97">
        <v>33</v>
      </c>
      <c r="I97" s="15">
        <v>2</v>
      </c>
      <c r="J97" s="21">
        <v>23</v>
      </c>
      <c r="K97">
        <v>3</v>
      </c>
      <c r="L97">
        <v>17</v>
      </c>
      <c r="M97" s="15">
        <v>3</v>
      </c>
      <c r="N97" s="21">
        <v>20</v>
      </c>
      <c r="O97">
        <v>4</v>
      </c>
      <c r="P97">
        <v>15</v>
      </c>
      <c r="Q97" s="15">
        <v>1</v>
      </c>
    </row>
    <row r="98" spans="1:17" x14ac:dyDescent="0.25">
      <c r="A98" t="s">
        <v>25</v>
      </c>
      <c r="B98" s="21">
        <v>41</v>
      </c>
      <c r="C98">
        <v>5</v>
      </c>
      <c r="D98">
        <v>32</v>
      </c>
      <c r="E98" s="15">
        <v>4</v>
      </c>
      <c r="F98" s="21">
        <v>21</v>
      </c>
      <c r="G98">
        <v>4</v>
      </c>
      <c r="H98">
        <v>17</v>
      </c>
      <c r="I98" s="15"/>
      <c r="J98" s="21">
        <v>22</v>
      </c>
      <c r="K98">
        <v>4</v>
      </c>
      <c r="L98">
        <v>14</v>
      </c>
      <c r="M98" s="15">
        <v>4</v>
      </c>
      <c r="N98" s="21">
        <v>11</v>
      </c>
      <c r="O98">
        <v>1</v>
      </c>
      <c r="P98">
        <v>8</v>
      </c>
      <c r="Q98" s="15">
        <v>2</v>
      </c>
    </row>
    <row r="99" spans="1:17" x14ac:dyDescent="0.25">
      <c r="A99" t="s">
        <v>26</v>
      </c>
      <c r="B99" s="21">
        <v>58</v>
      </c>
      <c r="C99">
        <v>7</v>
      </c>
      <c r="D99">
        <v>46</v>
      </c>
      <c r="E99" s="15">
        <v>5</v>
      </c>
      <c r="F99" s="21">
        <v>49</v>
      </c>
      <c r="G99">
        <v>13</v>
      </c>
      <c r="H99">
        <v>29</v>
      </c>
      <c r="I99" s="15">
        <v>7</v>
      </c>
      <c r="J99" s="21">
        <v>26</v>
      </c>
      <c r="K99">
        <v>9</v>
      </c>
      <c r="L99">
        <v>15</v>
      </c>
      <c r="M99" s="15">
        <v>2</v>
      </c>
      <c r="N99" s="21">
        <v>22</v>
      </c>
      <c r="O99">
        <v>5</v>
      </c>
      <c r="P99">
        <v>12</v>
      </c>
      <c r="Q99" s="15">
        <v>5</v>
      </c>
    </row>
    <row r="100" spans="1:17" x14ac:dyDescent="0.25">
      <c r="A100" t="s">
        <v>27</v>
      </c>
      <c r="B100" s="21">
        <v>72</v>
      </c>
      <c r="C100">
        <v>4</v>
      </c>
      <c r="D100">
        <v>60</v>
      </c>
      <c r="E100" s="15">
        <v>8</v>
      </c>
      <c r="F100" s="21">
        <v>32</v>
      </c>
      <c r="G100">
        <v>5</v>
      </c>
      <c r="H100">
        <v>22</v>
      </c>
      <c r="I100" s="15">
        <v>5</v>
      </c>
      <c r="J100" s="21">
        <v>14</v>
      </c>
      <c r="K100">
        <v>1</v>
      </c>
      <c r="L100">
        <v>11</v>
      </c>
      <c r="M100" s="15">
        <v>2</v>
      </c>
      <c r="N100" s="21">
        <v>14</v>
      </c>
      <c r="O100">
        <v>5</v>
      </c>
      <c r="P100">
        <v>8</v>
      </c>
      <c r="Q100" s="15">
        <v>1</v>
      </c>
    </row>
    <row r="101" spans="1:17" x14ac:dyDescent="0.25">
      <c r="A101" t="s">
        <v>28</v>
      </c>
      <c r="B101" s="21">
        <v>32</v>
      </c>
      <c r="C101">
        <v>7</v>
      </c>
      <c r="D101">
        <v>23</v>
      </c>
      <c r="E101" s="15">
        <v>2</v>
      </c>
      <c r="F101" s="21">
        <v>8</v>
      </c>
      <c r="H101">
        <v>7</v>
      </c>
      <c r="I101" s="15">
        <v>1</v>
      </c>
      <c r="J101" s="21">
        <v>7</v>
      </c>
      <c r="K101">
        <v>2</v>
      </c>
      <c r="L101">
        <v>5</v>
      </c>
      <c r="M101" s="15"/>
      <c r="N101" s="21">
        <v>6</v>
      </c>
      <c r="O101">
        <v>2</v>
      </c>
      <c r="P101">
        <v>4</v>
      </c>
      <c r="Q101" s="15"/>
    </row>
    <row r="102" spans="1:17" x14ac:dyDescent="0.25">
      <c r="A102" t="s">
        <v>29</v>
      </c>
      <c r="B102" s="21">
        <v>26</v>
      </c>
      <c r="C102">
        <v>5</v>
      </c>
      <c r="D102">
        <v>17</v>
      </c>
      <c r="E102" s="15">
        <v>4</v>
      </c>
      <c r="F102" s="21">
        <v>17</v>
      </c>
      <c r="G102">
        <v>3</v>
      </c>
      <c r="H102">
        <v>12</v>
      </c>
      <c r="I102" s="15">
        <v>2</v>
      </c>
      <c r="J102" s="21">
        <v>9</v>
      </c>
      <c r="L102">
        <v>9</v>
      </c>
      <c r="M102" s="15"/>
      <c r="N102" s="21">
        <v>5</v>
      </c>
      <c r="O102">
        <v>1</v>
      </c>
      <c r="P102">
        <v>4</v>
      </c>
      <c r="Q102" s="15"/>
    </row>
    <row r="103" spans="1:17" x14ac:dyDescent="0.25">
      <c r="A103" t="s">
        <v>30</v>
      </c>
      <c r="B103" s="21">
        <v>36</v>
      </c>
      <c r="C103">
        <v>9</v>
      </c>
      <c r="D103">
        <v>26</v>
      </c>
      <c r="E103" s="15">
        <v>1</v>
      </c>
      <c r="F103" s="21">
        <v>15</v>
      </c>
      <c r="G103">
        <v>2</v>
      </c>
      <c r="H103">
        <v>9</v>
      </c>
      <c r="I103" s="15">
        <v>4</v>
      </c>
      <c r="J103" s="21">
        <v>6</v>
      </c>
      <c r="K103">
        <v>1</v>
      </c>
      <c r="L103">
        <v>2</v>
      </c>
      <c r="M103" s="15">
        <v>3</v>
      </c>
      <c r="N103" s="21">
        <v>10</v>
      </c>
      <c r="O103">
        <v>2</v>
      </c>
      <c r="P103">
        <v>6</v>
      </c>
      <c r="Q103" s="15">
        <v>2</v>
      </c>
    </row>
    <row r="104" spans="1:17" x14ac:dyDescent="0.25">
      <c r="A104" t="s">
        <v>31</v>
      </c>
      <c r="B104" s="21">
        <v>41</v>
      </c>
      <c r="C104">
        <v>5</v>
      </c>
      <c r="D104">
        <v>28</v>
      </c>
      <c r="E104" s="15">
        <v>8</v>
      </c>
      <c r="F104" s="21">
        <v>18</v>
      </c>
      <c r="G104">
        <v>4</v>
      </c>
      <c r="H104">
        <v>12</v>
      </c>
      <c r="I104" s="15">
        <v>2</v>
      </c>
      <c r="J104" s="21">
        <v>6</v>
      </c>
      <c r="K104">
        <v>1</v>
      </c>
      <c r="L104">
        <v>5</v>
      </c>
      <c r="M104" s="15"/>
      <c r="N104" s="21">
        <v>8</v>
      </c>
      <c r="O104">
        <v>3</v>
      </c>
      <c r="P104">
        <v>5</v>
      </c>
      <c r="Q104" s="15"/>
    </row>
    <row r="105" spans="1:17" x14ac:dyDescent="0.25">
      <c r="A105" t="s">
        <v>32</v>
      </c>
      <c r="B105" s="21">
        <v>27</v>
      </c>
      <c r="C105">
        <v>8</v>
      </c>
      <c r="D105">
        <v>15</v>
      </c>
      <c r="E105" s="15">
        <v>4</v>
      </c>
      <c r="F105" s="21">
        <v>11</v>
      </c>
      <c r="G105">
        <v>2</v>
      </c>
      <c r="H105">
        <v>9</v>
      </c>
      <c r="I105" s="15"/>
      <c r="J105" s="21">
        <v>9</v>
      </c>
      <c r="K105">
        <v>1</v>
      </c>
      <c r="L105">
        <v>8</v>
      </c>
      <c r="M105" s="15"/>
      <c r="N105" s="21">
        <v>8</v>
      </c>
      <c r="O105">
        <v>1</v>
      </c>
      <c r="P105">
        <v>6</v>
      </c>
      <c r="Q105" s="15">
        <v>1</v>
      </c>
    </row>
    <row r="106" spans="1:17" x14ac:dyDescent="0.25">
      <c r="A106" t="s">
        <v>33</v>
      </c>
      <c r="B106" s="21">
        <v>29</v>
      </c>
      <c r="C106">
        <v>7</v>
      </c>
      <c r="D106">
        <v>21</v>
      </c>
      <c r="E106" s="15">
        <v>1</v>
      </c>
      <c r="F106" s="21">
        <v>16</v>
      </c>
      <c r="G106">
        <v>9</v>
      </c>
      <c r="H106">
        <v>5</v>
      </c>
      <c r="I106" s="15">
        <v>2</v>
      </c>
      <c r="J106" s="21">
        <v>8</v>
      </c>
      <c r="K106">
        <v>1</v>
      </c>
      <c r="L106">
        <v>6</v>
      </c>
      <c r="M106" s="15">
        <v>1</v>
      </c>
      <c r="N106" s="21">
        <v>5</v>
      </c>
      <c r="P106">
        <v>5</v>
      </c>
      <c r="Q106" s="15"/>
    </row>
    <row r="107" spans="1:17" x14ac:dyDescent="0.25">
      <c r="A107" t="s">
        <v>34</v>
      </c>
      <c r="B107" s="21">
        <v>23</v>
      </c>
      <c r="C107">
        <v>2</v>
      </c>
      <c r="D107">
        <v>17</v>
      </c>
      <c r="E107" s="15">
        <v>4</v>
      </c>
      <c r="F107" s="21">
        <v>6</v>
      </c>
      <c r="G107">
        <v>1</v>
      </c>
      <c r="H107">
        <v>4</v>
      </c>
      <c r="I107" s="15">
        <v>1</v>
      </c>
      <c r="J107" s="21">
        <v>7</v>
      </c>
      <c r="K107">
        <v>2</v>
      </c>
      <c r="L107">
        <v>3</v>
      </c>
      <c r="M107" s="15">
        <v>2</v>
      </c>
      <c r="N107" s="21">
        <v>3</v>
      </c>
      <c r="O107">
        <v>1</v>
      </c>
      <c r="P107">
        <v>2</v>
      </c>
      <c r="Q107" s="15"/>
    </row>
    <row r="108" spans="1:17" x14ac:dyDescent="0.25">
      <c r="A108" t="s">
        <v>101</v>
      </c>
      <c r="B108" s="21">
        <v>73</v>
      </c>
      <c r="C108">
        <v>14</v>
      </c>
      <c r="D108">
        <v>53</v>
      </c>
      <c r="E108" s="15">
        <v>6</v>
      </c>
      <c r="F108" s="21">
        <v>49</v>
      </c>
      <c r="G108">
        <v>13</v>
      </c>
      <c r="H108">
        <v>33</v>
      </c>
      <c r="I108" s="15">
        <v>3</v>
      </c>
      <c r="J108" s="21">
        <v>24</v>
      </c>
      <c r="K108">
        <v>2</v>
      </c>
      <c r="L108">
        <v>17</v>
      </c>
      <c r="M108" s="15">
        <v>5</v>
      </c>
      <c r="N108" s="21">
        <v>28</v>
      </c>
      <c r="O108">
        <v>5</v>
      </c>
      <c r="P108">
        <v>19</v>
      </c>
      <c r="Q108" s="15">
        <v>4</v>
      </c>
    </row>
    <row r="109" spans="1:17" x14ac:dyDescent="0.25">
      <c r="A109" t="s">
        <v>36</v>
      </c>
      <c r="B109" s="21">
        <v>37</v>
      </c>
      <c r="C109">
        <v>3</v>
      </c>
      <c r="D109">
        <v>34</v>
      </c>
      <c r="E109" s="15"/>
      <c r="F109" s="21">
        <v>16</v>
      </c>
      <c r="G109">
        <v>5</v>
      </c>
      <c r="H109">
        <v>11</v>
      </c>
      <c r="I109" s="15"/>
      <c r="J109" s="21">
        <v>9</v>
      </c>
      <c r="K109">
        <v>5</v>
      </c>
      <c r="L109">
        <v>4</v>
      </c>
      <c r="M109" s="15"/>
      <c r="N109" s="21">
        <v>2</v>
      </c>
      <c r="P109">
        <v>2</v>
      </c>
      <c r="Q109" s="15"/>
    </row>
    <row r="110" spans="1:17" x14ac:dyDescent="0.25">
      <c r="A110" t="s">
        <v>37</v>
      </c>
      <c r="B110" s="21">
        <v>14</v>
      </c>
      <c r="C110">
        <v>2</v>
      </c>
      <c r="D110">
        <v>9</v>
      </c>
      <c r="E110" s="15">
        <v>3</v>
      </c>
      <c r="F110" s="21">
        <v>11</v>
      </c>
      <c r="H110">
        <v>10</v>
      </c>
      <c r="I110" s="15">
        <v>1</v>
      </c>
      <c r="J110" s="21">
        <v>1</v>
      </c>
      <c r="L110">
        <v>1</v>
      </c>
      <c r="M110" s="15"/>
      <c r="N110" s="21">
        <v>2</v>
      </c>
      <c r="P110">
        <v>2</v>
      </c>
      <c r="Q110" s="15"/>
    </row>
    <row r="111" spans="1:17" ht="15.75" thickBot="1" x14ac:dyDescent="0.3">
      <c r="A111" t="s">
        <v>102</v>
      </c>
      <c r="B111" s="22">
        <v>2117</v>
      </c>
      <c r="C111" s="16">
        <v>362</v>
      </c>
      <c r="D111" s="16">
        <v>1546</v>
      </c>
      <c r="E111" s="17">
        <v>209</v>
      </c>
      <c r="F111" s="22">
        <v>1044</v>
      </c>
      <c r="G111" s="16">
        <v>176</v>
      </c>
      <c r="H111" s="16">
        <v>752</v>
      </c>
      <c r="I111" s="17">
        <v>116</v>
      </c>
      <c r="J111" s="22">
        <v>583</v>
      </c>
      <c r="K111" s="16">
        <v>93</v>
      </c>
      <c r="L111" s="16">
        <v>412</v>
      </c>
      <c r="M111" s="17">
        <v>78</v>
      </c>
      <c r="N111" s="22">
        <v>497</v>
      </c>
      <c r="O111" s="16">
        <v>95</v>
      </c>
      <c r="P111" s="16">
        <v>344</v>
      </c>
      <c r="Q111" s="17">
        <v>58</v>
      </c>
    </row>
  </sheetData>
  <mergeCells count="8">
    <mergeCell ref="B37:E37"/>
    <mergeCell ref="F37:I37"/>
    <mergeCell ref="J37:M37"/>
    <mergeCell ref="N37:Q37"/>
    <mergeCell ref="B77:E77"/>
    <mergeCell ref="F77:I77"/>
    <mergeCell ref="J77:M77"/>
    <mergeCell ref="N77:Q7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0249cc-4f4f-48d9-afca-cb2ee53d8f41">
      <Terms xmlns="http://schemas.microsoft.com/office/infopath/2007/PartnerControls"/>
    </lcf76f155ced4ddcb4097134ff3c332f>
    <TaxCatchAll xmlns="fe80eaf3-aa11-411b-bcab-8cfc595826b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3CB6CD47863F408802544A95959A63" ma:contentTypeVersion="11" ma:contentTypeDescription="Crear nuevo documento." ma:contentTypeScope="" ma:versionID="a0ff4e081d0ad946924d61f6bbace430">
  <xsd:schema xmlns:xsd="http://www.w3.org/2001/XMLSchema" xmlns:xs="http://www.w3.org/2001/XMLSchema" xmlns:p="http://schemas.microsoft.com/office/2006/metadata/properties" xmlns:ns2="eb0249cc-4f4f-48d9-afca-cb2ee53d8f41" xmlns:ns3="fe80eaf3-aa11-411b-bcab-8cfc595826b3" targetNamespace="http://schemas.microsoft.com/office/2006/metadata/properties" ma:root="true" ma:fieldsID="e57bc87ca8db2f8baaaa5c7b5abee98d" ns2:_="" ns3:_="">
    <xsd:import namespace="eb0249cc-4f4f-48d9-afca-cb2ee53d8f41"/>
    <xsd:import namespace="fe80eaf3-aa11-411b-bcab-8cfc595826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0249cc-4f4f-48d9-afca-cb2ee53d8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27adbb2-14e8-4084-9e55-d6e12566c6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80eaf3-aa11-411b-bcab-8cfc595826b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051511-b0de-455b-aeaa-9372adc1a056}" ma:internalName="TaxCatchAll" ma:showField="CatchAllData" ma:web="fe80eaf3-aa11-411b-bcab-8cfc595826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793A7B-E662-4B93-B86B-4F627DD288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90D4DC-90AE-4AAD-9AD8-FEE5DEFA2A18}">
  <ds:schemaRefs>
    <ds:schemaRef ds:uri="http://schemas.microsoft.com/office/2006/metadata/properties"/>
    <ds:schemaRef ds:uri="http://schemas.microsoft.com/office/infopath/2007/PartnerControls"/>
    <ds:schemaRef ds:uri="eb0249cc-4f4f-48d9-afca-cb2ee53d8f41"/>
    <ds:schemaRef ds:uri="fe80eaf3-aa11-411b-bcab-8cfc595826b3"/>
  </ds:schemaRefs>
</ds:datastoreItem>
</file>

<file path=customXml/itemProps3.xml><?xml version="1.0" encoding="utf-8"?>
<ds:datastoreItem xmlns:ds="http://schemas.openxmlformats.org/officeDocument/2006/customXml" ds:itemID="{D971FAED-721E-4DB8-B005-AC7FB7CA9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0249cc-4f4f-48d9-afca-cb2ee53d8f41"/>
    <ds:schemaRef ds:uri="fe80eaf3-aa11-411b-bcab-8cfc595826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Llamadas procedentes 911</vt:lpstr>
      <vt:lpstr>Llamadas procedentes 089</vt:lpstr>
      <vt:lpstr>Llamadas Ext_089</vt:lpstr>
      <vt:lpstr>Llamadas Ext_088</vt:lpstr>
      <vt:lpstr>Historico 911</vt:lpstr>
      <vt:lpstr>Historico 089</vt:lpstr>
      <vt:lpstr>PMI y Cámaras</vt:lpstr>
      <vt:lpstr>Registros Nacionales</vt:lpstr>
      <vt:lpstr>ext_INFORMACION GENERAL</vt:lpstr>
    </vt:vector>
  </TitlesOfParts>
  <Manager/>
  <Company>Secretaria de Seguridad y Proteccion Ciudadana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María Amparo Hinterholzer Rodriguez</dc:creator>
  <cp:keywords/>
  <dc:description/>
  <cp:lastModifiedBy>Gerardo Melkart Noeller Álva</cp:lastModifiedBy>
  <cp:revision/>
  <dcterms:created xsi:type="dcterms:W3CDTF">2026-02-13T00:57:44Z</dcterms:created>
  <dcterms:modified xsi:type="dcterms:W3CDTF">2026-08-10T15:34:36Z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49c1c616-5fff-47b4-801b-0e98d2d9d072</vt:lpwstr>
  </property>
  <property fmtid="{D5CDD505-2E9C-101B-9397-08002B2CF9AE}" pid="3" name="ContentTypeId">
    <vt:lpwstr>0x0101007E3CB6CD47863F408802544A95959A63</vt:lpwstr>
  </property>
</Properties>
</file>