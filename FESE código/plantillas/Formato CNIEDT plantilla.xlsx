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gob-my.sharepoint.com/personal/viviana_garcia_sspc_gob_mx/Documents/Downloads/"/>
    </mc:Choice>
  </mc:AlternateContent>
  <xr:revisionPtr revIDLastSave="7" documentId="8_{3AF3809A-3FC6-486B-A4BA-EFBB3DE57B26}" xr6:coauthVersionLast="47" xr6:coauthVersionMax="47" xr10:uidLastSave="{B58B5FE1-69DA-4F58-9D65-90C640355235}"/>
  <bookViews>
    <workbookView xWindow="-120" yWindow="-120" windowWidth="29040" windowHeight="15720" xr2:uid="{9337A00E-8C8E-467F-AFEC-5A0065418C3D}"/>
  </bookViews>
  <sheets>
    <sheet name="Llamadas 911" sheetId="26" r:id="rId1"/>
    <sheet name="Llamadas 089" sheetId="27" r:id="rId2"/>
    <sheet name="Extor-089" sheetId="25" r:id="rId3"/>
    <sheet name="Extor-088" sheetId="28" r:id="rId4"/>
    <sheet name="Historico 911" sheetId="22" r:id="rId5"/>
    <sheet name="Historico 089" sheetId="24" r:id="rId6"/>
    <sheet name="PMI-Cámaras" sheetId="29" r:id="rId7"/>
    <sheet name="Registros Nacionales" sheetId="19" r:id="rId8"/>
    <sheet name="ext_INFORMACION GENERAL" sheetId="30" r:id="rId9"/>
  </sheets>
  <externalReferences>
    <externalReference r:id="rId10"/>
    <externalReference r:id="rId11"/>
    <externalReference r:id="rId12"/>
    <externalReference r:id="rId13"/>
  </externalReferences>
  <definedNames>
    <definedName name="_A65600">#REF!</definedName>
    <definedName name="_A66000">#REF!</definedName>
    <definedName name="_A67000">#REF!</definedName>
    <definedName name="_xlnm._FilterDatabase">#REF!</definedName>
    <definedName name="a">#REF!</definedName>
    <definedName name="aaff">#REF!</definedName>
    <definedName name="aff">#REF!</definedName>
    <definedName name="afff">#REF!</definedName>
    <definedName name="AGOSTO">#REF!</definedName>
    <definedName name="AGOSTO1">#REF!</definedName>
    <definedName name="AGS">#REF!</definedName>
    <definedName name="AGS0">#REF!</definedName>
    <definedName name="Aguascalientes">#REF!</definedName>
    <definedName name="_xlnm.Database">#REF!</definedName>
    <definedName name="BC">#REF!</definedName>
    <definedName name="BCS">#REF!</definedName>
    <definedName name="CAM">#REF!</definedName>
    <definedName name="CAMP">#REF!</definedName>
    <definedName name="Campeche">#REF!</definedName>
    <definedName name="CAPACITACIONFGE">[1]FGE!$A$456:$U$622</definedName>
    <definedName name="Categorías_de_gastos">#REF!</definedName>
    <definedName name="CDMX">#REF!</definedName>
    <definedName name="ceroo">#REF!</definedName>
    <definedName name="Chiapas">#REF!</definedName>
    <definedName name="chihc">#REF!</definedName>
    <definedName name="Chihuahua">#REF!</definedName>
    <definedName name="CHIS">#REF!</definedName>
    <definedName name="CK">#REF!</definedName>
    <definedName name="COAH">#REF!</definedName>
    <definedName name="Coahuila">#REF!</definedName>
    <definedName name="COL">#REF!</definedName>
    <definedName name="Colima">#REF!</definedName>
    <definedName name="control">[1]SESESP!$A$309:$V$542</definedName>
    <definedName name="ControlConfianza">#REF!</definedName>
    <definedName name="Database">#REF!</definedName>
    <definedName name="datosum">'[2]2015 ESTRUCTURA'!$N$56:$N$3552</definedName>
    <definedName name="DFSGDSFGSDFG">#REF!</definedName>
    <definedName name="DGO">#REF!</definedName>
    <definedName name="Durango">#REF!</definedName>
    <definedName name="e">#REF!</definedName>
    <definedName name="Edos">#REF!</definedName>
    <definedName name="EducationLevel">#REF!</definedName>
    <definedName name="EnglishAbility">#REF!</definedName>
    <definedName name="Est">#REF!</definedName>
    <definedName name="Estado">#REF!</definedName>
    <definedName name="Estados">#REF!</definedName>
    <definedName name="FAFA">#REF!</definedName>
    <definedName name="FASFADF">#REF!</definedName>
    <definedName name="FEB">#REF!</definedName>
    <definedName name="FF">#REF!</definedName>
    <definedName name="FFFF">#REF!</definedName>
    <definedName name="FORTALECIMIENTOFGE">[1]FGE!$A$1081:$V$1594</definedName>
    <definedName name="Gender">#REF!</definedName>
    <definedName name="Genero">#REF!</definedName>
    <definedName name="GRO">#REF!</definedName>
    <definedName name="GTO">#REF!</definedName>
    <definedName name="Guanajuato">#REF!</definedName>
    <definedName name="Guerrero">#REF!</definedName>
    <definedName name="HGO">#REF!</definedName>
    <definedName name="Hidalgo">#REF!</definedName>
    <definedName name="Jalisco">#REF!</definedName>
    <definedName name="joseluis">'[3]24 San Luis Potosi'!#REF!</definedName>
    <definedName name="JUSTICIA">[1]FGE!$A$146:$V$369</definedName>
    <definedName name="LGNSP">[1]FGE!$A$456:$U$622</definedName>
    <definedName name="MAYO">#REF!</definedName>
    <definedName name="MEX">#REF!</definedName>
    <definedName name="México">#REF!</definedName>
    <definedName name="MIC">#REF!</definedName>
    <definedName name="MICH">#REF!</definedName>
    <definedName name="Michoacán">#REF!</definedName>
    <definedName name="MiColumna">'[4]24 San Luis Potosi'!#REF!</definedName>
    <definedName name="MiFila">'[4]24 San Luis Potosi'!#REF!</definedName>
    <definedName name="MOR">#REF!</definedName>
    <definedName name="Morelos">#REF!</definedName>
    <definedName name="NAY">#REF!</definedName>
    <definedName name="Nayarit">#REF!</definedName>
    <definedName name="NL">#REF!</definedName>
    <definedName name="O164.">#REF!</definedName>
    <definedName name="OAX">#REF!</definedName>
    <definedName name="Oaxaca">#REF!</definedName>
    <definedName name="otrafila">'[3]24 San Luis Potosi'!#REF!</definedName>
    <definedName name="ParticipantAlternate">#REF!</definedName>
    <definedName name="penitenciario">[1]SSP!$A$2145:$V$2597</definedName>
    <definedName name="PERIODO">#REF!</definedName>
    <definedName name="POLICÍA_PREVENTIVO_ESTATAL">#REF!</definedName>
    <definedName name="PP">#REF!</definedName>
    <definedName name="PROFESIONALIZACION">[1]SESESP!$A$58:$V$307</definedName>
    <definedName name="Puebla">#REF!</definedName>
    <definedName name="QRO">#REF!</definedName>
    <definedName name="Qroo">#REF!</definedName>
    <definedName name="Querétaro">#REF!</definedName>
    <definedName name="RED">[1]C4!$A$55:$V$189</definedName>
    <definedName name="Reintegra">#REF!</definedName>
    <definedName name="Reintegros">'[4]24 San Luis Potosi'!#REF!</definedName>
    <definedName name="Reintegros3">#REF!</definedName>
    <definedName name="saldocero15">#REF!</definedName>
    <definedName name="SALDOCERO2015">#REF!</definedName>
    <definedName name="SIN">#REF!</definedName>
    <definedName name="Sinaloa">#REF!</definedName>
    <definedName name="SLP">#REF!</definedName>
    <definedName name="SON">#REF!</definedName>
    <definedName name="Sonora">#REF!</definedName>
    <definedName name="TAB">#REF!</definedName>
    <definedName name="Tabasco">#REF!</definedName>
    <definedName name="TAM">#REF!</definedName>
    <definedName name="Tamaulipas">#REF!</definedName>
    <definedName name="TAMPS">#REF!</definedName>
    <definedName name="TLAX">#REF!</definedName>
    <definedName name="Tlaxcala">#REF!</definedName>
    <definedName name="UnitCommander">#REF!</definedName>
    <definedName name="VER">#REF!</definedName>
    <definedName name="Veracruz">#REF!</definedName>
    <definedName name="VettingType">#REF!</definedName>
    <definedName name="xxx">'[4]24 San Luis Potosi'!#REF!</definedName>
    <definedName name="YearsInPosition">#REF!</definedName>
    <definedName name="YUC">#REF!</definedName>
    <definedName name="Yucatán">#REF!</definedName>
    <definedName name="yyy">'[3]24 San Luis Potosi'!#REF!</definedName>
    <definedName name="ZAC">#REF!</definedName>
    <definedName name="Zacateca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5" i="29" l="1"/>
  <c r="BN6" i="29"/>
  <c r="BN7" i="29"/>
  <c r="BN8" i="29"/>
  <c r="BN9" i="29"/>
  <c r="BN10" i="29"/>
  <c r="BN11" i="29"/>
  <c r="BN12" i="29"/>
  <c r="BN13" i="29"/>
  <c r="BN14" i="29"/>
  <c r="BN15" i="29"/>
  <c r="BN16" i="29"/>
  <c r="BN17" i="29"/>
  <c r="BN18" i="29"/>
  <c r="BN19" i="29"/>
  <c r="BN20" i="29"/>
  <c r="BN21" i="29"/>
  <c r="BN22" i="29"/>
  <c r="BN23" i="29"/>
  <c r="BN24" i="29"/>
  <c r="BN25" i="29"/>
  <c r="BN26" i="29"/>
  <c r="BN27" i="29"/>
  <c r="BN28" i="29"/>
  <c r="BN29" i="29"/>
  <c r="BN30" i="29"/>
  <c r="BN31" i="29"/>
  <c r="BN32" i="29"/>
  <c r="BN33" i="29"/>
  <c r="BN34" i="29"/>
  <c r="BN35" i="29"/>
  <c r="BN4" i="29"/>
  <c r="BL4" i="29"/>
  <c r="B36" i="26"/>
  <c r="BL5" i="29"/>
  <c r="BL6" i="29"/>
  <c r="BL7" i="29"/>
  <c r="BL8" i="29"/>
  <c r="BL9" i="29"/>
  <c r="BL10" i="29"/>
  <c r="BL11" i="29"/>
  <c r="BL12" i="29"/>
  <c r="BL13" i="29"/>
  <c r="BL14" i="29"/>
  <c r="BL15" i="29"/>
  <c r="BL16" i="29"/>
  <c r="BL17" i="29"/>
  <c r="BL18" i="29"/>
  <c r="BL19" i="29"/>
  <c r="BL20" i="29"/>
  <c r="BL21" i="29"/>
  <c r="BL22" i="29"/>
  <c r="BL23" i="29"/>
  <c r="BL24" i="29"/>
  <c r="BL25" i="29"/>
  <c r="BL26" i="29"/>
  <c r="BL27" i="29"/>
  <c r="BL28" i="29"/>
  <c r="BL29" i="29"/>
  <c r="BL30" i="29"/>
  <c r="BL31" i="29"/>
  <c r="BL32" i="29"/>
  <c r="BL33" i="29"/>
  <c r="BL34" i="29"/>
  <c r="BL35" i="29"/>
  <c r="K36" i="29"/>
  <c r="J36" i="29"/>
  <c r="I36" i="29"/>
  <c r="F36" i="29"/>
  <c r="E36" i="29"/>
  <c r="D36" i="29"/>
  <c r="P36" i="29"/>
  <c r="O36" i="29"/>
  <c r="N36" i="29"/>
  <c r="U36" i="29"/>
  <c r="T36" i="29"/>
  <c r="S36" i="29"/>
  <c r="X36" i="29"/>
  <c r="Z36" i="29"/>
  <c r="Y36" i="29"/>
  <c r="AE36" i="29"/>
  <c r="AJ36" i="29"/>
  <c r="AO36" i="29"/>
  <c r="AT36" i="29"/>
  <c r="AY36" i="29"/>
  <c r="BD36" i="29"/>
  <c r="BG36" i="29"/>
  <c r="BB36" i="29"/>
  <c r="AW36" i="29"/>
  <c r="AR36" i="29"/>
  <c r="AM36" i="29"/>
  <c r="AH36" i="29"/>
  <c r="AC36" i="29"/>
  <c r="AD36" i="29"/>
  <c r="AI36" i="29"/>
  <c r="AG36" i="29"/>
  <c r="AF36" i="29"/>
  <c r="AN36" i="29"/>
  <c r="AL36" i="29"/>
  <c r="AK36" i="29"/>
  <c r="AS36" i="29"/>
  <c r="AQ36" i="29"/>
  <c r="AP36" i="29"/>
  <c r="AX36" i="29"/>
  <c r="AV36" i="29"/>
  <c r="AU36" i="29"/>
  <c r="BC36" i="29"/>
  <c r="BA36" i="29"/>
  <c r="AZ36" i="29"/>
  <c r="BI36" i="29"/>
  <c r="BJ5" i="29"/>
  <c r="BK5" i="29"/>
  <c r="BM5" i="29"/>
  <c r="BJ6" i="29"/>
  <c r="BK6" i="29"/>
  <c r="BM6" i="29"/>
  <c r="BJ7" i="29"/>
  <c r="BK7" i="29"/>
  <c r="BM7" i="29"/>
  <c r="BJ8" i="29"/>
  <c r="BK8" i="29"/>
  <c r="BM8" i="29"/>
  <c r="BJ9" i="29"/>
  <c r="BK9" i="29"/>
  <c r="BM9" i="29"/>
  <c r="BJ10" i="29"/>
  <c r="BK10" i="29"/>
  <c r="BM10" i="29"/>
  <c r="BJ11" i="29"/>
  <c r="BK11" i="29"/>
  <c r="BM11" i="29"/>
  <c r="BJ12" i="29"/>
  <c r="BK12" i="29"/>
  <c r="BM12" i="29"/>
  <c r="BJ13" i="29"/>
  <c r="BK13" i="29"/>
  <c r="BM13" i="29"/>
  <c r="BJ14" i="29"/>
  <c r="BK14" i="29"/>
  <c r="BM14" i="29"/>
  <c r="BJ15" i="29"/>
  <c r="BK15" i="29"/>
  <c r="BM15" i="29"/>
  <c r="BJ16" i="29"/>
  <c r="BK16" i="29"/>
  <c r="BM16" i="29"/>
  <c r="BJ17" i="29"/>
  <c r="BK17" i="29"/>
  <c r="BM17" i="29"/>
  <c r="BJ18" i="29"/>
  <c r="BK18" i="29"/>
  <c r="BM18" i="29"/>
  <c r="BJ19" i="29"/>
  <c r="BK19" i="29"/>
  <c r="BM19" i="29"/>
  <c r="BJ20" i="29"/>
  <c r="BK20" i="29"/>
  <c r="BM20" i="29"/>
  <c r="BJ21" i="29"/>
  <c r="BK21" i="29"/>
  <c r="BM21" i="29"/>
  <c r="BJ22" i="29"/>
  <c r="BK22" i="29"/>
  <c r="BM22" i="29"/>
  <c r="BJ23" i="29"/>
  <c r="BK23" i="29"/>
  <c r="BM23" i="29"/>
  <c r="BJ24" i="29"/>
  <c r="BK24" i="29"/>
  <c r="BM24" i="29"/>
  <c r="BJ25" i="29"/>
  <c r="BK25" i="29"/>
  <c r="BM25" i="29"/>
  <c r="BJ26" i="29"/>
  <c r="BK26" i="29"/>
  <c r="BM26" i="29"/>
  <c r="BJ27" i="29"/>
  <c r="BK27" i="29"/>
  <c r="BM27" i="29"/>
  <c r="BJ28" i="29"/>
  <c r="BK28" i="29"/>
  <c r="BM28" i="29"/>
  <c r="BJ29" i="29"/>
  <c r="BK29" i="29"/>
  <c r="BM29" i="29"/>
  <c r="BJ30" i="29"/>
  <c r="BK30" i="29"/>
  <c r="BM30" i="29"/>
  <c r="BJ31" i="29"/>
  <c r="BK31" i="29"/>
  <c r="BM31" i="29"/>
  <c r="BJ32" i="29"/>
  <c r="BK32" i="29"/>
  <c r="BM32" i="29"/>
  <c r="BJ33" i="29"/>
  <c r="BK33" i="29"/>
  <c r="BM33" i="29"/>
  <c r="BJ34" i="29"/>
  <c r="BK34" i="29"/>
  <c r="BM34" i="29"/>
  <c r="BJ35" i="29"/>
  <c r="BK35" i="29"/>
  <c r="BM35" i="29"/>
  <c r="BK4" i="29"/>
  <c r="BM4" i="29"/>
  <c r="BJ4" i="29"/>
  <c r="AN37" i="28"/>
  <c r="AM37" i="28"/>
  <c r="AK37" i="28"/>
  <c r="AJ37" i="28"/>
  <c r="AH37" i="28"/>
  <c r="AG37" i="28"/>
  <c r="AE37" i="28"/>
  <c r="AD37" i="28"/>
  <c r="AB37" i="28"/>
  <c r="AA37" i="28"/>
  <c r="Y37" i="28"/>
  <c r="X37" i="28"/>
  <c r="V37" i="28"/>
  <c r="U37" i="28"/>
  <c r="S37" i="28"/>
  <c r="R37" i="28"/>
  <c r="P37" i="28"/>
  <c r="O37" i="28"/>
  <c r="M37" i="28"/>
  <c r="L37" i="28"/>
  <c r="J37" i="28"/>
  <c r="I37" i="28"/>
  <c r="G37" i="28"/>
  <c r="F37" i="28"/>
  <c r="D37" i="28"/>
  <c r="C37" i="28"/>
  <c r="AM37" i="25"/>
  <c r="AN37" i="25"/>
  <c r="AK37" i="25"/>
  <c r="AJ37" i="25"/>
  <c r="AH37" i="25"/>
  <c r="AG37" i="25"/>
  <c r="AE37" i="25"/>
  <c r="AD37" i="25"/>
  <c r="AB37" i="25"/>
  <c r="AA37" i="25"/>
  <c r="Y37" i="25"/>
  <c r="X37" i="25"/>
  <c r="V37" i="25"/>
  <c r="U37" i="25"/>
  <c r="S37" i="25"/>
  <c r="R37" i="25"/>
  <c r="P37" i="25"/>
  <c r="O37" i="25"/>
  <c r="M37" i="25"/>
  <c r="L37" i="25"/>
  <c r="J37" i="25"/>
  <c r="I37" i="25"/>
  <c r="F37" i="25"/>
  <c r="G37" i="25"/>
  <c r="D37" i="25"/>
  <c r="C37" i="25"/>
  <c r="B36" i="27"/>
  <c r="M36" i="27"/>
  <c r="L36" i="27"/>
  <c r="K36" i="27"/>
  <c r="J36" i="27"/>
  <c r="I36" i="27"/>
  <c r="H36" i="27"/>
  <c r="G36" i="27"/>
  <c r="F36" i="27"/>
  <c r="E36" i="27"/>
  <c r="D36" i="27"/>
  <c r="C36" i="27"/>
  <c r="AL4" i="28"/>
  <c r="AN35" i="28"/>
  <c r="AM35" i="28"/>
  <c r="AL35" i="28"/>
  <c r="AN34" i="28"/>
  <c r="AM34" i="28"/>
  <c r="AL34" i="28"/>
  <c r="AN33" i="28"/>
  <c r="AM33" i="28"/>
  <c r="AL33" i="28"/>
  <c r="AN32" i="28"/>
  <c r="AM32" i="28"/>
  <c r="AL32" i="28"/>
  <c r="AN31" i="28"/>
  <c r="AM31" i="28"/>
  <c r="AL31" i="28"/>
  <c r="AN30" i="28"/>
  <c r="AM30" i="28"/>
  <c r="AL30" i="28"/>
  <c r="AN29" i="28"/>
  <c r="AM29" i="28"/>
  <c r="AL29" i="28"/>
  <c r="AN28" i="28"/>
  <c r="AM28" i="28"/>
  <c r="AL28" i="28"/>
  <c r="AN27" i="28"/>
  <c r="AM27" i="28"/>
  <c r="AL27" i="28"/>
  <c r="AN26" i="28"/>
  <c r="AM26" i="28"/>
  <c r="AL26" i="28"/>
  <c r="AN25" i="28"/>
  <c r="AM25" i="28"/>
  <c r="AL25" i="28"/>
  <c r="AN24" i="28"/>
  <c r="AM24" i="28"/>
  <c r="AL24" i="28"/>
  <c r="AN23" i="28"/>
  <c r="AM23" i="28"/>
  <c r="AL23" i="28"/>
  <c r="AN22" i="28"/>
  <c r="AM22" i="28"/>
  <c r="AL22" i="28"/>
  <c r="AN21" i="28"/>
  <c r="AM21" i="28"/>
  <c r="AL21" i="28"/>
  <c r="AN20" i="28"/>
  <c r="AM20" i="28"/>
  <c r="AL20" i="28"/>
  <c r="AN19" i="28"/>
  <c r="AM19" i="28"/>
  <c r="AL19" i="28"/>
  <c r="AN18" i="28"/>
  <c r="AM18" i="28"/>
  <c r="AL18" i="28"/>
  <c r="AN17" i="28"/>
  <c r="AM17" i="28"/>
  <c r="AL17" i="28"/>
  <c r="AN16" i="28"/>
  <c r="AM16" i="28"/>
  <c r="AL16" i="28"/>
  <c r="AN15" i="28"/>
  <c r="AM15" i="28"/>
  <c r="AL15" i="28"/>
  <c r="AN14" i="28"/>
  <c r="AM14" i="28"/>
  <c r="AL14" i="28"/>
  <c r="AN13" i="28"/>
  <c r="AM13" i="28"/>
  <c r="AL13" i="28"/>
  <c r="AN12" i="28"/>
  <c r="AM12" i="28"/>
  <c r="AL12" i="28"/>
  <c r="AN11" i="28"/>
  <c r="AM11" i="28"/>
  <c r="AL11" i="28"/>
  <c r="AN10" i="28"/>
  <c r="AM10" i="28"/>
  <c r="AL10" i="28"/>
  <c r="AN9" i="28"/>
  <c r="AM9" i="28"/>
  <c r="AL9" i="28"/>
  <c r="AN8" i="28"/>
  <c r="AM8" i="28"/>
  <c r="AL8" i="28"/>
  <c r="AN7" i="28"/>
  <c r="AM7" i="28"/>
  <c r="AL7" i="28"/>
  <c r="AN6" i="28"/>
  <c r="AM6" i="28"/>
  <c r="AL6" i="28"/>
  <c r="AN5" i="28"/>
  <c r="AM5" i="28"/>
  <c r="AL5" i="28"/>
  <c r="AN4" i="28"/>
  <c r="AM4" i="28"/>
  <c r="AL36" i="25"/>
  <c r="AM36" i="25"/>
  <c r="AN36" i="25"/>
  <c r="AL5" i="25"/>
  <c r="AM5" i="25"/>
  <c r="AN5" i="25"/>
  <c r="AL6" i="25"/>
  <c r="AM6" i="25"/>
  <c r="AN6" i="25"/>
  <c r="AL7" i="25"/>
  <c r="AM7" i="25"/>
  <c r="AN7" i="25"/>
  <c r="AL8" i="25"/>
  <c r="AM8" i="25"/>
  <c r="AN8" i="25"/>
  <c r="AL9" i="25"/>
  <c r="AM9" i="25"/>
  <c r="AN9" i="25"/>
  <c r="AL10" i="25"/>
  <c r="AM10" i="25"/>
  <c r="AN10" i="25"/>
  <c r="AL11" i="25"/>
  <c r="AM11" i="25"/>
  <c r="AN11" i="25"/>
  <c r="AL12" i="25"/>
  <c r="AM12" i="25"/>
  <c r="AN12" i="25"/>
  <c r="AL13" i="25"/>
  <c r="AM13" i="25"/>
  <c r="AN13" i="25"/>
  <c r="AL14" i="25"/>
  <c r="AM14" i="25"/>
  <c r="AN14" i="25"/>
  <c r="AL15" i="25"/>
  <c r="AM15" i="25"/>
  <c r="AN15" i="25"/>
  <c r="AL16" i="25"/>
  <c r="AM16" i="25"/>
  <c r="AN16" i="25"/>
  <c r="AL17" i="25"/>
  <c r="AM17" i="25"/>
  <c r="AN17" i="25"/>
  <c r="AL18" i="25"/>
  <c r="AM18" i="25"/>
  <c r="AN18" i="25"/>
  <c r="AL19" i="25"/>
  <c r="AM19" i="25"/>
  <c r="AN19" i="25"/>
  <c r="AL20" i="25"/>
  <c r="AM20" i="25"/>
  <c r="AN20" i="25"/>
  <c r="AL21" i="25"/>
  <c r="AM21" i="25"/>
  <c r="AN21" i="25"/>
  <c r="AL22" i="25"/>
  <c r="AM22" i="25"/>
  <c r="AN22" i="25"/>
  <c r="AL23" i="25"/>
  <c r="AM23" i="25"/>
  <c r="AN23" i="25"/>
  <c r="AL24" i="25"/>
  <c r="AM24" i="25"/>
  <c r="AN24" i="25"/>
  <c r="AL25" i="25"/>
  <c r="AM25" i="25"/>
  <c r="AN25" i="25"/>
  <c r="AL26" i="25"/>
  <c r="AM26" i="25"/>
  <c r="AN26" i="25"/>
  <c r="AL27" i="25"/>
  <c r="AM27" i="25"/>
  <c r="AN27" i="25"/>
  <c r="AL28" i="25"/>
  <c r="AM28" i="25"/>
  <c r="AN28" i="25"/>
  <c r="AL29" i="25"/>
  <c r="AM29" i="25"/>
  <c r="AN29" i="25"/>
  <c r="AL30" i="25"/>
  <c r="AM30" i="25"/>
  <c r="AN30" i="25"/>
  <c r="AL31" i="25"/>
  <c r="AM31" i="25"/>
  <c r="AN31" i="25"/>
  <c r="AL32" i="25"/>
  <c r="AM32" i="25"/>
  <c r="AN32" i="25"/>
  <c r="AL33" i="25"/>
  <c r="AM33" i="25"/>
  <c r="AN33" i="25"/>
  <c r="AL34" i="25"/>
  <c r="AM34" i="25"/>
  <c r="AN34" i="25"/>
  <c r="AL35" i="25"/>
  <c r="AM35" i="25"/>
  <c r="AN35" i="25"/>
  <c r="AM4" i="25"/>
  <c r="AN4" i="25"/>
  <c r="AL4" i="25"/>
  <c r="C36" i="26"/>
  <c r="D36" i="26"/>
  <c r="E36" i="26"/>
  <c r="F36" i="26"/>
  <c r="G36" i="26"/>
  <c r="H36" i="26"/>
  <c r="I36" i="26"/>
  <c r="J36" i="26"/>
  <c r="K36" i="26"/>
  <c r="L36" i="26"/>
  <c r="M36" i="26"/>
  <c r="BM36" i="29" l="1"/>
  <c r="BK36" i="29"/>
  <c r="BJ36" i="29"/>
  <c r="AN36" i="28"/>
  <c r="AM36" i="28"/>
  <c r="AL36" i="28"/>
  <c r="C36" i="29"/>
  <c r="G36" i="29"/>
  <c r="H36" i="29"/>
  <c r="L36" i="29"/>
  <c r="M36" i="29"/>
  <c r="Q36" i="29"/>
  <c r="R36" i="29"/>
  <c r="V36" i="29"/>
  <c r="W36" i="29"/>
  <c r="AA36" i="29"/>
  <c r="AB36" i="29"/>
  <c r="BE36" i="29"/>
  <c r="BF36" i="29"/>
  <c r="BH36" i="29"/>
  <c r="B36" i="29"/>
  <c r="S36" i="28"/>
  <c r="P36" i="28"/>
  <c r="M36" i="28"/>
  <c r="D36" i="28"/>
  <c r="AK36" i="28"/>
  <c r="AJ36" i="28"/>
  <c r="AI36" i="28"/>
  <c r="AH36" i="28"/>
  <c r="AG36" i="28"/>
  <c r="AF36" i="28"/>
  <c r="AE36" i="28"/>
  <c r="AD36" i="28"/>
  <c r="AC36" i="28"/>
  <c r="AB36" i="28"/>
  <c r="AA36" i="28"/>
  <c r="Z36" i="28"/>
  <c r="Y36" i="28"/>
  <c r="X36" i="28"/>
  <c r="W36" i="28"/>
  <c r="V36" i="28"/>
  <c r="U36" i="28"/>
  <c r="T36" i="28"/>
  <c r="R36" i="28"/>
  <c r="Q36" i="28"/>
  <c r="O36" i="28"/>
  <c r="N36" i="28"/>
  <c r="L36" i="28"/>
  <c r="K36" i="28"/>
  <c r="J36" i="28"/>
  <c r="I36" i="28"/>
  <c r="H36" i="28"/>
  <c r="F36" i="28"/>
  <c r="E36" i="28"/>
  <c r="C36" i="28"/>
  <c r="B36" i="28"/>
  <c r="M35" i="27"/>
  <c r="L35" i="27"/>
  <c r="K35" i="27"/>
  <c r="J35" i="27"/>
  <c r="I35" i="27"/>
  <c r="H35" i="27"/>
  <c r="G35" i="27"/>
  <c r="F35" i="27"/>
  <c r="E35" i="27"/>
  <c r="D35" i="27"/>
  <c r="C35" i="27"/>
  <c r="B35" i="27"/>
  <c r="N34" i="27"/>
  <c r="N33" i="27"/>
  <c r="N32" i="27"/>
  <c r="N31" i="27"/>
  <c r="N30" i="27"/>
  <c r="N29" i="27"/>
  <c r="N28" i="27"/>
  <c r="N27" i="27"/>
  <c r="N26" i="27"/>
  <c r="N25" i="27"/>
  <c r="N24" i="27"/>
  <c r="N23" i="27"/>
  <c r="N22" i="27"/>
  <c r="N21" i="27"/>
  <c r="N20" i="27"/>
  <c r="N19" i="27"/>
  <c r="N18" i="27"/>
  <c r="N17" i="27"/>
  <c r="N16" i="27"/>
  <c r="N15" i="27"/>
  <c r="N14" i="27"/>
  <c r="N13" i="27"/>
  <c r="N12" i="27"/>
  <c r="N11" i="27"/>
  <c r="N10" i="27"/>
  <c r="N9" i="27"/>
  <c r="N8" i="27"/>
  <c r="N7" i="27"/>
  <c r="N6" i="27"/>
  <c r="N5" i="27"/>
  <c r="N4" i="27"/>
  <c r="N3" i="27"/>
  <c r="M35" i="26"/>
  <c r="L35" i="26"/>
  <c r="K35" i="26"/>
  <c r="J35" i="26"/>
  <c r="I35" i="26"/>
  <c r="H35" i="26"/>
  <c r="G35" i="26"/>
  <c r="F35" i="26"/>
  <c r="E35" i="26"/>
  <c r="D35" i="26"/>
  <c r="C35" i="26"/>
  <c r="B35" i="26"/>
  <c r="N34" i="26"/>
  <c r="N33" i="26"/>
  <c r="N32" i="26"/>
  <c r="N31" i="26"/>
  <c r="N30" i="26"/>
  <c r="N29" i="26"/>
  <c r="N28" i="26"/>
  <c r="N27" i="26"/>
  <c r="N26" i="26"/>
  <c r="N25" i="26"/>
  <c r="N24" i="26"/>
  <c r="N23" i="26"/>
  <c r="N22" i="26"/>
  <c r="N21" i="26"/>
  <c r="N20" i="26"/>
  <c r="N19" i="26"/>
  <c r="N18" i="26"/>
  <c r="N17" i="26"/>
  <c r="N16" i="26"/>
  <c r="N15" i="26"/>
  <c r="N14" i="26"/>
  <c r="N13" i="26"/>
  <c r="N12" i="26"/>
  <c r="N11" i="26"/>
  <c r="N10" i="26"/>
  <c r="N9" i="26"/>
  <c r="N8" i="26"/>
  <c r="N7" i="26"/>
  <c r="N6" i="26"/>
  <c r="N5" i="26"/>
  <c r="N4" i="26"/>
  <c r="N3" i="26"/>
  <c r="U36" i="25"/>
  <c r="V36" i="25"/>
  <c r="W36" i="25"/>
  <c r="X36" i="25"/>
  <c r="Y36" i="25"/>
  <c r="Z36" i="25"/>
  <c r="AA36" i="25"/>
  <c r="AB36" i="25"/>
  <c r="AC36" i="25"/>
  <c r="AD36" i="25"/>
  <c r="AE36" i="25"/>
  <c r="AF36" i="25"/>
  <c r="AG36" i="25"/>
  <c r="AH36" i="25"/>
  <c r="AI36" i="25"/>
  <c r="AJ36" i="25"/>
  <c r="AK36" i="25"/>
  <c r="S36" i="25"/>
  <c r="R36" i="25"/>
  <c r="P36" i="25"/>
  <c r="O36" i="25"/>
  <c r="L36" i="25"/>
  <c r="M36" i="25"/>
  <c r="J36" i="25"/>
  <c r="I36" i="25"/>
  <c r="K36" i="25"/>
  <c r="F36" i="25"/>
  <c r="G36" i="25"/>
  <c r="C36" i="25"/>
  <c r="T36" i="25"/>
  <c r="Q36" i="25"/>
  <c r="N36" i="25"/>
  <c r="H36" i="25"/>
  <c r="E36" i="25"/>
  <c r="B36" i="25"/>
  <c r="M35" i="24"/>
  <c r="L35" i="24"/>
  <c r="K35" i="24"/>
  <c r="J35" i="24"/>
  <c r="I35" i="24"/>
  <c r="H35" i="24"/>
  <c r="G35" i="24"/>
  <c r="F35" i="24"/>
  <c r="E35" i="24"/>
  <c r="D35" i="24"/>
  <c r="C35" i="24"/>
  <c r="B35" i="24"/>
  <c r="N34" i="24"/>
  <c r="N33" i="24"/>
  <c r="N32" i="24"/>
  <c r="N31" i="24"/>
  <c r="N30" i="24"/>
  <c r="N29" i="24"/>
  <c r="N28" i="24"/>
  <c r="N27" i="24"/>
  <c r="N26" i="24"/>
  <c r="N25" i="24"/>
  <c r="N24" i="24"/>
  <c r="N23" i="24"/>
  <c r="N22" i="24"/>
  <c r="N21" i="24"/>
  <c r="N20" i="24"/>
  <c r="N19" i="24"/>
  <c r="N18" i="24"/>
  <c r="N17" i="24"/>
  <c r="N16" i="24"/>
  <c r="N15" i="24"/>
  <c r="N14" i="24"/>
  <c r="N13" i="24"/>
  <c r="N12" i="24"/>
  <c r="N11" i="24"/>
  <c r="N10" i="24"/>
  <c r="N9" i="24"/>
  <c r="N8" i="24"/>
  <c r="N7" i="24"/>
  <c r="N6" i="24"/>
  <c r="N5" i="24"/>
  <c r="N4" i="24"/>
  <c r="N3" i="24"/>
  <c r="N4" i="22"/>
  <c r="N5" i="22"/>
  <c r="N6" i="22"/>
  <c r="N7" i="22"/>
  <c r="N8" i="22"/>
  <c r="N9" i="22"/>
  <c r="N10" i="22"/>
  <c r="N11" i="22"/>
  <c r="N12" i="22"/>
  <c r="N13" i="22"/>
  <c r="N14" i="22"/>
  <c r="N15" i="22"/>
  <c r="N16" i="22"/>
  <c r="N17" i="22"/>
  <c r="N18" i="22"/>
  <c r="N19" i="22"/>
  <c r="N20" i="22"/>
  <c r="N21" i="22"/>
  <c r="N22" i="22"/>
  <c r="N23" i="22"/>
  <c r="N24" i="22"/>
  <c r="N25" i="22"/>
  <c r="N26" i="22"/>
  <c r="N27" i="22"/>
  <c r="N28" i="22"/>
  <c r="N29" i="22"/>
  <c r="N30" i="22"/>
  <c r="N31" i="22"/>
  <c r="N32" i="22"/>
  <c r="N33" i="22"/>
  <c r="N34" i="22"/>
  <c r="N3" i="22"/>
  <c r="C35" i="22"/>
  <c r="D35" i="22"/>
  <c r="E35" i="22"/>
  <c r="F35" i="22"/>
  <c r="G35" i="22"/>
  <c r="H35" i="22"/>
  <c r="I35" i="22"/>
  <c r="J35" i="22"/>
  <c r="K35" i="22"/>
  <c r="L35" i="22"/>
  <c r="M35" i="22"/>
  <c r="B35" i="22"/>
  <c r="N35" i="24" l="1"/>
  <c r="N35" i="22"/>
  <c r="G36" i="28"/>
  <c r="N35" i="27"/>
  <c r="N35" i="26"/>
  <c r="D36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Silvia Maria del Socorro Herrera Alcibar</author>
  </authors>
  <commentList>
    <comment ref="AJ25" authorId="0" shapeId="0" xr:uid="{80942A94-E075-4348-97DC-8D4A7B13C7AC}">
      <text>
        <r>
          <rPr>
            <b/>
            <sz val="9"/>
            <color indexed="81"/>
            <rFont val="Tahoma"/>
            <family val="2"/>
          </rPr>
          <t>La entidad reporta fallas en su sistema de captura</t>
        </r>
      </text>
    </comment>
    <comment ref="AJ26" authorId="0" shapeId="0" xr:uid="{9AE91E59-F34D-4A5B-9C60-B4ADA33D5060}">
      <text>
        <r>
          <rPr>
            <b/>
            <sz val="9"/>
            <color indexed="81"/>
            <rFont val="Tahoma"/>
            <family val="2"/>
          </rPr>
          <t>La entidad reporta fallas en su sistema de captura</t>
        </r>
      </text>
    </comment>
    <comment ref="AJ27" authorId="0" shapeId="0" xr:uid="{30882967-F7D3-4564-B516-06889B3D3E90}">
      <text>
        <r>
          <rPr>
            <b/>
            <sz val="9"/>
            <color indexed="81"/>
            <rFont val="Tahoma"/>
            <family val="2"/>
          </rPr>
          <t>La entidad reporta fallas en su sistema de captura</t>
        </r>
      </text>
    </comment>
    <comment ref="AD35" authorId="0" shapeId="0" xr:uid="{88E71F3F-69DB-4662-BC15-65829363B0A8}">
      <text>
        <r>
          <rPr>
            <sz val="9"/>
            <color indexed="81"/>
            <rFont val="Tahoma"/>
            <family val="2"/>
          </rPr>
          <t xml:space="preserve">SD
</t>
        </r>
      </text>
    </comment>
    <comment ref="D36" authorId="0" shapeId="0" xr:uid="{D8B8319F-5961-493A-B1B5-642A5E1C0F89}">
      <text>
        <r>
          <rPr>
            <sz val="9"/>
            <color indexed="81"/>
            <rFont val="Tahoma"/>
            <family val="2"/>
          </rPr>
          <t>Promedio</t>
        </r>
      </text>
    </comment>
    <comment ref="F36" authorId="0" shapeId="0" xr:uid="{1D266829-7BDD-4B1A-B2DA-911203D4A5AA}">
      <text>
        <r>
          <rPr>
            <b/>
            <sz val="9"/>
            <color indexed="81"/>
            <rFont val="Tahoma"/>
            <family val="2"/>
          </rPr>
          <t>Promedio</t>
        </r>
      </text>
    </comment>
    <comment ref="I36" authorId="0" shapeId="0" xr:uid="{75DA815E-99DB-4D68-A8D3-DBE392F43D6E}">
      <text>
        <r>
          <rPr>
            <sz val="9"/>
            <color indexed="81"/>
            <rFont val="Tahoma"/>
            <family val="2"/>
          </rPr>
          <t>Promedio</t>
        </r>
      </text>
    </comment>
    <comment ref="K36" authorId="0" shapeId="0" xr:uid="{B491EC94-1233-49C4-B80C-0676F8E7C753}">
      <text>
        <r>
          <rPr>
            <b/>
            <sz val="9"/>
            <color indexed="81"/>
            <rFont val="Tahoma"/>
            <family val="2"/>
          </rPr>
          <t>Promedio</t>
        </r>
      </text>
    </comment>
    <comment ref="N36" authorId="0" shapeId="0" xr:uid="{8BC17B37-DCEC-4DE7-B647-8BC6669B1251}">
      <text>
        <r>
          <rPr>
            <sz val="9"/>
            <color indexed="81"/>
            <rFont val="Tahoma"/>
            <family val="2"/>
          </rPr>
          <t>Promedio</t>
        </r>
      </text>
    </comment>
    <comment ref="P36" authorId="0" shapeId="0" xr:uid="{C5E74786-0910-42F9-A67A-A23BC59C3C77}">
      <text>
        <r>
          <rPr>
            <b/>
            <sz val="9"/>
            <color indexed="81"/>
            <rFont val="Tahoma"/>
            <family val="2"/>
          </rPr>
          <t>Promedio</t>
        </r>
      </text>
    </comment>
    <comment ref="S36" authorId="0" shapeId="0" xr:uid="{09584ED2-DD6A-4483-AC4D-387572A7659C}">
      <text>
        <r>
          <rPr>
            <sz val="9"/>
            <color indexed="81"/>
            <rFont val="Tahoma"/>
            <family val="2"/>
          </rPr>
          <t>Promedio</t>
        </r>
      </text>
    </comment>
    <comment ref="U36" authorId="0" shapeId="0" xr:uid="{1DFCC86F-31C8-4EEF-808F-7B554A1B178A}">
      <text>
        <r>
          <rPr>
            <b/>
            <sz val="9"/>
            <color indexed="81"/>
            <rFont val="Tahoma"/>
            <family val="2"/>
          </rPr>
          <t>Promedio</t>
        </r>
      </text>
    </comment>
    <comment ref="X36" authorId="0" shapeId="0" xr:uid="{C1484077-1841-4E2A-8E33-632937C28A88}">
      <text>
        <r>
          <rPr>
            <sz val="9"/>
            <color indexed="81"/>
            <rFont val="Tahoma"/>
            <family val="2"/>
          </rPr>
          <t>Promedio</t>
        </r>
      </text>
    </comment>
    <comment ref="Z36" authorId="0" shapeId="0" xr:uid="{A7055993-C4B5-4701-B5D1-48166D75E4FE}">
      <text>
        <r>
          <rPr>
            <b/>
            <sz val="9"/>
            <color indexed="81"/>
            <rFont val="Tahoma"/>
            <family val="2"/>
          </rPr>
          <t>Promedio</t>
        </r>
      </text>
    </comment>
    <comment ref="AC36" authorId="0" shapeId="0" xr:uid="{D08CAA4C-1410-4CC7-9648-CC2E2C180617}">
      <text>
        <r>
          <rPr>
            <sz val="9"/>
            <color indexed="81"/>
            <rFont val="Tahoma"/>
            <family val="2"/>
          </rPr>
          <t>Promedio</t>
        </r>
      </text>
    </comment>
    <comment ref="AE36" authorId="0" shapeId="0" xr:uid="{C21D7434-3F55-4874-A23B-0F87A0100335}">
      <text>
        <r>
          <rPr>
            <b/>
            <sz val="9"/>
            <color indexed="81"/>
            <rFont val="Tahoma"/>
            <family val="2"/>
          </rPr>
          <t>Promedio</t>
        </r>
      </text>
    </comment>
    <comment ref="AH36" authorId="0" shapeId="0" xr:uid="{5EF6589F-0D0E-4A91-833D-FC90232C42E6}">
      <text>
        <r>
          <rPr>
            <b/>
            <sz val="9"/>
            <color indexed="81"/>
            <rFont val="Tahoma"/>
            <family val="2"/>
          </rPr>
          <t>Promedio</t>
        </r>
      </text>
    </comment>
    <comment ref="AJ36" authorId="0" shapeId="0" xr:uid="{704FCF2B-E887-453F-ABE0-4EADD78DEE3A}">
      <text>
        <r>
          <rPr>
            <b/>
            <sz val="9"/>
            <color indexed="81"/>
            <rFont val="Tahoma"/>
            <family val="2"/>
          </rPr>
          <t>Promedio</t>
        </r>
      </text>
    </comment>
    <comment ref="AM36" authorId="0" shapeId="0" xr:uid="{DBC622D1-0F72-46C3-8F71-203D9F5D967D}">
      <text>
        <r>
          <rPr>
            <b/>
            <sz val="9"/>
            <color indexed="81"/>
            <rFont val="Tahoma"/>
            <family val="2"/>
          </rPr>
          <t>Promedio</t>
        </r>
      </text>
    </comment>
    <comment ref="AO36" authorId="0" shapeId="0" xr:uid="{93AE7E86-3BC0-41C8-AF54-7E093F906A1D}">
      <text>
        <r>
          <rPr>
            <b/>
            <sz val="9"/>
            <color indexed="81"/>
            <rFont val="Tahoma"/>
            <family val="2"/>
          </rPr>
          <t>Promedio</t>
        </r>
      </text>
    </comment>
    <comment ref="AR36" authorId="0" shapeId="0" xr:uid="{B41BA1B2-DBC9-4868-9D52-702E8E998AE8}">
      <text>
        <r>
          <rPr>
            <b/>
            <sz val="9"/>
            <color indexed="81"/>
            <rFont val="Tahoma"/>
            <family val="2"/>
          </rPr>
          <t>Promedio</t>
        </r>
      </text>
    </comment>
    <comment ref="AT36" authorId="0" shapeId="0" xr:uid="{01BB2374-631C-44D8-B71D-7CA1E6814A88}">
      <text>
        <r>
          <rPr>
            <b/>
            <sz val="9"/>
            <color indexed="81"/>
            <rFont val="Tahoma"/>
            <family val="2"/>
          </rPr>
          <t>Promedio</t>
        </r>
      </text>
    </comment>
    <comment ref="AW36" authorId="0" shapeId="0" xr:uid="{58E43B30-68B1-4613-8405-81621F8770B1}">
      <text>
        <r>
          <rPr>
            <b/>
            <sz val="9"/>
            <color indexed="81"/>
            <rFont val="Tahoma"/>
            <family val="2"/>
          </rPr>
          <t>Promedio</t>
        </r>
      </text>
    </comment>
    <comment ref="AY36" authorId="0" shapeId="0" xr:uid="{7FF89981-AFAF-44E3-AC44-439E5CF128DD}">
      <text>
        <r>
          <rPr>
            <b/>
            <sz val="9"/>
            <color indexed="81"/>
            <rFont val="Tahoma"/>
            <family val="2"/>
          </rPr>
          <t>Promedio</t>
        </r>
      </text>
    </comment>
    <comment ref="BB36" authorId="0" shapeId="0" xr:uid="{1BF80B5B-24FE-469C-AD15-4DADAF2EEEAB}">
      <text>
        <r>
          <rPr>
            <b/>
            <sz val="9"/>
            <color indexed="81"/>
            <rFont val="Tahoma"/>
            <family val="2"/>
          </rPr>
          <t>Promedio</t>
        </r>
      </text>
    </comment>
    <comment ref="BD36" authorId="0" shapeId="0" xr:uid="{0ACB371E-EE12-41DF-B8B4-D21C7F4B9B46}">
      <text>
        <r>
          <rPr>
            <b/>
            <sz val="9"/>
            <color indexed="81"/>
            <rFont val="Tahoma"/>
            <family val="2"/>
          </rPr>
          <t>Promedio</t>
        </r>
      </text>
    </comment>
    <comment ref="BG36" authorId="0" shapeId="0" xr:uid="{A3C1BA49-A359-46B4-A412-337CD9423C3A}">
      <text>
        <r>
          <rPr>
            <b/>
            <sz val="9"/>
            <color indexed="81"/>
            <rFont val="Tahoma"/>
            <family val="2"/>
          </rPr>
          <t>Promedio</t>
        </r>
      </text>
    </comment>
    <comment ref="BI36" authorId="0" shapeId="0" xr:uid="{9516A286-9B9A-4974-A72B-DCDD8294DD66}">
      <text>
        <r>
          <rPr>
            <b/>
            <sz val="9"/>
            <color indexed="81"/>
            <rFont val="Tahoma"/>
            <family val="2"/>
          </rPr>
          <t>Promedio</t>
        </r>
      </text>
    </comment>
    <comment ref="BN36" authorId="0" shapeId="0" xr:uid="{FFC8AA0B-AC92-42AC-911E-BD38F556FBE4}">
      <text>
        <r>
          <rPr>
            <b/>
            <sz val="9"/>
            <color indexed="81"/>
            <rFont val="Tahoma"/>
            <family val="2"/>
          </rPr>
          <t>Promedio</t>
        </r>
      </text>
    </comment>
  </commentList>
</comments>
</file>

<file path=xl/sharedStrings.xml><?xml version="1.0" encoding="utf-8"?>
<sst xmlns="http://schemas.openxmlformats.org/spreadsheetml/2006/main" count="665" uniqueCount="94">
  <si>
    <t>Entidad</t>
  </si>
  <si>
    <t>Aguascalientes</t>
  </si>
  <si>
    <t>Baja California</t>
  </si>
  <si>
    <t>Baja California Sur</t>
  </si>
  <si>
    <t>Campeche</t>
  </si>
  <si>
    <t>Chiapas</t>
  </si>
  <si>
    <t>Chihuahua</t>
  </si>
  <si>
    <t>Ciudad de México</t>
  </si>
  <si>
    <t>Colima</t>
  </si>
  <si>
    <t>Durango</t>
  </si>
  <si>
    <t>Guanajuato</t>
  </si>
  <si>
    <t>Guerrero</t>
  </si>
  <si>
    <t>Hidalgo</t>
  </si>
  <si>
    <t>Jalisco</t>
  </si>
  <si>
    <t>México</t>
  </si>
  <si>
    <t>Michoacán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</si>
  <si>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</si>
  <si>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</si>
  <si>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</si>
  <si>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</si>
  <si>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</si>
  <si>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</si>
  <si>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</si>
  <si>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</si>
  <si>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</si>
  <si>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</si>
  <si>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</si>
  <si>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</si>
  <si>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</si>
  <si>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Veracruz</t>
  </si>
  <si>
    <t>Yucatán</t>
  </si>
  <si>
    <t>Zacatecas</t>
  </si>
  <si>
    <t xml:space="preserve">Baja California </t>
  </si>
  <si>
    <t>Coahuila</t>
  </si>
  <si>
    <t>Estado de México</t>
  </si>
  <si>
    <t>Nuevo Léon</t>
  </si>
  <si>
    <t>Total</t>
  </si>
  <si>
    <t>Total llamadas por extorsión</t>
  </si>
  <si>
    <t>Extorsiones consumadas</t>
  </si>
  <si>
    <t>Estorsiones no consumadas</t>
  </si>
  <si>
    <t>Denuncia de número que intentó engaño o extorsión pasada</t>
  </si>
  <si>
    <t>Historico de llamadas 911 
2025</t>
  </si>
  <si>
    <t>Entidades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</si>
  <si>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</si>
  <si>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</si>
  <si>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</si>
  <si>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</si>
  <si>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</si>
  <si>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</si>
  <si>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</si>
  <si>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</si>
  <si>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</si>
  <si>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</si>
  <si>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</si>
  <si>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</si>
  <si>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Historico de llamadas 089
2025</t>
  </si>
  <si>
    <t>EQUIPO TECNOLÓGICO</t>
  </si>
  <si>
    <t>Total de PMI</t>
  </si>
  <si>
    <t>Total de cámaras</t>
  </si>
  <si>
    <t>Porcentaje de disponibilidad</t>
  </si>
  <si>
    <t>Total de lectores de placa</t>
  </si>
  <si>
    <t>Tiempo promedio de respuesta (policías)</t>
  </si>
  <si>
    <t>Registro Nacional</t>
  </si>
  <si>
    <t>Observaciones</t>
  </si>
  <si>
    <t>Base Nacional de Carpetas de Investigación de Personas Desaparecidas</t>
  </si>
  <si>
    <t>La aplicación de la Banci comenzó en abril 2026</t>
  </si>
  <si>
    <t>Servicio</t>
  </si>
  <si>
    <t>089</t>
  </si>
  <si>
    <t>EXTORSÓN 089</t>
  </si>
  <si>
    <t>Coahuila de Zaragoza</t>
  </si>
  <si>
    <t>Michoacán de Ocampo</t>
  </si>
  <si>
    <t>Veracruz de Ignacio de la Llave</t>
  </si>
  <si>
    <t>Total general</t>
  </si>
  <si>
    <t>EXTORSIÓN 088</t>
  </si>
  <si>
    <t>1. Suma de casos de extorsiones no consumadas y denuncia de número que intentó engaño o extorsión</t>
  </si>
  <si>
    <t>Extorsiones no consumadas 1</t>
  </si>
  <si>
    <t>LLAMADAS POR EXTORSIÓN 0-8-9
2026</t>
  </si>
  <si>
    <t>Llamadas procedentes 911
2026</t>
  </si>
  <si>
    <t>LLAMADAS POR EXTORSIÓN 0-8-8
2026</t>
  </si>
  <si>
    <t>Extorsiones no consumadas</t>
  </si>
  <si>
    <t xml:space="preserve">Extorsiones no consumadas </t>
  </si>
  <si>
    <t>Total al periodo reportado</t>
  </si>
  <si>
    <t>% respecto al total de llamadas</t>
  </si>
  <si>
    <t>Total
Del periodo de reporte</t>
  </si>
  <si>
    <t>Porcentaje de disponibilidad
(promedio a partir de junio)</t>
  </si>
  <si>
    <t>Acumulado de abril a junio 2026: es de 5,715
Correspondiente al mes de abril 2026:  es de 1,854
Correspondiente al mes de mayo 2026:  es de 1,866
Correspondiente al mes de junio 2026:  es de 1,995</t>
  </si>
  <si>
    <t>*****Información pendiente de actualización*****</t>
  </si>
  <si>
    <t>% respecto al tota del periodo</t>
  </si>
  <si>
    <t>Registro Nacional de Personal de Seguridad Pública**</t>
  </si>
  <si>
    <t>"343,432 policías estatales. Desagregación: 229,384 Corporaciones Estatales de Seguridad Pública 81,110 Fiscalías 32,938 Prevención y Readaptación Social"</t>
  </si>
  <si>
    <t>Fuente: Secretariado Ejecutivo del Sistema Nacional de Seguridad Pública, Centro Nacional de Información, Registro Nacional de Personal de Seguridad Pública conforme a la información suministrada por las entidades federativas y proporcionada por Plataforma México con fecha de corte al 31 julio de 2026, según estatus en "activo".</t>
  </si>
  <si>
    <t>139,057 policías municipales</t>
  </si>
  <si>
    <t>" 2,478 total de municipio (INEGI) 1,818 total de municipios con estado de fuerza municipal 660 municipios sin registros de estado de fuerza"</t>
  </si>
  <si>
    <t>Información al 31 de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</si>
</sst>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%"/>
    <numFmt numFmtId="165" formatCode="_-* #,##0_-;\-* #,##0_-;_-* &quot;-&quot;??_-;_-@_-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0"/>
      <color rgb="FFFFFFFF"/>
      <name val="Noto Sans"/>
      <family val="2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0"/>
      <color rgb="FFFFFFFF"/>
      <name val="Aptos Narrow"/>
      <family val="2"/>
      <scheme val="minor"/>
    </font>
    <font>
      <sz val="9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63242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hair">
        <color theme="6"/>
      </left>
      <right style="hair">
        <color theme="6"/>
      </right>
      <top style="hair">
        <color theme="6"/>
      </top>
      <bottom style="hair">
        <color theme="6"/>
      </bottom>
      <diagonal/>
    </border>
    <border>
      <left style="hair">
        <color theme="6"/>
      </left>
      <right/>
      <top/>
      <bottom/>
      <diagonal/>
    </border>
    <border>
      <left style="hair">
        <color theme="6"/>
      </left>
      <right/>
      <top style="hair">
        <color theme="6"/>
      </top>
      <bottom style="hair">
        <color theme="6"/>
      </bottom>
      <diagonal/>
    </border>
    <border>
      <left/>
      <right/>
      <top style="hair">
        <color theme="6"/>
      </top>
      <bottom style="hair">
        <color theme="6"/>
      </bottom>
      <diagonal/>
    </border>
    <border>
      <left/>
      <right style="hair">
        <color theme="6"/>
      </right>
      <top style="hair">
        <color theme="6"/>
      </top>
      <bottom style="hair">
        <color theme="6"/>
      </bottom>
      <diagonal/>
    </border>
    <border>
      <left style="hair">
        <color theme="6"/>
      </left>
      <right style="hair">
        <color theme="6"/>
      </right>
      <top style="hair">
        <color theme="6"/>
      </top>
      <bottom/>
      <diagonal/>
    </border>
    <border>
      <left style="hair">
        <color theme="6"/>
      </left>
      <right style="hair">
        <color theme="6"/>
      </right>
      <top/>
      <bottom style="hair">
        <color theme="6"/>
      </bottom>
      <diagonal/>
    </border>
    <border>
      <left style="hair">
        <color theme="6"/>
      </left>
      <right/>
      <top/>
      <bottom style="hair">
        <color theme="6"/>
      </bottom>
      <diagonal/>
    </border>
    <border>
      <left/>
      <right/>
      <top/>
      <bottom style="hair">
        <color theme="6"/>
      </bottom>
      <diagonal/>
    </border>
    <border>
      <left/>
      <right style="hair">
        <color theme="6"/>
      </right>
      <top/>
      <bottom style="hair">
        <color theme="6"/>
      </bottom>
      <diagonal/>
    </border>
    <border>
      <left style="thin">
        <color indexed="64"/>
      </left>
      <right/>
      <top/>
      <bottom/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6">
    <xf numFmtId="0" fontId="0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17" fontId="3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5" fillId="2" borderId="0" xfId="0" applyFont="1" applyFill="1"/>
    <xf numFmtId="0" fontId="5" fillId="3" borderId="0" xfId="0" applyFont="1" applyFill="1"/>
    <xf numFmtId="0" fontId="3" fillId="4" borderId="5" xfId="0" applyFont="1" applyFill="1" applyBorder="1" applyAlignment="1">
      <alignment horizontal="center" vertical="center" wrapText="1"/>
    </xf>
    <xf numFmtId="0" fontId="0" fillId="4" borderId="5" xfId="0" applyFill="1" applyBorder="1"/>
    <xf numFmtId="0" fontId="0" fillId="4" borderId="7" xfId="0" applyFill="1" applyBorder="1"/>
    <xf numFmtId="0" fontId="6" fillId="5" borderId="10" xfId="0" applyFont="1" applyFill="1" applyBorder="1" applyAlignment="1">
      <alignment horizontal="center" vertical="center" wrapText="1"/>
    </xf>
    <xf numFmtId="0" fontId="11" fillId="0" borderId="11" xfId="0" applyFont="1" applyBorder="1"/>
    <xf numFmtId="0" fontId="0" fillId="0" borderId="11" xfId="0" applyBorder="1"/>
    <xf numFmtId="0" fontId="10" fillId="7" borderId="11" xfId="0" applyFont="1" applyFill="1" applyBorder="1" applyAlignment="1">
      <alignment horizontal="center"/>
    </xf>
    <xf numFmtId="0" fontId="9" fillId="7" borderId="11" xfId="0" applyFont="1" applyFill="1" applyBorder="1" applyAlignment="1">
      <alignment horizontal="center"/>
    </xf>
    <xf numFmtId="0" fontId="9" fillId="7" borderId="11" xfId="0" applyFont="1" applyFill="1" applyBorder="1" applyAlignment="1">
      <alignment horizontal="right"/>
    </xf>
    <xf numFmtId="0" fontId="9" fillId="7" borderId="0" xfId="0" applyFont="1" applyFill="1" applyAlignment="1">
      <alignment horizontal="center" vertical="center"/>
    </xf>
    <xf numFmtId="0" fontId="11" fillId="0" borderId="0" xfId="0" applyFont="1"/>
    <xf numFmtId="0" fontId="0" fillId="0" borderId="11" xfId="0" applyBorder="1" applyAlignment="1">
      <alignment horizontal="center"/>
    </xf>
    <xf numFmtId="0" fontId="12" fillId="7" borderId="11" xfId="0" applyFont="1" applyFill="1" applyBorder="1" applyAlignment="1">
      <alignment horizontal="center" vertical="center" wrapText="1"/>
    </xf>
    <xf numFmtId="0" fontId="13" fillId="7" borderId="13" xfId="0" applyFont="1" applyFill="1" applyBorder="1" applyAlignment="1">
      <alignment horizontal="center" vertical="center" wrapText="1"/>
    </xf>
    <xf numFmtId="0" fontId="13" fillId="7" borderId="14" xfId="0" applyFont="1" applyFill="1" applyBorder="1" applyAlignment="1">
      <alignment horizontal="center" vertical="center" wrapText="1"/>
    </xf>
    <xf numFmtId="0" fontId="13" fillId="7" borderId="15" xfId="0" applyFont="1" applyFill="1" applyBorder="1" applyAlignment="1">
      <alignment horizontal="center" vertical="center" wrapText="1"/>
    </xf>
    <xf numFmtId="164" fontId="9" fillId="7" borderId="0" xfId="4" applyNumberFormat="1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6" borderId="11" xfId="0" applyFont="1" applyFill="1" applyBorder="1" applyAlignment="1">
      <alignment horizontal="center"/>
    </xf>
    <xf numFmtId="0" fontId="14" fillId="6" borderId="11" xfId="0" applyFont="1" applyFill="1" applyBorder="1" applyAlignment="1">
      <alignment horizontal="center" vertical="center" wrapText="1"/>
    </xf>
    <xf numFmtId="43" fontId="0" fillId="0" borderId="11" xfId="5" applyFont="1" applyBorder="1"/>
    <xf numFmtId="165" fontId="0" fillId="0" borderId="11" xfId="5" applyNumberFormat="1" applyFont="1" applyBorder="1"/>
    <xf numFmtId="165" fontId="9" fillId="7" borderId="0" xfId="5" applyNumberFormat="1" applyFont="1" applyFill="1" applyAlignment="1">
      <alignment horizontal="center" vertical="center"/>
    </xf>
    <xf numFmtId="165" fontId="9" fillId="7" borderId="11" xfId="5" applyNumberFormat="1" applyFont="1" applyFill="1" applyBorder="1" applyAlignment="1">
      <alignment horizontal="center"/>
    </xf>
    <xf numFmtId="165" fontId="0" fillId="0" borderId="11" xfId="5" applyNumberFormat="1" applyFont="1" applyBorder="1" applyAlignment="1">
      <alignment horizontal="center"/>
    </xf>
    <xf numFmtId="43" fontId="0" fillId="0" borderId="11" xfId="5" applyFont="1" applyBorder="1" applyAlignment="1">
      <alignment horizontal="center" vertical="center"/>
    </xf>
    <xf numFmtId="165" fontId="0" fillId="0" borderId="11" xfId="5" applyNumberFormat="1" applyFont="1" applyBorder="1" applyAlignment="1">
      <alignment horizontal="center" vertical="center"/>
    </xf>
    <xf numFmtId="0" fontId="9" fillId="7" borderId="11" xfId="0" applyFont="1" applyFill="1" applyBorder="1" applyAlignment="1">
      <alignment horizontal="center" vertical="center"/>
    </xf>
    <xf numFmtId="165" fontId="9" fillId="7" borderId="11" xfId="5" applyNumberFormat="1" applyFont="1" applyFill="1" applyBorder="1" applyAlignment="1">
      <alignment horizontal="center" vertical="center"/>
    </xf>
    <xf numFmtId="0" fontId="9" fillId="7" borderId="11" xfId="0" applyFont="1" applyFill="1" applyBorder="1" applyAlignment="1">
      <alignment horizontal="right" wrapText="1"/>
    </xf>
    <xf numFmtId="0" fontId="9" fillId="7" borderId="16" xfId="0" applyFont="1" applyFill="1" applyBorder="1" applyAlignment="1">
      <alignment horizontal="right"/>
    </xf>
    <xf numFmtId="165" fontId="9" fillId="7" borderId="16" xfId="5" applyNumberFormat="1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right" wrapText="1"/>
    </xf>
    <xf numFmtId="0" fontId="0" fillId="6" borderId="0" xfId="0" applyFill="1"/>
    <xf numFmtId="164" fontId="9" fillId="6" borderId="22" xfId="4" applyNumberFormat="1" applyFont="1" applyFill="1" applyBorder="1" applyAlignment="1">
      <alignment horizontal="center" vertical="center"/>
    </xf>
    <xf numFmtId="164" fontId="9" fillId="7" borderId="22" xfId="0" applyNumberFormat="1" applyFont="1" applyFill="1" applyBorder="1" applyAlignment="1">
      <alignment horizontal="center" vertical="center"/>
    </xf>
    <xf numFmtId="164" fontId="9" fillId="7" borderId="22" xfId="4" applyNumberFormat="1" applyFont="1" applyFill="1" applyBorder="1" applyAlignment="1">
      <alignment horizontal="center" vertical="center"/>
    </xf>
    <xf numFmtId="21" fontId="9" fillId="7" borderId="13" xfId="0" applyNumberFormat="1" applyFont="1" applyFill="1" applyBorder="1" applyAlignment="1">
      <alignment horizontal="center"/>
    </xf>
    <xf numFmtId="0" fontId="13" fillId="6" borderId="23" xfId="0" applyFont="1" applyFill="1" applyBorder="1" applyAlignment="1">
      <alignment horizontal="center" vertical="center" wrapText="1"/>
    </xf>
    <xf numFmtId="21" fontId="9" fillId="6" borderId="23" xfId="0" applyNumberFormat="1" applyFont="1" applyFill="1" applyBorder="1"/>
    <xf numFmtId="9" fontId="0" fillId="0" borderId="11" xfId="4" applyFont="1" applyBorder="1"/>
    <xf numFmtId="9" fontId="9" fillId="7" borderId="11" xfId="4" applyFont="1" applyFill="1" applyBorder="1" applyAlignment="1">
      <alignment horizontal="center"/>
    </xf>
    <xf numFmtId="164" fontId="9" fillId="7" borderId="11" xfId="4" applyNumberFormat="1" applyFont="1" applyFill="1" applyBorder="1" applyAlignment="1">
      <alignment horizontal="center"/>
    </xf>
    <xf numFmtId="9" fontId="9" fillId="6" borderId="11" xfId="4" applyFont="1" applyFill="1" applyBorder="1" applyAlignment="1">
      <alignment horizontal="center"/>
    </xf>
    <xf numFmtId="21" fontId="9" fillId="6" borderId="13" xfId="0" applyNumberFormat="1" applyFont="1" applyFill="1" applyBorder="1" applyAlignment="1">
      <alignment horizontal="center"/>
    </xf>
    <xf numFmtId="9" fontId="9" fillId="6" borderId="23" xfId="4" applyFont="1" applyFill="1" applyBorder="1" applyAlignment="1">
      <alignment horizontal="center" vertical="center"/>
    </xf>
    <xf numFmtId="21" fontId="0" fillId="0" borderId="11" xfId="5" applyNumberFormat="1" applyFont="1" applyBorder="1"/>
    <xf numFmtId="165" fontId="9" fillId="6" borderId="23" xfId="5" applyNumberFormat="1" applyFont="1" applyFill="1" applyBorder="1" applyAlignment="1">
      <alignment horizontal="center" vertical="center"/>
    </xf>
    <xf numFmtId="165" fontId="9" fillId="6" borderId="23" xfId="5" applyNumberFormat="1" applyFont="1" applyFill="1" applyBorder="1" applyAlignment="1">
      <alignment horizontal="center"/>
    </xf>
    <xf numFmtId="165" fontId="9" fillId="6" borderId="11" xfId="5" applyNumberFormat="1" applyFont="1" applyFill="1" applyBorder="1" applyAlignment="1">
      <alignment horizontal="center"/>
    </xf>
    <xf numFmtId="0" fontId="12" fillId="8" borderId="11" xfId="0" applyFont="1" applyFill="1" applyBorder="1" applyAlignment="1">
      <alignment horizontal="center" vertical="center" wrapText="1"/>
    </xf>
    <xf numFmtId="0" fontId="13" fillId="8" borderId="13" xfId="0" applyFont="1" applyFill="1" applyBorder="1" applyAlignment="1">
      <alignment horizontal="center" vertical="center" wrapText="1"/>
    </xf>
    <xf numFmtId="0" fontId="13" fillId="8" borderId="14" xfId="0" applyFont="1" applyFill="1" applyBorder="1" applyAlignment="1">
      <alignment horizontal="center" vertical="center" wrapText="1"/>
    </xf>
    <xf numFmtId="0" fontId="13" fillId="8" borderId="15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8" fillId="9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0" fillId="7" borderId="11" xfId="0" applyFont="1" applyFill="1" applyBorder="1" applyAlignment="1">
      <alignment horizontal="center" vertical="center" wrapText="1"/>
    </xf>
    <xf numFmtId="0" fontId="9" fillId="7" borderId="12" xfId="0" applyFont="1" applyFill="1" applyBorder="1" applyAlignment="1">
      <alignment horizontal="center" vertical="center"/>
    </xf>
    <xf numFmtId="0" fontId="9" fillId="6" borderId="12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0" fontId="10" fillId="7" borderId="13" xfId="0" applyFont="1" applyFill="1" applyBorder="1" applyAlignment="1">
      <alignment horizontal="center"/>
    </xf>
    <xf numFmtId="0" fontId="10" fillId="7" borderId="14" xfId="0" applyFont="1" applyFill="1" applyBorder="1" applyAlignment="1">
      <alignment horizontal="center"/>
    </xf>
    <xf numFmtId="0" fontId="10" fillId="7" borderId="15" xfId="0" applyFont="1" applyFill="1" applyBorder="1" applyAlignment="1">
      <alignment horizontal="center"/>
    </xf>
    <xf numFmtId="0" fontId="10" fillId="8" borderId="13" xfId="0" applyFont="1" applyFill="1" applyBorder="1" applyAlignment="1">
      <alignment horizontal="center"/>
    </xf>
    <xf numFmtId="0" fontId="10" fillId="8" borderId="14" xfId="0" applyFont="1" applyFill="1" applyBorder="1" applyAlignment="1">
      <alignment horizontal="center"/>
    </xf>
    <xf numFmtId="0" fontId="10" fillId="8" borderId="15" xfId="0" applyFont="1" applyFill="1" applyBorder="1" applyAlignment="1">
      <alignment horizontal="center"/>
    </xf>
    <xf numFmtId="0" fontId="10" fillId="7" borderId="18" xfId="0" applyFont="1" applyFill="1" applyBorder="1" applyAlignment="1">
      <alignment horizontal="center" vertical="center" wrapText="1"/>
    </xf>
    <xf numFmtId="0" fontId="10" fillId="7" borderId="19" xfId="0" applyFont="1" applyFill="1" applyBorder="1" applyAlignment="1">
      <alignment horizontal="center" vertical="center" wrapText="1"/>
    </xf>
    <xf numFmtId="0" fontId="10" fillId="7" borderId="20" xfId="0" applyFont="1" applyFill="1" applyBorder="1" applyAlignment="1">
      <alignment horizontal="center" vertical="center" wrapText="1"/>
    </xf>
    <xf numFmtId="0" fontId="10" fillId="7" borderId="16" xfId="0" applyFont="1" applyFill="1" applyBorder="1" applyAlignment="1">
      <alignment horizontal="center" vertical="center"/>
    </xf>
    <xf numFmtId="0" fontId="10" fillId="7" borderId="17" xfId="0" applyFont="1" applyFill="1" applyBorder="1" applyAlignment="1">
      <alignment horizontal="center" vertical="center"/>
    </xf>
    <xf numFmtId="0" fontId="9" fillId="6" borderId="23" xfId="0" applyFont="1" applyFill="1" applyBorder="1" applyAlignment="1">
      <alignment horizontal="center" vertical="center" wrapText="1"/>
    </xf>
    <xf numFmtId="0" fontId="9" fillId="6" borderId="23" xfId="0" applyFont="1" applyFill="1" applyBorder="1" applyAlignment="1">
      <alignment horizontal="center" vertical="center"/>
    </xf>
    <xf numFmtId="0" fontId="10" fillId="7" borderId="13" xfId="0" applyFont="1" applyFill="1" applyBorder="1" applyAlignment="1">
      <alignment horizontal="center" vertical="center" wrapText="1"/>
    </xf>
    <xf numFmtId="17" fontId="4" fillId="0" borderId="2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7" fontId="4" fillId="0" borderId="2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7" fontId="4" fillId="0" borderId="3" xfId="0" applyNumberFormat="1" applyFont="1" applyBorder="1" applyAlignment="1">
      <alignment horizontal="center" vertical="center"/>
    </xf>
    <xf numFmtId="17" fontId="4" fillId="0" borderId="4" xfId="0" applyNumberFormat="1" applyFont="1" applyBorder="1" applyAlignment="1">
      <alignment horizontal="center" vertical="center"/>
    </xf>
  </cellXfs>
  <cellStyles count="6">
    <cellStyle name="Millares" xfId="5" builtinId="3"/>
    <cellStyle name="Millares 2" xfId="3" xr:uid="{EC3DB509-2943-487C-B89F-9529823ABA59}"/>
    <cellStyle name="Normal" xfId="0" builtinId="0"/>
    <cellStyle name="Normal 2" xfId="1" xr:uid="{E87DDB65-E839-41E8-A2AF-34CD9CE89E89}"/>
    <cellStyle name="Porcentaje" xfId="4" builtinId="5"/>
    <cellStyle name="Porcentaje 2" xfId="2" xr:uid="{12BC75B3-8E5F-407F-ADCB-4CCBFF21DC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spcgob.sharepoint.com/10.39.2.107/Mensual%20y%20trimestral/TABASCO/Copia%20de%20Estructura%20program&#225;tica%20presupuestal%20FASP%202017%2016-01-201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ALDO%20CERO%20ENERO-DIC%202016\11-NOV\FASP%202015%20NOV%201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spcgob.sharepoint.com/10.237.159.128/mensual%20y%20trimestral/Users/dasanchez/AppData/Local/Microsoft/Windows/Temporary%20Internet%20Files/Content.Outlook/JZKSLYX7/PLANTILLA%20SSYE%202018%20Eredi%20-%202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spcgob.sharepoint.com/Users/dasanchez/AppData/Local/Microsoft/Windows/Temporary%20Internet%20Files/Content.Outlook/JZKSLYX7/PLANTILLA%20SSYE%202018%20Eredi%20-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junto 2017"/>
      <sheetName val="CENEPRED"/>
      <sheetName val="C4"/>
      <sheetName val="SESESP"/>
      <sheetName val="SSP"/>
      <sheetName val="RESUMEN"/>
      <sheetName val="FGE"/>
    </sheetNames>
    <sheetDataSet>
      <sheetData sheetId="0" refreshError="1"/>
      <sheetData sheetId="1">
        <row r="63">
          <cell r="O63">
            <v>56726</v>
          </cell>
        </row>
      </sheetData>
      <sheetData sheetId="2">
        <row r="55">
          <cell r="B55">
            <v>2017</v>
          </cell>
          <cell r="C55">
            <v>8300</v>
          </cell>
          <cell r="D55">
            <v>2</v>
          </cell>
          <cell r="E55">
            <v>3</v>
          </cell>
          <cell r="K55" t="str">
            <v>Tecnologías, Infraestructura y Equipamiento de Apoyo a la Operación Policial</v>
          </cell>
          <cell r="L55">
            <v>26266852</v>
          </cell>
          <cell r="M55">
            <v>0</v>
          </cell>
          <cell r="N55">
            <v>26266852</v>
          </cell>
          <cell r="O55">
            <v>1105000</v>
          </cell>
          <cell r="P55">
            <v>0</v>
          </cell>
          <cell r="Q55">
            <v>1105000</v>
          </cell>
          <cell r="R55">
            <v>27371852</v>
          </cell>
        </row>
        <row r="56">
          <cell r="A56">
            <v>1</v>
          </cell>
          <cell r="B56">
            <v>2017</v>
          </cell>
          <cell r="C56">
            <v>8300</v>
          </cell>
          <cell r="D56">
            <v>2</v>
          </cell>
          <cell r="E56">
            <v>3</v>
          </cell>
          <cell r="F56">
            <v>1</v>
          </cell>
          <cell r="K56" t="str">
            <v>Red Nacional de Radiocomunicación</v>
          </cell>
          <cell r="L56">
            <v>21357119</v>
          </cell>
          <cell r="M56">
            <v>0</v>
          </cell>
          <cell r="N56">
            <v>21357119</v>
          </cell>
          <cell r="O56">
            <v>1105000</v>
          </cell>
          <cell r="P56">
            <v>0</v>
          </cell>
          <cell r="Q56">
            <v>1105000</v>
          </cell>
          <cell r="R56">
            <v>22462119</v>
          </cell>
        </row>
        <row r="57">
          <cell r="A57">
            <v>2</v>
          </cell>
          <cell r="B57">
            <v>2017</v>
          </cell>
          <cell r="C57">
            <v>8300</v>
          </cell>
          <cell r="D57">
            <v>2</v>
          </cell>
          <cell r="E57">
            <v>3</v>
          </cell>
          <cell r="F57">
            <v>1</v>
          </cell>
          <cell r="G57">
            <v>1000</v>
          </cell>
          <cell r="K57" t="str">
            <v>SERVICIOS PERSONALES</v>
          </cell>
          <cell r="L57">
            <v>0</v>
          </cell>
          <cell r="M57">
            <v>0</v>
          </cell>
          <cell r="N57">
            <v>0</v>
          </cell>
          <cell r="O57">
            <v>1105000</v>
          </cell>
          <cell r="P57">
            <v>0</v>
          </cell>
          <cell r="Q57">
            <v>1105000</v>
          </cell>
          <cell r="R57">
            <v>1105000</v>
          </cell>
        </row>
        <row r="58">
          <cell r="A58">
            <v>3</v>
          </cell>
          <cell r="B58">
            <v>2017</v>
          </cell>
          <cell r="C58">
            <v>8300</v>
          </cell>
          <cell r="D58">
            <v>2</v>
          </cell>
          <cell r="E58">
            <v>3</v>
          </cell>
          <cell r="F58">
            <v>1</v>
          </cell>
          <cell r="G58">
            <v>1000</v>
          </cell>
          <cell r="H58">
            <v>1200</v>
          </cell>
          <cell r="K58" t="str">
            <v>Remuneraciones al Personal de Carácter Transitorio</v>
          </cell>
          <cell r="L58">
            <v>0</v>
          </cell>
          <cell r="M58">
            <v>0</v>
          </cell>
          <cell r="N58">
            <v>0</v>
          </cell>
          <cell r="O58">
            <v>1105000</v>
          </cell>
          <cell r="P58">
            <v>0</v>
          </cell>
          <cell r="Q58">
            <v>1105000</v>
          </cell>
          <cell r="R58">
            <v>1105000</v>
          </cell>
        </row>
        <row r="59">
          <cell r="A59">
            <v>4</v>
          </cell>
          <cell r="B59">
            <v>2017</v>
          </cell>
          <cell r="C59">
            <v>8300</v>
          </cell>
          <cell r="D59">
            <v>2</v>
          </cell>
          <cell r="E59">
            <v>3</v>
          </cell>
          <cell r="F59">
            <v>1</v>
          </cell>
          <cell r="G59">
            <v>1000</v>
          </cell>
          <cell r="H59">
            <v>1200</v>
          </cell>
          <cell r="I59">
            <v>121</v>
          </cell>
          <cell r="K59" t="str">
            <v>Honorarios asimilables a salarios</v>
          </cell>
          <cell r="L59">
            <v>0</v>
          </cell>
          <cell r="M59">
            <v>0</v>
          </cell>
          <cell r="N59">
            <v>0</v>
          </cell>
          <cell r="O59">
            <v>1105000</v>
          </cell>
          <cell r="P59">
            <v>0</v>
          </cell>
          <cell r="Q59">
            <v>1105000</v>
          </cell>
          <cell r="R59">
            <v>1105000</v>
          </cell>
        </row>
        <row r="60">
          <cell r="A60">
            <v>5</v>
          </cell>
          <cell r="B60">
            <v>2017</v>
          </cell>
          <cell r="C60">
            <v>8300</v>
          </cell>
          <cell r="D60">
            <v>2</v>
          </cell>
          <cell r="E60">
            <v>3</v>
          </cell>
          <cell r="F60">
            <v>1</v>
          </cell>
          <cell r="G60">
            <v>1000</v>
          </cell>
          <cell r="H60">
            <v>1200</v>
          </cell>
          <cell r="I60">
            <v>121</v>
          </cell>
          <cell r="J60">
            <v>1</v>
          </cell>
          <cell r="K60" t="str">
            <v>Honorarios</v>
          </cell>
          <cell r="L60">
            <v>0</v>
          </cell>
          <cell r="M60">
            <v>0</v>
          </cell>
          <cell r="N60">
            <v>0</v>
          </cell>
          <cell r="O60">
            <v>1105000</v>
          </cell>
          <cell r="P60">
            <v>0</v>
          </cell>
          <cell r="Q60">
            <v>1105000</v>
          </cell>
          <cell r="R60">
            <v>1105000</v>
          </cell>
          <cell r="S60" t="str">
            <v>Persona</v>
          </cell>
          <cell r="T60">
            <v>8</v>
          </cell>
          <cell r="U60">
            <v>8</v>
          </cell>
          <cell r="V60" t="str">
            <v>AE</v>
          </cell>
        </row>
        <row r="61">
          <cell r="A61">
            <v>6</v>
          </cell>
          <cell r="B61">
            <v>2017</v>
          </cell>
          <cell r="C61">
            <v>8300</v>
          </cell>
          <cell r="D61">
            <v>2</v>
          </cell>
          <cell r="E61">
            <v>3</v>
          </cell>
          <cell r="F61">
            <v>1</v>
          </cell>
          <cell r="G61">
            <v>1000</v>
          </cell>
          <cell r="H61">
            <v>1200</v>
          </cell>
          <cell r="I61">
            <v>122</v>
          </cell>
          <cell r="K61" t="str">
            <v>Sueldos base al personal eventual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</row>
        <row r="62">
          <cell r="A62">
            <v>7</v>
          </cell>
          <cell r="B62">
            <v>2017</v>
          </cell>
          <cell r="C62">
            <v>8300</v>
          </cell>
          <cell r="D62">
            <v>2</v>
          </cell>
          <cell r="E62">
            <v>3</v>
          </cell>
          <cell r="F62">
            <v>1</v>
          </cell>
          <cell r="G62">
            <v>1000</v>
          </cell>
          <cell r="H62">
            <v>1200</v>
          </cell>
          <cell r="I62">
            <v>122</v>
          </cell>
          <cell r="J62">
            <v>1</v>
          </cell>
          <cell r="K62" t="str">
            <v>Sueldo base al personal eventual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 t="str">
            <v>Persona</v>
          </cell>
          <cell r="V62" t="str">
            <v>AE</v>
          </cell>
        </row>
        <row r="63">
          <cell r="A63">
            <v>8</v>
          </cell>
          <cell r="B63">
            <v>2017</v>
          </cell>
          <cell r="C63">
            <v>8300</v>
          </cell>
          <cell r="D63">
            <v>2</v>
          </cell>
          <cell r="E63">
            <v>3</v>
          </cell>
          <cell r="F63">
            <v>1</v>
          </cell>
          <cell r="G63">
            <v>2000</v>
          </cell>
          <cell r="K63" t="str">
            <v>MATERIALES Y SUMINISTROS</v>
          </cell>
          <cell r="L63">
            <v>668518</v>
          </cell>
          <cell r="M63">
            <v>0</v>
          </cell>
          <cell r="N63">
            <v>668518</v>
          </cell>
          <cell r="O63">
            <v>0</v>
          </cell>
          <cell r="P63">
            <v>0</v>
          </cell>
          <cell r="Q63">
            <v>0</v>
          </cell>
          <cell r="R63">
            <v>668518</v>
          </cell>
        </row>
        <row r="64">
          <cell r="A64">
            <v>9</v>
          </cell>
          <cell r="B64">
            <v>2017</v>
          </cell>
          <cell r="C64">
            <v>8300</v>
          </cell>
          <cell r="D64">
            <v>2</v>
          </cell>
          <cell r="E64">
            <v>3</v>
          </cell>
          <cell r="F64">
            <v>1</v>
          </cell>
          <cell r="G64">
            <v>2000</v>
          </cell>
          <cell r="H64">
            <v>2100</v>
          </cell>
          <cell r="K64" t="str">
            <v>Materiales de Administración, Emisión de Documentos y Artículos Oficiales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</row>
        <row r="65">
          <cell r="A65">
            <v>10</v>
          </cell>
          <cell r="B65">
            <v>2017</v>
          </cell>
          <cell r="C65">
            <v>8300</v>
          </cell>
          <cell r="D65">
            <v>2</v>
          </cell>
          <cell r="E65">
            <v>3</v>
          </cell>
          <cell r="F65">
            <v>1</v>
          </cell>
          <cell r="G65">
            <v>2000</v>
          </cell>
          <cell r="H65">
            <v>2100</v>
          </cell>
          <cell r="I65">
            <v>211</v>
          </cell>
          <cell r="K65" t="str">
            <v>Materiales, útiles y equipos menores de oficina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</row>
        <row r="66">
          <cell r="A66">
            <v>11</v>
          </cell>
          <cell r="B66">
            <v>2017</v>
          </cell>
          <cell r="C66">
            <v>8300</v>
          </cell>
          <cell r="D66">
            <v>2</v>
          </cell>
          <cell r="E66">
            <v>3</v>
          </cell>
          <cell r="F66">
            <v>1</v>
          </cell>
          <cell r="G66">
            <v>2000</v>
          </cell>
          <cell r="H66">
            <v>2100</v>
          </cell>
          <cell r="I66">
            <v>211</v>
          </cell>
          <cell r="J66">
            <v>1</v>
          </cell>
          <cell r="K66" t="str">
            <v>Materiales y útiles de oficina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 t="str">
            <v>Lote</v>
          </cell>
          <cell r="V66" t="str">
            <v>AE</v>
          </cell>
        </row>
        <row r="67">
          <cell r="A67">
            <v>12</v>
          </cell>
          <cell r="B67">
            <v>2017</v>
          </cell>
          <cell r="C67">
            <v>8300</v>
          </cell>
          <cell r="D67">
            <v>2</v>
          </cell>
          <cell r="E67">
            <v>3</v>
          </cell>
          <cell r="F67">
            <v>1</v>
          </cell>
          <cell r="G67">
            <v>2000</v>
          </cell>
          <cell r="H67">
            <v>2100</v>
          </cell>
          <cell r="I67">
            <v>214</v>
          </cell>
          <cell r="K67" t="str">
            <v>Materiales, útiles y equipos menores de tecnologías de la información y comunicaciones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</row>
        <row r="68">
          <cell r="A68">
            <v>13</v>
          </cell>
          <cell r="B68">
            <v>2017</v>
          </cell>
          <cell r="C68">
            <v>8300</v>
          </cell>
          <cell r="D68">
            <v>2</v>
          </cell>
          <cell r="E68">
            <v>3</v>
          </cell>
          <cell r="F68">
            <v>1</v>
          </cell>
          <cell r="G68">
            <v>2000</v>
          </cell>
          <cell r="H68">
            <v>2100</v>
          </cell>
          <cell r="I68">
            <v>214</v>
          </cell>
          <cell r="J68">
            <v>1</v>
          </cell>
          <cell r="K68" t="str">
            <v>Materiales y útiles para el procesamiento en equipos y bienes informáticos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 t="str">
            <v>Lote</v>
          </cell>
          <cell r="V68" t="str">
            <v>AE</v>
          </cell>
        </row>
        <row r="69">
          <cell r="A69">
            <v>14</v>
          </cell>
          <cell r="B69">
            <v>2017</v>
          </cell>
          <cell r="C69">
            <v>8300</v>
          </cell>
          <cell r="D69">
            <v>2</v>
          </cell>
          <cell r="E69">
            <v>3</v>
          </cell>
          <cell r="F69">
            <v>1</v>
          </cell>
          <cell r="G69">
            <v>2000</v>
          </cell>
          <cell r="H69">
            <v>2400</v>
          </cell>
          <cell r="K69" t="str">
            <v>Materiales y artículos de construcción y de reparación</v>
          </cell>
          <cell r="L69">
            <v>668518</v>
          </cell>
          <cell r="M69">
            <v>0</v>
          </cell>
          <cell r="N69">
            <v>668518</v>
          </cell>
          <cell r="O69">
            <v>0</v>
          </cell>
          <cell r="P69">
            <v>0</v>
          </cell>
          <cell r="Q69">
            <v>0</v>
          </cell>
          <cell r="R69">
            <v>668518</v>
          </cell>
        </row>
        <row r="70">
          <cell r="A70">
            <v>15</v>
          </cell>
          <cell r="B70">
            <v>2017</v>
          </cell>
          <cell r="C70">
            <v>8300</v>
          </cell>
          <cell r="D70">
            <v>2</v>
          </cell>
          <cell r="E70">
            <v>3</v>
          </cell>
          <cell r="F70">
            <v>1</v>
          </cell>
          <cell r="G70">
            <v>2000</v>
          </cell>
          <cell r="H70">
            <v>2400</v>
          </cell>
          <cell r="I70">
            <v>246</v>
          </cell>
          <cell r="K70" t="str">
            <v>Material eléctrico y electrónico</v>
          </cell>
          <cell r="L70">
            <v>668518</v>
          </cell>
          <cell r="M70">
            <v>0</v>
          </cell>
          <cell r="N70">
            <v>668518</v>
          </cell>
          <cell r="O70">
            <v>0</v>
          </cell>
          <cell r="P70">
            <v>0</v>
          </cell>
          <cell r="Q70">
            <v>0</v>
          </cell>
          <cell r="R70">
            <v>668518</v>
          </cell>
        </row>
        <row r="71">
          <cell r="A71">
            <v>16</v>
          </cell>
          <cell r="B71">
            <v>2017</v>
          </cell>
          <cell r="C71">
            <v>8300</v>
          </cell>
          <cell r="D71">
            <v>2</v>
          </cell>
          <cell r="E71">
            <v>3</v>
          </cell>
          <cell r="F71">
            <v>1</v>
          </cell>
          <cell r="G71">
            <v>2000</v>
          </cell>
          <cell r="H71">
            <v>2400</v>
          </cell>
          <cell r="I71">
            <v>246</v>
          </cell>
          <cell r="J71">
            <v>1</v>
          </cell>
          <cell r="K71" t="str">
            <v>Material eléctrico y electrónico</v>
          </cell>
          <cell r="L71">
            <v>668518</v>
          </cell>
          <cell r="M71">
            <v>0</v>
          </cell>
          <cell r="N71">
            <v>668518</v>
          </cell>
          <cell r="O71">
            <v>0</v>
          </cell>
          <cell r="P71">
            <v>0</v>
          </cell>
          <cell r="Q71">
            <v>0</v>
          </cell>
          <cell r="R71">
            <v>668518</v>
          </cell>
          <cell r="S71" t="str">
            <v>Lote</v>
          </cell>
          <cell r="T71">
            <v>3</v>
          </cell>
          <cell r="V71" t="str">
            <v>FC</v>
          </cell>
        </row>
        <row r="72">
          <cell r="A72">
            <v>17</v>
          </cell>
          <cell r="B72">
            <v>2017</v>
          </cell>
          <cell r="C72">
            <v>8300</v>
          </cell>
          <cell r="D72">
            <v>2</v>
          </cell>
          <cell r="E72">
            <v>3</v>
          </cell>
          <cell r="F72">
            <v>1</v>
          </cell>
          <cell r="G72">
            <v>2000</v>
          </cell>
          <cell r="H72">
            <v>2600</v>
          </cell>
          <cell r="K72" t="str">
            <v>Combustibles, lubricantes y aditivos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</row>
        <row r="73">
          <cell r="A73">
            <v>18</v>
          </cell>
          <cell r="B73">
            <v>2017</v>
          </cell>
          <cell r="C73">
            <v>8300</v>
          </cell>
          <cell r="D73">
            <v>2</v>
          </cell>
          <cell r="E73">
            <v>3</v>
          </cell>
          <cell r="F73">
            <v>1</v>
          </cell>
          <cell r="G73">
            <v>2000</v>
          </cell>
          <cell r="H73">
            <v>2600</v>
          </cell>
          <cell r="I73">
            <v>261</v>
          </cell>
          <cell r="K73" t="str">
            <v>Combustibles, lubricantes y aditivos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</row>
        <row r="74">
          <cell r="A74">
            <v>19</v>
          </cell>
          <cell r="B74">
            <v>2017</v>
          </cell>
          <cell r="C74">
            <v>8300</v>
          </cell>
          <cell r="D74">
            <v>2</v>
          </cell>
          <cell r="E74">
            <v>3</v>
          </cell>
          <cell r="F74">
            <v>1</v>
          </cell>
          <cell r="G74">
            <v>2000</v>
          </cell>
          <cell r="H74">
            <v>2600</v>
          </cell>
          <cell r="I74">
            <v>261</v>
          </cell>
          <cell r="J74">
            <v>1</v>
          </cell>
          <cell r="K74" t="str">
            <v>Gasolina y diésel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 t="str">
            <v>Litro</v>
          </cell>
          <cell r="V74" t="str">
            <v>AE</v>
          </cell>
        </row>
        <row r="75">
          <cell r="A75">
            <v>20</v>
          </cell>
          <cell r="B75">
            <v>2017</v>
          </cell>
          <cell r="C75">
            <v>8300</v>
          </cell>
          <cell r="D75">
            <v>2</v>
          </cell>
          <cell r="E75">
            <v>3</v>
          </cell>
          <cell r="F75">
            <v>1</v>
          </cell>
          <cell r="G75">
            <v>2000</v>
          </cell>
          <cell r="H75">
            <v>2600</v>
          </cell>
          <cell r="I75">
            <v>261</v>
          </cell>
          <cell r="J75">
            <v>2</v>
          </cell>
          <cell r="K75" t="str">
            <v>Lubricantes y aditivos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 t="str">
            <v>Litro</v>
          </cell>
          <cell r="V75" t="str">
            <v>AE</v>
          </cell>
        </row>
        <row r="76">
          <cell r="A76">
            <v>21</v>
          </cell>
          <cell r="B76">
            <v>2017</v>
          </cell>
          <cell r="C76">
            <v>8300</v>
          </cell>
          <cell r="D76">
            <v>2</v>
          </cell>
          <cell r="E76">
            <v>3</v>
          </cell>
          <cell r="F76">
            <v>1</v>
          </cell>
          <cell r="G76">
            <v>2000</v>
          </cell>
          <cell r="H76">
            <v>2900</v>
          </cell>
          <cell r="K76" t="str">
            <v>Herramientas, Refacciones y Accesorios Menores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</row>
        <row r="77">
          <cell r="A77">
            <v>22</v>
          </cell>
          <cell r="B77">
            <v>2017</v>
          </cell>
          <cell r="C77">
            <v>8300</v>
          </cell>
          <cell r="D77">
            <v>2</v>
          </cell>
          <cell r="E77">
            <v>3</v>
          </cell>
          <cell r="F77">
            <v>1</v>
          </cell>
          <cell r="G77">
            <v>2000</v>
          </cell>
          <cell r="H77">
            <v>2900</v>
          </cell>
          <cell r="I77">
            <v>291</v>
          </cell>
          <cell r="K77" t="str">
            <v>Herramientas menores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</row>
        <row r="78">
          <cell r="A78">
            <v>23</v>
          </cell>
          <cell r="B78">
            <v>2017</v>
          </cell>
          <cell r="C78">
            <v>8300</v>
          </cell>
          <cell r="D78">
            <v>2</v>
          </cell>
          <cell r="E78">
            <v>3</v>
          </cell>
          <cell r="F78">
            <v>1</v>
          </cell>
          <cell r="G78">
            <v>2000</v>
          </cell>
          <cell r="H78">
            <v>2900</v>
          </cell>
          <cell r="I78">
            <v>291</v>
          </cell>
          <cell r="J78">
            <v>1</v>
          </cell>
          <cell r="K78" t="str">
            <v>Herramientas menores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 t="str">
            <v>Lote</v>
          </cell>
          <cell r="V78" t="str">
            <v>AE</v>
          </cell>
        </row>
        <row r="79">
          <cell r="A79">
            <v>24</v>
          </cell>
          <cell r="B79">
            <v>2017</v>
          </cell>
          <cell r="C79">
            <v>8300</v>
          </cell>
          <cell r="D79">
            <v>2</v>
          </cell>
          <cell r="E79">
            <v>3</v>
          </cell>
          <cell r="F79">
            <v>1</v>
          </cell>
          <cell r="G79">
            <v>2000</v>
          </cell>
          <cell r="H79">
            <v>2900</v>
          </cell>
          <cell r="I79">
            <v>291</v>
          </cell>
          <cell r="J79">
            <v>2</v>
          </cell>
          <cell r="K79" t="str">
            <v>Equipo verificador de cableado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 t="str">
            <v>Lote</v>
          </cell>
          <cell r="V79" t="str">
            <v>AE</v>
          </cell>
        </row>
        <row r="80">
          <cell r="A80">
            <v>25</v>
          </cell>
          <cell r="B80">
            <v>2017</v>
          </cell>
          <cell r="C80">
            <v>8300</v>
          </cell>
          <cell r="D80">
            <v>2</v>
          </cell>
          <cell r="E80">
            <v>3</v>
          </cell>
          <cell r="F80">
            <v>1</v>
          </cell>
          <cell r="G80">
            <v>2000</v>
          </cell>
          <cell r="H80">
            <v>2900</v>
          </cell>
          <cell r="I80">
            <v>292</v>
          </cell>
          <cell r="K80" t="str">
            <v>Refacciones y accesorios menores de edificios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</row>
        <row r="81">
          <cell r="A81">
            <v>26</v>
          </cell>
          <cell r="B81">
            <v>2017</v>
          </cell>
          <cell r="C81">
            <v>8300</v>
          </cell>
          <cell r="D81">
            <v>2</v>
          </cell>
          <cell r="E81">
            <v>3</v>
          </cell>
          <cell r="F81">
            <v>1</v>
          </cell>
          <cell r="G81">
            <v>2000</v>
          </cell>
          <cell r="H81">
            <v>2900</v>
          </cell>
          <cell r="I81">
            <v>292</v>
          </cell>
          <cell r="J81">
            <v>1</v>
          </cell>
          <cell r="K81" t="str">
            <v>Refacciones y accesorios menores de edificios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 t="str">
            <v>Lote</v>
          </cell>
          <cell r="V81" t="str">
            <v xml:space="preserve">AE </v>
          </cell>
        </row>
        <row r="82">
          <cell r="A82">
            <v>27</v>
          </cell>
          <cell r="B82">
            <v>2017</v>
          </cell>
          <cell r="C82">
            <v>8300</v>
          </cell>
          <cell r="D82">
            <v>2</v>
          </cell>
          <cell r="E82">
            <v>3</v>
          </cell>
          <cell r="F82">
            <v>1</v>
          </cell>
          <cell r="G82">
            <v>2000</v>
          </cell>
          <cell r="H82">
            <v>2900</v>
          </cell>
          <cell r="I82">
            <v>294</v>
          </cell>
          <cell r="K82" t="str">
            <v>Refacciones y accesorios menores de equipo de cómputo y tecnologías de la información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</row>
        <row r="83">
          <cell r="A83">
            <v>28</v>
          </cell>
          <cell r="B83">
            <v>2017</v>
          </cell>
          <cell r="C83">
            <v>8300</v>
          </cell>
          <cell r="D83">
            <v>2</v>
          </cell>
          <cell r="E83">
            <v>3</v>
          </cell>
          <cell r="F83">
            <v>1</v>
          </cell>
          <cell r="G83">
            <v>2000</v>
          </cell>
          <cell r="H83">
            <v>2900</v>
          </cell>
          <cell r="I83">
            <v>294</v>
          </cell>
          <cell r="J83">
            <v>1</v>
          </cell>
          <cell r="K83" t="str">
            <v>Refacciones y accesorios para equipo de cómputo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 t="str">
            <v>Pieza</v>
          </cell>
          <cell r="V83" t="str">
            <v xml:space="preserve">AE </v>
          </cell>
        </row>
        <row r="84">
          <cell r="A84">
            <v>29</v>
          </cell>
          <cell r="B84">
            <v>2017</v>
          </cell>
          <cell r="C84">
            <v>8300</v>
          </cell>
          <cell r="D84">
            <v>2</v>
          </cell>
          <cell r="E84">
            <v>3</v>
          </cell>
          <cell r="F84">
            <v>1</v>
          </cell>
          <cell r="G84">
            <v>2000</v>
          </cell>
          <cell r="H84">
            <v>2900</v>
          </cell>
          <cell r="I84">
            <v>296</v>
          </cell>
          <cell r="K84" t="str">
            <v>Refacciones y accesorios menores de equipo de transporte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</row>
        <row r="85">
          <cell r="A85">
            <v>30</v>
          </cell>
          <cell r="B85">
            <v>2017</v>
          </cell>
          <cell r="C85">
            <v>8300</v>
          </cell>
          <cell r="D85">
            <v>2</v>
          </cell>
          <cell r="E85">
            <v>3</v>
          </cell>
          <cell r="F85">
            <v>1</v>
          </cell>
          <cell r="G85">
            <v>2000</v>
          </cell>
          <cell r="H85">
            <v>2900</v>
          </cell>
          <cell r="I85">
            <v>296</v>
          </cell>
          <cell r="J85">
            <v>1</v>
          </cell>
          <cell r="K85" t="str">
            <v>Refacciones y accesorios menores de equipo de transporte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 t="str">
            <v>Pieza</v>
          </cell>
          <cell r="V85" t="str">
            <v xml:space="preserve">AE </v>
          </cell>
        </row>
        <row r="86">
          <cell r="A86">
            <v>31</v>
          </cell>
          <cell r="B86">
            <v>2017</v>
          </cell>
          <cell r="C86">
            <v>8300</v>
          </cell>
          <cell r="D86">
            <v>2</v>
          </cell>
          <cell r="E86">
            <v>3</v>
          </cell>
          <cell r="F86">
            <v>1</v>
          </cell>
          <cell r="G86">
            <v>2000</v>
          </cell>
          <cell r="H86">
            <v>2900</v>
          </cell>
          <cell r="I86">
            <v>298</v>
          </cell>
          <cell r="K86" t="str">
            <v>Refacciones y accesorios menores de maquinaria y otros equipos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</row>
        <row r="87">
          <cell r="A87">
            <v>32</v>
          </cell>
          <cell r="B87">
            <v>2017</v>
          </cell>
          <cell r="C87">
            <v>8300</v>
          </cell>
          <cell r="D87">
            <v>2</v>
          </cell>
          <cell r="E87">
            <v>3</v>
          </cell>
          <cell r="F87">
            <v>1</v>
          </cell>
          <cell r="G87">
            <v>2000</v>
          </cell>
          <cell r="H87">
            <v>2900</v>
          </cell>
          <cell r="I87">
            <v>298</v>
          </cell>
          <cell r="J87">
            <v>1</v>
          </cell>
          <cell r="K87" t="str">
            <v>Refacciones y accesorios menores de maquinaria y otros equipos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 t="str">
            <v>Lote</v>
          </cell>
          <cell r="V87" t="str">
            <v xml:space="preserve">AE </v>
          </cell>
        </row>
        <row r="88">
          <cell r="A88">
            <v>33</v>
          </cell>
          <cell r="B88">
            <v>2017</v>
          </cell>
          <cell r="C88">
            <v>8300</v>
          </cell>
          <cell r="D88">
            <v>2</v>
          </cell>
          <cell r="E88">
            <v>3</v>
          </cell>
          <cell r="F88">
            <v>1</v>
          </cell>
          <cell r="G88">
            <v>3000</v>
          </cell>
          <cell r="K88" t="str">
            <v>SERVICIOS GENERALES</v>
          </cell>
          <cell r="L88">
            <v>6018820</v>
          </cell>
          <cell r="M88">
            <v>0</v>
          </cell>
          <cell r="N88">
            <v>6018820</v>
          </cell>
          <cell r="O88">
            <v>0</v>
          </cell>
          <cell r="P88">
            <v>0</v>
          </cell>
          <cell r="Q88">
            <v>0</v>
          </cell>
          <cell r="R88">
            <v>6018820</v>
          </cell>
        </row>
        <row r="89">
          <cell r="A89">
            <v>34</v>
          </cell>
          <cell r="B89">
            <v>2017</v>
          </cell>
          <cell r="C89">
            <v>8300</v>
          </cell>
          <cell r="D89">
            <v>2</v>
          </cell>
          <cell r="E89">
            <v>3</v>
          </cell>
          <cell r="F89">
            <v>1</v>
          </cell>
          <cell r="G89">
            <v>3000</v>
          </cell>
          <cell r="H89">
            <v>3100</v>
          </cell>
          <cell r="K89" t="str">
            <v>Servicios básicos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</row>
        <row r="90">
          <cell r="A90">
            <v>35</v>
          </cell>
          <cell r="B90">
            <v>2017</v>
          </cell>
          <cell r="C90">
            <v>8300</v>
          </cell>
          <cell r="D90">
            <v>2</v>
          </cell>
          <cell r="E90">
            <v>3</v>
          </cell>
          <cell r="F90">
            <v>1</v>
          </cell>
          <cell r="G90">
            <v>3000</v>
          </cell>
          <cell r="H90">
            <v>3100</v>
          </cell>
          <cell r="I90">
            <v>311</v>
          </cell>
          <cell r="K90" t="str">
            <v>Energía eléctrica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</row>
        <row r="91">
          <cell r="A91">
            <v>36</v>
          </cell>
          <cell r="B91">
            <v>2017</v>
          </cell>
          <cell r="C91">
            <v>8300</v>
          </cell>
          <cell r="D91">
            <v>2</v>
          </cell>
          <cell r="E91">
            <v>3</v>
          </cell>
          <cell r="F91">
            <v>1</v>
          </cell>
          <cell r="G91">
            <v>3000</v>
          </cell>
          <cell r="H91">
            <v>3100</v>
          </cell>
          <cell r="I91">
            <v>311</v>
          </cell>
          <cell r="J91">
            <v>1</v>
          </cell>
          <cell r="K91" t="str">
            <v>Servicio de energía eléctrica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 t="str">
            <v>Servicio</v>
          </cell>
          <cell r="V91" t="str">
            <v>AE</v>
          </cell>
        </row>
        <row r="92">
          <cell r="A92">
            <v>37</v>
          </cell>
          <cell r="B92">
            <v>2017</v>
          </cell>
          <cell r="C92">
            <v>8300</v>
          </cell>
          <cell r="D92">
            <v>2</v>
          </cell>
          <cell r="E92">
            <v>3</v>
          </cell>
          <cell r="F92">
            <v>1</v>
          </cell>
          <cell r="G92">
            <v>3000</v>
          </cell>
          <cell r="H92">
            <v>3100</v>
          </cell>
          <cell r="I92">
            <v>319</v>
          </cell>
          <cell r="K92" t="str">
            <v xml:space="preserve"> Servicios integrales y otros 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</row>
        <row r="93">
          <cell r="A93">
            <v>38</v>
          </cell>
          <cell r="B93">
            <v>2017</v>
          </cell>
          <cell r="C93">
            <v>8300</v>
          </cell>
          <cell r="D93">
            <v>2</v>
          </cell>
          <cell r="E93">
            <v>3</v>
          </cell>
          <cell r="F93">
            <v>1</v>
          </cell>
          <cell r="G93">
            <v>3000</v>
          </cell>
          <cell r="H93">
            <v>3100</v>
          </cell>
          <cell r="I93">
            <v>319</v>
          </cell>
          <cell r="J93">
            <v>1</v>
          </cell>
          <cell r="K93" t="str">
            <v>Sistemas Inteligentes de Alarmas perimetrales (Hardware y Software)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 t="str">
            <v>Servicio</v>
          </cell>
          <cell r="V93" t="str">
            <v>FC</v>
          </cell>
        </row>
        <row r="94">
          <cell r="A94">
            <v>39</v>
          </cell>
          <cell r="B94">
            <v>2017</v>
          </cell>
          <cell r="C94">
            <v>8300</v>
          </cell>
          <cell r="D94">
            <v>2</v>
          </cell>
          <cell r="E94">
            <v>3</v>
          </cell>
          <cell r="F94">
            <v>1</v>
          </cell>
          <cell r="G94">
            <v>3000</v>
          </cell>
          <cell r="H94">
            <v>3200</v>
          </cell>
          <cell r="K94" t="str">
            <v>Servicios de arrendamiento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</row>
        <row r="95">
          <cell r="A95">
            <v>40</v>
          </cell>
          <cell r="B95">
            <v>2017</v>
          </cell>
          <cell r="C95">
            <v>8300</v>
          </cell>
          <cell r="D95">
            <v>2</v>
          </cell>
          <cell r="E95">
            <v>3</v>
          </cell>
          <cell r="F95">
            <v>1</v>
          </cell>
          <cell r="G95">
            <v>3000</v>
          </cell>
          <cell r="H95">
            <v>3200</v>
          </cell>
          <cell r="I95">
            <v>321</v>
          </cell>
          <cell r="K95" t="str">
            <v>Arrendamiento de terrenos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</row>
        <row r="96">
          <cell r="A96">
            <v>41</v>
          </cell>
          <cell r="B96">
            <v>2017</v>
          </cell>
          <cell r="C96">
            <v>8300</v>
          </cell>
          <cell r="D96">
            <v>2</v>
          </cell>
          <cell r="E96">
            <v>3</v>
          </cell>
          <cell r="F96">
            <v>1</v>
          </cell>
          <cell r="G96">
            <v>3000</v>
          </cell>
          <cell r="H96">
            <v>3200</v>
          </cell>
          <cell r="I96">
            <v>321</v>
          </cell>
          <cell r="J96">
            <v>1</v>
          </cell>
          <cell r="K96" t="str">
            <v>Arrendamiento de terrenos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 t="str">
            <v>Servicio</v>
          </cell>
          <cell r="V96" t="str">
            <v>AE</v>
          </cell>
        </row>
        <row r="97">
          <cell r="A97">
            <v>42</v>
          </cell>
          <cell r="B97">
            <v>2017</v>
          </cell>
          <cell r="C97">
            <v>8300</v>
          </cell>
          <cell r="D97">
            <v>2</v>
          </cell>
          <cell r="E97">
            <v>3</v>
          </cell>
          <cell r="F97">
            <v>1</v>
          </cell>
          <cell r="G97">
            <v>3000</v>
          </cell>
          <cell r="H97">
            <v>3400</v>
          </cell>
          <cell r="K97" t="str">
            <v>Servicios Financieros, Bancarios y Comerciales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</row>
        <row r="98">
          <cell r="A98">
            <v>43</v>
          </cell>
          <cell r="B98">
            <v>2017</v>
          </cell>
          <cell r="C98">
            <v>8300</v>
          </cell>
          <cell r="D98">
            <v>2</v>
          </cell>
          <cell r="E98">
            <v>3</v>
          </cell>
          <cell r="F98">
            <v>1</v>
          </cell>
          <cell r="G98">
            <v>3000</v>
          </cell>
          <cell r="H98">
            <v>3400</v>
          </cell>
          <cell r="I98">
            <v>345</v>
          </cell>
          <cell r="K98" t="str">
            <v>Seguro de bienes patrimoniales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</row>
        <row r="99">
          <cell r="A99">
            <v>44</v>
          </cell>
          <cell r="B99">
            <v>2017</v>
          </cell>
          <cell r="C99">
            <v>8300</v>
          </cell>
          <cell r="D99">
            <v>2</v>
          </cell>
          <cell r="E99">
            <v>3</v>
          </cell>
          <cell r="F99">
            <v>1</v>
          </cell>
          <cell r="G99">
            <v>3000</v>
          </cell>
          <cell r="H99">
            <v>3400</v>
          </cell>
          <cell r="I99">
            <v>345</v>
          </cell>
          <cell r="J99">
            <v>1</v>
          </cell>
          <cell r="K99" t="str">
            <v>Seguro de bienes patrimoniales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 t="str">
            <v>Servicio</v>
          </cell>
          <cell r="V99" t="str">
            <v>AE</v>
          </cell>
        </row>
        <row r="100">
          <cell r="A100">
            <v>45</v>
          </cell>
          <cell r="B100">
            <v>2017</v>
          </cell>
          <cell r="C100">
            <v>8300</v>
          </cell>
          <cell r="D100">
            <v>2</v>
          </cell>
          <cell r="E100">
            <v>3</v>
          </cell>
          <cell r="F100">
            <v>1</v>
          </cell>
          <cell r="G100">
            <v>3000</v>
          </cell>
          <cell r="H100">
            <v>3500</v>
          </cell>
          <cell r="K100" t="str">
            <v>Servicios de Instalación, Reparación, Mantenimiento y Conservación</v>
          </cell>
          <cell r="L100">
            <v>6018820</v>
          </cell>
          <cell r="M100">
            <v>0</v>
          </cell>
          <cell r="N100">
            <v>6018820</v>
          </cell>
          <cell r="O100">
            <v>0</v>
          </cell>
          <cell r="P100">
            <v>0</v>
          </cell>
          <cell r="Q100">
            <v>0</v>
          </cell>
          <cell r="R100">
            <v>6018820</v>
          </cell>
        </row>
        <row r="101">
          <cell r="A101">
            <v>46</v>
          </cell>
          <cell r="B101">
            <v>2017</v>
          </cell>
          <cell r="C101">
            <v>8300</v>
          </cell>
          <cell r="D101">
            <v>2</v>
          </cell>
          <cell r="E101">
            <v>3</v>
          </cell>
          <cell r="F101">
            <v>1</v>
          </cell>
          <cell r="G101">
            <v>3000</v>
          </cell>
          <cell r="H101">
            <v>3500</v>
          </cell>
          <cell r="I101">
            <v>351</v>
          </cell>
          <cell r="K101" t="str">
            <v>Conservación y mantenimiento menor de inmuebles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</row>
        <row r="102">
          <cell r="A102">
            <v>47</v>
          </cell>
          <cell r="B102">
            <v>2017</v>
          </cell>
          <cell r="C102">
            <v>8300</v>
          </cell>
          <cell r="D102">
            <v>2</v>
          </cell>
          <cell r="E102">
            <v>3</v>
          </cell>
          <cell r="F102">
            <v>1</v>
          </cell>
          <cell r="G102">
            <v>3000</v>
          </cell>
          <cell r="H102">
            <v>3500</v>
          </cell>
          <cell r="I102">
            <v>351</v>
          </cell>
          <cell r="J102">
            <v>1</v>
          </cell>
          <cell r="K102" t="str">
            <v>Mantenimiento y conservación de inmuebles para la prestación de servicios administrativos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 t="str">
            <v>Servicio</v>
          </cell>
          <cell r="V102" t="str">
            <v>AE</v>
          </cell>
        </row>
        <row r="103">
          <cell r="A103">
            <v>48</v>
          </cell>
          <cell r="B103">
            <v>2017</v>
          </cell>
          <cell r="C103">
            <v>8300</v>
          </cell>
          <cell r="D103">
            <v>2</v>
          </cell>
          <cell r="E103">
            <v>3</v>
          </cell>
          <cell r="F103">
            <v>1</v>
          </cell>
          <cell r="G103">
            <v>3000</v>
          </cell>
          <cell r="H103">
            <v>3500</v>
          </cell>
          <cell r="I103">
            <v>352</v>
          </cell>
          <cell r="K103" t="str">
            <v>Instalación, reparación y mantenimiento de mobiliario y equipo de administración, educacional y recreativo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</row>
        <row r="104">
          <cell r="A104">
            <v>49</v>
          </cell>
          <cell r="B104">
            <v>2017</v>
          </cell>
          <cell r="C104">
            <v>8300</v>
          </cell>
          <cell r="D104">
            <v>2</v>
          </cell>
          <cell r="E104">
            <v>3</v>
          </cell>
          <cell r="F104">
            <v>1</v>
          </cell>
          <cell r="G104">
            <v>3000</v>
          </cell>
          <cell r="H104">
            <v>3500</v>
          </cell>
          <cell r="I104">
            <v>352</v>
          </cell>
          <cell r="J104">
            <v>1</v>
          </cell>
          <cell r="K104" t="str">
            <v>Mantenimiento y conservación de mobiliario y equipo de administración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 t="str">
            <v>Servicio</v>
          </cell>
          <cell r="V104" t="str">
            <v>AE</v>
          </cell>
        </row>
        <row r="105">
          <cell r="A105">
            <v>50</v>
          </cell>
          <cell r="B105">
            <v>2017</v>
          </cell>
          <cell r="C105">
            <v>8300</v>
          </cell>
          <cell r="D105">
            <v>2</v>
          </cell>
          <cell r="E105">
            <v>3</v>
          </cell>
          <cell r="F105">
            <v>1</v>
          </cell>
          <cell r="G105">
            <v>3000</v>
          </cell>
          <cell r="H105">
            <v>3500</v>
          </cell>
          <cell r="I105">
            <v>353</v>
          </cell>
          <cell r="K105" t="str">
            <v>Instalación, reparación y mantenimiento de equipo de cómputo y tecnología de la información</v>
          </cell>
          <cell r="L105">
            <v>4140000</v>
          </cell>
          <cell r="M105">
            <v>0</v>
          </cell>
          <cell r="N105">
            <v>4140000</v>
          </cell>
          <cell r="O105">
            <v>0</v>
          </cell>
          <cell r="P105">
            <v>0</v>
          </cell>
          <cell r="Q105">
            <v>0</v>
          </cell>
          <cell r="R105">
            <v>4140000</v>
          </cell>
        </row>
        <row r="106">
          <cell r="A106">
            <v>51</v>
          </cell>
          <cell r="B106">
            <v>2017</v>
          </cell>
          <cell r="C106">
            <v>8300</v>
          </cell>
          <cell r="D106">
            <v>2</v>
          </cell>
          <cell r="E106">
            <v>3</v>
          </cell>
          <cell r="F106">
            <v>1</v>
          </cell>
          <cell r="G106">
            <v>3000</v>
          </cell>
          <cell r="H106">
            <v>3500</v>
          </cell>
          <cell r="I106">
            <v>353</v>
          </cell>
          <cell r="J106">
            <v>1</v>
          </cell>
          <cell r="K106" t="str">
            <v>Mantenimiento y conservación de bienes informáticos (Poliza de mantenimiento de la red 4.9)</v>
          </cell>
          <cell r="L106">
            <v>4140000</v>
          </cell>
          <cell r="M106">
            <v>0</v>
          </cell>
          <cell r="N106">
            <v>4140000</v>
          </cell>
          <cell r="O106">
            <v>0</v>
          </cell>
          <cell r="P106">
            <v>0</v>
          </cell>
          <cell r="Q106">
            <v>0</v>
          </cell>
          <cell r="R106">
            <v>4140000</v>
          </cell>
          <cell r="S106" t="str">
            <v>Servicio</v>
          </cell>
          <cell r="T106">
            <v>1</v>
          </cell>
          <cell r="V106" t="str">
            <v>FC</v>
          </cell>
        </row>
        <row r="107">
          <cell r="A107">
            <v>52</v>
          </cell>
          <cell r="B107">
            <v>2017</v>
          </cell>
          <cell r="C107">
            <v>8300</v>
          </cell>
          <cell r="D107">
            <v>2</v>
          </cell>
          <cell r="E107">
            <v>3</v>
          </cell>
          <cell r="F107">
            <v>1</v>
          </cell>
          <cell r="G107">
            <v>3000</v>
          </cell>
          <cell r="H107">
            <v>3500</v>
          </cell>
          <cell r="I107">
            <v>355</v>
          </cell>
          <cell r="K107" t="str">
            <v>Reparación y mantenimiento de equipo de transporte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</row>
        <row r="108">
          <cell r="A108">
            <v>53</v>
          </cell>
          <cell r="B108">
            <v>2017</v>
          </cell>
          <cell r="C108">
            <v>8300</v>
          </cell>
          <cell r="D108">
            <v>2</v>
          </cell>
          <cell r="E108">
            <v>3</v>
          </cell>
          <cell r="F108">
            <v>1</v>
          </cell>
          <cell r="G108">
            <v>3000</v>
          </cell>
          <cell r="H108">
            <v>3500</v>
          </cell>
          <cell r="I108">
            <v>355</v>
          </cell>
          <cell r="J108">
            <v>1</v>
          </cell>
          <cell r="K108" t="str">
            <v>Mantenimiento y conservación de vehículos terrestres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 t="str">
            <v>Servicio</v>
          </cell>
          <cell r="V108" t="str">
            <v>AE</v>
          </cell>
        </row>
        <row r="109">
          <cell r="A109">
            <v>54</v>
          </cell>
          <cell r="B109">
            <v>2017</v>
          </cell>
          <cell r="C109">
            <v>8300</v>
          </cell>
          <cell r="D109">
            <v>2</v>
          </cell>
          <cell r="E109">
            <v>3</v>
          </cell>
          <cell r="F109">
            <v>1</v>
          </cell>
          <cell r="G109">
            <v>3000</v>
          </cell>
          <cell r="H109">
            <v>3500</v>
          </cell>
          <cell r="I109">
            <v>357</v>
          </cell>
          <cell r="K109" t="str">
            <v>Instalación, reparación y mantenimiento de maquinaria, otros equipos y herramienta</v>
          </cell>
          <cell r="L109">
            <v>1878820</v>
          </cell>
          <cell r="M109">
            <v>0</v>
          </cell>
          <cell r="N109">
            <v>1878820</v>
          </cell>
          <cell r="O109">
            <v>0</v>
          </cell>
          <cell r="P109">
            <v>0</v>
          </cell>
          <cell r="Q109">
            <v>0</v>
          </cell>
          <cell r="R109">
            <v>1878820</v>
          </cell>
        </row>
        <row r="110">
          <cell r="A110">
            <v>55</v>
          </cell>
          <cell r="B110">
            <v>2017</v>
          </cell>
          <cell r="C110">
            <v>8300</v>
          </cell>
          <cell r="D110">
            <v>2</v>
          </cell>
          <cell r="E110">
            <v>3</v>
          </cell>
          <cell r="F110">
            <v>1</v>
          </cell>
          <cell r="G110">
            <v>3000</v>
          </cell>
          <cell r="H110">
            <v>3500</v>
          </cell>
          <cell r="I110">
            <v>357</v>
          </cell>
          <cell r="J110">
            <v>1</v>
          </cell>
          <cell r="K110" t="str">
            <v>Mantenimiento y conservación de maquinaria y equipo</v>
          </cell>
          <cell r="L110">
            <v>1878820</v>
          </cell>
          <cell r="M110">
            <v>0</v>
          </cell>
          <cell r="N110">
            <v>1878820</v>
          </cell>
          <cell r="O110">
            <v>0</v>
          </cell>
          <cell r="P110">
            <v>0</v>
          </cell>
          <cell r="Q110">
            <v>0</v>
          </cell>
          <cell r="R110">
            <v>1878820</v>
          </cell>
          <cell r="S110" t="str">
            <v>Servicio</v>
          </cell>
          <cell r="T110">
            <v>9</v>
          </cell>
          <cell r="V110" t="str">
            <v>FC</v>
          </cell>
        </row>
        <row r="111">
          <cell r="A111">
            <v>56</v>
          </cell>
          <cell r="B111">
            <v>2017</v>
          </cell>
          <cell r="C111">
            <v>8300</v>
          </cell>
          <cell r="D111">
            <v>2</v>
          </cell>
          <cell r="E111">
            <v>3</v>
          </cell>
          <cell r="F111">
            <v>1</v>
          </cell>
          <cell r="G111">
            <v>3000</v>
          </cell>
          <cell r="H111">
            <v>3700</v>
          </cell>
          <cell r="K111" t="str">
            <v>Servicios de Traslado y Viáticos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</row>
        <row r="112">
          <cell r="A112">
            <v>57</v>
          </cell>
          <cell r="B112">
            <v>2017</v>
          </cell>
          <cell r="C112">
            <v>8300</v>
          </cell>
          <cell r="D112">
            <v>2</v>
          </cell>
          <cell r="E112">
            <v>3</v>
          </cell>
          <cell r="F112">
            <v>1</v>
          </cell>
          <cell r="G112">
            <v>3000</v>
          </cell>
          <cell r="H112">
            <v>3700</v>
          </cell>
          <cell r="I112">
            <v>371</v>
          </cell>
          <cell r="K112" t="str">
            <v>Pasajes aéreos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</row>
        <row r="113">
          <cell r="A113">
            <v>58</v>
          </cell>
          <cell r="B113">
            <v>2017</v>
          </cell>
          <cell r="C113">
            <v>8300</v>
          </cell>
          <cell r="D113">
            <v>2</v>
          </cell>
          <cell r="E113">
            <v>3</v>
          </cell>
          <cell r="F113">
            <v>1</v>
          </cell>
          <cell r="G113">
            <v>3000</v>
          </cell>
          <cell r="H113">
            <v>3700</v>
          </cell>
          <cell r="I113">
            <v>371</v>
          </cell>
          <cell r="J113">
            <v>1</v>
          </cell>
          <cell r="K113" t="str">
            <v xml:space="preserve">Pasajes aéreos nacionales 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 t="str">
            <v>Traslado</v>
          </cell>
          <cell r="V113" t="str">
            <v>AE</v>
          </cell>
        </row>
        <row r="114">
          <cell r="A114">
            <v>59</v>
          </cell>
          <cell r="B114">
            <v>2017</v>
          </cell>
          <cell r="C114">
            <v>8300</v>
          </cell>
          <cell r="D114">
            <v>2</v>
          </cell>
          <cell r="E114">
            <v>3</v>
          </cell>
          <cell r="F114">
            <v>1</v>
          </cell>
          <cell r="G114">
            <v>3000</v>
          </cell>
          <cell r="H114">
            <v>3700</v>
          </cell>
          <cell r="I114">
            <v>372</v>
          </cell>
          <cell r="K114" t="str">
            <v>Pasajes terrestres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</row>
        <row r="115">
          <cell r="A115">
            <v>60</v>
          </cell>
          <cell r="B115">
            <v>2017</v>
          </cell>
          <cell r="C115">
            <v>8300</v>
          </cell>
          <cell r="D115">
            <v>2</v>
          </cell>
          <cell r="E115">
            <v>3</v>
          </cell>
          <cell r="F115">
            <v>1</v>
          </cell>
          <cell r="G115">
            <v>3000</v>
          </cell>
          <cell r="H115">
            <v>3700</v>
          </cell>
          <cell r="I115">
            <v>372</v>
          </cell>
          <cell r="J115">
            <v>1</v>
          </cell>
          <cell r="K115" t="str">
            <v xml:space="preserve">Pasajes terrestres nacionales 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 t="str">
            <v>Traslado</v>
          </cell>
          <cell r="V115" t="str">
            <v>AE</v>
          </cell>
        </row>
        <row r="116">
          <cell r="A116">
            <v>61</v>
          </cell>
          <cell r="B116">
            <v>2017</v>
          </cell>
          <cell r="C116">
            <v>8300</v>
          </cell>
          <cell r="D116">
            <v>2</v>
          </cell>
          <cell r="E116">
            <v>3</v>
          </cell>
          <cell r="F116">
            <v>1</v>
          </cell>
          <cell r="G116">
            <v>3000</v>
          </cell>
          <cell r="H116">
            <v>3700</v>
          </cell>
          <cell r="I116">
            <v>375</v>
          </cell>
          <cell r="K116" t="str">
            <v>Viáticos en el país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</row>
        <row r="117">
          <cell r="A117">
            <v>62</v>
          </cell>
          <cell r="B117">
            <v>2017</v>
          </cell>
          <cell r="C117">
            <v>8300</v>
          </cell>
          <cell r="D117">
            <v>2</v>
          </cell>
          <cell r="E117">
            <v>3</v>
          </cell>
          <cell r="F117">
            <v>1</v>
          </cell>
          <cell r="G117">
            <v>3000</v>
          </cell>
          <cell r="H117">
            <v>3700</v>
          </cell>
          <cell r="I117">
            <v>375</v>
          </cell>
          <cell r="J117">
            <v>1</v>
          </cell>
          <cell r="K117" t="str">
            <v xml:space="preserve">Viáticos nacionales 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 t="str">
            <v>Traslado</v>
          </cell>
          <cell r="V117" t="str">
            <v>AE</v>
          </cell>
        </row>
        <row r="118">
          <cell r="A118">
            <v>63</v>
          </cell>
          <cell r="B118">
            <v>2017</v>
          </cell>
          <cell r="C118">
            <v>8300</v>
          </cell>
          <cell r="D118">
            <v>2</v>
          </cell>
          <cell r="E118">
            <v>3</v>
          </cell>
          <cell r="F118">
            <v>1</v>
          </cell>
          <cell r="G118">
            <v>5000</v>
          </cell>
          <cell r="K118" t="str">
            <v>BIENES MUEBLES, INMUEBLES E INTANGIBLES</v>
          </cell>
          <cell r="L118">
            <v>14669781</v>
          </cell>
          <cell r="M118">
            <v>0</v>
          </cell>
          <cell r="N118">
            <v>14669781</v>
          </cell>
          <cell r="O118">
            <v>0</v>
          </cell>
          <cell r="P118">
            <v>0</v>
          </cell>
          <cell r="Q118">
            <v>0</v>
          </cell>
          <cell r="R118">
            <v>14669781</v>
          </cell>
        </row>
        <row r="119">
          <cell r="A119">
            <v>64</v>
          </cell>
          <cell r="B119">
            <v>2017</v>
          </cell>
          <cell r="C119">
            <v>8300</v>
          </cell>
          <cell r="D119">
            <v>2</v>
          </cell>
          <cell r="E119">
            <v>3</v>
          </cell>
          <cell r="F119">
            <v>1</v>
          </cell>
          <cell r="G119">
            <v>5000</v>
          </cell>
          <cell r="H119">
            <v>5100</v>
          </cell>
          <cell r="K119" t="str">
            <v>Mobiliario y Equipo de Administración</v>
          </cell>
          <cell r="L119">
            <v>5145823</v>
          </cell>
          <cell r="M119">
            <v>0</v>
          </cell>
          <cell r="N119">
            <v>5145823</v>
          </cell>
          <cell r="O119">
            <v>0</v>
          </cell>
          <cell r="P119">
            <v>0</v>
          </cell>
          <cell r="Q119">
            <v>0</v>
          </cell>
          <cell r="R119">
            <v>5145823</v>
          </cell>
        </row>
        <row r="120">
          <cell r="A120">
            <v>65</v>
          </cell>
          <cell r="B120">
            <v>2017</v>
          </cell>
          <cell r="C120">
            <v>8300</v>
          </cell>
          <cell r="D120">
            <v>2</v>
          </cell>
          <cell r="E120">
            <v>3</v>
          </cell>
          <cell r="F120">
            <v>1</v>
          </cell>
          <cell r="G120">
            <v>5000</v>
          </cell>
          <cell r="H120">
            <v>5100</v>
          </cell>
          <cell r="I120">
            <v>515</v>
          </cell>
          <cell r="K120" t="str">
            <v>Equipo de cómputo y de tecnologías de la información</v>
          </cell>
          <cell r="L120">
            <v>5079123</v>
          </cell>
          <cell r="M120">
            <v>0</v>
          </cell>
          <cell r="N120">
            <v>5079123</v>
          </cell>
          <cell r="O120">
            <v>0</v>
          </cell>
          <cell r="P120">
            <v>0</v>
          </cell>
          <cell r="Q120">
            <v>0</v>
          </cell>
          <cell r="R120">
            <v>5079123</v>
          </cell>
        </row>
        <row r="121">
          <cell r="A121">
            <v>66</v>
          </cell>
          <cell r="B121">
            <v>2017</v>
          </cell>
          <cell r="C121">
            <v>8300</v>
          </cell>
          <cell r="D121">
            <v>2</v>
          </cell>
          <cell r="E121">
            <v>3</v>
          </cell>
          <cell r="F121">
            <v>1</v>
          </cell>
          <cell r="G121">
            <v>5000</v>
          </cell>
          <cell r="H121">
            <v>5100</v>
          </cell>
          <cell r="I121">
            <v>515</v>
          </cell>
          <cell r="J121">
            <v>1</v>
          </cell>
          <cell r="K121" t="str">
            <v>Computadora de escritorio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 t="str">
            <v>Pieza</v>
          </cell>
          <cell r="V121" t="str">
            <v>FC</v>
          </cell>
        </row>
        <row r="122">
          <cell r="A122">
            <v>67</v>
          </cell>
          <cell r="B122">
            <v>2017</v>
          </cell>
          <cell r="C122">
            <v>8300</v>
          </cell>
          <cell r="D122">
            <v>2</v>
          </cell>
          <cell r="E122">
            <v>3</v>
          </cell>
          <cell r="F122">
            <v>1</v>
          </cell>
          <cell r="G122">
            <v>5000</v>
          </cell>
          <cell r="H122">
            <v>5100</v>
          </cell>
          <cell r="I122">
            <v>515</v>
          </cell>
          <cell r="J122">
            <v>2</v>
          </cell>
          <cell r="K122" t="str">
            <v>Conmutador de datos (con o sin PoE)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 t="str">
            <v>Pieza</v>
          </cell>
          <cell r="V122" t="str">
            <v>FC</v>
          </cell>
        </row>
        <row r="123">
          <cell r="A123">
            <v>68</v>
          </cell>
          <cell r="B123">
            <v>2017</v>
          </cell>
          <cell r="C123">
            <v>8300</v>
          </cell>
          <cell r="D123">
            <v>2</v>
          </cell>
          <cell r="E123">
            <v>3</v>
          </cell>
          <cell r="F123">
            <v>1</v>
          </cell>
          <cell r="G123">
            <v>5000</v>
          </cell>
          <cell r="H123">
            <v>5100</v>
          </cell>
          <cell r="I123">
            <v>515</v>
          </cell>
          <cell r="J123">
            <v>3</v>
          </cell>
          <cell r="K123" t="str">
            <v xml:space="preserve">Impresora 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 t="str">
            <v>Pieza</v>
          </cell>
          <cell r="V123" t="str">
            <v>FC</v>
          </cell>
        </row>
        <row r="124">
          <cell r="A124">
            <v>69</v>
          </cell>
          <cell r="B124">
            <v>2017</v>
          </cell>
          <cell r="C124">
            <v>8300</v>
          </cell>
          <cell r="D124">
            <v>2</v>
          </cell>
          <cell r="E124">
            <v>3</v>
          </cell>
          <cell r="F124">
            <v>1</v>
          </cell>
          <cell r="G124">
            <v>5000</v>
          </cell>
          <cell r="H124">
            <v>5100</v>
          </cell>
          <cell r="I124">
            <v>515</v>
          </cell>
          <cell r="J124">
            <v>4</v>
          </cell>
          <cell r="K124" t="str">
            <v>Ruteador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 t="str">
            <v>Pieza</v>
          </cell>
          <cell r="V124" t="str">
            <v>FC</v>
          </cell>
        </row>
        <row r="125">
          <cell r="A125">
            <v>70</v>
          </cell>
          <cell r="B125">
            <v>2017</v>
          </cell>
          <cell r="C125">
            <v>8300</v>
          </cell>
          <cell r="D125">
            <v>2</v>
          </cell>
          <cell r="E125">
            <v>3</v>
          </cell>
          <cell r="F125">
            <v>1</v>
          </cell>
          <cell r="G125">
            <v>5000</v>
          </cell>
          <cell r="H125">
            <v>5100</v>
          </cell>
          <cell r="I125">
            <v>515</v>
          </cell>
          <cell r="J125">
            <v>5</v>
          </cell>
          <cell r="K125" t="str">
            <v xml:space="preserve">Servidor de Cómputo </v>
          </cell>
          <cell r="L125">
            <v>4480000</v>
          </cell>
          <cell r="M125">
            <v>0</v>
          </cell>
          <cell r="N125">
            <v>4480000</v>
          </cell>
          <cell r="O125">
            <v>0</v>
          </cell>
          <cell r="P125">
            <v>0</v>
          </cell>
          <cell r="Q125">
            <v>0</v>
          </cell>
          <cell r="R125" t="e">
            <v>#REF!</v>
          </cell>
          <cell r="S125" t="str">
            <v>Pieza</v>
          </cell>
          <cell r="T125">
            <v>2</v>
          </cell>
          <cell r="V125" t="str">
            <v>FC</v>
          </cell>
        </row>
        <row r="126">
          <cell r="A126">
            <v>71</v>
          </cell>
          <cell r="B126">
            <v>2017</v>
          </cell>
          <cell r="C126">
            <v>8300</v>
          </cell>
          <cell r="D126">
            <v>2</v>
          </cell>
          <cell r="E126">
            <v>3</v>
          </cell>
          <cell r="F126">
            <v>1</v>
          </cell>
          <cell r="G126">
            <v>5000</v>
          </cell>
          <cell r="H126">
            <v>5100</v>
          </cell>
          <cell r="I126">
            <v>515</v>
          </cell>
          <cell r="J126">
            <v>6</v>
          </cell>
          <cell r="K126" t="str">
            <v>Sistema de Seguridad Lógica (Firewall - hardware)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 t="str">
            <v>Sistema</v>
          </cell>
          <cell r="V126" t="str">
            <v>FC</v>
          </cell>
        </row>
        <row r="127">
          <cell r="A127">
            <v>72</v>
          </cell>
          <cell r="B127">
            <v>2017</v>
          </cell>
          <cell r="C127">
            <v>8300</v>
          </cell>
          <cell r="D127">
            <v>2</v>
          </cell>
          <cell r="E127">
            <v>3</v>
          </cell>
          <cell r="F127">
            <v>1</v>
          </cell>
          <cell r="G127">
            <v>5000</v>
          </cell>
          <cell r="H127">
            <v>5100</v>
          </cell>
          <cell r="I127">
            <v>515</v>
          </cell>
          <cell r="J127">
            <v>7</v>
          </cell>
          <cell r="K127" t="str">
            <v>Rack de cuatro postes tipo gabinete con accesorios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 t="str">
            <v>Pieza</v>
          </cell>
          <cell r="V127" t="str">
            <v>FC</v>
          </cell>
        </row>
        <row r="128">
          <cell r="A128">
            <v>73</v>
          </cell>
          <cell r="B128">
            <v>2017</v>
          </cell>
          <cell r="C128">
            <v>8300</v>
          </cell>
          <cell r="D128">
            <v>2</v>
          </cell>
          <cell r="E128">
            <v>3</v>
          </cell>
          <cell r="F128">
            <v>1</v>
          </cell>
          <cell r="G128">
            <v>5000</v>
          </cell>
          <cell r="H128">
            <v>5100</v>
          </cell>
          <cell r="I128">
            <v>515</v>
          </cell>
          <cell r="J128">
            <v>8</v>
          </cell>
          <cell r="K128" t="str">
            <v>Unidad de protección y respaldo de energía (UPS)</v>
          </cell>
          <cell r="L128">
            <v>599123</v>
          </cell>
          <cell r="M128">
            <v>0</v>
          </cell>
          <cell r="N128">
            <v>599123</v>
          </cell>
          <cell r="O128">
            <v>0</v>
          </cell>
          <cell r="P128">
            <v>0</v>
          </cell>
          <cell r="Q128">
            <v>0</v>
          </cell>
          <cell r="R128">
            <v>599123</v>
          </cell>
          <cell r="S128" t="str">
            <v>Pieza</v>
          </cell>
          <cell r="T128">
            <v>1</v>
          </cell>
          <cell r="V128" t="str">
            <v>FC</v>
          </cell>
        </row>
        <row r="129">
          <cell r="A129">
            <v>74</v>
          </cell>
          <cell r="B129">
            <v>2017</v>
          </cell>
          <cell r="C129">
            <v>8300</v>
          </cell>
          <cell r="D129">
            <v>2</v>
          </cell>
          <cell r="E129">
            <v>3</v>
          </cell>
          <cell r="F129">
            <v>1</v>
          </cell>
          <cell r="G129">
            <v>5000</v>
          </cell>
          <cell r="H129">
            <v>5100</v>
          </cell>
          <cell r="I129">
            <v>519</v>
          </cell>
          <cell r="K129" t="str">
            <v>Otros mobiliarios y equipos de administración</v>
          </cell>
          <cell r="L129">
            <v>66700</v>
          </cell>
          <cell r="M129">
            <v>0</v>
          </cell>
          <cell r="N129">
            <v>66700</v>
          </cell>
          <cell r="O129">
            <v>0</v>
          </cell>
          <cell r="P129">
            <v>0</v>
          </cell>
          <cell r="Q129">
            <v>0</v>
          </cell>
          <cell r="R129">
            <v>66700</v>
          </cell>
        </row>
        <row r="130">
          <cell r="A130">
            <v>75</v>
          </cell>
          <cell r="B130">
            <v>2017</v>
          </cell>
          <cell r="C130">
            <v>8300</v>
          </cell>
          <cell r="D130">
            <v>2</v>
          </cell>
          <cell r="E130">
            <v>3</v>
          </cell>
          <cell r="F130">
            <v>1</v>
          </cell>
          <cell r="G130">
            <v>5000</v>
          </cell>
          <cell r="H130">
            <v>5100</v>
          </cell>
          <cell r="I130">
            <v>519</v>
          </cell>
          <cell r="J130">
            <v>1</v>
          </cell>
          <cell r="K130" t="str">
            <v>Aire acondicionado (Minisplit)</v>
          </cell>
          <cell r="L130">
            <v>66700</v>
          </cell>
          <cell r="M130">
            <v>0</v>
          </cell>
          <cell r="N130">
            <v>66700</v>
          </cell>
          <cell r="O130">
            <v>0</v>
          </cell>
          <cell r="P130">
            <v>0</v>
          </cell>
          <cell r="Q130">
            <v>0</v>
          </cell>
          <cell r="R130">
            <v>66700</v>
          </cell>
          <cell r="S130" t="str">
            <v>Pieza</v>
          </cell>
          <cell r="T130">
            <v>5</v>
          </cell>
          <cell r="V130" t="str">
            <v>FC</v>
          </cell>
        </row>
        <row r="131">
          <cell r="A131">
            <v>76</v>
          </cell>
          <cell r="B131">
            <v>2017</v>
          </cell>
          <cell r="C131">
            <v>8300</v>
          </cell>
          <cell r="D131">
            <v>2</v>
          </cell>
          <cell r="E131">
            <v>3</v>
          </cell>
          <cell r="F131">
            <v>1</v>
          </cell>
          <cell r="G131">
            <v>5000</v>
          </cell>
          <cell r="H131">
            <v>5100</v>
          </cell>
          <cell r="I131">
            <v>519</v>
          </cell>
          <cell r="J131">
            <v>2</v>
          </cell>
          <cell r="K131" t="str">
            <v>Equipo de detección de incendio, alarma y voceo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 t="str">
            <v>Pieza</v>
          </cell>
          <cell r="V131" t="str">
            <v>FC</v>
          </cell>
        </row>
        <row r="132">
          <cell r="A132">
            <v>77</v>
          </cell>
          <cell r="B132">
            <v>2017</v>
          </cell>
          <cell r="C132">
            <v>8300</v>
          </cell>
          <cell r="D132">
            <v>2</v>
          </cell>
          <cell r="E132">
            <v>3</v>
          </cell>
          <cell r="F132">
            <v>1</v>
          </cell>
          <cell r="G132">
            <v>5000</v>
          </cell>
          <cell r="H132">
            <v>5100</v>
          </cell>
          <cell r="I132">
            <v>519</v>
          </cell>
          <cell r="J132">
            <v>3</v>
          </cell>
          <cell r="K132" t="str">
            <v xml:space="preserve">Sistema de control de acceso 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 t="str">
            <v>Pieza</v>
          </cell>
          <cell r="V132" t="str">
            <v>FC</v>
          </cell>
        </row>
        <row r="133">
          <cell r="A133">
            <v>78</v>
          </cell>
          <cell r="B133">
            <v>2017</v>
          </cell>
          <cell r="C133">
            <v>8300</v>
          </cell>
          <cell r="D133">
            <v>2</v>
          </cell>
          <cell r="E133">
            <v>3</v>
          </cell>
          <cell r="F133">
            <v>1</v>
          </cell>
          <cell r="G133">
            <v>5000</v>
          </cell>
          <cell r="H133">
            <v>5400</v>
          </cell>
          <cell r="K133" t="str">
            <v>Vehículos y Equipo de Transporte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</row>
        <row r="134">
          <cell r="A134">
            <v>79</v>
          </cell>
          <cell r="B134">
            <v>2017</v>
          </cell>
          <cell r="C134">
            <v>8300</v>
          </cell>
          <cell r="D134">
            <v>2</v>
          </cell>
          <cell r="E134">
            <v>3</v>
          </cell>
          <cell r="F134">
            <v>1</v>
          </cell>
          <cell r="G134">
            <v>5000</v>
          </cell>
          <cell r="H134">
            <v>5400</v>
          </cell>
          <cell r="I134">
            <v>541</v>
          </cell>
          <cell r="K134" t="str">
            <v>Vehículos y equipo terrestre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</row>
        <row r="135">
          <cell r="A135">
            <v>80</v>
          </cell>
          <cell r="B135">
            <v>2017</v>
          </cell>
          <cell r="C135">
            <v>8300</v>
          </cell>
          <cell r="D135">
            <v>2</v>
          </cell>
          <cell r="E135">
            <v>3</v>
          </cell>
          <cell r="F135">
            <v>1</v>
          </cell>
          <cell r="G135">
            <v>5000</v>
          </cell>
          <cell r="H135">
            <v>5400</v>
          </cell>
          <cell r="I135">
            <v>541</v>
          </cell>
          <cell r="J135">
            <v>1</v>
          </cell>
          <cell r="K135" t="str">
            <v>Vehículo  (Pick Up de doble cabina, 4x4)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 t="str">
            <v>Pieza</v>
          </cell>
          <cell r="V135" t="str">
            <v>AE</v>
          </cell>
        </row>
        <row r="136">
          <cell r="A136">
            <v>81</v>
          </cell>
          <cell r="B136">
            <v>2017</v>
          </cell>
          <cell r="C136">
            <v>8300</v>
          </cell>
          <cell r="D136">
            <v>2</v>
          </cell>
          <cell r="E136">
            <v>3</v>
          </cell>
          <cell r="F136">
            <v>1</v>
          </cell>
          <cell r="G136">
            <v>5000</v>
          </cell>
          <cell r="H136">
            <v>5600</v>
          </cell>
          <cell r="K136" t="str">
            <v>Maquinaria, Otros Equipos y Herramientas</v>
          </cell>
          <cell r="L136">
            <v>9523958</v>
          </cell>
          <cell r="M136">
            <v>0</v>
          </cell>
          <cell r="N136">
            <v>9523958</v>
          </cell>
          <cell r="O136">
            <v>0</v>
          </cell>
          <cell r="P136">
            <v>0</v>
          </cell>
          <cell r="Q136">
            <v>0</v>
          </cell>
          <cell r="R136">
            <v>9523958</v>
          </cell>
        </row>
        <row r="137">
          <cell r="A137">
            <v>82</v>
          </cell>
          <cell r="B137">
            <v>2017</v>
          </cell>
          <cell r="C137">
            <v>8300</v>
          </cell>
          <cell r="D137">
            <v>2</v>
          </cell>
          <cell r="E137">
            <v>3</v>
          </cell>
          <cell r="F137">
            <v>1</v>
          </cell>
          <cell r="G137">
            <v>5000</v>
          </cell>
          <cell r="H137">
            <v>5600</v>
          </cell>
          <cell r="I137">
            <v>562</v>
          </cell>
          <cell r="K137" t="str">
            <v>Maquinaria y equipo industrial</v>
          </cell>
          <cell r="L137">
            <v>11801</v>
          </cell>
          <cell r="M137">
            <v>0</v>
          </cell>
          <cell r="N137">
            <v>11801</v>
          </cell>
          <cell r="O137">
            <v>0</v>
          </cell>
          <cell r="P137">
            <v>0</v>
          </cell>
          <cell r="Q137">
            <v>0</v>
          </cell>
          <cell r="R137">
            <v>11801</v>
          </cell>
        </row>
        <row r="138">
          <cell r="A138">
            <v>83</v>
          </cell>
          <cell r="B138">
            <v>2017</v>
          </cell>
          <cell r="C138">
            <v>8300</v>
          </cell>
          <cell r="D138">
            <v>2</v>
          </cell>
          <cell r="E138">
            <v>3</v>
          </cell>
          <cell r="F138">
            <v>1</v>
          </cell>
          <cell r="G138">
            <v>5000</v>
          </cell>
          <cell r="H138">
            <v>5600</v>
          </cell>
          <cell r="I138">
            <v>562</v>
          </cell>
          <cell r="J138">
            <v>1</v>
          </cell>
          <cell r="K138" t="str">
            <v>Aspiradora industrial/semi industrial</v>
          </cell>
          <cell r="L138">
            <v>11801</v>
          </cell>
          <cell r="M138">
            <v>0</v>
          </cell>
          <cell r="N138">
            <v>11801</v>
          </cell>
          <cell r="O138">
            <v>0</v>
          </cell>
          <cell r="P138">
            <v>0</v>
          </cell>
          <cell r="Q138">
            <v>0</v>
          </cell>
          <cell r="R138">
            <v>11801</v>
          </cell>
          <cell r="S138" t="str">
            <v>Pieza</v>
          </cell>
          <cell r="T138">
            <v>1</v>
          </cell>
          <cell r="V138" t="str">
            <v>FC</v>
          </cell>
        </row>
        <row r="139">
          <cell r="A139">
            <v>84</v>
          </cell>
          <cell r="B139">
            <v>2017</v>
          </cell>
          <cell r="C139">
            <v>8300</v>
          </cell>
          <cell r="D139">
            <v>2</v>
          </cell>
          <cell r="E139">
            <v>3</v>
          </cell>
          <cell r="F139">
            <v>1</v>
          </cell>
          <cell r="G139">
            <v>5000</v>
          </cell>
          <cell r="H139">
            <v>5600</v>
          </cell>
          <cell r="I139">
            <v>564</v>
          </cell>
          <cell r="K139" t="str">
            <v>Sistemas de aire acondicionado, calefacción y de refrigeración industrial y comercial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</row>
        <row r="140">
          <cell r="A140">
            <v>85</v>
          </cell>
          <cell r="B140">
            <v>2017</v>
          </cell>
          <cell r="C140">
            <v>8300</v>
          </cell>
          <cell r="D140">
            <v>2</v>
          </cell>
          <cell r="E140">
            <v>3</v>
          </cell>
          <cell r="F140">
            <v>1</v>
          </cell>
          <cell r="G140">
            <v>5000</v>
          </cell>
          <cell r="H140">
            <v>5600</v>
          </cell>
          <cell r="I140">
            <v>564</v>
          </cell>
          <cell r="J140">
            <v>1</v>
          </cell>
          <cell r="K140" t="str">
            <v>Aire acondicionado de precisión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 t="str">
            <v>Pieza</v>
          </cell>
          <cell r="V140" t="str">
            <v>FC</v>
          </cell>
        </row>
        <row r="141">
          <cell r="A141">
            <v>86</v>
          </cell>
          <cell r="B141">
            <v>2017</v>
          </cell>
          <cell r="C141">
            <v>8300</v>
          </cell>
          <cell r="D141">
            <v>2</v>
          </cell>
          <cell r="E141">
            <v>3</v>
          </cell>
          <cell r="F141">
            <v>1</v>
          </cell>
          <cell r="G141">
            <v>5000</v>
          </cell>
          <cell r="H141">
            <v>5600</v>
          </cell>
          <cell r="I141">
            <v>565</v>
          </cell>
          <cell r="K141" t="str">
            <v>Equipo de comunicación y telecomunicación</v>
          </cell>
          <cell r="L141">
            <v>6705144</v>
          </cell>
          <cell r="M141">
            <v>0</v>
          </cell>
          <cell r="N141">
            <v>6705144</v>
          </cell>
          <cell r="O141">
            <v>0</v>
          </cell>
          <cell r="P141">
            <v>0</v>
          </cell>
          <cell r="Q141">
            <v>0</v>
          </cell>
          <cell r="R141">
            <v>6705144</v>
          </cell>
        </row>
        <row r="142">
          <cell r="A142">
            <v>87</v>
          </cell>
          <cell r="B142">
            <v>2017</v>
          </cell>
          <cell r="C142">
            <v>8300</v>
          </cell>
          <cell r="D142">
            <v>2</v>
          </cell>
          <cell r="E142">
            <v>3</v>
          </cell>
          <cell r="F142">
            <v>1</v>
          </cell>
          <cell r="G142">
            <v>5000</v>
          </cell>
          <cell r="H142">
            <v>5600</v>
          </cell>
          <cell r="I142">
            <v>565</v>
          </cell>
          <cell r="J142">
            <v>1</v>
          </cell>
          <cell r="K142" t="str">
            <v>Ampliación de canales para repetidor digital troncalizado (a 8, 12, 16)</v>
          </cell>
          <cell r="L142">
            <v>0</v>
          </cell>
          <cell r="M142">
            <v>0</v>
          </cell>
          <cell r="N142">
            <v>0</v>
          </cell>
          <cell r="P142">
            <v>0</v>
          </cell>
          <cell r="Q142">
            <v>0</v>
          </cell>
          <cell r="R142">
            <v>0</v>
          </cell>
          <cell r="S142" t="str">
            <v>Pieza</v>
          </cell>
          <cell r="V142" t="str">
            <v>FC</v>
          </cell>
        </row>
        <row r="143">
          <cell r="A143">
            <v>88</v>
          </cell>
          <cell r="B143">
            <v>2017</v>
          </cell>
          <cell r="C143">
            <v>8300</v>
          </cell>
          <cell r="D143">
            <v>2</v>
          </cell>
          <cell r="E143">
            <v>3</v>
          </cell>
          <cell r="F143">
            <v>1</v>
          </cell>
          <cell r="G143">
            <v>5000</v>
          </cell>
          <cell r="H143">
            <v>5600</v>
          </cell>
          <cell r="I143">
            <v>565</v>
          </cell>
          <cell r="J143">
            <v>2</v>
          </cell>
          <cell r="K143" t="str">
            <v>Banco de baterías UPS</v>
          </cell>
          <cell r="L143">
            <v>0</v>
          </cell>
          <cell r="M143">
            <v>0</v>
          </cell>
          <cell r="N143">
            <v>0</v>
          </cell>
          <cell r="P143">
            <v>0</v>
          </cell>
          <cell r="Q143">
            <v>0</v>
          </cell>
          <cell r="R143">
            <v>0</v>
          </cell>
          <cell r="S143" t="str">
            <v>Pieza</v>
          </cell>
          <cell r="V143" t="str">
            <v>FC</v>
          </cell>
        </row>
        <row r="144">
          <cell r="A144">
            <v>89</v>
          </cell>
          <cell r="B144">
            <v>2017</v>
          </cell>
          <cell r="C144">
            <v>8300</v>
          </cell>
          <cell r="D144">
            <v>2</v>
          </cell>
          <cell r="E144">
            <v>3</v>
          </cell>
          <cell r="F144">
            <v>1</v>
          </cell>
          <cell r="G144">
            <v>5000</v>
          </cell>
          <cell r="H144">
            <v>5600</v>
          </cell>
          <cell r="I144">
            <v>565</v>
          </cell>
          <cell r="J144">
            <v>3</v>
          </cell>
          <cell r="K144" t="str">
            <v>Batería para terminal digital portátil (radio portátil)</v>
          </cell>
          <cell r="L144">
            <v>893163</v>
          </cell>
          <cell r="M144">
            <v>0</v>
          </cell>
          <cell r="N144">
            <v>893163</v>
          </cell>
          <cell r="P144">
            <v>0</v>
          </cell>
          <cell r="Q144">
            <v>0</v>
          </cell>
          <cell r="R144">
            <v>893163</v>
          </cell>
          <cell r="S144" t="str">
            <v>Pieza</v>
          </cell>
          <cell r="T144">
            <v>800</v>
          </cell>
          <cell r="V144" t="str">
            <v>FC</v>
          </cell>
        </row>
        <row r="145">
          <cell r="A145">
            <v>90</v>
          </cell>
          <cell r="B145">
            <v>2017</v>
          </cell>
          <cell r="C145">
            <v>8300</v>
          </cell>
          <cell r="D145">
            <v>2</v>
          </cell>
          <cell r="E145">
            <v>3</v>
          </cell>
          <cell r="F145">
            <v>1</v>
          </cell>
          <cell r="G145">
            <v>5000</v>
          </cell>
          <cell r="H145">
            <v>5600</v>
          </cell>
          <cell r="I145">
            <v>565</v>
          </cell>
          <cell r="J145">
            <v>4</v>
          </cell>
          <cell r="K145" t="str">
            <v xml:space="preserve">Conmutador de radiocomunicación </v>
          </cell>
          <cell r="M145">
            <v>0</v>
          </cell>
          <cell r="N145">
            <v>0</v>
          </cell>
          <cell r="P145">
            <v>0</v>
          </cell>
          <cell r="Q145">
            <v>0</v>
          </cell>
          <cell r="R145">
            <v>0</v>
          </cell>
          <cell r="S145" t="str">
            <v>Pieza</v>
          </cell>
          <cell r="V145" t="str">
            <v>FC</v>
          </cell>
        </row>
        <row r="146">
          <cell r="A146">
            <v>91</v>
          </cell>
          <cell r="B146">
            <v>2017</v>
          </cell>
          <cell r="C146">
            <v>8300</v>
          </cell>
          <cell r="D146">
            <v>2</v>
          </cell>
          <cell r="E146">
            <v>3</v>
          </cell>
          <cell r="F146">
            <v>1</v>
          </cell>
          <cell r="G146">
            <v>5000</v>
          </cell>
          <cell r="H146">
            <v>5600</v>
          </cell>
          <cell r="I146">
            <v>565</v>
          </cell>
          <cell r="J146">
            <v>5</v>
          </cell>
          <cell r="K146" t="str">
            <v>Equipo de enlaces de microondas e inalámbricos 4.9 GHz</v>
          </cell>
          <cell r="M146">
            <v>0</v>
          </cell>
          <cell r="N146">
            <v>0</v>
          </cell>
          <cell r="P146">
            <v>0</v>
          </cell>
          <cell r="Q146">
            <v>0</v>
          </cell>
          <cell r="R146">
            <v>0</v>
          </cell>
          <cell r="S146" t="str">
            <v>Pieza</v>
          </cell>
          <cell r="V146" t="str">
            <v>FC</v>
          </cell>
        </row>
        <row r="147">
          <cell r="A147">
            <v>92</v>
          </cell>
          <cell r="B147">
            <v>2017</v>
          </cell>
          <cell r="C147">
            <v>8300</v>
          </cell>
          <cell r="D147">
            <v>2</v>
          </cell>
          <cell r="E147">
            <v>3</v>
          </cell>
          <cell r="F147">
            <v>1</v>
          </cell>
          <cell r="G147">
            <v>5000</v>
          </cell>
          <cell r="H147">
            <v>5600</v>
          </cell>
          <cell r="I147">
            <v>565</v>
          </cell>
          <cell r="J147">
            <v>6</v>
          </cell>
          <cell r="K147" t="str">
            <v>Equipo de grabación de voz para radiocomunicación</v>
          </cell>
          <cell r="M147">
            <v>0</v>
          </cell>
          <cell r="N147">
            <v>0</v>
          </cell>
          <cell r="P147">
            <v>0</v>
          </cell>
          <cell r="Q147">
            <v>0</v>
          </cell>
          <cell r="R147">
            <v>0</v>
          </cell>
          <cell r="S147" t="str">
            <v>Pieza</v>
          </cell>
          <cell r="V147" t="str">
            <v>FC</v>
          </cell>
        </row>
        <row r="148">
          <cell r="A148">
            <v>93</v>
          </cell>
          <cell r="B148">
            <v>2017</v>
          </cell>
          <cell r="C148">
            <v>8300</v>
          </cell>
          <cell r="D148">
            <v>2</v>
          </cell>
          <cell r="E148">
            <v>3</v>
          </cell>
          <cell r="F148">
            <v>1</v>
          </cell>
          <cell r="G148">
            <v>5000</v>
          </cell>
          <cell r="H148">
            <v>5600</v>
          </cell>
          <cell r="I148">
            <v>565</v>
          </cell>
          <cell r="J148">
            <v>7</v>
          </cell>
          <cell r="K148" t="str">
            <v>Equipo de radio para despacho</v>
          </cell>
          <cell r="M148">
            <v>0</v>
          </cell>
          <cell r="N148">
            <v>0</v>
          </cell>
          <cell r="P148">
            <v>0</v>
          </cell>
          <cell r="Q148">
            <v>0</v>
          </cell>
          <cell r="R148">
            <v>0</v>
          </cell>
          <cell r="S148" t="str">
            <v>Pieza</v>
          </cell>
          <cell r="V148" t="str">
            <v>FC</v>
          </cell>
        </row>
        <row r="149">
          <cell r="A149">
            <v>94</v>
          </cell>
          <cell r="B149">
            <v>2017</v>
          </cell>
          <cell r="C149">
            <v>8300</v>
          </cell>
          <cell r="D149">
            <v>2</v>
          </cell>
          <cell r="E149">
            <v>3</v>
          </cell>
          <cell r="F149">
            <v>1</v>
          </cell>
          <cell r="G149">
            <v>5000</v>
          </cell>
          <cell r="H149">
            <v>5600</v>
          </cell>
          <cell r="I149">
            <v>565</v>
          </cell>
          <cell r="J149">
            <v>8</v>
          </cell>
          <cell r="K149" t="str">
            <v>Equipo de Telemetría</v>
          </cell>
          <cell r="L149">
            <v>309755</v>
          </cell>
          <cell r="M149">
            <v>0</v>
          </cell>
          <cell r="N149">
            <v>309755</v>
          </cell>
          <cell r="P149">
            <v>0</v>
          </cell>
          <cell r="Q149">
            <v>0</v>
          </cell>
          <cell r="R149">
            <v>309755</v>
          </cell>
          <cell r="S149" t="str">
            <v>Equipo/
Pieza</v>
          </cell>
          <cell r="T149">
            <v>1</v>
          </cell>
          <cell r="V149" t="str">
            <v>FC</v>
          </cell>
        </row>
        <row r="150">
          <cell r="A150">
            <v>95</v>
          </cell>
          <cell r="B150">
            <v>2017</v>
          </cell>
          <cell r="C150">
            <v>8300</v>
          </cell>
          <cell r="D150">
            <v>2</v>
          </cell>
          <cell r="E150">
            <v>3</v>
          </cell>
          <cell r="F150">
            <v>1</v>
          </cell>
          <cell r="G150">
            <v>5000</v>
          </cell>
          <cell r="H150">
            <v>5600</v>
          </cell>
          <cell r="I150">
            <v>565</v>
          </cell>
          <cell r="J150">
            <v>9</v>
          </cell>
          <cell r="K150" t="str">
            <v xml:space="preserve">Equipo GPS </v>
          </cell>
          <cell r="L150">
            <v>0</v>
          </cell>
          <cell r="M150">
            <v>0</v>
          </cell>
          <cell r="N150">
            <v>0</v>
          </cell>
          <cell r="P150">
            <v>0</v>
          </cell>
          <cell r="Q150">
            <v>0</v>
          </cell>
          <cell r="R150">
            <v>0</v>
          </cell>
          <cell r="S150" t="str">
            <v>Equipo/
Pieza</v>
          </cell>
          <cell r="V150" t="str">
            <v>FC</v>
          </cell>
        </row>
        <row r="151">
          <cell r="A151">
            <v>96</v>
          </cell>
          <cell r="B151">
            <v>2017</v>
          </cell>
          <cell r="C151">
            <v>8300</v>
          </cell>
          <cell r="D151">
            <v>2</v>
          </cell>
          <cell r="E151">
            <v>3</v>
          </cell>
          <cell r="F151">
            <v>1</v>
          </cell>
          <cell r="G151">
            <v>5000</v>
          </cell>
          <cell r="H151">
            <v>5600</v>
          </cell>
          <cell r="I151">
            <v>565</v>
          </cell>
          <cell r="J151">
            <v>10</v>
          </cell>
          <cell r="K151" t="str">
            <v>Refacciones para terminales digitales móviles</v>
          </cell>
          <cell r="L151">
            <v>90552</v>
          </cell>
          <cell r="M151">
            <v>0</v>
          </cell>
          <cell r="N151">
            <v>90552</v>
          </cell>
          <cell r="P151">
            <v>0</v>
          </cell>
          <cell r="Q151">
            <v>0</v>
          </cell>
          <cell r="R151">
            <v>90552</v>
          </cell>
          <cell r="S151" t="str">
            <v>Equipo/
Pieza</v>
          </cell>
          <cell r="T151">
            <v>23</v>
          </cell>
          <cell r="V151" t="str">
            <v>FC</v>
          </cell>
        </row>
        <row r="152">
          <cell r="A152">
            <v>97</v>
          </cell>
          <cell r="B152">
            <v>2017</v>
          </cell>
          <cell r="C152">
            <v>8300</v>
          </cell>
          <cell r="D152">
            <v>2</v>
          </cell>
          <cell r="E152">
            <v>3</v>
          </cell>
          <cell r="F152">
            <v>1</v>
          </cell>
          <cell r="G152">
            <v>5000</v>
          </cell>
          <cell r="H152">
            <v>5600</v>
          </cell>
          <cell r="I152">
            <v>565</v>
          </cell>
          <cell r="J152">
            <v>11</v>
          </cell>
          <cell r="K152" t="str">
            <v>Refacciones para terminales digitales portátiles</v>
          </cell>
          <cell r="L152">
            <v>423609</v>
          </cell>
          <cell r="M152">
            <v>0</v>
          </cell>
          <cell r="N152">
            <v>423609</v>
          </cell>
          <cell r="P152">
            <v>0</v>
          </cell>
          <cell r="Q152">
            <v>0</v>
          </cell>
          <cell r="R152">
            <v>423609</v>
          </cell>
          <cell r="S152" t="str">
            <v>Equipo/
Pieza</v>
          </cell>
          <cell r="T152">
            <v>1000</v>
          </cell>
          <cell r="V152" t="str">
            <v>FC</v>
          </cell>
        </row>
        <row r="153">
          <cell r="A153">
            <v>98</v>
          </cell>
          <cell r="B153">
            <v>2017</v>
          </cell>
          <cell r="C153">
            <v>8300</v>
          </cell>
          <cell r="D153">
            <v>2</v>
          </cell>
          <cell r="E153">
            <v>3</v>
          </cell>
          <cell r="F153">
            <v>1</v>
          </cell>
          <cell r="G153">
            <v>5000</v>
          </cell>
          <cell r="H153">
            <v>5600</v>
          </cell>
          <cell r="I153">
            <v>565</v>
          </cell>
          <cell r="J153">
            <v>12</v>
          </cell>
          <cell r="K153" t="str">
            <v>Repetidor de radiocomunicación</v>
          </cell>
          <cell r="M153">
            <v>0</v>
          </cell>
          <cell r="N153">
            <v>0</v>
          </cell>
          <cell r="P153">
            <v>0</v>
          </cell>
          <cell r="Q153">
            <v>0</v>
          </cell>
          <cell r="R153">
            <v>0</v>
          </cell>
          <cell r="S153" t="str">
            <v>Pieza</v>
          </cell>
          <cell r="V153" t="str">
            <v>FC</v>
          </cell>
        </row>
        <row r="154">
          <cell r="A154">
            <v>99</v>
          </cell>
          <cell r="B154">
            <v>2017</v>
          </cell>
          <cell r="C154">
            <v>8300</v>
          </cell>
          <cell r="D154">
            <v>2</v>
          </cell>
          <cell r="E154">
            <v>3</v>
          </cell>
          <cell r="F154">
            <v>1</v>
          </cell>
          <cell r="G154">
            <v>5000</v>
          </cell>
          <cell r="H154">
            <v>5600</v>
          </cell>
          <cell r="I154">
            <v>565</v>
          </cell>
          <cell r="J154">
            <v>13</v>
          </cell>
          <cell r="K154" t="str">
            <v>Repetidor digital Independiente</v>
          </cell>
          <cell r="M154">
            <v>0</v>
          </cell>
          <cell r="N154">
            <v>0</v>
          </cell>
          <cell r="P154">
            <v>0</v>
          </cell>
          <cell r="Q154">
            <v>0</v>
          </cell>
          <cell r="R154">
            <v>0</v>
          </cell>
          <cell r="S154" t="str">
            <v>Pieza</v>
          </cell>
          <cell r="V154" t="str">
            <v>FC</v>
          </cell>
        </row>
        <row r="155">
          <cell r="A155">
            <v>100</v>
          </cell>
          <cell r="B155">
            <v>2017</v>
          </cell>
          <cell r="C155">
            <v>8300</v>
          </cell>
          <cell r="D155">
            <v>2</v>
          </cell>
          <cell r="E155">
            <v>3</v>
          </cell>
          <cell r="F155">
            <v>1</v>
          </cell>
          <cell r="G155">
            <v>5000</v>
          </cell>
          <cell r="H155">
            <v>5600</v>
          </cell>
          <cell r="I155">
            <v>565</v>
          </cell>
          <cell r="J155">
            <v>14</v>
          </cell>
          <cell r="K155" t="str">
            <v>Sistema de AVL</v>
          </cell>
          <cell r="L155">
            <v>3866054</v>
          </cell>
          <cell r="M155">
            <v>0</v>
          </cell>
          <cell r="N155">
            <v>3866054</v>
          </cell>
          <cell r="P155">
            <v>0</v>
          </cell>
          <cell r="Q155">
            <v>0</v>
          </cell>
          <cell r="R155">
            <v>3866054</v>
          </cell>
          <cell r="S155" t="str">
            <v>Pieza</v>
          </cell>
          <cell r="T155">
            <v>1</v>
          </cell>
          <cell r="V155" t="str">
            <v>FC</v>
          </cell>
        </row>
        <row r="156">
          <cell r="A156">
            <v>101</v>
          </cell>
          <cell r="B156">
            <v>2017</v>
          </cell>
          <cell r="C156">
            <v>8300</v>
          </cell>
          <cell r="D156">
            <v>2</v>
          </cell>
          <cell r="E156">
            <v>3</v>
          </cell>
          <cell r="F156">
            <v>1</v>
          </cell>
          <cell r="G156">
            <v>5000</v>
          </cell>
          <cell r="H156">
            <v>5600</v>
          </cell>
          <cell r="I156">
            <v>565</v>
          </cell>
          <cell r="J156">
            <v>15</v>
          </cell>
          <cell r="K156" t="str">
            <v>Terminal digital de escritorio (radio base)</v>
          </cell>
          <cell r="M156">
            <v>0</v>
          </cell>
          <cell r="N156">
            <v>0</v>
          </cell>
          <cell r="P156">
            <v>0</v>
          </cell>
          <cell r="Q156">
            <v>0</v>
          </cell>
          <cell r="R156">
            <v>0</v>
          </cell>
          <cell r="S156" t="str">
            <v>Equipo/
Pieza</v>
          </cell>
          <cell r="V156" t="str">
            <v>FC</v>
          </cell>
        </row>
        <row r="157">
          <cell r="A157">
            <v>102</v>
          </cell>
          <cell r="B157">
            <v>2017</v>
          </cell>
          <cell r="C157">
            <v>8300</v>
          </cell>
          <cell r="D157">
            <v>2</v>
          </cell>
          <cell r="E157">
            <v>3</v>
          </cell>
          <cell r="F157">
            <v>1</v>
          </cell>
          <cell r="G157">
            <v>5000</v>
          </cell>
          <cell r="H157">
            <v>5600</v>
          </cell>
          <cell r="I157">
            <v>565</v>
          </cell>
          <cell r="J157">
            <v>16</v>
          </cell>
          <cell r="K157" t="str">
            <v>Terminal digital móvil (radio)</v>
          </cell>
          <cell r="L157">
            <v>143731</v>
          </cell>
          <cell r="M157">
            <v>0</v>
          </cell>
          <cell r="N157">
            <v>143731</v>
          </cell>
          <cell r="P157">
            <v>0</v>
          </cell>
          <cell r="Q157">
            <v>0</v>
          </cell>
          <cell r="R157">
            <v>143731</v>
          </cell>
          <cell r="S157" t="str">
            <v>Equipo/
Pieza</v>
          </cell>
          <cell r="T157">
            <v>3</v>
          </cell>
          <cell r="V157" t="str">
            <v>FC</v>
          </cell>
        </row>
        <row r="158">
          <cell r="A158">
            <v>103</v>
          </cell>
          <cell r="B158">
            <v>2017</v>
          </cell>
          <cell r="C158">
            <v>8300</v>
          </cell>
          <cell r="D158">
            <v>2</v>
          </cell>
          <cell r="E158">
            <v>3</v>
          </cell>
          <cell r="F158">
            <v>1</v>
          </cell>
          <cell r="G158">
            <v>5000</v>
          </cell>
          <cell r="H158">
            <v>5600</v>
          </cell>
          <cell r="I158">
            <v>565</v>
          </cell>
          <cell r="J158">
            <v>17</v>
          </cell>
          <cell r="K158" t="str">
            <v>Terminal digital portátil (radio)</v>
          </cell>
          <cell r="L158">
            <v>978280</v>
          </cell>
          <cell r="M158">
            <v>0</v>
          </cell>
          <cell r="N158">
            <v>978280</v>
          </cell>
          <cell r="P158">
            <v>0</v>
          </cell>
          <cell r="Q158">
            <v>0</v>
          </cell>
          <cell r="R158">
            <v>978280</v>
          </cell>
          <cell r="S158" t="str">
            <v>Equipo/
Pieza</v>
          </cell>
          <cell r="T158">
            <v>42</v>
          </cell>
          <cell r="V158" t="str">
            <v>FC</v>
          </cell>
        </row>
        <row r="159">
          <cell r="A159">
            <v>104</v>
          </cell>
          <cell r="B159">
            <v>2017</v>
          </cell>
          <cell r="C159">
            <v>8300</v>
          </cell>
          <cell r="D159">
            <v>2</v>
          </cell>
          <cell r="E159">
            <v>3</v>
          </cell>
          <cell r="F159">
            <v>1</v>
          </cell>
          <cell r="G159">
            <v>5000</v>
          </cell>
          <cell r="H159">
            <v>5600</v>
          </cell>
          <cell r="I159">
            <v>565</v>
          </cell>
          <cell r="J159">
            <v>18</v>
          </cell>
          <cell r="K159" t="str">
            <v>Consola multitecnología</v>
          </cell>
          <cell r="M159">
            <v>0</v>
          </cell>
          <cell r="N159">
            <v>0</v>
          </cell>
          <cell r="P159">
            <v>0</v>
          </cell>
          <cell r="Q159">
            <v>0</v>
          </cell>
          <cell r="R159">
            <v>0</v>
          </cell>
          <cell r="S159" t="str">
            <v>Pieza</v>
          </cell>
          <cell r="V159" t="str">
            <v>FC</v>
          </cell>
        </row>
        <row r="160">
          <cell r="A160">
            <v>105</v>
          </cell>
          <cell r="B160">
            <v>2017</v>
          </cell>
          <cell r="C160">
            <v>8300</v>
          </cell>
          <cell r="D160">
            <v>2</v>
          </cell>
          <cell r="E160">
            <v>3</v>
          </cell>
          <cell r="F160">
            <v>1</v>
          </cell>
          <cell r="G160">
            <v>5000</v>
          </cell>
          <cell r="H160">
            <v>5600</v>
          </cell>
          <cell r="I160">
            <v>565</v>
          </cell>
          <cell r="J160">
            <v>19</v>
          </cell>
          <cell r="K160" t="str">
            <v>Torre de radiocomunicación</v>
          </cell>
          <cell r="M160">
            <v>0</v>
          </cell>
          <cell r="N160">
            <v>0</v>
          </cell>
          <cell r="P160">
            <v>0</v>
          </cell>
          <cell r="Q160">
            <v>0</v>
          </cell>
          <cell r="R160">
            <v>0</v>
          </cell>
          <cell r="S160" t="str">
            <v>Pieza</v>
          </cell>
          <cell r="V160" t="str">
            <v>FC</v>
          </cell>
        </row>
        <row r="161">
          <cell r="A161">
            <v>106</v>
          </cell>
          <cell r="B161">
            <v>2017</v>
          </cell>
          <cell r="C161">
            <v>8300</v>
          </cell>
          <cell r="D161">
            <v>2</v>
          </cell>
          <cell r="E161">
            <v>3</v>
          </cell>
          <cell r="F161">
            <v>1</v>
          </cell>
          <cell r="G161">
            <v>5000</v>
          </cell>
          <cell r="H161">
            <v>5600</v>
          </cell>
          <cell r="I161">
            <v>565</v>
          </cell>
          <cell r="J161">
            <v>20</v>
          </cell>
          <cell r="K161" t="str">
            <v>Servidor de Comunicaciones de Radio</v>
          </cell>
          <cell r="M161">
            <v>0</v>
          </cell>
          <cell r="N161">
            <v>0</v>
          </cell>
          <cell r="P161">
            <v>0</v>
          </cell>
          <cell r="Q161">
            <v>0</v>
          </cell>
          <cell r="R161">
            <v>0</v>
          </cell>
          <cell r="S161" t="str">
            <v>Pieza</v>
          </cell>
          <cell r="V161" t="str">
            <v>FC</v>
          </cell>
        </row>
        <row r="162">
          <cell r="A162">
            <v>107</v>
          </cell>
          <cell r="B162">
            <v>2017</v>
          </cell>
          <cell r="C162">
            <v>8300</v>
          </cell>
          <cell r="D162">
            <v>2</v>
          </cell>
          <cell r="E162">
            <v>3</v>
          </cell>
          <cell r="F162">
            <v>1</v>
          </cell>
          <cell r="G162">
            <v>5000</v>
          </cell>
          <cell r="H162">
            <v>5600</v>
          </cell>
          <cell r="I162">
            <v>566</v>
          </cell>
          <cell r="K162" t="str">
            <v>Equipos de generación eléctrica, aparatos y accesorios eléctricos</v>
          </cell>
          <cell r="L162">
            <v>2807013</v>
          </cell>
          <cell r="M162">
            <v>0</v>
          </cell>
          <cell r="N162">
            <v>2807013</v>
          </cell>
          <cell r="O162">
            <v>0</v>
          </cell>
          <cell r="P162">
            <v>0</v>
          </cell>
          <cell r="Q162">
            <v>0</v>
          </cell>
          <cell r="R162">
            <v>2807013</v>
          </cell>
        </row>
        <row r="163">
          <cell r="A163">
            <v>108</v>
          </cell>
          <cell r="B163">
            <v>2017</v>
          </cell>
          <cell r="C163">
            <v>8300</v>
          </cell>
          <cell r="D163">
            <v>2</v>
          </cell>
          <cell r="E163">
            <v>3</v>
          </cell>
          <cell r="F163">
            <v>1</v>
          </cell>
          <cell r="G163">
            <v>5000</v>
          </cell>
          <cell r="H163">
            <v>5600</v>
          </cell>
          <cell r="I163">
            <v>566</v>
          </cell>
          <cell r="J163">
            <v>1</v>
          </cell>
          <cell r="K163" t="str">
            <v>Acondicionador de línea trifásico mínimo 24KVA</v>
          </cell>
          <cell r="M163">
            <v>0</v>
          </cell>
          <cell r="N163">
            <v>0</v>
          </cell>
          <cell r="P163">
            <v>0</v>
          </cell>
          <cell r="Q163">
            <v>0</v>
          </cell>
          <cell r="R163">
            <v>0</v>
          </cell>
          <cell r="S163" t="str">
            <v>Equipo</v>
          </cell>
          <cell r="V163" t="str">
            <v>FC</v>
          </cell>
        </row>
        <row r="164">
          <cell r="A164">
            <v>109</v>
          </cell>
          <cell r="B164">
            <v>2017</v>
          </cell>
          <cell r="C164">
            <v>8300</v>
          </cell>
          <cell r="D164">
            <v>2</v>
          </cell>
          <cell r="E164">
            <v>3</v>
          </cell>
          <cell r="F164">
            <v>1</v>
          </cell>
          <cell r="G164">
            <v>5000</v>
          </cell>
          <cell r="H164">
            <v>5600</v>
          </cell>
          <cell r="I164">
            <v>566</v>
          </cell>
          <cell r="J164">
            <v>2</v>
          </cell>
          <cell r="K164" t="str">
            <v>Dispositivos de PoE de alimentación de energía</v>
          </cell>
          <cell r="M164">
            <v>0</v>
          </cell>
          <cell r="N164">
            <v>0</v>
          </cell>
          <cell r="P164">
            <v>0</v>
          </cell>
          <cell r="Q164">
            <v>0</v>
          </cell>
          <cell r="R164">
            <v>0</v>
          </cell>
          <cell r="S164" t="str">
            <v>Pieza</v>
          </cell>
          <cell r="V164" t="str">
            <v>FC</v>
          </cell>
        </row>
        <row r="165">
          <cell r="A165">
            <v>110</v>
          </cell>
          <cell r="B165">
            <v>2017</v>
          </cell>
          <cell r="C165">
            <v>8300</v>
          </cell>
          <cell r="D165">
            <v>2</v>
          </cell>
          <cell r="E165">
            <v>3</v>
          </cell>
          <cell r="F165">
            <v>1</v>
          </cell>
          <cell r="G165">
            <v>5000</v>
          </cell>
          <cell r="H165">
            <v>5600</v>
          </cell>
          <cell r="I165">
            <v>566</v>
          </cell>
          <cell r="J165">
            <v>3</v>
          </cell>
          <cell r="K165" t="str">
            <v>Equipo de protección contra descargas atmosféricas (Sistema de Tierras Físicas y apartarrayos)</v>
          </cell>
          <cell r="M165">
            <v>0</v>
          </cell>
          <cell r="N165">
            <v>0</v>
          </cell>
          <cell r="P165">
            <v>0</v>
          </cell>
          <cell r="Q165">
            <v>0</v>
          </cell>
          <cell r="R165">
            <v>0</v>
          </cell>
          <cell r="S165" t="str">
            <v>Pieza</v>
          </cell>
          <cell r="V165" t="str">
            <v>FC</v>
          </cell>
        </row>
        <row r="166">
          <cell r="A166">
            <v>111</v>
          </cell>
          <cell r="B166">
            <v>2017</v>
          </cell>
          <cell r="C166">
            <v>8300</v>
          </cell>
          <cell r="D166">
            <v>2</v>
          </cell>
          <cell r="E166">
            <v>3</v>
          </cell>
          <cell r="F166">
            <v>1</v>
          </cell>
          <cell r="G166">
            <v>5000</v>
          </cell>
          <cell r="H166">
            <v>5600</v>
          </cell>
          <cell r="I166">
            <v>566</v>
          </cell>
          <cell r="J166">
            <v>4</v>
          </cell>
          <cell r="K166" t="str">
            <v xml:space="preserve">Generador eléctrico a gasolina </v>
          </cell>
          <cell r="M166">
            <v>0</v>
          </cell>
          <cell r="N166">
            <v>0</v>
          </cell>
          <cell r="P166">
            <v>0</v>
          </cell>
          <cell r="Q166">
            <v>0</v>
          </cell>
          <cell r="R166">
            <v>0</v>
          </cell>
          <cell r="S166" t="str">
            <v>Pieza</v>
          </cell>
          <cell r="V166" t="str">
            <v>FC</v>
          </cell>
        </row>
        <row r="167">
          <cell r="A167">
            <v>112</v>
          </cell>
          <cell r="B167">
            <v>2017</v>
          </cell>
          <cell r="C167">
            <v>8300</v>
          </cell>
          <cell r="D167">
            <v>2</v>
          </cell>
          <cell r="E167">
            <v>3</v>
          </cell>
          <cell r="F167">
            <v>1</v>
          </cell>
          <cell r="G167">
            <v>5000</v>
          </cell>
          <cell r="H167">
            <v>5600</v>
          </cell>
          <cell r="I167">
            <v>566</v>
          </cell>
          <cell r="J167">
            <v>5</v>
          </cell>
          <cell r="K167" t="str">
            <v>Motogeneradora de energía eléctrica</v>
          </cell>
          <cell r="M167">
            <v>0</v>
          </cell>
          <cell r="N167">
            <v>0</v>
          </cell>
          <cell r="P167">
            <v>0</v>
          </cell>
          <cell r="Q167">
            <v>0</v>
          </cell>
          <cell r="R167">
            <v>0</v>
          </cell>
          <cell r="S167" t="str">
            <v>Pieza</v>
          </cell>
          <cell r="V167" t="str">
            <v>FC</v>
          </cell>
        </row>
        <row r="168">
          <cell r="A168">
            <v>113</v>
          </cell>
          <cell r="B168">
            <v>2017</v>
          </cell>
          <cell r="C168">
            <v>8300</v>
          </cell>
          <cell r="D168">
            <v>2</v>
          </cell>
          <cell r="E168">
            <v>3</v>
          </cell>
          <cell r="F168">
            <v>1</v>
          </cell>
          <cell r="G168">
            <v>5000</v>
          </cell>
          <cell r="H168">
            <v>5600</v>
          </cell>
          <cell r="I168">
            <v>566</v>
          </cell>
          <cell r="J168">
            <v>6</v>
          </cell>
          <cell r="K168" t="str">
            <v>Planta de emergencia</v>
          </cell>
          <cell r="L168">
            <v>627434</v>
          </cell>
          <cell r="M168">
            <v>0</v>
          </cell>
          <cell r="N168">
            <v>627434</v>
          </cell>
          <cell r="P168">
            <v>0</v>
          </cell>
          <cell r="Q168">
            <v>0</v>
          </cell>
          <cell r="R168">
            <v>627434</v>
          </cell>
          <cell r="S168" t="str">
            <v>Pieza</v>
          </cell>
          <cell r="T168">
            <v>1</v>
          </cell>
          <cell r="V168" t="str">
            <v>FC</v>
          </cell>
        </row>
        <row r="169">
          <cell r="A169">
            <v>114</v>
          </cell>
          <cell r="B169">
            <v>2017</v>
          </cell>
          <cell r="C169">
            <v>8300</v>
          </cell>
          <cell r="D169">
            <v>2</v>
          </cell>
          <cell r="E169">
            <v>3</v>
          </cell>
          <cell r="F169">
            <v>1</v>
          </cell>
          <cell r="G169">
            <v>5000</v>
          </cell>
          <cell r="H169">
            <v>5600</v>
          </cell>
          <cell r="I169">
            <v>566</v>
          </cell>
          <cell r="J169">
            <v>7</v>
          </cell>
          <cell r="K169" t="str">
            <v>Sistema de energía solar</v>
          </cell>
          <cell r="M169">
            <v>0</v>
          </cell>
          <cell r="N169">
            <v>0</v>
          </cell>
          <cell r="P169">
            <v>0</v>
          </cell>
          <cell r="Q169">
            <v>0</v>
          </cell>
          <cell r="R169">
            <v>0</v>
          </cell>
          <cell r="S169" t="str">
            <v>Pieza</v>
          </cell>
          <cell r="V169" t="str">
            <v>FC</v>
          </cell>
        </row>
        <row r="170">
          <cell r="A170">
            <v>115</v>
          </cell>
          <cell r="B170">
            <v>2017</v>
          </cell>
          <cell r="C170">
            <v>8300</v>
          </cell>
          <cell r="D170">
            <v>2</v>
          </cell>
          <cell r="E170">
            <v>3</v>
          </cell>
          <cell r="F170">
            <v>1</v>
          </cell>
          <cell r="G170">
            <v>5000</v>
          </cell>
          <cell r="H170">
            <v>5600</v>
          </cell>
          <cell r="I170">
            <v>566</v>
          </cell>
          <cell r="J170">
            <v>8</v>
          </cell>
          <cell r="K170" t="str">
            <v>Sistema de tierra física</v>
          </cell>
          <cell r="L170">
            <v>1872595</v>
          </cell>
          <cell r="M170">
            <v>0</v>
          </cell>
          <cell r="N170">
            <v>1872595</v>
          </cell>
          <cell r="P170">
            <v>0</v>
          </cell>
          <cell r="Q170">
            <v>0</v>
          </cell>
          <cell r="R170">
            <v>1872595</v>
          </cell>
          <cell r="S170" t="str">
            <v>Pieza</v>
          </cell>
          <cell r="T170">
            <v>4</v>
          </cell>
          <cell r="V170" t="str">
            <v>FC</v>
          </cell>
        </row>
        <row r="171">
          <cell r="A171">
            <v>116</v>
          </cell>
          <cell r="B171">
            <v>2017</v>
          </cell>
          <cell r="C171">
            <v>8300</v>
          </cell>
          <cell r="D171">
            <v>2</v>
          </cell>
          <cell r="E171">
            <v>3</v>
          </cell>
          <cell r="F171">
            <v>1</v>
          </cell>
          <cell r="G171">
            <v>5000</v>
          </cell>
          <cell r="H171">
            <v>5600</v>
          </cell>
          <cell r="I171">
            <v>566</v>
          </cell>
          <cell r="J171">
            <v>9</v>
          </cell>
          <cell r="K171" t="str">
            <v>Sistema modular de fuerza en CD -48V</v>
          </cell>
          <cell r="M171">
            <v>0</v>
          </cell>
          <cell r="N171">
            <v>0</v>
          </cell>
          <cell r="P171">
            <v>0</v>
          </cell>
          <cell r="Q171">
            <v>0</v>
          </cell>
          <cell r="R171">
            <v>0</v>
          </cell>
          <cell r="S171" t="str">
            <v>Equipo</v>
          </cell>
          <cell r="V171" t="str">
            <v>FC</v>
          </cell>
        </row>
        <row r="172">
          <cell r="A172">
            <v>117</v>
          </cell>
          <cell r="B172">
            <v>2017</v>
          </cell>
          <cell r="C172">
            <v>8300</v>
          </cell>
          <cell r="D172">
            <v>2</v>
          </cell>
          <cell r="E172">
            <v>3</v>
          </cell>
          <cell r="F172">
            <v>1</v>
          </cell>
          <cell r="G172">
            <v>5000</v>
          </cell>
          <cell r="H172">
            <v>5600</v>
          </cell>
          <cell r="I172">
            <v>566</v>
          </cell>
          <cell r="J172">
            <v>10</v>
          </cell>
          <cell r="K172" t="str">
            <v>Subestación eléctrica</v>
          </cell>
          <cell r="M172">
            <v>0</v>
          </cell>
          <cell r="N172">
            <v>0</v>
          </cell>
          <cell r="P172">
            <v>0</v>
          </cell>
          <cell r="Q172">
            <v>0</v>
          </cell>
          <cell r="R172">
            <v>0</v>
          </cell>
          <cell r="S172" t="str">
            <v>Pieza</v>
          </cell>
          <cell r="V172" t="str">
            <v>FC</v>
          </cell>
        </row>
        <row r="173">
          <cell r="A173">
            <v>118</v>
          </cell>
          <cell r="B173">
            <v>2017</v>
          </cell>
          <cell r="C173">
            <v>8300</v>
          </cell>
          <cell r="D173">
            <v>2</v>
          </cell>
          <cell r="E173">
            <v>3</v>
          </cell>
          <cell r="F173">
            <v>1</v>
          </cell>
          <cell r="G173">
            <v>5000</v>
          </cell>
          <cell r="H173">
            <v>5600</v>
          </cell>
          <cell r="I173">
            <v>566</v>
          </cell>
          <cell r="J173">
            <v>11</v>
          </cell>
          <cell r="K173" t="str">
            <v>Supresor de Picos</v>
          </cell>
          <cell r="M173">
            <v>0</v>
          </cell>
          <cell r="N173">
            <v>0</v>
          </cell>
          <cell r="P173">
            <v>0</v>
          </cell>
          <cell r="Q173">
            <v>0</v>
          </cell>
          <cell r="R173">
            <v>0</v>
          </cell>
          <cell r="S173" t="str">
            <v>Pieza</v>
          </cell>
          <cell r="V173" t="str">
            <v>FC</v>
          </cell>
        </row>
        <row r="174">
          <cell r="A174">
            <v>119</v>
          </cell>
          <cell r="B174">
            <v>2017</v>
          </cell>
          <cell r="C174">
            <v>8300</v>
          </cell>
          <cell r="D174">
            <v>2</v>
          </cell>
          <cell r="E174">
            <v>3</v>
          </cell>
          <cell r="F174">
            <v>1</v>
          </cell>
          <cell r="G174">
            <v>5000</v>
          </cell>
          <cell r="H174">
            <v>5600</v>
          </cell>
          <cell r="I174">
            <v>566</v>
          </cell>
          <cell r="J174">
            <v>12</v>
          </cell>
          <cell r="K174" t="str">
            <v>Tablero de transferencia</v>
          </cell>
          <cell r="M174">
            <v>0</v>
          </cell>
          <cell r="N174">
            <v>0</v>
          </cell>
          <cell r="P174">
            <v>0</v>
          </cell>
          <cell r="Q174">
            <v>0</v>
          </cell>
          <cell r="R174">
            <v>0</v>
          </cell>
          <cell r="S174" t="str">
            <v>Pieza</v>
          </cell>
          <cell r="V174" t="str">
            <v>FC</v>
          </cell>
        </row>
        <row r="175">
          <cell r="A175">
            <v>120</v>
          </cell>
          <cell r="B175">
            <v>2017</v>
          </cell>
          <cell r="C175">
            <v>8300</v>
          </cell>
          <cell r="D175">
            <v>2</v>
          </cell>
          <cell r="E175">
            <v>3</v>
          </cell>
          <cell r="F175">
            <v>1</v>
          </cell>
          <cell r="G175">
            <v>5000</v>
          </cell>
          <cell r="H175">
            <v>5600</v>
          </cell>
          <cell r="I175">
            <v>566</v>
          </cell>
          <cell r="J175">
            <v>13</v>
          </cell>
          <cell r="K175" t="str">
            <v>Transformador</v>
          </cell>
          <cell r="L175">
            <v>306984</v>
          </cell>
          <cell r="M175">
            <v>0</v>
          </cell>
          <cell r="N175">
            <v>306984</v>
          </cell>
          <cell r="P175">
            <v>0</v>
          </cell>
          <cell r="Q175">
            <v>0</v>
          </cell>
          <cell r="R175">
            <v>306984</v>
          </cell>
          <cell r="S175" t="str">
            <v>Pieza</v>
          </cell>
          <cell r="T175">
            <v>1</v>
          </cell>
          <cell r="V175" t="str">
            <v>FC</v>
          </cell>
        </row>
        <row r="176">
          <cell r="A176">
            <v>121</v>
          </cell>
          <cell r="B176">
            <v>2017</v>
          </cell>
          <cell r="C176">
            <v>8300</v>
          </cell>
          <cell r="D176">
            <v>2</v>
          </cell>
          <cell r="E176">
            <v>3</v>
          </cell>
          <cell r="F176">
            <v>1</v>
          </cell>
          <cell r="G176">
            <v>5000</v>
          </cell>
          <cell r="H176">
            <v>5600</v>
          </cell>
          <cell r="I176">
            <v>567</v>
          </cell>
          <cell r="K176" t="str">
            <v>Herramientas y Maquinaria - Herramientas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</row>
        <row r="177">
          <cell r="A177">
            <v>122</v>
          </cell>
          <cell r="B177">
            <v>2017</v>
          </cell>
          <cell r="C177">
            <v>8300</v>
          </cell>
          <cell r="D177">
            <v>2</v>
          </cell>
          <cell r="E177">
            <v>3</v>
          </cell>
          <cell r="F177">
            <v>1</v>
          </cell>
          <cell r="G177">
            <v>5000</v>
          </cell>
          <cell r="H177">
            <v>5600</v>
          </cell>
          <cell r="I177">
            <v>567</v>
          </cell>
          <cell r="J177">
            <v>1</v>
          </cell>
          <cell r="K177" t="str">
            <v>Rotomartillo, taladro y destornillador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 t="str">
            <v>Pieza</v>
          </cell>
          <cell r="V177" t="str">
            <v>FC</v>
          </cell>
        </row>
        <row r="178">
          <cell r="A178">
            <v>123</v>
          </cell>
          <cell r="B178">
            <v>2017</v>
          </cell>
          <cell r="C178">
            <v>8300</v>
          </cell>
          <cell r="D178">
            <v>2</v>
          </cell>
          <cell r="E178">
            <v>3</v>
          </cell>
          <cell r="F178">
            <v>1</v>
          </cell>
          <cell r="G178">
            <v>5000</v>
          </cell>
          <cell r="H178">
            <v>5900</v>
          </cell>
          <cell r="K178" t="str">
            <v>Activos Intangibles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</row>
        <row r="179">
          <cell r="A179">
            <v>124</v>
          </cell>
          <cell r="B179">
            <v>2017</v>
          </cell>
          <cell r="C179">
            <v>8300</v>
          </cell>
          <cell r="D179">
            <v>2</v>
          </cell>
          <cell r="E179">
            <v>3</v>
          </cell>
          <cell r="F179">
            <v>1</v>
          </cell>
          <cell r="G179">
            <v>5000</v>
          </cell>
          <cell r="H179">
            <v>5900</v>
          </cell>
          <cell r="I179">
            <v>591</v>
          </cell>
          <cell r="K179" t="str">
            <v>Software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</row>
        <row r="180">
          <cell r="A180">
            <v>125</v>
          </cell>
          <cell r="B180">
            <v>2017</v>
          </cell>
          <cell r="C180">
            <v>8300</v>
          </cell>
          <cell r="D180">
            <v>2</v>
          </cell>
          <cell r="E180">
            <v>3</v>
          </cell>
          <cell r="F180">
            <v>1</v>
          </cell>
          <cell r="G180">
            <v>5000</v>
          </cell>
          <cell r="H180">
            <v>5900</v>
          </cell>
          <cell r="I180">
            <v>591</v>
          </cell>
          <cell r="J180">
            <v>1</v>
          </cell>
          <cell r="K180" t="str">
            <v>Software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 t="str">
            <v>Licencia</v>
          </cell>
          <cell r="V180" t="str">
            <v>FC</v>
          </cell>
        </row>
        <row r="181">
          <cell r="A181">
            <v>126</v>
          </cell>
          <cell r="B181">
            <v>2017</v>
          </cell>
          <cell r="C181">
            <v>8300</v>
          </cell>
          <cell r="D181">
            <v>2</v>
          </cell>
          <cell r="E181">
            <v>3</v>
          </cell>
          <cell r="F181">
            <v>1</v>
          </cell>
          <cell r="G181">
            <v>5000</v>
          </cell>
          <cell r="H181">
            <v>5900</v>
          </cell>
          <cell r="I181">
            <v>597</v>
          </cell>
          <cell r="K181" t="str">
            <v>Licencias informáticas e intelectuales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</row>
        <row r="182">
          <cell r="A182">
            <v>127</v>
          </cell>
          <cell r="B182">
            <v>2017</v>
          </cell>
          <cell r="C182">
            <v>8300</v>
          </cell>
          <cell r="D182">
            <v>2</v>
          </cell>
          <cell r="E182">
            <v>3</v>
          </cell>
          <cell r="F182">
            <v>1</v>
          </cell>
          <cell r="G182">
            <v>5000</v>
          </cell>
          <cell r="H182">
            <v>5900</v>
          </cell>
          <cell r="I182">
            <v>597</v>
          </cell>
          <cell r="J182">
            <v>1</v>
          </cell>
          <cell r="K182" t="str">
            <v>Licencias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 t="str">
            <v>Licencia</v>
          </cell>
          <cell r="V182" t="str">
            <v>FC</v>
          </cell>
        </row>
        <row r="183">
          <cell r="A183">
            <v>128</v>
          </cell>
          <cell r="B183">
            <v>2017</v>
          </cell>
          <cell r="C183">
            <v>8300</v>
          </cell>
          <cell r="D183">
            <v>2</v>
          </cell>
          <cell r="E183">
            <v>3</v>
          </cell>
          <cell r="F183">
            <v>1</v>
          </cell>
          <cell r="G183">
            <v>6000</v>
          </cell>
          <cell r="K183" t="str">
            <v>INVERSION PÚBLICA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</row>
        <row r="184">
          <cell r="A184">
            <v>129</v>
          </cell>
          <cell r="B184">
            <v>2017</v>
          </cell>
          <cell r="C184">
            <v>8300</v>
          </cell>
          <cell r="D184">
            <v>2</v>
          </cell>
          <cell r="E184">
            <v>3</v>
          </cell>
          <cell r="F184">
            <v>1</v>
          </cell>
          <cell r="G184">
            <v>6000</v>
          </cell>
          <cell r="H184">
            <v>6200</v>
          </cell>
          <cell r="K184" t="str">
            <v>Obra pública en bienes propios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</row>
        <row r="185">
          <cell r="A185">
            <v>130</v>
          </cell>
          <cell r="B185">
            <v>2017</v>
          </cell>
          <cell r="C185">
            <v>8300</v>
          </cell>
          <cell r="D185">
            <v>2</v>
          </cell>
          <cell r="E185">
            <v>3</v>
          </cell>
          <cell r="F185">
            <v>1</v>
          </cell>
          <cell r="G185">
            <v>6000</v>
          </cell>
          <cell r="H185">
            <v>6200</v>
          </cell>
          <cell r="I185">
            <v>622</v>
          </cell>
          <cell r="K185" t="str">
            <v>Edificación no habitacional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</row>
        <row r="186">
          <cell r="A186">
            <v>131</v>
          </cell>
          <cell r="B186">
            <v>2017</v>
          </cell>
          <cell r="C186">
            <v>8300</v>
          </cell>
          <cell r="D186">
            <v>2</v>
          </cell>
          <cell r="E186">
            <v>3</v>
          </cell>
          <cell r="F186">
            <v>1</v>
          </cell>
          <cell r="G186">
            <v>6000</v>
          </cell>
          <cell r="H186">
            <v>6200</v>
          </cell>
          <cell r="I186">
            <v>622</v>
          </cell>
          <cell r="J186">
            <v>1</v>
          </cell>
          <cell r="K186" t="str">
            <v xml:space="preserve">Construcción 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 t="str">
            <v>Obra</v>
          </cell>
          <cell r="V186" t="str">
            <v>FC</v>
          </cell>
        </row>
        <row r="187">
          <cell r="A187">
            <v>132</v>
          </cell>
          <cell r="B187">
            <v>2017</v>
          </cell>
          <cell r="C187">
            <v>8300</v>
          </cell>
          <cell r="D187">
            <v>2</v>
          </cell>
          <cell r="E187">
            <v>3</v>
          </cell>
          <cell r="F187">
            <v>1</v>
          </cell>
          <cell r="G187">
            <v>6000</v>
          </cell>
          <cell r="H187">
            <v>6200</v>
          </cell>
          <cell r="I187">
            <v>622</v>
          </cell>
          <cell r="J187">
            <v>1</v>
          </cell>
          <cell r="K187" t="str">
            <v xml:space="preserve">Dependencia:
Nombre:
Domicilio: 
Meta: 
Etapa: 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 t="str">
            <v>Obra</v>
          </cell>
          <cell r="V187" t="str">
            <v>FC</v>
          </cell>
        </row>
        <row r="188">
          <cell r="A188">
            <v>133</v>
          </cell>
          <cell r="B188">
            <v>2017</v>
          </cell>
          <cell r="C188">
            <v>8300</v>
          </cell>
          <cell r="D188">
            <v>2</v>
          </cell>
          <cell r="E188">
            <v>3</v>
          </cell>
          <cell r="F188">
            <v>1</v>
          </cell>
          <cell r="G188">
            <v>6000</v>
          </cell>
          <cell r="H188">
            <v>6200</v>
          </cell>
          <cell r="I188">
            <v>622</v>
          </cell>
          <cell r="J188">
            <v>2</v>
          </cell>
          <cell r="K188" t="str">
            <v>Mejoramiento y/o ampliación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 t="str">
            <v>Obra</v>
          </cell>
          <cell r="V188" t="str">
            <v>FC</v>
          </cell>
        </row>
        <row r="189">
          <cell r="A189">
            <v>134</v>
          </cell>
          <cell r="B189">
            <v>2017</v>
          </cell>
          <cell r="C189">
            <v>8300</v>
          </cell>
          <cell r="D189">
            <v>2</v>
          </cell>
          <cell r="E189">
            <v>3</v>
          </cell>
          <cell r="F189">
            <v>1</v>
          </cell>
          <cell r="G189">
            <v>6000</v>
          </cell>
          <cell r="H189">
            <v>6200</v>
          </cell>
          <cell r="I189">
            <v>622</v>
          </cell>
          <cell r="J189">
            <v>2</v>
          </cell>
          <cell r="K189" t="str">
            <v xml:space="preserve">Dependencia:
Nombre:
Domicilio: 
Meta: 
Etapa: 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 t="str">
            <v>Obra</v>
          </cell>
          <cell r="V189" t="str">
            <v>FC</v>
          </cell>
        </row>
      </sheetData>
      <sheetData sheetId="3">
        <row r="58">
          <cell r="A58">
            <v>1</v>
          </cell>
          <cell r="B58">
            <v>2017</v>
          </cell>
          <cell r="C58">
            <v>8300</v>
          </cell>
          <cell r="D58">
            <v>2</v>
          </cell>
          <cell r="E58">
            <v>2</v>
          </cell>
          <cell r="F58">
            <v>1</v>
          </cell>
          <cell r="G58">
            <v>2000</v>
          </cell>
          <cell r="K58" t="str">
            <v>MATERIALES Y SUMINISTROS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</row>
        <row r="59">
          <cell r="A59">
            <v>2</v>
          </cell>
          <cell r="B59">
            <v>2017</v>
          </cell>
          <cell r="C59">
            <v>8300</v>
          </cell>
          <cell r="D59">
            <v>2</v>
          </cell>
          <cell r="E59">
            <v>2</v>
          </cell>
          <cell r="F59">
            <v>1</v>
          </cell>
          <cell r="G59">
            <v>2000</v>
          </cell>
          <cell r="H59">
            <v>2100</v>
          </cell>
          <cell r="K59" t="str">
            <v>Materiales de Administración, Emisión de Documentos y Artículos Oficiales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</row>
        <row r="60">
          <cell r="A60">
            <v>3</v>
          </cell>
          <cell r="B60">
            <v>2017</v>
          </cell>
          <cell r="C60">
            <v>8300</v>
          </cell>
          <cell r="D60">
            <v>2</v>
          </cell>
          <cell r="E60">
            <v>2</v>
          </cell>
          <cell r="F60">
            <v>1</v>
          </cell>
          <cell r="G60">
            <v>2000</v>
          </cell>
          <cell r="H60">
            <v>2100</v>
          </cell>
          <cell r="I60">
            <v>212</v>
          </cell>
          <cell r="K60" t="str">
            <v>Materiales y útiles de impresión y reproducción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</row>
        <row r="61">
          <cell r="A61">
            <v>4</v>
          </cell>
          <cell r="B61">
            <v>2017</v>
          </cell>
          <cell r="C61">
            <v>8300</v>
          </cell>
          <cell r="D61">
            <v>2</v>
          </cell>
          <cell r="E61">
            <v>2</v>
          </cell>
          <cell r="F61">
            <v>1</v>
          </cell>
          <cell r="G61">
            <v>2000</v>
          </cell>
          <cell r="H61">
            <v>2100</v>
          </cell>
          <cell r="I61">
            <v>212</v>
          </cell>
          <cell r="J61">
            <v>1</v>
          </cell>
          <cell r="K61" t="str">
            <v>Materiales y útiles de impresión y reproducción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 t="str">
            <v>Pieza/
Lote</v>
          </cell>
          <cell r="V61" t="str">
            <v>AE</v>
          </cell>
        </row>
        <row r="62">
          <cell r="A62">
            <v>5</v>
          </cell>
          <cell r="B62">
            <v>2017</v>
          </cell>
          <cell r="C62">
            <v>8300</v>
          </cell>
          <cell r="D62">
            <v>2</v>
          </cell>
          <cell r="E62">
            <v>2</v>
          </cell>
          <cell r="F62">
            <v>1</v>
          </cell>
          <cell r="G62">
            <v>2000</v>
          </cell>
          <cell r="H62">
            <v>2700</v>
          </cell>
          <cell r="K62" t="str">
            <v>Vestuario, Blancos, Prendas de Protección y Artículos Deportivos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</row>
        <row r="63">
          <cell r="A63">
            <v>6</v>
          </cell>
          <cell r="B63">
            <v>2017</v>
          </cell>
          <cell r="C63">
            <v>8300</v>
          </cell>
          <cell r="D63">
            <v>2</v>
          </cell>
          <cell r="E63">
            <v>2</v>
          </cell>
          <cell r="F63">
            <v>1</v>
          </cell>
          <cell r="G63">
            <v>2000</v>
          </cell>
          <cell r="H63">
            <v>2700</v>
          </cell>
          <cell r="I63">
            <v>271</v>
          </cell>
          <cell r="K63" t="str">
            <v>Vestuario y uniformes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</row>
        <row r="64">
          <cell r="A64">
            <v>7</v>
          </cell>
          <cell r="B64">
            <v>2017</v>
          </cell>
          <cell r="C64">
            <v>8300</v>
          </cell>
          <cell r="D64">
            <v>2</v>
          </cell>
          <cell r="E64">
            <v>2</v>
          </cell>
          <cell r="F64">
            <v>1</v>
          </cell>
          <cell r="G64">
            <v>2000</v>
          </cell>
          <cell r="H64">
            <v>2700</v>
          </cell>
          <cell r="I64">
            <v>271</v>
          </cell>
          <cell r="J64">
            <v>1</v>
          </cell>
          <cell r="K64" t="str">
            <v>Botas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 t="str">
            <v xml:space="preserve">Par </v>
          </cell>
          <cell r="V64" t="str">
            <v>FC</v>
          </cell>
        </row>
        <row r="65">
          <cell r="A65">
            <v>8</v>
          </cell>
          <cell r="B65">
            <v>2017</v>
          </cell>
          <cell r="C65">
            <v>8300</v>
          </cell>
          <cell r="D65">
            <v>2</v>
          </cell>
          <cell r="E65">
            <v>2</v>
          </cell>
          <cell r="F65">
            <v>1</v>
          </cell>
          <cell r="G65">
            <v>2000</v>
          </cell>
          <cell r="H65">
            <v>2700</v>
          </cell>
          <cell r="I65">
            <v>271</v>
          </cell>
          <cell r="J65">
            <v>2</v>
          </cell>
          <cell r="K65" t="str">
            <v>Camisa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 t="str">
            <v>Pieza</v>
          </cell>
          <cell r="V65" t="str">
            <v>FC</v>
          </cell>
        </row>
        <row r="66">
          <cell r="A66">
            <v>9</v>
          </cell>
          <cell r="B66">
            <v>2017</v>
          </cell>
          <cell r="C66">
            <v>8300</v>
          </cell>
          <cell r="D66">
            <v>2</v>
          </cell>
          <cell r="E66">
            <v>2</v>
          </cell>
          <cell r="F66">
            <v>1</v>
          </cell>
          <cell r="G66">
            <v>2000</v>
          </cell>
          <cell r="H66">
            <v>2700</v>
          </cell>
          <cell r="I66">
            <v>271</v>
          </cell>
          <cell r="J66">
            <v>3</v>
          </cell>
          <cell r="K66" t="str">
            <v>Chamarra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 t="str">
            <v>Pieza</v>
          </cell>
          <cell r="V66" t="str">
            <v>FC</v>
          </cell>
        </row>
        <row r="67">
          <cell r="A67">
            <v>10</v>
          </cell>
          <cell r="B67">
            <v>2017</v>
          </cell>
          <cell r="C67">
            <v>8300</v>
          </cell>
          <cell r="D67">
            <v>2</v>
          </cell>
          <cell r="E67">
            <v>2</v>
          </cell>
          <cell r="F67">
            <v>1</v>
          </cell>
          <cell r="G67">
            <v>2000</v>
          </cell>
          <cell r="H67">
            <v>2700</v>
          </cell>
          <cell r="I67">
            <v>271</v>
          </cell>
          <cell r="J67">
            <v>4</v>
          </cell>
          <cell r="K67" t="str">
            <v>Fornitura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 t="str">
            <v>Pieza</v>
          </cell>
          <cell r="V67" t="str">
            <v>FC</v>
          </cell>
        </row>
        <row r="68">
          <cell r="A68">
            <v>11</v>
          </cell>
          <cell r="B68">
            <v>2017</v>
          </cell>
          <cell r="C68">
            <v>8300</v>
          </cell>
          <cell r="D68">
            <v>2</v>
          </cell>
          <cell r="E68">
            <v>2</v>
          </cell>
          <cell r="F68">
            <v>1</v>
          </cell>
          <cell r="G68">
            <v>2000</v>
          </cell>
          <cell r="H68">
            <v>2700</v>
          </cell>
          <cell r="I68">
            <v>271</v>
          </cell>
          <cell r="J68">
            <v>5</v>
          </cell>
          <cell r="K68" t="str">
            <v>Gorra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 t="str">
            <v>Pieza</v>
          </cell>
          <cell r="V68" t="str">
            <v>FC</v>
          </cell>
        </row>
        <row r="69">
          <cell r="A69">
            <v>12</v>
          </cell>
          <cell r="B69">
            <v>2017</v>
          </cell>
          <cell r="C69">
            <v>8300</v>
          </cell>
          <cell r="D69">
            <v>2</v>
          </cell>
          <cell r="E69">
            <v>2</v>
          </cell>
          <cell r="F69">
            <v>1</v>
          </cell>
          <cell r="G69">
            <v>2000</v>
          </cell>
          <cell r="H69">
            <v>2700</v>
          </cell>
          <cell r="I69">
            <v>271</v>
          </cell>
          <cell r="J69">
            <v>6</v>
          </cell>
          <cell r="K69" t="str">
            <v>Pantalón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 t="str">
            <v>Pieza</v>
          </cell>
          <cell r="V69" t="str">
            <v>FC</v>
          </cell>
        </row>
        <row r="70">
          <cell r="A70">
            <v>13</v>
          </cell>
          <cell r="B70">
            <v>2017</v>
          </cell>
          <cell r="C70">
            <v>8300</v>
          </cell>
          <cell r="D70">
            <v>2</v>
          </cell>
          <cell r="E70">
            <v>2</v>
          </cell>
          <cell r="F70">
            <v>1</v>
          </cell>
          <cell r="G70">
            <v>2000</v>
          </cell>
          <cell r="H70">
            <v>2700</v>
          </cell>
          <cell r="I70">
            <v>271</v>
          </cell>
          <cell r="J70">
            <v>7</v>
          </cell>
          <cell r="K70" t="str">
            <v>Pants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 t="str">
            <v>Pieza</v>
          </cell>
          <cell r="V70" t="str">
            <v>FC</v>
          </cell>
        </row>
        <row r="71">
          <cell r="A71">
            <v>14</v>
          </cell>
          <cell r="B71">
            <v>2017</v>
          </cell>
          <cell r="C71">
            <v>8300</v>
          </cell>
          <cell r="D71">
            <v>2</v>
          </cell>
          <cell r="E71">
            <v>2</v>
          </cell>
          <cell r="F71">
            <v>1</v>
          </cell>
          <cell r="G71">
            <v>2000</v>
          </cell>
          <cell r="H71">
            <v>2700</v>
          </cell>
          <cell r="I71">
            <v>271</v>
          </cell>
          <cell r="J71">
            <v>8</v>
          </cell>
          <cell r="K71" t="str">
            <v xml:space="preserve">Pasa montañas 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 t="str">
            <v>Pieza</v>
          </cell>
          <cell r="V71" t="str">
            <v>FC</v>
          </cell>
        </row>
        <row r="72">
          <cell r="A72">
            <v>15</v>
          </cell>
          <cell r="B72">
            <v>2017</v>
          </cell>
          <cell r="C72">
            <v>8300</v>
          </cell>
          <cell r="D72">
            <v>2</v>
          </cell>
          <cell r="E72">
            <v>2</v>
          </cell>
          <cell r="F72">
            <v>1</v>
          </cell>
          <cell r="G72">
            <v>2000</v>
          </cell>
          <cell r="H72">
            <v>2700</v>
          </cell>
          <cell r="I72">
            <v>271</v>
          </cell>
          <cell r="J72">
            <v>9</v>
          </cell>
          <cell r="K72" t="str">
            <v>Playera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 t="str">
            <v>Pieza</v>
          </cell>
          <cell r="V72" t="str">
            <v>FC</v>
          </cell>
        </row>
        <row r="73">
          <cell r="A73">
            <v>16</v>
          </cell>
          <cell r="B73">
            <v>2017</v>
          </cell>
          <cell r="C73">
            <v>8300</v>
          </cell>
          <cell r="D73">
            <v>2</v>
          </cell>
          <cell r="E73">
            <v>2</v>
          </cell>
          <cell r="F73">
            <v>1</v>
          </cell>
          <cell r="G73">
            <v>2000</v>
          </cell>
          <cell r="H73">
            <v>2700</v>
          </cell>
          <cell r="I73">
            <v>271</v>
          </cell>
          <cell r="J73">
            <v>10</v>
          </cell>
          <cell r="K73" t="str">
            <v>Short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 t="str">
            <v>Pieza</v>
          </cell>
          <cell r="V73" t="str">
            <v>FC</v>
          </cell>
        </row>
        <row r="74">
          <cell r="A74">
            <v>17</v>
          </cell>
          <cell r="B74">
            <v>2017</v>
          </cell>
          <cell r="C74">
            <v>8300</v>
          </cell>
          <cell r="D74">
            <v>2</v>
          </cell>
          <cell r="E74">
            <v>2</v>
          </cell>
          <cell r="F74">
            <v>1</v>
          </cell>
          <cell r="G74">
            <v>2000</v>
          </cell>
          <cell r="H74">
            <v>2700</v>
          </cell>
          <cell r="I74">
            <v>271</v>
          </cell>
          <cell r="J74">
            <v>11</v>
          </cell>
          <cell r="K74" t="str">
            <v>Sudadera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 t="str">
            <v>Pieza</v>
          </cell>
          <cell r="V74" t="str">
            <v>FC</v>
          </cell>
        </row>
        <row r="75">
          <cell r="A75">
            <v>18</v>
          </cell>
          <cell r="B75">
            <v>2017</v>
          </cell>
          <cell r="C75">
            <v>8300</v>
          </cell>
          <cell r="D75">
            <v>2</v>
          </cell>
          <cell r="E75">
            <v>2</v>
          </cell>
          <cell r="F75">
            <v>1</v>
          </cell>
          <cell r="G75">
            <v>2000</v>
          </cell>
          <cell r="H75">
            <v>2700</v>
          </cell>
          <cell r="I75">
            <v>271</v>
          </cell>
          <cell r="J75">
            <v>12</v>
          </cell>
          <cell r="K75" t="str">
            <v>Tenis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 t="str">
            <v>Pieza</v>
          </cell>
          <cell r="V75" t="str">
            <v>FC</v>
          </cell>
        </row>
        <row r="76">
          <cell r="A76">
            <v>19</v>
          </cell>
          <cell r="B76">
            <v>2017</v>
          </cell>
          <cell r="C76">
            <v>8300</v>
          </cell>
          <cell r="D76">
            <v>2</v>
          </cell>
          <cell r="E76">
            <v>2</v>
          </cell>
          <cell r="F76">
            <v>1</v>
          </cell>
          <cell r="G76">
            <v>2000</v>
          </cell>
          <cell r="H76">
            <v>2700</v>
          </cell>
          <cell r="I76">
            <v>271</v>
          </cell>
          <cell r="J76">
            <v>13</v>
          </cell>
          <cell r="K76" t="str">
            <v>Zapato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 t="str">
            <v xml:space="preserve">Par </v>
          </cell>
          <cell r="V76" t="str">
            <v>FC</v>
          </cell>
        </row>
        <row r="77">
          <cell r="A77">
            <v>20</v>
          </cell>
          <cell r="B77">
            <v>2017</v>
          </cell>
          <cell r="C77">
            <v>8300</v>
          </cell>
          <cell r="D77">
            <v>2</v>
          </cell>
          <cell r="E77">
            <v>2</v>
          </cell>
          <cell r="F77">
            <v>1</v>
          </cell>
          <cell r="G77">
            <v>2000</v>
          </cell>
          <cell r="H77">
            <v>2700</v>
          </cell>
          <cell r="I77">
            <v>272</v>
          </cell>
          <cell r="K77" t="str">
            <v>Prendas de seguridad y protección personal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</row>
        <row r="78">
          <cell r="A78">
            <v>21</v>
          </cell>
          <cell r="B78">
            <v>2017</v>
          </cell>
          <cell r="C78">
            <v>8300</v>
          </cell>
          <cell r="D78">
            <v>2</v>
          </cell>
          <cell r="E78">
            <v>2</v>
          </cell>
          <cell r="F78">
            <v>1</v>
          </cell>
          <cell r="G78">
            <v>2000</v>
          </cell>
          <cell r="H78">
            <v>2700</v>
          </cell>
          <cell r="I78">
            <v>272</v>
          </cell>
          <cell r="J78">
            <v>1</v>
          </cell>
          <cell r="K78" t="str">
            <v>Traje de contacto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 t="str">
            <v>Pieza</v>
          </cell>
          <cell r="V78" t="str">
            <v>FC</v>
          </cell>
        </row>
        <row r="79">
          <cell r="A79">
            <v>22</v>
          </cell>
          <cell r="B79">
            <v>2017</v>
          </cell>
          <cell r="C79">
            <v>8300</v>
          </cell>
          <cell r="D79">
            <v>2</v>
          </cell>
          <cell r="E79">
            <v>2</v>
          </cell>
          <cell r="F79">
            <v>1</v>
          </cell>
          <cell r="G79">
            <v>2000</v>
          </cell>
          <cell r="H79">
            <v>2800</v>
          </cell>
          <cell r="K79" t="str">
            <v>Materiales y Suministros para Seguridad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</row>
        <row r="80">
          <cell r="A80">
            <v>23</v>
          </cell>
          <cell r="B80">
            <v>2017</v>
          </cell>
          <cell r="C80">
            <v>8300</v>
          </cell>
          <cell r="D80">
            <v>2</v>
          </cell>
          <cell r="E80">
            <v>2</v>
          </cell>
          <cell r="F80">
            <v>1</v>
          </cell>
          <cell r="G80">
            <v>2000</v>
          </cell>
          <cell r="H80">
            <v>2800</v>
          </cell>
          <cell r="I80">
            <v>282</v>
          </cell>
          <cell r="K80" t="str">
            <v>Materiales de Seguridad Pública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</row>
        <row r="81">
          <cell r="A81">
            <v>24</v>
          </cell>
          <cell r="B81">
            <v>2017</v>
          </cell>
          <cell r="C81">
            <v>8300</v>
          </cell>
          <cell r="D81">
            <v>2</v>
          </cell>
          <cell r="E81">
            <v>2</v>
          </cell>
          <cell r="F81">
            <v>1</v>
          </cell>
          <cell r="G81">
            <v>2000</v>
          </cell>
          <cell r="H81">
            <v>2800</v>
          </cell>
          <cell r="I81">
            <v>282</v>
          </cell>
          <cell r="J81">
            <v>1</v>
          </cell>
          <cell r="K81" t="str">
            <v>Bengalas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 t="str">
            <v>Pieza</v>
          </cell>
          <cell r="V81" t="str">
            <v>FC</v>
          </cell>
        </row>
        <row r="82">
          <cell r="A82">
            <v>25</v>
          </cell>
          <cell r="B82">
            <v>2017</v>
          </cell>
          <cell r="C82">
            <v>8300</v>
          </cell>
          <cell r="D82">
            <v>2</v>
          </cell>
          <cell r="E82">
            <v>2</v>
          </cell>
          <cell r="F82">
            <v>1</v>
          </cell>
          <cell r="G82">
            <v>2000</v>
          </cell>
          <cell r="H82">
            <v>2800</v>
          </cell>
          <cell r="I82">
            <v>282</v>
          </cell>
          <cell r="J82">
            <v>2</v>
          </cell>
          <cell r="K82" t="str">
            <v>Botes de humo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 t="str">
            <v>Pieza</v>
          </cell>
          <cell r="V82" t="str">
            <v>FC</v>
          </cell>
        </row>
        <row r="83">
          <cell r="A83">
            <v>26</v>
          </cell>
          <cell r="B83">
            <v>2017</v>
          </cell>
          <cell r="C83">
            <v>8300</v>
          </cell>
          <cell r="D83">
            <v>2</v>
          </cell>
          <cell r="E83">
            <v>2</v>
          </cell>
          <cell r="F83">
            <v>1</v>
          </cell>
          <cell r="G83">
            <v>2000</v>
          </cell>
          <cell r="H83">
            <v>2800</v>
          </cell>
          <cell r="I83">
            <v>282</v>
          </cell>
          <cell r="J83">
            <v>3</v>
          </cell>
          <cell r="K83" t="str">
            <v>Gas lacrimógeno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 t="str">
            <v>Pieza</v>
          </cell>
          <cell r="V83" t="str">
            <v>FC</v>
          </cell>
        </row>
        <row r="84">
          <cell r="A84">
            <v>27</v>
          </cell>
          <cell r="B84">
            <v>2017</v>
          </cell>
          <cell r="C84">
            <v>8300</v>
          </cell>
          <cell r="D84">
            <v>2</v>
          </cell>
          <cell r="E84">
            <v>2</v>
          </cell>
          <cell r="F84">
            <v>1</v>
          </cell>
          <cell r="G84">
            <v>2000</v>
          </cell>
          <cell r="H84">
            <v>2800</v>
          </cell>
          <cell r="I84">
            <v>282</v>
          </cell>
          <cell r="J84">
            <v>4</v>
          </cell>
          <cell r="K84" t="str">
            <v>Granadas para entrenamiento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 t="str">
            <v>Pieza</v>
          </cell>
          <cell r="V84" t="str">
            <v>FC</v>
          </cell>
        </row>
        <row r="85">
          <cell r="A85">
            <v>28</v>
          </cell>
          <cell r="B85">
            <v>2017</v>
          </cell>
          <cell r="C85">
            <v>8300</v>
          </cell>
          <cell r="D85">
            <v>2</v>
          </cell>
          <cell r="E85">
            <v>2</v>
          </cell>
          <cell r="F85">
            <v>1</v>
          </cell>
          <cell r="G85">
            <v>2000</v>
          </cell>
          <cell r="H85">
            <v>2800</v>
          </cell>
          <cell r="I85">
            <v>282</v>
          </cell>
          <cell r="J85">
            <v>5</v>
          </cell>
          <cell r="K85" t="str">
            <v>Municiones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 t="str">
            <v>Millar</v>
          </cell>
          <cell r="V85" t="str">
            <v>FC</v>
          </cell>
        </row>
        <row r="86">
          <cell r="A86">
            <v>29</v>
          </cell>
          <cell r="B86">
            <v>2017</v>
          </cell>
          <cell r="C86">
            <v>8300</v>
          </cell>
          <cell r="D86">
            <v>2</v>
          </cell>
          <cell r="E86">
            <v>2</v>
          </cell>
          <cell r="F86">
            <v>1</v>
          </cell>
          <cell r="G86">
            <v>2000</v>
          </cell>
          <cell r="H86">
            <v>2800</v>
          </cell>
          <cell r="I86">
            <v>282</v>
          </cell>
          <cell r="J86">
            <v>6</v>
          </cell>
          <cell r="K86" t="str">
            <v>Proyectiles para entrenamiento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 t="str">
            <v>Pieza</v>
          </cell>
          <cell r="V86" t="str">
            <v>FC</v>
          </cell>
        </row>
        <row r="87">
          <cell r="A87">
            <v>30</v>
          </cell>
          <cell r="B87">
            <v>2017</v>
          </cell>
          <cell r="C87">
            <v>8300</v>
          </cell>
          <cell r="D87">
            <v>2</v>
          </cell>
          <cell r="E87">
            <v>2</v>
          </cell>
          <cell r="F87">
            <v>1</v>
          </cell>
          <cell r="G87">
            <v>2000</v>
          </cell>
          <cell r="H87">
            <v>2800</v>
          </cell>
          <cell r="I87">
            <v>283</v>
          </cell>
          <cell r="K87" t="str">
            <v>Prendas de protección para seguridad pública y nacional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</row>
        <row r="88">
          <cell r="A88">
            <v>31</v>
          </cell>
          <cell r="B88">
            <v>2017</v>
          </cell>
          <cell r="C88">
            <v>8300</v>
          </cell>
          <cell r="D88">
            <v>2</v>
          </cell>
          <cell r="E88">
            <v>2</v>
          </cell>
          <cell r="F88">
            <v>1</v>
          </cell>
          <cell r="G88">
            <v>2000</v>
          </cell>
          <cell r="H88">
            <v>2800</v>
          </cell>
          <cell r="I88">
            <v>283</v>
          </cell>
          <cell r="J88">
            <v>1</v>
          </cell>
          <cell r="K88" t="str">
            <v>Bastón PR-24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 t="str">
            <v>Pieza</v>
          </cell>
          <cell r="V88" t="str">
            <v>FC</v>
          </cell>
        </row>
        <row r="89">
          <cell r="A89">
            <v>32</v>
          </cell>
          <cell r="B89">
            <v>2017</v>
          </cell>
          <cell r="C89">
            <v>8300</v>
          </cell>
          <cell r="D89">
            <v>2</v>
          </cell>
          <cell r="E89">
            <v>2</v>
          </cell>
          <cell r="F89">
            <v>1</v>
          </cell>
          <cell r="G89">
            <v>2000</v>
          </cell>
          <cell r="H89">
            <v>2800</v>
          </cell>
          <cell r="I89">
            <v>283</v>
          </cell>
          <cell r="J89">
            <v>2</v>
          </cell>
          <cell r="K89" t="str">
            <v>Candado de mano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 t="str">
            <v>Pieza</v>
          </cell>
          <cell r="V89" t="str">
            <v>FC</v>
          </cell>
        </row>
        <row r="90">
          <cell r="A90">
            <v>33</v>
          </cell>
          <cell r="B90">
            <v>2017</v>
          </cell>
          <cell r="C90">
            <v>8300</v>
          </cell>
          <cell r="D90">
            <v>2</v>
          </cell>
          <cell r="E90">
            <v>2</v>
          </cell>
          <cell r="F90">
            <v>1</v>
          </cell>
          <cell r="G90">
            <v>2000</v>
          </cell>
          <cell r="H90">
            <v>2800</v>
          </cell>
          <cell r="I90">
            <v>283</v>
          </cell>
          <cell r="J90">
            <v>3</v>
          </cell>
          <cell r="K90" t="str">
            <v xml:space="preserve">Careta 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 t="str">
            <v>Pieza</v>
          </cell>
          <cell r="V90" t="str">
            <v>FC</v>
          </cell>
        </row>
        <row r="91">
          <cell r="A91">
            <v>34</v>
          </cell>
          <cell r="B91">
            <v>2017</v>
          </cell>
          <cell r="C91">
            <v>8300</v>
          </cell>
          <cell r="D91">
            <v>2</v>
          </cell>
          <cell r="E91">
            <v>2</v>
          </cell>
          <cell r="F91">
            <v>1</v>
          </cell>
          <cell r="G91">
            <v>2000</v>
          </cell>
          <cell r="H91">
            <v>2800</v>
          </cell>
          <cell r="I91">
            <v>283</v>
          </cell>
          <cell r="J91">
            <v>4</v>
          </cell>
          <cell r="K91" t="str">
            <v>Careta para gotcha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 t="str">
            <v>Pieza</v>
          </cell>
          <cell r="V91" t="str">
            <v>FC</v>
          </cell>
        </row>
        <row r="92">
          <cell r="A92">
            <v>35</v>
          </cell>
          <cell r="B92">
            <v>2017</v>
          </cell>
          <cell r="C92">
            <v>8300</v>
          </cell>
          <cell r="D92">
            <v>2</v>
          </cell>
          <cell r="E92">
            <v>2</v>
          </cell>
          <cell r="F92">
            <v>1</v>
          </cell>
          <cell r="G92">
            <v>2000</v>
          </cell>
          <cell r="H92">
            <v>2800</v>
          </cell>
          <cell r="I92">
            <v>283</v>
          </cell>
          <cell r="J92">
            <v>5</v>
          </cell>
          <cell r="K92" t="str">
            <v>Casco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 t="str">
            <v>Pieza</v>
          </cell>
          <cell r="V92" t="str">
            <v>FC</v>
          </cell>
        </row>
        <row r="93">
          <cell r="A93">
            <v>36</v>
          </cell>
          <cell r="B93">
            <v>2017</v>
          </cell>
          <cell r="C93">
            <v>8300</v>
          </cell>
          <cell r="D93">
            <v>2</v>
          </cell>
          <cell r="E93">
            <v>2</v>
          </cell>
          <cell r="F93">
            <v>1</v>
          </cell>
          <cell r="G93">
            <v>2000</v>
          </cell>
          <cell r="H93">
            <v>2800</v>
          </cell>
          <cell r="I93">
            <v>283</v>
          </cell>
          <cell r="J93">
            <v>6</v>
          </cell>
          <cell r="K93" t="str">
            <v xml:space="preserve">Cinturón 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 t="str">
            <v>Pieza</v>
          </cell>
          <cell r="V93" t="str">
            <v>FC</v>
          </cell>
        </row>
        <row r="94">
          <cell r="A94">
            <v>37</v>
          </cell>
          <cell r="B94">
            <v>2017</v>
          </cell>
          <cell r="C94">
            <v>8300</v>
          </cell>
          <cell r="D94">
            <v>2</v>
          </cell>
          <cell r="E94">
            <v>2</v>
          </cell>
          <cell r="F94">
            <v>1</v>
          </cell>
          <cell r="G94">
            <v>2000</v>
          </cell>
          <cell r="H94">
            <v>2800</v>
          </cell>
          <cell r="I94">
            <v>283</v>
          </cell>
          <cell r="J94">
            <v>7</v>
          </cell>
          <cell r="K94" t="str">
            <v>Coderas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 t="str">
            <v>Pieza</v>
          </cell>
          <cell r="V94" t="str">
            <v>FC</v>
          </cell>
        </row>
        <row r="95">
          <cell r="A95">
            <v>38</v>
          </cell>
          <cell r="B95">
            <v>2017</v>
          </cell>
          <cell r="C95">
            <v>8300</v>
          </cell>
          <cell r="D95">
            <v>2</v>
          </cell>
          <cell r="E95">
            <v>2</v>
          </cell>
          <cell r="F95">
            <v>1</v>
          </cell>
          <cell r="G95">
            <v>2000</v>
          </cell>
          <cell r="H95">
            <v>2800</v>
          </cell>
          <cell r="I95">
            <v>283</v>
          </cell>
          <cell r="J95">
            <v>8</v>
          </cell>
          <cell r="K95" t="str">
            <v>Cuchillos de utilería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 t="str">
            <v>Pieza</v>
          </cell>
          <cell r="V95" t="str">
            <v>FC</v>
          </cell>
        </row>
        <row r="96">
          <cell r="A96">
            <v>39</v>
          </cell>
          <cell r="B96">
            <v>2017</v>
          </cell>
          <cell r="C96">
            <v>8300</v>
          </cell>
          <cell r="D96">
            <v>2</v>
          </cell>
          <cell r="E96">
            <v>2</v>
          </cell>
          <cell r="F96">
            <v>1</v>
          </cell>
          <cell r="G96">
            <v>2000</v>
          </cell>
          <cell r="H96">
            <v>2800</v>
          </cell>
          <cell r="I96">
            <v>283</v>
          </cell>
          <cell r="J96">
            <v>9</v>
          </cell>
          <cell r="K96" t="str">
            <v>Cuerdas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 t="str">
            <v>Pieza</v>
          </cell>
          <cell r="V96" t="str">
            <v>FC</v>
          </cell>
        </row>
        <row r="97">
          <cell r="A97">
            <v>40</v>
          </cell>
          <cell r="B97">
            <v>2017</v>
          </cell>
          <cell r="C97">
            <v>8300</v>
          </cell>
          <cell r="D97">
            <v>2</v>
          </cell>
          <cell r="E97">
            <v>2</v>
          </cell>
          <cell r="F97">
            <v>1</v>
          </cell>
          <cell r="G97">
            <v>2000</v>
          </cell>
          <cell r="H97">
            <v>2800</v>
          </cell>
          <cell r="I97">
            <v>283</v>
          </cell>
          <cell r="J97">
            <v>10</v>
          </cell>
          <cell r="K97" t="str">
            <v>Descensor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 t="str">
            <v>Pieza</v>
          </cell>
          <cell r="V97" t="str">
            <v>FC</v>
          </cell>
        </row>
        <row r="98">
          <cell r="A98">
            <v>41</v>
          </cell>
          <cell r="B98">
            <v>2017</v>
          </cell>
          <cell r="C98">
            <v>8300</v>
          </cell>
          <cell r="D98">
            <v>2</v>
          </cell>
          <cell r="E98">
            <v>2</v>
          </cell>
          <cell r="F98">
            <v>1</v>
          </cell>
          <cell r="G98">
            <v>2000</v>
          </cell>
          <cell r="H98">
            <v>2800</v>
          </cell>
          <cell r="I98">
            <v>283</v>
          </cell>
          <cell r="J98">
            <v>11</v>
          </cell>
          <cell r="K98" t="str">
            <v xml:space="preserve">Equipo antimotín 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 t="str">
            <v>Pieza</v>
          </cell>
          <cell r="V98" t="str">
            <v>FC</v>
          </cell>
        </row>
        <row r="99">
          <cell r="A99">
            <v>42</v>
          </cell>
          <cell r="B99">
            <v>2017</v>
          </cell>
          <cell r="C99">
            <v>8300</v>
          </cell>
          <cell r="D99">
            <v>2</v>
          </cell>
          <cell r="E99">
            <v>2</v>
          </cell>
          <cell r="F99">
            <v>1</v>
          </cell>
          <cell r="G99">
            <v>2000</v>
          </cell>
          <cell r="H99">
            <v>2800</v>
          </cell>
          <cell r="I99">
            <v>283</v>
          </cell>
          <cell r="J99">
            <v>12</v>
          </cell>
          <cell r="K99" t="str">
            <v xml:space="preserve">Equipo de rappel 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 t="str">
            <v>Pieza</v>
          </cell>
          <cell r="V99" t="str">
            <v>FC</v>
          </cell>
        </row>
        <row r="100">
          <cell r="A100">
            <v>43</v>
          </cell>
          <cell r="B100">
            <v>2017</v>
          </cell>
          <cell r="C100">
            <v>8300</v>
          </cell>
          <cell r="D100">
            <v>2</v>
          </cell>
          <cell r="E100">
            <v>2</v>
          </cell>
          <cell r="F100">
            <v>1</v>
          </cell>
          <cell r="G100">
            <v>2000</v>
          </cell>
          <cell r="H100">
            <v>2800</v>
          </cell>
          <cell r="I100">
            <v>283</v>
          </cell>
          <cell r="J100">
            <v>13</v>
          </cell>
          <cell r="K100" t="str">
            <v>Escudo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 t="str">
            <v>Pieza</v>
          </cell>
          <cell r="V100" t="str">
            <v>FC</v>
          </cell>
        </row>
        <row r="101">
          <cell r="A101">
            <v>44</v>
          </cell>
          <cell r="B101">
            <v>2017</v>
          </cell>
          <cell r="C101">
            <v>8300</v>
          </cell>
          <cell r="D101">
            <v>2</v>
          </cell>
          <cell r="E101">
            <v>2</v>
          </cell>
          <cell r="F101">
            <v>1</v>
          </cell>
          <cell r="G101">
            <v>2000</v>
          </cell>
          <cell r="H101">
            <v>2800</v>
          </cell>
          <cell r="I101">
            <v>283</v>
          </cell>
          <cell r="J101">
            <v>14</v>
          </cell>
          <cell r="K101" t="str">
            <v xml:space="preserve">Espejo 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 t="str">
            <v>Pieza</v>
          </cell>
          <cell r="V101" t="str">
            <v>FC</v>
          </cell>
        </row>
        <row r="102">
          <cell r="A102">
            <v>45</v>
          </cell>
          <cell r="B102">
            <v>2017</v>
          </cell>
          <cell r="C102">
            <v>8300</v>
          </cell>
          <cell r="D102">
            <v>2</v>
          </cell>
          <cell r="E102">
            <v>2</v>
          </cell>
          <cell r="F102">
            <v>1</v>
          </cell>
          <cell r="G102">
            <v>2000</v>
          </cell>
          <cell r="H102">
            <v>2800</v>
          </cell>
          <cell r="I102">
            <v>283</v>
          </cell>
          <cell r="J102">
            <v>15</v>
          </cell>
          <cell r="K102" t="str">
            <v>Esposas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 t="str">
            <v>Pieza</v>
          </cell>
          <cell r="V102" t="str">
            <v>FC</v>
          </cell>
        </row>
        <row r="103">
          <cell r="A103">
            <v>46</v>
          </cell>
          <cell r="B103">
            <v>2017</v>
          </cell>
          <cell r="C103">
            <v>8300</v>
          </cell>
          <cell r="D103">
            <v>2</v>
          </cell>
          <cell r="E103">
            <v>2</v>
          </cell>
          <cell r="F103">
            <v>1</v>
          </cell>
          <cell r="G103">
            <v>2000</v>
          </cell>
          <cell r="H103">
            <v>2800</v>
          </cell>
          <cell r="I103">
            <v>283</v>
          </cell>
          <cell r="J103">
            <v>16</v>
          </cell>
          <cell r="K103" t="str">
            <v>Fusiles de utilería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 t="str">
            <v>Pieza</v>
          </cell>
          <cell r="V103" t="str">
            <v>FC</v>
          </cell>
        </row>
        <row r="104">
          <cell r="A104">
            <v>47</v>
          </cell>
          <cell r="B104">
            <v>2017</v>
          </cell>
          <cell r="C104">
            <v>8300</v>
          </cell>
          <cell r="D104">
            <v>2</v>
          </cell>
          <cell r="E104">
            <v>2</v>
          </cell>
          <cell r="F104">
            <v>1</v>
          </cell>
          <cell r="G104">
            <v>2000</v>
          </cell>
          <cell r="H104">
            <v>2800</v>
          </cell>
          <cell r="I104">
            <v>283</v>
          </cell>
          <cell r="J104">
            <v>17</v>
          </cell>
          <cell r="K104" t="str">
            <v xml:space="preserve">Lámpara de mano 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 t="str">
            <v>Pieza</v>
          </cell>
          <cell r="V104" t="str">
            <v>FC</v>
          </cell>
        </row>
        <row r="105">
          <cell r="A105">
            <v>48</v>
          </cell>
          <cell r="B105">
            <v>2017</v>
          </cell>
          <cell r="C105">
            <v>8300</v>
          </cell>
          <cell r="D105">
            <v>2</v>
          </cell>
          <cell r="E105">
            <v>2</v>
          </cell>
          <cell r="F105">
            <v>1</v>
          </cell>
          <cell r="G105">
            <v>2000</v>
          </cell>
          <cell r="H105">
            <v>2800</v>
          </cell>
          <cell r="I105">
            <v>283</v>
          </cell>
          <cell r="J105">
            <v>18</v>
          </cell>
          <cell r="K105" t="str">
            <v xml:space="preserve">Maletín 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 t="str">
            <v>Pieza</v>
          </cell>
          <cell r="V105" t="str">
            <v>FC</v>
          </cell>
        </row>
        <row r="106">
          <cell r="A106">
            <v>49</v>
          </cell>
          <cell r="B106">
            <v>2017</v>
          </cell>
          <cell r="C106">
            <v>8300</v>
          </cell>
          <cell r="D106">
            <v>2</v>
          </cell>
          <cell r="E106">
            <v>2</v>
          </cell>
          <cell r="F106">
            <v>1</v>
          </cell>
          <cell r="G106">
            <v>2000</v>
          </cell>
          <cell r="H106">
            <v>2800</v>
          </cell>
          <cell r="I106">
            <v>283</v>
          </cell>
          <cell r="J106">
            <v>19</v>
          </cell>
          <cell r="K106" t="str">
            <v>Máscara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 t="str">
            <v>Pieza</v>
          </cell>
          <cell r="V106" t="str">
            <v>FC</v>
          </cell>
        </row>
        <row r="107">
          <cell r="A107">
            <v>50</v>
          </cell>
          <cell r="B107">
            <v>2017</v>
          </cell>
          <cell r="C107">
            <v>8300</v>
          </cell>
          <cell r="D107">
            <v>2</v>
          </cell>
          <cell r="E107">
            <v>2</v>
          </cell>
          <cell r="F107">
            <v>1</v>
          </cell>
          <cell r="G107">
            <v>2000</v>
          </cell>
          <cell r="H107">
            <v>2800</v>
          </cell>
          <cell r="I107">
            <v>283</v>
          </cell>
          <cell r="J107">
            <v>20</v>
          </cell>
          <cell r="K107" t="str">
            <v>Mochila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 t="str">
            <v>Pieza</v>
          </cell>
          <cell r="V107" t="str">
            <v>FC</v>
          </cell>
        </row>
        <row r="108">
          <cell r="A108">
            <v>51</v>
          </cell>
          <cell r="B108">
            <v>2017</v>
          </cell>
          <cell r="C108">
            <v>8300</v>
          </cell>
          <cell r="D108">
            <v>2</v>
          </cell>
          <cell r="E108">
            <v>2</v>
          </cell>
          <cell r="F108">
            <v>1</v>
          </cell>
          <cell r="G108">
            <v>2000</v>
          </cell>
          <cell r="H108">
            <v>2800</v>
          </cell>
          <cell r="I108">
            <v>283</v>
          </cell>
          <cell r="J108">
            <v>21</v>
          </cell>
          <cell r="K108" t="str">
            <v>Mosquetón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 t="str">
            <v>Pieza</v>
          </cell>
          <cell r="V108" t="str">
            <v>FC</v>
          </cell>
        </row>
        <row r="109">
          <cell r="A109">
            <v>52</v>
          </cell>
          <cell r="B109">
            <v>2017</v>
          </cell>
          <cell r="C109">
            <v>8300</v>
          </cell>
          <cell r="D109">
            <v>2</v>
          </cell>
          <cell r="E109">
            <v>2</v>
          </cell>
          <cell r="F109">
            <v>1</v>
          </cell>
          <cell r="G109">
            <v>2000</v>
          </cell>
          <cell r="H109">
            <v>2800</v>
          </cell>
          <cell r="I109">
            <v>283</v>
          </cell>
          <cell r="J109">
            <v>22</v>
          </cell>
          <cell r="K109" t="str">
            <v>Ocho de rescate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 t="str">
            <v>Pieza</v>
          </cell>
          <cell r="V109" t="str">
            <v>FC</v>
          </cell>
        </row>
        <row r="110">
          <cell r="A110">
            <v>53</v>
          </cell>
          <cell r="B110">
            <v>2017</v>
          </cell>
          <cell r="C110">
            <v>8300</v>
          </cell>
          <cell r="D110">
            <v>2</v>
          </cell>
          <cell r="E110">
            <v>2</v>
          </cell>
          <cell r="F110">
            <v>1</v>
          </cell>
          <cell r="G110">
            <v>2000</v>
          </cell>
          <cell r="H110">
            <v>2800</v>
          </cell>
          <cell r="I110">
            <v>283</v>
          </cell>
          <cell r="J110">
            <v>23</v>
          </cell>
          <cell r="K110" t="str">
            <v xml:space="preserve">Peto 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 t="str">
            <v>Pieza</v>
          </cell>
          <cell r="V110" t="str">
            <v>FC</v>
          </cell>
        </row>
        <row r="111">
          <cell r="A111">
            <v>54</v>
          </cell>
          <cell r="B111">
            <v>2017</v>
          </cell>
          <cell r="C111">
            <v>8300</v>
          </cell>
          <cell r="D111">
            <v>2</v>
          </cell>
          <cell r="E111">
            <v>2</v>
          </cell>
          <cell r="F111">
            <v>1</v>
          </cell>
          <cell r="G111">
            <v>2000</v>
          </cell>
          <cell r="H111">
            <v>2800</v>
          </cell>
          <cell r="I111">
            <v>283</v>
          </cell>
          <cell r="J111">
            <v>24</v>
          </cell>
          <cell r="K111" t="str">
            <v>Pistolas de utilería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 t="str">
            <v>Pieza</v>
          </cell>
          <cell r="V111" t="str">
            <v>FC</v>
          </cell>
        </row>
        <row r="112">
          <cell r="A112">
            <v>55</v>
          </cell>
          <cell r="B112">
            <v>2017</v>
          </cell>
          <cell r="C112">
            <v>8300</v>
          </cell>
          <cell r="D112">
            <v>2</v>
          </cell>
          <cell r="E112">
            <v>2</v>
          </cell>
          <cell r="F112">
            <v>1</v>
          </cell>
          <cell r="G112">
            <v>2000</v>
          </cell>
          <cell r="H112">
            <v>2800</v>
          </cell>
          <cell r="I112">
            <v>283</v>
          </cell>
          <cell r="J112">
            <v>25</v>
          </cell>
          <cell r="K112" t="str">
            <v xml:space="preserve">Placas 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 t="str">
            <v>Pieza</v>
          </cell>
          <cell r="V112" t="str">
            <v>FC</v>
          </cell>
        </row>
        <row r="113">
          <cell r="A113">
            <v>56</v>
          </cell>
          <cell r="B113">
            <v>2017</v>
          </cell>
          <cell r="C113">
            <v>8300</v>
          </cell>
          <cell r="D113">
            <v>2</v>
          </cell>
          <cell r="E113">
            <v>2</v>
          </cell>
          <cell r="F113">
            <v>1</v>
          </cell>
          <cell r="G113">
            <v>2000</v>
          </cell>
          <cell r="H113">
            <v>2800</v>
          </cell>
          <cell r="I113">
            <v>283</v>
          </cell>
          <cell r="J113">
            <v>26</v>
          </cell>
          <cell r="K113" t="str">
            <v>Porta cargador arma larga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 t="str">
            <v>Pieza</v>
          </cell>
          <cell r="V113" t="str">
            <v>FC</v>
          </cell>
        </row>
        <row r="114">
          <cell r="A114">
            <v>57</v>
          </cell>
          <cell r="B114">
            <v>2017</v>
          </cell>
          <cell r="C114">
            <v>8300</v>
          </cell>
          <cell r="D114">
            <v>2</v>
          </cell>
          <cell r="E114">
            <v>2</v>
          </cell>
          <cell r="F114">
            <v>1</v>
          </cell>
          <cell r="G114">
            <v>2000</v>
          </cell>
          <cell r="H114">
            <v>2800</v>
          </cell>
          <cell r="I114">
            <v>283</v>
          </cell>
          <cell r="J114">
            <v>27</v>
          </cell>
          <cell r="K114" t="str">
            <v>Protecciones visuales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 t="str">
            <v>Pieza</v>
          </cell>
          <cell r="V114" t="str">
            <v>FC</v>
          </cell>
        </row>
        <row r="115">
          <cell r="A115">
            <v>58</v>
          </cell>
          <cell r="B115">
            <v>2017</v>
          </cell>
          <cell r="C115">
            <v>8300</v>
          </cell>
          <cell r="D115">
            <v>2</v>
          </cell>
          <cell r="E115">
            <v>2</v>
          </cell>
          <cell r="F115">
            <v>1</v>
          </cell>
          <cell r="G115">
            <v>2000</v>
          </cell>
          <cell r="H115">
            <v>2800</v>
          </cell>
          <cell r="I115">
            <v>283</v>
          </cell>
          <cell r="J115">
            <v>28</v>
          </cell>
          <cell r="K115" t="str">
            <v>Protectores auditivos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 t="str">
            <v>Pieza</v>
          </cell>
          <cell r="V115" t="str">
            <v>FC</v>
          </cell>
        </row>
        <row r="116">
          <cell r="A116">
            <v>59</v>
          </cell>
          <cell r="B116">
            <v>2017</v>
          </cell>
          <cell r="C116">
            <v>8300</v>
          </cell>
          <cell r="D116">
            <v>2</v>
          </cell>
          <cell r="E116">
            <v>2</v>
          </cell>
          <cell r="F116">
            <v>1</v>
          </cell>
          <cell r="G116">
            <v>2000</v>
          </cell>
          <cell r="H116">
            <v>2800</v>
          </cell>
          <cell r="I116">
            <v>283</v>
          </cell>
          <cell r="J116">
            <v>29</v>
          </cell>
          <cell r="K116" t="str">
            <v>Reductor de grilletes para esposas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 t="str">
            <v>Pieza</v>
          </cell>
          <cell r="V116" t="str">
            <v>FC</v>
          </cell>
        </row>
        <row r="117">
          <cell r="A117">
            <v>60</v>
          </cell>
          <cell r="B117">
            <v>2017</v>
          </cell>
          <cell r="C117">
            <v>8300</v>
          </cell>
          <cell r="D117">
            <v>2</v>
          </cell>
          <cell r="E117">
            <v>2</v>
          </cell>
          <cell r="F117">
            <v>1</v>
          </cell>
          <cell r="G117">
            <v>2000</v>
          </cell>
          <cell r="H117">
            <v>2800</v>
          </cell>
          <cell r="I117">
            <v>283</v>
          </cell>
          <cell r="J117">
            <v>30</v>
          </cell>
          <cell r="K117" t="str">
            <v>Rodilleras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 t="str">
            <v>Pieza</v>
          </cell>
          <cell r="V117" t="str">
            <v>FC</v>
          </cell>
        </row>
        <row r="118">
          <cell r="A118">
            <v>61</v>
          </cell>
          <cell r="B118">
            <v>2017</v>
          </cell>
          <cell r="C118">
            <v>8300</v>
          </cell>
          <cell r="D118">
            <v>2</v>
          </cell>
          <cell r="E118">
            <v>2</v>
          </cell>
          <cell r="F118">
            <v>1</v>
          </cell>
          <cell r="G118">
            <v>2000</v>
          </cell>
          <cell r="H118">
            <v>2800</v>
          </cell>
          <cell r="I118">
            <v>283</v>
          </cell>
          <cell r="J118">
            <v>31</v>
          </cell>
          <cell r="K118" t="str">
            <v>Tolete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 t="str">
            <v>Pieza</v>
          </cell>
          <cell r="V118" t="str">
            <v>FC</v>
          </cell>
        </row>
        <row r="119">
          <cell r="A119">
            <v>62</v>
          </cell>
          <cell r="B119">
            <v>2017</v>
          </cell>
          <cell r="C119">
            <v>8300</v>
          </cell>
          <cell r="D119">
            <v>2</v>
          </cell>
          <cell r="E119">
            <v>2</v>
          </cell>
          <cell r="F119">
            <v>1</v>
          </cell>
          <cell r="G119">
            <v>2000</v>
          </cell>
          <cell r="H119">
            <v>2800</v>
          </cell>
          <cell r="I119">
            <v>283</v>
          </cell>
          <cell r="J119">
            <v>32</v>
          </cell>
          <cell r="K119" t="str">
            <v>Tonfa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 t="str">
            <v>Pieza</v>
          </cell>
          <cell r="V119" t="str">
            <v>FC</v>
          </cell>
        </row>
        <row r="120">
          <cell r="A120">
            <v>63</v>
          </cell>
          <cell r="B120">
            <v>2017</v>
          </cell>
          <cell r="C120">
            <v>8300</v>
          </cell>
          <cell r="D120">
            <v>2</v>
          </cell>
          <cell r="E120">
            <v>2</v>
          </cell>
          <cell r="F120">
            <v>1</v>
          </cell>
          <cell r="G120">
            <v>3000</v>
          </cell>
          <cell r="K120" t="str">
            <v>SERVICIOS GENERALES</v>
          </cell>
          <cell r="L120">
            <v>0</v>
          </cell>
          <cell r="M120">
            <v>3569500</v>
          </cell>
          <cell r="N120">
            <v>3569500</v>
          </cell>
          <cell r="O120">
            <v>0</v>
          </cell>
          <cell r="P120">
            <v>0</v>
          </cell>
          <cell r="Q120">
            <v>0</v>
          </cell>
          <cell r="R120">
            <v>3569500</v>
          </cell>
        </row>
        <row r="121">
          <cell r="A121">
            <v>64</v>
          </cell>
          <cell r="B121">
            <v>2017</v>
          </cell>
          <cell r="C121">
            <v>8300</v>
          </cell>
          <cell r="D121">
            <v>2</v>
          </cell>
          <cell r="E121">
            <v>2</v>
          </cell>
          <cell r="F121">
            <v>1</v>
          </cell>
          <cell r="G121">
            <v>3000</v>
          </cell>
          <cell r="H121">
            <v>3300</v>
          </cell>
          <cell r="K121" t="str">
            <v>Servicios Profesionales, Científicos, Técnicos y Otros Servicios</v>
          </cell>
          <cell r="L121">
            <v>0</v>
          </cell>
          <cell r="M121">
            <v>3569500</v>
          </cell>
          <cell r="N121">
            <v>3569500</v>
          </cell>
          <cell r="O121">
            <v>0</v>
          </cell>
          <cell r="P121">
            <v>0</v>
          </cell>
          <cell r="Q121">
            <v>0</v>
          </cell>
          <cell r="R121">
            <v>3569500</v>
          </cell>
        </row>
        <row r="122">
          <cell r="A122">
            <v>65</v>
          </cell>
          <cell r="B122">
            <v>2017</v>
          </cell>
          <cell r="C122">
            <v>8300</v>
          </cell>
          <cell r="D122">
            <v>2</v>
          </cell>
          <cell r="E122">
            <v>2</v>
          </cell>
          <cell r="F122">
            <v>1</v>
          </cell>
          <cell r="G122">
            <v>3000</v>
          </cell>
          <cell r="H122">
            <v>3300</v>
          </cell>
          <cell r="I122">
            <v>334</v>
          </cell>
          <cell r="K122" t="str">
            <v>Servicios de capacitación</v>
          </cell>
          <cell r="L122">
            <v>0</v>
          </cell>
          <cell r="M122">
            <v>3569500</v>
          </cell>
          <cell r="N122">
            <v>3569500</v>
          </cell>
          <cell r="O122">
            <v>0</v>
          </cell>
          <cell r="P122">
            <v>0</v>
          </cell>
          <cell r="Q122">
            <v>0</v>
          </cell>
          <cell r="R122">
            <v>3569500</v>
          </cell>
          <cell r="S122" t="str">
            <v xml:space="preserve"> </v>
          </cell>
        </row>
        <row r="123">
          <cell r="A123">
            <v>66</v>
          </cell>
          <cell r="B123">
            <v>2017</v>
          </cell>
          <cell r="C123">
            <v>8300</v>
          </cell>
          <cell r="D123">
            <v>2</v>
          </cell>
          <cell r="E123">
            <v>2</v>
          </cell>
          <cell r="F123">
            <v>1</v>
          </cell>
          <cell r="G123">
            <v>3000</v>
          </cell>
          <cell r="H123">
            <v>3300</v>
          </cell>
          <cell r="I123">
            <v>334</v>
          </cell>
          <cell r="J123">
            <v>1</v>
          </cell>
          <cell r="K123" t="str">
            <v>Curso de capacitación</v>
          </cell>
          <cell r="L123">
            <v>0</v>
          </cell>
          <cell r="M123">
            <v>3569500</v>
          </cell>
          <cell r="N123">
            <v>3569500</v>
          </cell>
          <cell r="O123">
            <v>0</v>
          </cell>
          <cell r="P123">
            <v>0</v>
          </cell>
          <cell r="Q123">
            <v>0</v>
          </cell>
          <cell r="R123">
            <v>3569500</v>
          </cell>
          <cell r="S123" t="str">
            <v>Servicio</v>
          </cell>
          <cell r="V123" t="str">
            <v>FC</v>
          </cell>
        </row>
        <row r="124">
          <cell r="A124">
            <v>67</v>
          </cell>
          <cell r="B124">
            <v>2017</v>
          </cell>
          <cell r="C124">
            <v>8300</v>
          </cell>
          <cell r="D124">
            <v>2</v>
          </cell>
          <cell r="E124">
            <v>2</v>
          </cell>
          <cell r="F124">
            <v>1</v>
          </cell>
          <cell r="G124">
            <v>3000</v>
          </cell>
          <cell r="H124">
            <v>3300</v>
          </cell>
          <cell r="I124">
            <v>334</v>
          </cell>
          <cell r="K124" t="str">
            <v>Curso de capacitación para Policía Estatal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 t="str">
            <v>Servicio</v>
          </cell>
          <cell r="V124" t="str">
            <v>FC</v>
          </cell>
        </row>
        <row r="125">
          <cell r="A125">
            <v>68</v>
          </cell>
          <cell r="B125">
            <v>2017</v>
          </cell>
          <cell r="C125">
            <v>8300</v>
          </cell>
          <cell r="D125">
            <v>2</v>
          </cell>
          <cell r="E125">
            <v>2</v>
          </cell>
          <cell r="F125">
            <v>1</v>
          </cell>
          <cell r="G125">
            <v>3000</v>
          </cell>
          <cell r="H125">
            <v>3300</v>
          </cell>
          <cell r="I125">
            <v>334</v>
          </cell>
          <cell r="K125" t="str">
            <v>Formación Inicial (Aspirantes)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 t="str">
            <v>Servicio</v>
          </cell>
          <cell r="V125" t="str">
            <v>FC</v>
          </cell>
        </row>
        <row r="126">
          <cell r="A126">
            <v>69</v>
          </cell>
          <cell r="B126">
            <v>2017</v>
          </cell>
          <cell r="C126">
            <v>8300</v>
          </cell>
          <cell r="D126">
            <v>2</v>
          </cell>
          <cell r="E126">
            <v>2</v>
          </cell>
          <cell r="F126">
            <v>1</v>
          </cell>
          <cell r="G126">
            <v>3000</v>
          </cell>
          <cell r="H126">
            <v>3300</v>
          </cell>
          <cell r="I126">
            <v>334</v>
          </cell>
          <cell r="K126" t="str">
            <v>Formación Inicial (Elementos en activo)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 t="str">
            <v>Servicio</v>
          </cell>
          <cell r="V126" t="str">
            <v>FC</v>
          </cell>
        </row>
        <row r="127">
          <cell r="A127">
            <v>70</v>
          </cell>
          <cell r="B127">
            <v>2017</v>
          </cell>
          <cell r="C127">
            <v>8300</v>
          </cell>
          <cell r="D127">
            <v>2</v>
          </cell>
          <cell r="E127">
            <v>2</v>
          </cell>
          <cell r="F127">
            <v>1</v>
          </cell>
          <cell r="G127">
            <v>3000</v>
          </cell>
          <cell r="H127">
            <v>3300</v>
          </cell>
          <cell r="I127">
            <v>334</v>
          </cell>
          <cell r="K127" t="str">
            <v>Formación Continua (Profesionalización)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 t="str">
            <v>Servicio</v>
          </cell>
          <cell r="V127" t="str">
            <v>FC</v>
          </cell>
        </row>
        <row r="128">
          <cell r="A128">
            <v>71</v>
          </cell>
          <cell r="B128">
            <v>2017</v>
          </cell>
          <cell r="C128">
            <v>8300</v>
          </cell>
          <cell r="D128">
            <v>2</v>
          </cell>
          <cell r="E128">
            <v>2</v>
          </cell>
          <cell r="F128">
            <v>1</v>
          </cell>
          <cell r="G128">
            <v>3000</v>
          </cell>
          <cell r="H128">
            <v>3300</v>
          </cell>
          <cell r="I128">
            <v>334</v>
          </cell>
          <cell r="K128" t="str">
            <v xml:space="preserve">         Técnicas de intervención policial en motopatrullas</v>
          </cell>
          <cell r="S128" t="str">
            <v>Servicio</v>
          </cell>
          <cell r="T128">
            <v>1</v>
          </cell>
          <cell r="U128">
            <v>30</v>
          </cell>
        </row>
        <row r="129">
          <cell r="A129">
            <v>72</v>
          </cell>
          <cell r="B129">
            <v>2017</v>
          </cell>
          <cell r="C129">
            <v>8300</v>
          </cell>
          <cell r="D129">
            <v>2</v>
          </cell>
          <cell r="E129">
            <v>2</v>
          </cell>
          <cell r="F129">
            <v>1</v>
          </cell>
          <cell r="G129">
            <v>3000</v>
          </cell>
          <cell r="H129">
            <v>3300</v>
          </cell>
          <cell r="I129">
            <v>334</v>
          </cell>
          <cell r="K129" t="str">
            <v xml:space="preserve">         Formacion de Mandos</v>
          </cell>
          <cell r="S129" t="str">
            <v>Servicio</v>
          </cell>
          <cell r="T129">
            <v>1</v>
          </cell>
          <cell r="U129">
            <v>5</v>
          </cell>
        </row>
        <row r="130">
          <cell r="A130">
            <v>73</v>
          </cell>
          <cell r="B130">
            <v>2017</v>
          </cell>
          <cell r="C130">
            <v>8300</v>
          </cell>
          <cell r="D130">
            <v>2</v>
          </cell>
          <cell r="E130">
            <v>2</v>
          </cell>
          <cell r="F130">
            <v>1</v>
          </cell>
          <cell r="G130">
            <v>3000</v>
          </cell>
          <cell r="H130">
            <v>3300</v>
          </cell>
          <cell r="I130">
            <v>334</v>
          </cell>
          <cell r="K130" t="str">
            <v>Formación Continua (Sistema Penal Acusatorio)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 t="str">
            <v>Servicio</v>
          </cell>
          <cell r="V130" t="str">
            <v>FC/FM</v>
          </cell>
        </row>
        <row r="131">
          <cell r="A131">
            <v>74</v>
          </cell>
          <cell r="B131">
            <v>2017</v>
          </cell>
          <cell r="C131">
            <v>8300</v>
          </cell>
          <cell r="D131">
            <v>2</v>
          </cell>
          <cell r="E131">
            <v>2</v>
          </cell>
          <cell r="F131">
            <v>1</v>
          </cell>
          <cell r="G131">
            <v>3000</v>
          </cell>
          <cell r="H131">
            <v>3300</v>
          </cell>
          <cell r="I131">
            <v>334</v>
          </cell>
          <cell r="K131" t="str">
            <v xml:space="preserve">         Diplomado de formador de formadores ( 2 policias preventivos y 3   
         policia procesal)</v>
          </cell>
          <cell r="S131" t="str">
            <v>Servicio</v>
          </cell>
          <cell r="T131">
            <v>1</v>
          </cell>
          <cell r="U131">
            <v>5</v>
          </cell>
        </row>
        <row r="132">
          <cell r="A132">
            <v>75</v>
          </cell>
          <cell r="B132">
            <v>2017</v>
          </cell>
          <cell r="C132">
            <v>8300</v>
          </cell>
          <cell r="D132">
            <v>2</v>
          </cell>
          <cell r="E132">
            <v>2</v>
          </cell>
          <cell r="F132">
            <v>1</v>
          </cell>
          <cell r="G132">
            <v>3000</v>
          </cell>
          <cell r="H132">
            <v>3300</v>
          </cell>
          <cell r="I132">
            <v>334</v>
          </cell>
          <cell r="S132" t="str">
            <v>Servicio</v>
          </cell>
          <cell r="U132">
            <v>2520</v>
          </cell>
        </row>
        <row r="133">
          <cell r="A133">
            <v>76</v>
          </cell>
          <cell r="B133">
            <v>2017</v>
          </cell>
          <cell r="C133">
            <v>8300</v>
          </cell>
          <cell r="D133">
            <v>2</v>
          </cell>
          <cell r="E133">
            <v>2</v>
          </cell>
          <cell r="F133">
            <v>1</v>
          </cell>
          <cell r="G133">
            <v>3000</v>
          </cell>
          <cell r="H133">
            <v>3300</v>
          </cell>
          <cell r="I133">
            <v>334</v>
          </cell>
          <cell r="K133" t="str">
            <v>Nivelación Académica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 t="str">
            <v>Servicio</v>
          </cell>
          <cell r="V133" t="str">
            <v>FC/FM</v>
          </cell>
        </row>
        <row r="134">
          <cell r="A134">
            <v>77</v>
          </cell>
          <cell r="B134">
            <v>2017</v>
          </cell>
          <cell r="C134">
            <v>8300</v>
          </cell>
          <cell r="D134">
            <v>2</v>
          </cell>
          <cell r="E134">
            <v>2</v>
          </cell>
          <cell r="F134">
            <v>1</v>
          </cell>
          <cell r="G134">
            <v>3000</v>
          </cell>
          <cell r="H134">
            <v>3300</v>
          </cell>
          <cell r="I134">
            <v>334</v>
          </cell>
          <cell r="K134" t="str">
            <v xml:space="preserve">         Licenciatura en Derecho</v>
          </cell>
          <cell r="S134" t="str">
            <v>Servicio</v>
          </cell>
          <cell r="T134">
            <v>2</v>
          </cell>
          <cell r="U134">
            <v>16</v>
          </cell>
        </row>
        <row r="135">
          <cell r="A135">
            <v>78</v>
          </cell>
          <cell r="B135">
            <v>2017</v>
          </cell>
          <cell r="C135">
            <v>8300</v>
          </cell>
          <cell r="D135">
            <v>2</v>
          </cell>
          <cell r="E135">
            <v>2</v>
          </cell>
          <cell r="F135">
            <v>1</v>
          </cell>
          <cell r="G135">
            <v>3000</v>
          </cell>
          <cell r="H135">
            <v>3300</v>
          </cell>
          <cell r="I135">
            <v>334</v>
          </cell>
          <cell r="K135" t="str">
            <v>Curso de capacitación para Policía Municipal</v>
          </cell>
          <cell r="L135">
            <v>0</v>
          </cell>
          <cell r="M135">
            <v>3569500</v>
          </cell>
          <cell r="N135">
            <v>3569500</v>
          </cell>
          <cell r="O135">
            <v>0</v>
          </cell>
          <cell r="P135">
            <v>0</v>
          </cell>
          <cell r="Q135">
            <v>0</v>
          </cell>
          <cell r="R135">
            <v>3569500</v>
          </cell>
          <cell r="S135" t="str">
            <v>Servicio</v>
          </cell>
          <cell r="V135" t="str">
            <v>FC/FM</v>
          </cell>
        </row>
        <row r="136">
          <cell r="A136">
            <v>79</v>
          </cell>
          <cell r="B136">
            <v>2017</v>
          </cell>
          <cell r="C136">
            <v>8300</v>
          </cell>
          <cell r="D136">
            <v>2</v>
          </cell>
          <cell r="E136">
            <v>2</v>
          </cell>
          <cell r="F136">
            <v>1</v>
          </cell>
          <cell r="G136">
            <v>3000</v>
          </cell>
          <cell r="H136">
            <v>3300</v>
          </cell>
          <cell r="I136">
            <v>334</v>
          </cell>
          <cell r="K136" t="str">
            <v>Formación Inicial (Aspirantes)</v>
          </cell>
          <cell r="S136" t="str">
            <v>Servicio</v>
          </cell>
          <cell r="V136" t="str">
            <v>FC/FM</v>
          </cell>
        </row>
        <row r="137">
          <cell r="A137">
            <v>80</v>
          </cell>
          <cell r="B137">
            <v>2017</v>
          </cell>
          <cell r="C137">
            <v>8300</v>
          </cell>
          <cell r="D137">
            <v>2</v>
          </cell>
          <cell r="E137">
            <v>2</v>
          </cell>
          <cell r="F137">
            <v>1</v>
          </cell>
          <cell r="G137">
            <v>3000</v>
          </cell>
          <cell r="H137">
            <v>3300</v>
          </cell>
          <cell r="I137">
            <v>334</v>
          </cell>
          <cell r="K137" t="str">
            <v>Formación Inicial (Elementos en activo)</v>
          </cell>
          <cell r="M137">
            <v>1984000</v>
          </cell>
          <cell r="N137">
            <v>1984000</v>
          </cell>
          <cell r="O137">
            <v>0</v>
          </cell>
          <cell r="P137">
            <v>0</v>
          </cell>
          <cell r="Q137">
            <v>0</v>
          </cell>
          <cell r="R137">
            <v>1984000</v>
          </cell>
          <cell r="S137" t="str">
            <v>Servicio</v>
          </cell>
          <cell r="T137">
            <v>124</v>
          </cell>
          <cell r="V137" t="str">
            <v>FC/FM</v>
          </cell>
        </row>
        <row r="138">
          <cell r="A138">
            <v>81</v>
          </cell>
          <cell r="B138">
            <v>2017</v>
          </cell>
          <cell r="C138">
            <v>8300</v>
          </cell>
          <cell r="D138">
            <v>2</v>
          </cell>
          <cell r="E138">
            <v>2</v>
          </cell>
          <cell r="F138">
            <v>1</v>
          </cell>
          <cell r="G138">
            <v>3000</v>
          </cell>
          <cell r="H138">
            <v>3300</v>
          </cell>
          <cell r="I138">
            <v>334</v>
          </cell>
          <cell r="K138" t="str">
            <v>Formación Continua (Profesionalización)</v>
          </cell>
          <cell r="S138" t="str">
            <v>Servicio</v>
          </cell>
          <cell r="V138" t="str">
            <v>FC/FM</v>
          </cell>
        </row>
        <row r="139">
          <cell r="A139">
            <v>82</v>
          </cell>
          <cell r="B139">
            <v>2017</v>
          </cell>
          <cell r="C139">
            <v>8300</v>
          </cell>
          <cell r="D139">
            <v>2</v>
          </cell>
          <cell r="E139">
            <v>2</v>
          </cell>
          <cell r="F139">
            <v>1</v>
          </cell>
          <cell r="G139">
            <v>3000</v>
          </cell>
          <cell r="H139">
            <v>3300</v>
          </cell>
          <cell r="I139">
            <v>334</v>
          </cell>
          <cell r="K139" t="str">
            <v>Formación Continua (Sistema Penal Acusatorio)</v>
          </cell>
          <cell r="M139">
            <v>1092000</v>
          </cell>
          <cell r="N139">
            <v>1092000</v>
          </cell>
          <cell r="O139">
            <v>0</v>
          </cell>
          <cell r="P139">
            <v>0</v>
          </cell>
          <cell r="Q139">
            <v>0</v>
          </cell>
          <cell r="R139">
            <v>1092000</v>
          </cell>
          <cell r="S139" t="str">
            <v>Servicio</v>
          </cell>
          <cell r="T139">
            <v>312</v>
          </cell>
          <cell r="V139" t="str">
            <v>FC/FM</v>
          </cell>
        </row>
        <row r="140">
          <cell r="A140">
            <v>83</v>
          </cell>
          <cell r="B140">
            <v>2017</v>
          </cell>
          <cell r="C140">
            <v>8300</v>
          </cell>
          <cell r="D140">
            <v>2</v>
          </cell>
          <cell r="E140">
            <v>2</v>
          </cell>
          <cell r="F140">
            <v>1</v>
          </cell>
          <cell r="G140">
            <v>3000</v>
          </cell>
          <cell r="H140">
            <v>3300</v>
          </cell>
          <cell r="I140">
            <v>334</v>
          </cell>
          <cell r="K140" t="str">
            <v>Nivelación Académica</v>
          </cell>
          <cell r="M140">
            <v>493500</v>
          </cell>
          <cell r="N140">
            <v>493500</v>
          </cell>
          <cell r="O140">
            <v>0</v>
          </cell>
          <cell r="P140">
            <v>0</v>
          </cell>
          <cell r="Q140">
            <v>0</v>
          </cell>
          <cell r="R140">
            <v>493500</v>
          </cell>
          <cell r="S140" t="str">
            <v>Servicio</v>
          </cell>
          <cell r="T140">
            <v>47</v>
          </cell>
          <cell r="V140" t="str">
            <v>FC/FM</v>
          </cell>
        </row>
        <row r="141">
          <cell r="A141">
            <v>84</v>
          </cell>
          <cell r="B141">
            <v>2017</v>
          </cell>
          <cell r="C141">
            <v>8300</v>
          </cell>
          <cell r="D141">
            <v>2</v>
          </cell>
          <cell r="E141">
            <v>2</v>
          </cell>
          <cell r="F141">
            <v>1</v>
          </cell>
          <cell r="G141">
            <v>3000</v>
          </cell>
          <cell r="H141">
            <v>3300</v>
          </cell>
          <cell r="I141">
            <v>334</v>
          </cell>
          <cell r="K141" t="str">
            <v>Curso de capacitación para Policía de Investigación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 t="str">
            <v>Servicio</v>
          </cell>
          <cell r="V141" t="str">
            <v>FC</v>
          </cell>
        </row>
        <row r="142">
          <cell r="A142">
            <v>85</v>
          </cell>
          <cell r="B142">
            <v>2017</v>
          </cell>
          <cell r="C142">
            <v>8300</v>
          </cell>
          <cell r="D142">
            <v>2</v>
          </cell>
          <cell r="E142">
            <v>2</v>
          </cell>
          <cell r="F142">
            <v>1</v>
          </cell>
          <cell r="G142">
            <v>3000</v>
          </cell>
          <cell r="H142">
            <v>3300</v>
          </cell>
          <cell r="I142">
            <v>334</v>
          </cell>
          <cell r="K142" t="str">
            <v xml:space="preserve">Formación Inicial 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 t="str">
            <v>Servicio</v>
          </cell>
          <cell r="V142" t="str">
            <v>FC</v>
          </cell>
        </row>
        <row r="143">
          <cell r="A143">
            <v>86</v>
          </cell>
          <cell r="B143">
            <v>2017</v>
          </cell>
          <cell r="C143">
            <v>8300</v>
          </cell>
          <cell r="D143">
            <v>2</v>
          </cell>
          <cell r="E143">
            <v>2</v>
          </cell>
          <cell r="F143">
            <v>1</v>
          </cell>
          <cell r="G143">
            <v>3000</v>
          </cell>
          <cell r="H143">
            <v>3300</v>
          </cell>
          <cell r="I143">
            <v>334</v>
          </cell>
          <cell r="K143" t="str">
            <v>Formación Continua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 t="str">
            <v>Servicio</v>
          </cell>
          <cell r="V143" t="str">
            <v>FC</v>
          </cell>
        </row>
        <row r="144">
          <cell r="A144">
            <v>87</v>
          </cell>
          <cell r="B144">
            <v>2017</v>
          </cell>
          <cell r="C144">
            <v>8300</v>
          </cell>
          <cell r="D144">
            <v>2</v>
          </cell>
          <cell r="E144">
            <v>2</v>
          </cell>
          <cell r="F144">
            <v>1</v>
          </cell>
          <cell r="G144">
            <v>3000</v>
          </cell>
          <cell r="H144">
            <v>3300</v>
          </cell>
          <cell r="I144">
            <v>334</v>
          </cell>
          <cell r="K144" t="str">
            <v>Nivelación Académica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 t="str">
            <v>Servicio</v>
          </cell>
          <cell r="V144" t="str">
            <v>FC</v>
          </cell>
        </row>
        <row r="145">
          <cell r="A145">
            <v>88</v>
          </cell>
          <cell r="B145">
            <v>2017</v>
          </cell>
          <cell r="C145">
            <v>8300</v>
          </cell>
          <cell r="D145">
            <v>2</v>
          </cell>
          <cell r="E145">
            <v>2</v>
          </cell>
          <cell r="F145">
            <v>1</v>
          </cell>
          <cell r="G145">
            <v>3000</v>
          </cell>
          <cell r="H145">
            <v>3300</v>
          </cell>
          <cell r="I145">
            <v>334</v>
          </cell>
          <cell r="K145" t="str">
            <v>Curso de capacitación para Perito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 t="str">
            <v>Servicio</v>
          </cell>
          <cell r="V145" t="str">
            <v>FC</v>
          </cell>
        </row>
        <row r="146">
          <cell r="A146">
            <v>89</v>
          </cell>
          <cell r="B146">
            <v>2017</v>
          </cell>
          <cell r="C146">
            <v>8300</v>
          </cell>
          <cell r="D146">
            <v>2</v>
          </cell>
          <cell r="E146">
            <v>2</v>
          </cell>
          <cell r="F146">
            <v>1</v>
          </cell>
          <cell r="G146">
            <v>3000</v>
          </cell>
          <cell r="H146">
            <v>3300</v>
          </cell>
          <cell r="I146">
            <v>334</v>
          </cell>
          <cell r="K146" t="str">
            <v xml:space="preserve">Formación Inicial 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 t="str">
            <v>Servicio</v>
          </cell>
          <cell r="V146" t="str">
            <v>FC</v>
          </cell>
        </row>
        <row r="147">
          <cell r="A147">
            <v>90</v>
          </cell>
          <cell r="B147">
            <v>2017</v>
          </cell>
          <cell r="C147">
            <v>8300</v>
          </cell>
          <cell r="D147">
            <v>2</v>
          </cell>
          <cell r="E147">
            <v>2</v>
          </cell>
          <cell r="F147">
            <v>1</v>
          </cell>
          <cell r="G147">
            <v>3000</v>
          </cell>
          <cell r="H147">
            <v>3300</v>
          </cell>
          <cell r="I147">
            <v>334</v>
          </cell>
          <cell r="K147" t="str">
            <v>Formación Continua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 t="str">
            <v>Servicio</v>
          </cell>
          <cell r="V147" t="str">
            <v>FC</v>
          </cell>
        </row>
        <row r="148">
          <cell r="A148">
            <v>91</v>
          </cell>
          <cell r="B148">
            <v>2017</v>
          </cell>
          <cell r="C148">
            <v>8300</v>
          </cell>
          <cell r="D148">
            <v>2</v>
          </cell>
          <cell r="E148">
            <v>2</v>
          </cell>
          <cell r="F148">
            <v>1</v>
          </cell>
          <cell r="G148">
            <v>3000</v>
          </cell>
          <cell r="H148">
            <v>3300</v>
          </cell>
          <cell r="I148">
            <v>334</v>
          </cell>
          <cell r="K148" t="str">
            <v>Nivelación Académica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 t="str">
            <v>Servicio</v>
          </cell>
          <cell r="V148" t="str">
            <v>FC</v>
          </cell>
        </row>
        <row r="149">
          <cell r="A149">
            <v>92</v>
          </cell>
          <cell r="B149">
            <v>2017</v>
          </cell>
          <cell r="C149">
            <v>8300</v>
          </cell>
          <cell r="D149">
            <v>2</v>
          </cell>
          <cell r="E149">
            <v>2</v>
          </cell>
          <cell r="F149">
            <v>1</v>
          </cell>
          <cell r="G149">
            <v>3000</v>
          </cell>
          <cell r="H149">
            <v>3300</v>
          </cell>
          <cell r="I149">
            <v>334</v>
          </cell>
          <cell r="K149" t="str">
            <v>Curso de capacitación para Agente del Ministerio Público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 t="str">
            <v>Servicio</v>
          </cell>
          <cell r="V149" t="str">
            <v>FC</v>
          </cell>
        </row>
        <row r="150">
          <cell r="A150">
            <v>93</v>
          </cell>
          <cell r="B150">
            <v>2017</v>
          </cell>
          <cell r="C150">
            <v>8300</v>
          </cell>
          <cell r="D150">
            <v>2</v>
          </cell>
          <cell r="E150">
            <v>2</v>
          </cell>
          <cell r="F150">
            <v>1</v>
          </cell>
          <cell r="G150">
            <v>3000</v>
          </cell>
          <cell r="H150">
            <v>3300</v>
          </cell>
          <cell r="I150">
            <v>334</v>
          </cell>
          <cell r="K150" t="str">
            <v xml:space="preserve">Formación Inicial 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 t="str">
            <v>Servicio</v>
          </cell>
          <cell r="V150" t="str">
            <v>FC</v>
          </cell>
        </row>
        <row r="151">
          <cell r="A151">
            <v>94</v>
          </cell>
          <cell r="B151">
            <v>2017</v>
          </cell>
          <cell r="C151">
            <v>8300</v>
          </cell>
          <cell r="D151">
            <v>2</v>
          </cell>
          <cell r="E151">
            <v>2</v>
          </cell>
          <cell r="F151">
            <v>1</v>
          </cell>
          <cell r="G151">
            <v>3000</v>
          </cell>
          <cell r="H151">
            <v>3300</v>
          </cell>
          <cell r="I151">
            <v>334</v>
          </cell>
          <cell r="K151" t="str">
            <v>Formación Continua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 t="str">
            <v>Servicio</v>
          </cell>
          <cell r="V151" t="str">
            <v>FC</v>
          </cell>
        </row>
        <row r="152">
          <cell r="A152">
            <v>95</v>
          </cell>
          <cell r="B152">
            <v>2017</v>
          </cell>
          <cell r="C152">
            <v>8300</v>
          </cell>
          <cell r="D152">
            <v>2</v>
          </cell>
          <cell r="E152">
            <v>2</v>
          </cell>
          <cell r="F152">
            <v>1</v>
          </cell>
          <cell r="G152">
            <v>3000</v>
          </cell>
          <cell r="H152">
            <v>3300</v>
          </cell>
          <cell r="I152">
            <v>334</v>
          </cell>
          <cell r="K152" t="str">
            <v>Nivelación Académica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 t="str">
            <v>Servicio</v>
          </cell>
          <cell r="V152" t="str">
            <v>FC</v>
          </cell>
        </row>
        <row r="153">
          <cell r="A153">
            <v>96</v>
          </cell>
          <cell r="B153">
            <v>2017</v>
          </cell>
          <cell r="C153">
            <v>8300</v>
          </cell>
          <cell r="D153">
            <v>2</v>
          </cell>
          <cell r="E153">
            <v>2</v>
          </cell>
          <cell r="F153">
            <v>1</v>
          </cell>
          <cell r="G153">
            <v>3000</v>
          </cell>
          <cell r="H153">
            <v>3300</v>
          </cell>
          <cell r="I153">
            <v>334</v>
          </cell>
          <cell r="K153" t="str">
            <v>Curso de capacitación para otros operadores de Procuración de Justicia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 t="str">
            <v>Servicio</v>
          </cell>
          <cell r="V153" t="str">
            <v>AE</v>
          </cell>
        </row>
        <row r="154">
          <cell r="A154">
            <v>97</v>
          </cell>
          <cell r="B154">
            <v>2017</v>
          </cell>
          <cell r="C154">
            <v>8300</v>
          </cell>
          <cell r="D154">
            <v>2</v>
          </cell>
          <cell r="E154">
            <v>2</v>
          </cell>
          <cell r="F154">
            <v>1</v>
          </cell>
          <cell r="G154">
            <v>3000</v>
          </cell>
          <cell r="H154">
            <v>3300</v>
          </cell>
          <cell r="I154">
            <v>334</v>
          </cell>
          <cell r="K154" t="str">
            <v xml:space="preserve">Formación Inicial 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 t="str">
            <v>Servicio</v>
          </cell>
          <cell r="V154" t="str">
            <v>AE</v>
          </cell>
        </row>
        <row r="155">
          <cell r="A155">
            <v>98</v>
          </cell>
          <cell r="B155">
            <v>2017</v>
          </cell>
          <cell r="C155">
            <v>8300</v>
          </cell>
          <cell r="D155">
            <v>2</v>
          </cell>
          <cell r="E155">
            <v>2</v>
          </cell>
          <cell r="F155">
            <v>1</v>
          </cell>
          <cell r="G155">
            <v>3000</v>
          </cell>
          <cell r="H155">
            <v>3300</v>
          </cell>
          <cell r="I155">
            <v>334</v>
          </cell>
          <cell r="K155" t="str">
            <v>Formación Continua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 t="str">
            <v>Servicio</v>
          </cell>
          <cell r="V155" t="str">
            <v>AE</v>
          </cell>
        </row>
        <row r="156">
          <cell r="A156">
            <v>99</v>
          </cell>
          <cell r="B156">
            <v>2017</v>
          </cell>
          <cell r="C156">
            <v>8300</v>
          </cell>
          <cell r="D156">
            <v>2</v>
          </cell>
          <cell r="E156">
            <v>2</v>
          </cell>
          <cell r="F156">
            <v>1</v>
          </cell>
          <cell r="G156">
            <v>3000</v>
          </cell>
          <cell r="H156">
            <v>3300</v>
          </cell>
          <cell r="I156">
            <v>334</v>
          </cell>
          <cell r="K156" t="str">
            <v xml:space="preserve">Curso de capacitación para Personal del Sistema Penitenciario 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 t="str">
            <v>Servicio</v>
          </cell>
          <cell r="V156" t="str">
            <v xml:space="preserve"> </v>
          </cell>
        </row>
        <row r="157">
          <cell r="A157">
            <v>100</v>
          </cell>
          <cell r="B157">
            <v>2017</v>
          </cell>
          <cell r="C157">
            <v>8300</v>
          </cell>
          <cell r="D157">
            <v>2</v>
          </cell>
          <cell r="E157">
            <v>2</v>
          </cell>
          <cell r="F157">
            <v>1</v>
          </cell>
          <cell r="G157">
            <v>3000</v>
          </cell>
          <cell r="H157">
            <v>3300</v>
          </cell>
          <cell r="I157">
            <v>334</v>
          </cell>
          <cell r="K157" t="str">
            <v>Formación Inicial (Custodia Penitenciaria)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 t="str">
            <v>Servicio</v>
          </cell>
          <cell r="V157" t="str">
            <v>FC</v>
          </cell>
        </row>
        <row r="158">
          <cell r="A158">
            <v>101</v>
          </cell>
          <cell r="B158">
            <v>2017</v>
          </cell>
          <cell r="C158">
            <v>8300</v>
          </cell>
          <cell r="D158">
            <v>2</v>
          </cell>
          <cell r="E158">
            <v>2</v>
          </cell>
          <cell r="F158">
            <v>1</v>
          </cell>
          <cell r="G158">
            <v>3000</v>
          </cell>
          <cell r="H158">
            <v>3300</v>
          </cell>
          <cell r="I158">
            <v>334</v>
          </cell>
          <cell r="K158" t="str">
            <v>Formación Inicial (Técnico)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 t="str">
            <v>Servicio</v>
          </cell>
          <cell r="V158" t="str">
            <v>AE</v>
          </cell>
        </row>
        <row r="159">
          <cell r="A159">
            <v>102</v>
          </cell>
          <cell r="B159">
            <v>2017</v>
          </cell>
          <cell r="C159">
            <v>8300</v>
          </cell>
          <cell r="D159">
            <v>2</v>
          </cell>
          <cell r="E159">
            <v>2</v>
          </cell>
          <cell r="F159">
            <v>1</v>
          </cell>
          <cell r="G159">
            <v>3000</v>
          </cell>
          <cell r="H159">
            <v>3300</v>
          </cell>
          <cell r="I159">
            <v>334</v>
          </cell>
          <cell r="K159" t="str">
            <v>Formación Inicial (Administrativo)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 t="str">
            <v>Servicio</v>
          </cell>
          <cell r="V159" t="str">
            <v>AE</v>
          </cell>
        </row>
        <row r="160">
          <cell r="A160">
            <v>103</v>
          </cell>
          <cell r="B160">
            <v>2017</v>
          </cell>
          <cell r="C160">
            <v>8300</v>
          </cell>
          <cell r="D160">
            <v>2</v>
          </cell>
          <cell r="E160">
            <v>2</v>
          </cell>
          <cell r="F160">
            <v>1</v>
          </cell>
          <cell r="G160">
            <v>3000</v>
          </cell>
          <cell r="H160">
            <v>3300</v>
          </cell>
          <cell r="I160">
            <v>334</v>
          </cell>
          <cell r="K160" t="str">
            <v>Formación Inicial (Jurídico)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 t="str">
            <v>Servicio</v>
          </cell>
          <cell r="V160" t="str">
            <v>AE</v>
          </cell>
        </row>
        <row r="161">
          <cell r="A161">
            <v>104</v>
          </cell>
          <cell r="B161">
            <v>2017</v>
          </cell>
          <cell r="C161">
            <v>8300</v>
          </cell>
          <cell r="D161">
            <v>2</v>
          </cell>
          <cell r="E161">
            <v>2</v>
          </cell>
          <cell r="F161">
            <v>1</v>
          </cell>
          <cell r="G161">
            <v>3000</v>
          </cell>
          <cell r="H161">
            <v>3300</v>
          </cell>
          <cell r="I161">
            <v>334</v>
          </cell>
          <cell r="K161" t="str">
            <v>Formación Continua (Custodia Penitenciaria)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 t="str">
            <v>Servicio</v>
          </cell>
          <cell r="V161" t="str">
            <v>FC</v>
          </cell>
        </row>
        <row r="162">
          <cell r="A162">
            <v>105</v>
          </cell>
          <cell r="B162">
            <v>2017</v>
          </cell>
          <cell r="C162">
            <v>8300</v>
          </cell>
          <cell r="D162">
            <v>2</v>
          </cell>
          <cell r="E162">
            <v>2</v>
          </cell>
          <cell r="F162">
            <v>1</v>
          </cell>
          <cell r="G162">
            <v>3000</v>
          </cell>
          <cell r="H162">
            <v>3300</v>
          </cell>
          <cell r="I162">
            <v>334</v>
          </cell>
          <cell r="K162" t="str">
            <v>Formación Continua (Técnico)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 t="str">
            <v>Servicio</v>
          </cell>
          <cell r="V162" t="str">
            <v>AE</v>
          </cell>
        </row>
        <row r="163">
          <cell r="A163">
            <v>106</v>
          </cell>
          <cell r="B163">
            <v>2017</v>
          </cell>
          <cell r="C163">
            <v>8300</v>
          </cell>
          <cell r="D163">
            <v>2</v>
          </cell>
          <cell r="E163">
            <v>2</v>
          </cell>
          <cell r="F163">
            <v>1</v>
          </cell>
          <cell r="G163">
            <v>3000</v>
          </cell>
          <cell r="H163">
            <v>3300</v>
          </cell>
          <cell r="I163">
            <v>334</v>
          </cell>
          <cell r="K163" t="str">
            <v>Formación Continua (Administrativo)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 t="str">
            <v>Servicio</v>
          </cell>
          <cell r="V163" t="str">
            <v>AE</v>
          </cell>
        </row>
        <row r="164">
          <cell r="A164">
            <v>107</v>
          </cell>
          <cell r="B164">
            <v>2017</v>
          </cell>
          <cell r="C164">
            <v>8300</v>
          </cell>
          <cell r="D164">
            <v>2</v>
          </cell>
          <cell r="E164">
            <v>2</v>
          </cell>
          <cell r="F164">
            <v>1</v>
          </cell>
          <cell r="G164">
            <v>3000</v>
          </cell>
          <cell r="H164">
            <v>3300</v>
          </cell>
          <cell r="I164">
            <v>334</v>
          </cell>
          <cell r="K164" t="str">
            <v>Formación Continua  (Jurídico)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 t="str">
            <v>Servicio</v>
          </cell>
          <cell r="V164" t="str">
            <v>AE</v>
          </cell>
        </row>
        <row r="165">
          <cell r="A165">
            <v>108</v>
          </cell>
          <cell r="B165">
            <v>2017</v>
          </cell>
          <cell r="C165">
            <v>8300</v>
          </cell>
          <cell r="D165">
            <v>2</v>
          </cell>
          <cell r="E165">
            <v>2</v>
          </cell>
          <cell r="F165">
            <v>1</v>
          </cell>
          <cell r="G165">
            <v>3000</v>
          </cell>
          <cell r="H165">
            <v>3300</v>
          </cell>
          <cell r="I165">
            <v>334</v>
          </cell>
          <cell r="K165" t="str">
            <v>Formación Inicial (otros perfiles)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 t="str">
            <v>Servicio</v>
          </cell>
          <cell r="V165" t="str">
            <v>AE</v>
          </cell>
        </row>
        <row r="166">
          <cell r="A166">
            <v>109</v>
          </cell>
          <cell r="B166">
            <v>2017</v>
          </cell>
          <cell r="C166">
            <v>8300</v>
          </cell>
          <cell r="D166">
            <v>2</v>
          </cell>
          <cell r="E166">
            <v>2</v>
          </cell>
          <cell r="F166">
            <v>1</v>
          </cell>
          <cell r="G166">
            <v>3000</v>
          </cell>
          <cell r="H166">
            <v>3300</v>
          </cell>
          <cell r="I166">
            <v>334</v>
          </cell>
          <cell r="K166" t="str">
            <v>Formación continua (otros perfiles)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 t="str">
            <v>Servicio</v>
          </cell>
          <cell r="V166" t="str">
            <v>AE</v>
          </cell>
        </row>
        <row r="167">
          <cell r="A167">
            <v>110</v>
          </cell>
          <cell r="B167">
            <v>2017</v>
          </cell>
          <cell r="C167">
            <v>8300</v>
          </cell>
          <cell r="D167">
            <v>2</v>
          </cell>
          <cell r="E167">
            <v>2</v>
          </cell>
          <cell r="F167">
            <v>1</v>
          </cell>
          <cell r="G167">
            <v>3000</v>
          </cell>
          <cell r="H167">
            <v>3300</v>
          </cell>
          <cell r="I167">
            <v>334</v>
          </cell>
          <cell r="K167" t="str">
            <v>Nivelación Académica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 t="str">
            <v>Servicio</v>
          </cell>
          <cell r="V167" t="str">
            <v>AE</v>
          </cell>
        </row>
        <row r="168">
          <cell r="A168">
            <v>111</v>
          </cell>
          <cell r="B168">
            <v>2017</v>
          </cell>
          <cell r="C168">
            <v>8300</v>
          </cell>
          <cell r="D168">
            <v>2</v>
          </cell>
          <cell r="E168">
            <v>2</v>
          </cell>
          <cell r="F168">
            <v>1</v>
          </cell>
          <cell r="G168">
            <v>3000</v>
          </cell>
          <cell r="H168">
            <v>3300</v>
          </cell>
          <cell r="I168">
            <v>334</v>
          </cell>
          <cell r="K168" t="str">
            <v>Curso de capacitación en materia de prevención del delito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 t="str">
            <v>Servicio</v>
          </cell>
          <cell r="V168" t="str">
            <v>AE</v>
          </cell>
        </row>
        <row r="169">
          <cell r="A169">
            <v>112</v>
          </cell>
          <cell r="B169">
            <v>2017</v>
          </cell>
          <cell r="C169">
            <v>8300</v>
          </cell>
          <cell r="D169">
            <v>2</v>
          </cell>
          <cell r="E169">
            <v>2</v>
          </cell>
          <cell r="F169">
            <v>1</v>
          </cell>
          <cell r="G169">
            <v>3000</v>
          </cell>
          <cell r="H169">
            <v>3300</v>
          </cell>
          <cell r="I169">
            <v>334</v>
          </cell>
          <cell r="K169" t="str">
            <v>Formación Continua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 t="str">
            <v>Servicio</v>
          </cell>
          <cell r="V169" t="str">
            <v>AE</v>
          </cell>
        </row>
        <row r="170">
          <cell r="A170">
            <v>113</v>
          </cell>
          <cell r="B170">
            <v>2017</v>
          </cell>
          <cell r="C170">
            <v>8300</v>
          </cell>
          <cell r="D170">
            <v>2</v>
          </cell>
          <cell r="E170">
            <v>2</v>
          </cell>
          <cell r="F170">
            <v>1</v>
          </cell>
          <cell r="G170">
            <v>3000</v>
          </cell>
          <cell r="H170">
            <v>3300</v>
          </cell>
          <cell r="I170">
            <v>334</v>
          </cell>
          <cell r="K170" t="str">
            <v>Curso de capacitación a servidores públicos en temas  de acceso a la justicia para mujeres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 t="str">
            <v>Servicio</v>
          </cell>
          <cell r="V170" t="str">
            <v>FC</v>
          </cell>
        </row>
        <row r="171">
          <cell r="A171">
            <v>114</v>
          </cell>
          <cell r="B171">
            <v>2017</v>
          </cell>
          <cell r="C171">
            <v>8300</v>
          </cell>
          <cell r="D171">
            <v>2</v>
          </cell>
          <cell r="E171">
            <v>2</v>
          </cell>
          <cell r="F171">
            <v>1</v>
          </cell>
          <cell r="G171">
            <v>3000</v>
          </cell>
          <cell r="H171">
            <v>3300</v>
          </cell>
          <cell r="I171">
            <v>334</v>
          </cell>
          <cell r="K171" t="str">
            <v xml:space="preserve">Formación Continua 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 t="str">
            <v>Servicio</v>
          </cell>
          <cell r="V171" t="str">
            <v>FC</v>
          </cell>
        </row>
        <row r="172">
          <cell r="A172">
            <v>115</v>
          </cell>
          <cell r="B172">
            <v>2017</v>
          </cell>
          <cell r="C172">
            <v>8300</v>
          </cell>
          <cell r="D172">
            <v>2</v>
          </cell>
          <cell r="E172">
            <v>2</v>
          </cell>
          <cell r="F172">
            <v>1</v>
          </cell>
          <cell r="G172">
            <v>3000</v>
          </cell>
          <cell r="H172">
            <v>3300</v>
          </cell>
          <cell r="I172">
            <v>334</v>
          </cell>
          <cell r="K172" t="str">
            <v>Curso de capacitación al personal en temas de control de confianza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 t="str">
            <v>Servicio</v>
          </cell>
          <cell r="V172" t="str">
            <v>FC</v>
          </cell>
        </row>
        <row r="173">
          <cell r="A173">
            <v>116</v>
          </cell>
          <cell r="B173">
            <v>2017</v>
          </cell>
          <cell r="C173">
            <v>8300</v>
          </cell>
          <cell r="D173">
            <v>2</v>
          </cell>
          <cell r="E173">
            <v>2</v>
          </cell>
          <cell r="F173">
            <v>1</v>
          </cell>
          <cell r="G173">
            <v>3000</v>
          </cell>
          <cell r="H173">
            <v>3300</v>
          </cell>
          <cell r="I173">
            <v>334</v>
          </cell>
          <cell r="K173" t="str">
            <v>Formación Continua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 t="str">
            <v>Servicio</v>
          </cell>
          <cell r="V173" t="str">
            <v>FC</v>
          </cell>
        </row>
        <row r="174">
          <cell r="A174">
            <v>117</v>
          </cell>
          <cell r="B174">
            <v>2017</v>
          </cell>
          <cell r="C174">
            <v>8300</v>
          </cell>
          <cell r="D174">
            <v>2</v>
          </cell>
          <cell r="E174">
            <v>2</v>
          </cell>
          <cell r="F174">
            <v>1</v>
          </cell>
          <cell r="G174">
            <v>3000</v>
          </cell>
          <cell r="H174">
            <v>3300</v>
          </cell>
          <cell r="I174">
            <v>334</v>
          </cell>
          <cell r="K174" t="str">
            <v xml:space="preserve">Curso de capacitación en temas de Justicia para Adolescentes 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 t="str">
            <v>Servicio</v>
          </cell>
          <cell r="V174" t="str">
            <v>AE</v>
          </cell>
        </row>
        <row r="175">
          <cell r="A175">
            <v>118</v>
          </cell>
          <cell r="B175">
            <v>2017</v>
          </cell>
          <cell r="C175">
            <v>8300</v>
          </cell>
          <cell r="D175">
            <v>2</v>
          </cell>
          <cell r="E175">
            <v>2</v>
          </cell>
          <cell r="F175">
            <v>1</v>
          </cell>
          <cell r="G175">
            <v>3000</v>
          </cell>
          <cell r="H175">
            <v>3300</v>
          </cell>
          <cell r="I175">
            <v>334</v>
          </cell>
          <cell r="K175" t="str">
            <v>Formación Inicial (Guía Técnico)</v>
          </cell>
          <cell r="S175" t="str">
            <v>Servicio</v>
          </cell>
          <cell r="V175" t="str">
            <v>AE</v>
          </cell>
        </row>
        <row r="176">
          <cell r="A176">
            <v>119</v>
          </cell>
          <cell r="B176">
            <v>2017</v>
          </cell>
          <cell r="C176">
            <v>8300</v>
          </cell>
          <cell r="D176">
            <v>2</v>
          </cell>
          <cell r="E176">
            <v>2</v>
          </cell>
          <cell r="F176">
            <v>1</v>
          </cell>
          <cell r="G176">
            <v>3000</v>
          </cell>
          <cell r="H176">
            <v>3300</v>
          </cell>
          <cell r="I176">
            <v>334</v>
          </cell>
          <cell r="K176" t="str">
            <v>Formación Continua (Guía Técnico)</v>
          </cell>
          <cell r="S176" t="str">
            <v>Servicio</v>
          </cell>
          <cell r="V176" t="str">
            <v>AE</v>
          </cell>
        </row>
        <row r="177">
          <cell r="A177">
            <v>120</v>
          </cell>
          <cell r="B177">
            <v>2017</v>
          </cell>
          <cell r="C177">
            <v>8300</v>
          </cell>
          <cell r="D177">
            <v>2</v>
          </cell>
          <cell r="E177">
            <v>2</v>
          </cell>
          <cell r="F177">
            <v>1</v>
          </cell>
          <cell r="G177">
            <v>3000</v>
          </cell>
          <cell r="H177">
            <v>3300</v>
          </cell>
          <cell r="I177">
            <v>334</v>
          </cell>
          <cell r="K177" t="str">
            <v>Formación continua (otros perfiles)</v>
          </cell>
          <cell r="S177" t="str">
            <v>Servicio</v>
          </cell>
          <cell r="V177" t="str">
            <v>AE</v>
          </cell>
        </row>
        <row r="178">
          <cell r="A178">
            <v>121</v>
          </cell>
          <cell r="B178">
            <v>2017</v>
          </cell>
          <cell r="C178">
            <v>8300</v>
          </cell>
          <cell r="D178">
            <v>2</v>
          </cell>
          <cell r="E178">
            <v>2</v>
          </cell>
          <cell r="F178">
            <v>1</v>
          </cell>
          <cell r="G178">
            <v>3000</v>
          </cell>
          <cell r="H178">
            <v>3300</v>
          </cell>
          <cell r="I178">
            <v>334</v>
          </cell>
          <cell r="K178" t="str">
            <v>Formación continua (custodios)</v>
          </cell>
          <cell r="S178" t="str">
            <v>Servicio</v>
          </cell>
        </row>
        <row r="179">
          <cell r="A179">
            <v>122</v>
          </cell>
          <cell r="B179">
            <v>2017</v>
          </cell>
          <cell r="C179">
            <v>8300</v>
          </cell>
          <cell r="D179">
            <v>2</v>
          </cell>
          <cell r="E179">
            <v>2</v>
          </cell>
          <cell r="F179">
            <v>1</v>
          </cell>
          <cell r="G179">
            <v>3000</v>
          </cell>
          <cell r="H179">
            <v>3300</v>
          </cell>
          <cell r="I179">
            <v>334</v>
          </cell>
          <cell r="K179" t="str">
            <v>Formación continua (juridicos)</v>
          </cell>
          <cell r="S179" t="str">
            <v>Servicio</v>
          </cell>
        </row>
        <row r="180">
          <cell r="A180">
            <v>123</v>
          </cell>
          <cell r="B180">
            <v>2017</v>
          </cell>
          <cell r="C180">
            <v>8300</v>
          </cell>
          <cell r="D180">
            <v>2</v>
          </cell>
          <cell r="E180">
            <v>2</v>
          </cell>
          <cell r="F180">
            <v>1</v>
          </cell>
          <cell r="G180">
            <v>3000</v>
          </cell>
          <cell r="H180">
            <v>3300</v>
          </cell>
          <cell r="I180">
            <v>334</v>
          </cell>
          <cell r="K180" t="str">
            <v xml:space="preserve">Curso de capacitación exclusivamente para personal que labora en el área de la Red Nacional de  Radiocomunicación 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 t="str">
            <v>Servicio</v>
          </cell>
          <cell r="V180" t="str">
            <v>FC</v>
          </cell>
        </row>
        <row r="181">
          <cell r="A181">
            <v>124</v>
          </cell>
          <cell r="B181">
            <v>2017</v>
          </cell>
          <cell r="C181">
            <v>8300</v>
          </cell>
          <cell r="D181">
            <v>2</v>
          </cell>
          <cell r="E181">
            <v>2</v>
          </cell>
          <cell r="F181">
            <v>1</v>
          </cell>
          <cell r="G181">
            <v>3000</v>
          </cell>
          <cell r="H181">
            <v>3300</v>
          </cell>
          <cell r="I181">
            <v>334</v>
          </cell>
          <cell r="K181" t="str">
            <v>Formación Continua</v>
          </cell>
          <cell r="S181" t="str">
            <v>Servicio</v>
          </cell>
          <cell r="V181" t="str">
            <v>FC</v>
          </cell>
        </row>
        <row r="182">
          <cell r="A182">
            <v>125</v>
          </cell>
          <cell r="B182">
            <v>2017</v>
          </cell>
          <cell r="C182">
            <v>8300</v>
          </cell>
          <cell r="D182">
            <v>2</v>
          </cell>
          <cell r="E182">
            <v>2</v>
          </cell>
          <cell r="F182">
            <v>1</v>
          </cell>
          <cell r="G182">
            <v>3000</v>
          </cell>
          <cell r="H182">
            <v>3300</v>
          </cell>
          <cell r="I182">
            <v>334</v>
          </cell>
          <cell r="K182" t="str">
            <v>Curso de capacitación exclusivamente para proyectos relacionados con el Sistema de Videovigilancia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 t="str">
            <v>Servicio</v>
          </cell>
          <cell r="V182" t="str">
            <v>FC</v>
          </cell>
        </row>
        <row r="183">
          <cell r="A183">
            <v>126</v>
          </cell>
          <cell r="B183">
            <v>2017</v>
          </cell>
          <cell r="C183">
            <v>8300</v>
          </cell>
          <cell r="D183">
            <v>2</v>
          </cell>
          <cell r="E183">
            <v>2</v>
          </cell>
          <cell r="F183">
            <v>1</v>
          </cell>
          <cell r="G183">
            <v>3000</v>
          </cell>
          <cell r="H183">
            <v>3300</v>
          </cell>
          <cell r="I183">
            <v>334</v>
          </cell>
          <cell r="K183" t="str">
            <v>Formación Continua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 t="str">
            <v>Servicio</v>
          </cell>
          <cell r="V183" t="str">
            <v>FC</v>
          </cell>
        </row>
        <row r="184">
          <cell r="A184">
            <v>127</v>
          </cell>
          <cell r="B184">
            <v>2017</v>
          </cell>
          <cell r="C184">
            <v>8300</v>
          </cell>
          <cell r="D184">
            <v>2</v>
          </cell>
          <cell r="E184">
            <v>2</v>
          </cell>
          <cell r="F184">
            <v>1</v>
          </cell>
          <cell r="G184">
            <v>3000</v>
          </cell>
          <cell r="H184">
            <v>3300</v>
          </cell>
          <cell r="I184">
            <v>334</v>
          </cell>
          <cell r="K184" t="str">
            <v>Curso de capacitación para personal de las áreas de análisis, captura e investigación del Sistema Nacional de Información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 t="str">
            <v>Servicio</v>
          </cell>
          <cell r="V184" t="str">
            <v>FC</v>
          </cell>
        </row>
        <row r="185">
          <cell r="A185">
            <v>128</v>
          </cell>
          <cell r="B185">
            <v>2017</v>
          </cell>
          <cell r="C185">
            <v>8300</v>
          </cell>
          <cell r="D185">
            <v>2</v>
          </cell>
          <cell r="E185">
            <v>2</v>
          </cell>
          <cell r="F185">
            <v>1</v>
          </cell>
          <cell r="G185">
            <v>3000</v>
          </cell>
          <cell r="H185">
            <v>3300</v>
          </cell>
          <cell r="I185">
            <v>334</v>
          </cell>
          <cell r="K185" t="str">
            <v>Formación Continua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 t="str">
            <v>Servicio</v>
          </cell>
          <cell r="V185" t="str">
            <v>FC</v>
          </cell>
        </row>
        <row r="186">
          <cell r="A186">
            <v>129</v>
          </cell>
          <cell r="B186">
            <v>2017</v>
          </cell>
          <cell r="C186">
            <v>8300</v>
          </cell>
          <cell r="D186">
            <v>2</v>
          </cell>
          <cell r="E186">
            <v>2</v>
          </cell>
          <cell r="F186">
            <v>1</v>
          </cell>
          <cell r="G186">
            <v>3000</v>
          </cell>
          <cell r="H186">
            <v>3300</v>
          </cell>
          <cell r="I186">
            <v>334</v>
          </cell>
          <cell r="K186" t="str">
            <v>Curso de capacitación en materia de Registro Público Vehicular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 t="str">
            <v>Servicio</v>
          </cell>
          <cell r="V186" t="str">
            <v>AE</v>
          </cell>
        </row>
        <row r="187">
          <cell r="A187">
            <v>130</v>
          </cell>
          <cell r="B187">
            <v>2017</v>
          </cell>
          <cell r="C187">
            <v>8300</v>
          </cell>
          <cell r="D187">
            <v>2</v>
          </cell>
          <cell r="E187">
            <v>2</v>
          </cell>
          <cell r="F187">
            <v>1</v>
          </cell>
          <cell r="G187">
            <v>3000</v>
          </cell>
          <cell r="H187">
            <v>3300</v>
          </cell>
          <cell r="I187">
            <v>334</v>
          </cell>
          <cell r="K187" t="str">
            <v>Formación Continua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 t="str">
            <v>Servicio</v>
          </cell>
          <cell r="V187" t="str">
            <v>AE</v>
          </cell>
        </row>
        <row r="188">
          <cell r="A188">
            <v>131</v>
          </cell>
          <cell r="B188">
            <v>2017</v>
          </cell>
          <cell r="C188">
            <v>8300</v>
          </cell>
          <cell r="D188">
            <v>2</v>
          </cell>
          <cell r="E188">
            <v>2</v>
          </cell>
          <cell r="F188">
            <v>1</v>
          </cell>
          <cell r="G188">
            <v>3000</v>
          </cell>
          <cell r="H188">
            <v>3300</v>
          </cell>
          <cell r="I188">
            <v>334</v>
          </cell>
          <cell r="K188" t="str">
            <v xml:space="preserve">Curso de capacitación para operadores telefónicos y supervisores del Sistema Nacional de Atención de Llamadas de Emergencia y Denuncias Ciudadanas. 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 t="str">
            <v>Servicio</v>
          </cell>
          <cell r="V188" t="str">
            <v>FC</v>
          </cell>
        </row>
        <row r="189">
          <cell r="A189">
            <v>132</v>
          </cell>
          <cell r="B189">
            <v>2017</v>
          </cell>
          <cell r="C189">
            <v>8300</v>
          </cell>
          <cell r="D189">
            <v>2</v>
          </cell>
          <cell r="E189">
            <v>2</v>
          </cell>
          <cell r="F189">
            <v>1</v>
          </cell>
          <cell r="G189">
            <v>3000</v>
          </cell>
          <cell r="H189">
            <v>3300</v>
          </cell>
          <cell r="I189">
            <v>334</v>
          </cell>
          <cell r="K189" t="str">
            <v>Formación Continua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 t="str">
            <v>Servicio</v>
          </cell>
          <cell r="V189" t="str">
            <v>FC</v>
          </cell>
        </row>
        <row r="190">
          <cell r="A190">
            <v>133</v>
          </cell>
          <cell r="B190">
            <v>2017</v>
          </cell>
          <cell r="C190">
            <v>8300</v>
          </cell>
          <cell r="D190">
            <v>2</v>
          </cell>
          <cell r="E190">
            <v>2</v>
          </cell>
          <cell r="F190">
            <v>1</v>
          </cell>
          <cell r="G190">
            <v>3000</v>
          </cell>
          <cell r="H190">
            <v>3300</v>
          </cell>
          <cell r="I190">
            <v>334</v>
          </cell>
          <cell r="K190" t="str">
            <v>Curso de capacitación para otros operadores de las instituciones de seguridad pública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 t="str">
            <v>Servicio</v>
          </cell>
          <cell r="V190" t="str">
            <v>FC</v>
          </cell>
        </row>
        <row r="191">
          <cell r="A191">
            <v>134</v>
          </cell>
          <cell r="B191">
            <v>2017</v>
          </cell>
          <cell r="C191">
            <v>8300</v>
          </cell>
          <cell r="D191">
            <v>2</v>
          </cell>
          <cell r="E191">
            <v>2</v>
          </cell>
          <cell r="F191">
            <v>1</v>
          </cell>
          <cell r="G191">
            <v>3000</v>
          </cell>
          <cell r="H191">
            <v>3300</v>
          </cell>
          <cell r="I191">
            <v>334</v>
          </cell>
          <cell r="K191" t="str">
            <v>Formación Inicial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 t="str">
            <v>Servicio</v>
          </cell>
          <cell r="V191" t="str">
            <v>FC</v>
          </cell>
        </row>
        <row r="192">
          <cell r="A192">
            <v>135</v>
          </cell>
          <cell r="B192">
            <v>2017</v>
          </cell>
          <cell r="C192">
            <v>8300</v>
          </cell>
          <cell r="D192">
            <v>2</v>
          </cell>
          <cell r="E192">
            <v>2</v>
          </cell>
          <cell r="F192">
            <v>1</v>
          </cell>
          <cell r="G192">
            <v>3000</v>
          </cell>
          <cell r="H192">
            <v>3300</v>
          </cell>
          <cell r="I192">
            <v>334</v>
          </cell>
          <cell r="K192" t="str">
            <v>Formación Continua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 t="str">
            <v>Servicio</v>
          </cell>
          <cell r="V192" t="str">
            <v>FC</v>
          </cell>
        </row>
        <row r="193">
          <cell r="A193">
            <v>136</v>
          </cell>
          <cell r="B193">
            <v>2017</v>
          </cell>
          <cell r="C193">
            <v>8300</v>
          </cell>
          <cell r="D193">
            <v>2</v>
          </cell>
          <cell r="E193">
            <v>2</v>
          </cell>
          <cell r="F193">
            <v>1</v>
          </cell>
          <cell r="G193">
            <v>3000</v>
          </cell>
          <cell r="H193">
            <v>3300</v>
          </cell>
          <cell r="I193">
            <v>334</v>
          </cell>
          <cell r="K193" t="str">
            <v>Formación de mandos (Policía procesal)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 t="str">
            <v>Servicio</v>
          </cell>
          <cell r="V193" t="str">
            <v>FC</v>
          </cell>
        </row>
        <row r="194">
          <cell r="A194">
            <v>137</v>
          </cell>
          <cell r="B194">
            <v>2017</v>
          </cell>
          <cell r="C194">
            <v>8300</v>
          </cell>
          <cell r="D194">
            <v>2</v>
          </cell>
          <cell r="E194">
            <v>2</v>
          </cell>
          <cell r="F194">
            <v>1</v>
          </cell>
          <cell r="G194">
            <v>3000</v>
          </cell>
          <cell r="H194">
            <v>3300</v>
          </cell>
          <cell r="I194">
            <v>334</v>
          </cell>
          <cell r="K194" t="str">
            <v>Formador de Formadores (Policía procesal)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 t="str">
            <v>Servicio</v>
          </cell>
          <cell r="V194" t="str">
            <v>FC</v>
          </cell>
        </row>
        <row r="195">
          <cell r="A195">
            <v>138</v>
          </cell>
          <cell r="B195">
            <v>2017</v>
          </cell>
          <cell r="C195">
            <v>8300</v>
          </cell>
          <cell r="D195">
            <v>2</v>
          </cell>
          <cell r="E195">
            <v>2</v>
          </cell>
          <cell r="F195">
            <v>1</v>
          </cell>
          <cell r="G195">
            <v>3000</v>
          </cell>
          <cell r="H195">
            <v>3300</v>
          </cell>
          <cell r="I195">
            <v>334</v>
          </cell>
          <cell r="K195" t="str">
            <v xml:space="preserve">Cursos de capacitación técnicos, científicos especializados en materia de ciencias forenses 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 t="str">
            <v>Servicio</v>
          </cell>
          <cell r="V195" t="str">
            <v>FC</v>
          </cell>
        </row>
        <row r="196">
          <cell r="A196">
            <v>139</v>
          </cell>
          <cell r="B196">
            <v>2017</v>
          </cell>
          <cell r="C196">
            <v>8300</v>
          </cell>
          <cell r="D196">
            <v>2</v>
          </cell>
          <cell r="E196">
            <v>2</v>
          </cell>
          <cell r="F196">
            <v>1</v>
          </cell>
          <cell r="G196">
            <v>3000</v>
          </cell>
          <cell r="H196">
            <v>3300</v>
          </cell>
          <cell r="I196">
            <v>334</v>
          </cell>
          <cell r="K196" t="str">
            <v>Formación Inicial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 t="str">
            <v>Servicio</v>
          </cell>
          <cell r="V196" t="str">
            <v>FC</v>
          </cell>
        </row>
        <row r="197">
          <cell r="A197">
            <v>140</v>
          </cell>
          <cell r="B197">
            <v>2017</v>
          </cell>
          <cell r="C197">
            <v>8300</v>
          </cell>
          <cell r="D197">
            <v>2</v>
          </cell>
          <cell r="E197">
            <v>2</v>
          </cell>
          <cell r="F197">
            <v>1</v>
          </cell>
          <cell r="G197">
            <v>3000</v>
          </cell>
          <cell r="H197">
            <v>3300</v>
          </cell>
          <cell r="I197">
            <v>334</v>
          </cell>
          <cell r="K197" t="str">
            <v>Formación Continua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 t="str">
            <v>Servicio</v>
          </cell>
          <cell r="V197" t="str">
            <v>FC</v>
          </cell>
        </row>
        <row r="198">
          <cell r="A198">
            <v>141</v>
          </cell>
          <cell r="B198">
            <v>2017</v>
          </cell>
          <cell r="C198">
            <v>8300</v>
          </cell>
          <cell r="D198">
            <v>2</v>
          </cell>
          <cell r="E198">
            <v>2</v>
          </cell>
          <cell r="F198">
            <v>1</v>
          </cell>
          <cell r="G198">
            <v>3000</v>
          </cell>
          <cell r="H198">
            <v>3300</v>
          </cell>
          <cell r="I198">
            <v>336</v>
          </cell>
          <cell r="K198" t="str">
            <v>Servicios de apoyo administrativo, traducción, fotocopiado e impresión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</row>
        <row r="199">
          <cell r="A199">
            <v>142</v>
          </cell>
          <cell r="B199">
            <v>2017</v>
          </cell>
          <cell r="C199">
            <v>8300</v>
          </cell>
          <cell r="D199">
            <v>2</v>
          </cell>
          <cell r="E199">
            <v>2</v>
          </cell>
          <cell r="F199">
            <v>1</v>
          </cell>
          <cell r="G199">
            <v>3000</v>
          </cell>
          <cell r="H199">
            <v>3300</v>
          </cell>
          <cell r="I199">
            <v>336</v>
          </cell>
          <cell r="J199">
            <v>1</v>
          </cell>
          <cell r="K199" t="str">
            <v>Convocatoria para operadores de Procuración de Justicia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 t="str">
            <v>Convocatorias</v>
          </cell>
          <cell r="V199" t="str">
            <v>AE</v>
          </cell>
        </row>
        <row r="200">
          <cell r="A200">
            <v>143</v>
          </cell>
          <cell r="B200">
            <v>2017</v>
          </cell>
          <cell r="C200">
            <v>8300</v>
          </cell>
          <cell r="D200">
            <v>2</v>
          </cell>
          <cell r="E200">
            <v>2</v>
          </cell>
          <cell r="F200">
            <v>1</v>
          </cell>
          <cell r="G200">
            <v>3000</v>
          </cell>
          <cell r="H200">
            <v>3300</v>
          </cell>
          <cell r="I200">
            <v>336</v>
          </cell>
          <cell r="J200">
            <v>2</v>
          </cell>
          <cell r="K200" t="str">
            <v>Convocatoria para operadores del Sistema Penitenciario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 t="str">
            <v>Convocatorias</v>
          </cell>
          <cell r="V200" t="str">
            <v>AE</v>
          </cell>
        </row>
        <row r="201">
          <cell r="A201">
            <v>144</v>
          </cell>
          <cell r="B201">
            <v>2017</v>
          </cell>
          <cell r="C201">
            <v>8300</v>
          </cell>
          <cell r="D201">
            <v>2</v>
          </cell>
          <cell r="E201">
            <v>2</v>
          </cell>
          <cell r="F201">
            <v>1</v>
          </cell>
          <cell r="G201">
            <v>3000</v>
          </cell>
          <cell r="H201">
            <v>3300</v>
          </cell>
          <cell r="I201">
            <v>336</v>
          </cell>
          <cell r="J201">
            <v>3</v>
          </cell>
          <cell r="K201" t="str">
            <v>Convocatoria para otros operadores de las Instituciones de Seguridad Pública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 t="str">
            <v>Convocatorias</v>
          </cell>
          <cell r="V201" t="str">
            <v>AE</v>
          </cell>
        </row>
        <row r="202">
          <cell r="A202">
            <v>145</v>
          </cell>
          <cell r="B202">
            <v>2017</v>
          </cell>
          <cell r="C202">
            <v>8300</v>
          </cell>
          <cell r="D202">
            <v>2</v>
          </cell>
          <cell r="E202">
            <v>2</v>
          </cell>
          <cell r="F202">
            <v>1</v>
          </cell>
          <cell r="G202">
            <v>3000</v>
          </cell>
          <cell r="H202">
            <v>3300</v>
          </cell>
          <cell r="I202">
            <v>336</v>
          </cell>
          <cell r="J202">
            <v>4</v>
          </cell>
          <cell r="K202" t="str">
            <v>Convocatoria Policía Estatal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 t="str">
            <v>Convocatorias</v>
          </cell>
          <cell r="V202" t="str">
            <v>AE</v>
          </cell>
        </row>
        <row r="203">
          <cell r="A203">
            <v>146</v>
          </cell>
          <cell r="B203">
            <v>2017</v>
          </cell>
          <cell r="C203">
            <v>8300</v>
          </cell>
          <cell r="D203">
            <v>2</v>
          </cell>
          <cell r="E203">
            <v>2</v>
          </cell>
          <cell r="F203">
            <v>1</v>
          </cell>
          <cell r="G203">
            <v>3000</v>
          </cell>
          <cell r="H203">
            <v>3300</v>
          </cell>
          <cell r="I203">
            <v>336</v>
          </cell>
          <cell r="J203">
            <v>5</v>
          </cell>
          <cell r="K203" t="str">
            <v>Convocatoria Policía Municipal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 t="str">
            <v>Convocatorias</v>
          </cell>
          <cell r="V203" t="str">
            <v>AE</v>
          </cell>
        </row>
        <row r="204">
          <cell r="A204">
            <v>147</v>
          </cell>
          <cell r="B204">
            <v>2017</v>
          </cell>
          <cell r="C204">
            <v>8300</v>
          </cell>
          <cell r="D204">
            <v>2</v>
          </cell>
          <cell r="E204">
            <v>2</v>
          </cell>
          <cell r="F204">
            <v>1</v>
          </cell>
          <cell r="G204">
            <v>3000</v>
          </cell>
          <cell r="H204">
            <v>3300</v>
          </cell>
          <cell r="I204">
            <v>336</v>
          </cell>
          <cell r="J204">
            <v>6</v>
          </cell>
          <cell r="K204" t="str">
            <v>Evaluación del desempeño para Ministerios Públicos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 t="str">
            <v>Evaluaciones</v>
          </cell>
          <cell r="V204" t="str">
            <v>AE</v>
          </cell>
        </row>
        <row r="205">
          <cell r="A205">
            <v>148</v>
          </cell>
          <cell r="B205">
            <v>2017</v>
          </cell>
          <cell r="C205">
            <v>8300</v>
          </cell>
          <cell r="D205">
            <v>2</v>
          </cell>
          <cell r="E205">
            <v>2</v>
          </cell>
          <cell r="F205">
            <v>1</v>
          </cell>
          <cell r="G205">
            <v>3000</v>
          </cell>
          <cell r="H205">
            <v>3300</v>
          </cell>
          <cell r="I205">
            <v>336</v>
          </cell>
          <cell r="J205">
            <v>7</v>
          </cell>
          <cell r="K205" t="str">
            <v>Evaluación del desempeño para Personal de Custodia Penitenciaria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 t="str">
            <v>Evaluaciones</v>
          </cell>
          <cell r="V205" t="str">
            <v>AE</v>
          </cell>
        </row>
        <row r="206">
          <cell r="A206">
            <v>149</v>
          </cell>
          <cell r="B206">
            <v>2017</v>
          </cell>
          <cell r="C206">
            <v>8300</v>
          </cell>
          <cell r="D206">
            <v>2</v>
          </cell>
          <cell r="E206">
            <v>2</v>
          </cell>
          <cell r="F206">
            <v>1</v>
          </cell>
          <cell r="G206">
            <v>3000</v>
          </cell>
          <cell r="H206">
            <v>3300</v>
          </cell>
          <cell r="I206">
            <v>336</v>
          </cell>
          <cell r="J206">
            <v>8</v>
          </cell>
          <cell r="K206" t="str">
            <v>Evaluación del desempeño para Peritos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 t="str">
            <v>Evaluaciones</v>
          </cell>
          <cell r="V206" t="str">
            <v>AE</v>
          </cell>
        </row>
        <row r="207">
          <cell r="A207">
            <v>150</v>
          </cell>
          <cell r="B207">
            <v>2017</v>
          </cell>
          <cell r="C207">
            <v>8300</v>
          </cell>
          <cell r="D207">
            <v>2</v>
          </cell>
          <cell r="E207">
            <v>2</v>
          </cell>
          <cell r="F207">
            <v>1</v>
          </cell>
          <cell r="G207">
            <v>3000</v>
          </cell>
          <cell r="H207">
            <v>3300</v>
          </cell>
          <cell r="I207">
            <v>336</v>
          </cell>
          <cell r="J207">
            <v>9</v>
          </cell>
          <cell r="K207" t="str">
            <v>Evaluación del desempeño para Policías de Investigación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 t="str">
            <v>Evaluaciones</v>
          </cell>
          <cell r="V207" t="str">
            <v>AE</v>
          </cell>
        </row>
        <row r="208">
          <cell r="A208">
            <v>151</v>
          </cell>
          <cell r="B208">
            <v>2017</v>
          </cell>
          <cell r="C208">
            <v>8300</v>
          </cell>
          <cell r="D208">
            <v>2</v>
          </cell>
          <cell r="E208">
            <v>2</v>
          </cell>
          <cell r="F208">
            <v>1</v>
          </cell>
          <cell r="G208">
            <v>3000</v>
          </cell>
          <cell r="H208">
            <v>3300</v>
          </cell>
          <cell r="I208">
            <v>336</v>
          </cell>
          <cell r="J208">
            <v>10</v>
          </cell>
          <cell r="K208" t="str">
            <v>Evaluación del desempeño para Policías Estatales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 t="str">
            <v>Evaluaciones</v>
          </cell>
          <cell r="V208" t="str">
            <v>AE</v>
          </cell>
        </row>
        <row r="209">
          <cell r="A209">
            <v>152</v>
          </cell>
          <cell r="B209">
            <v>2017</v>
          </cell>
          <cell r="C209">
            <v>8300</v>
          </cell>
          <cell r="D209">
            <v>2</v>
          </cell>
          <cell r="E209">
            <v>2</v>
          </cell>
          <cell r="F209">
            <v>1</v>
          </cell>
          <cell r="G209">
            <v>3000</v>
          </cell>
          <cell r="H209">
            <v>3300</v>
          </cell>
          <cell r="I209">
            <v>336</v>
          </cell>
          <cell r="J209">
            <v>11</v>
          </cell>
          <cell r="K209" t="str">
            <v xml:space="preserve">Evaluación del desempeño para Policías Municipales 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 t="str">
            <v>Evaluaciones</v>
          </cell>
          <cell r="V209" t="str">
            <v>AE</v>
          </cell>
        </row>
        <row r="210">
          <cell r="A210">
            <v>153</v>
          </cell>
          <cell r="B210">
            <v>2017</v>
          </cell>
          <cell r="C210">
            <v>8300</v>
          </cell>
          <cell r="D210">
            <v>2</v>
          </cell>
          <cell r="E210">
            <v>2</v>
          </cell>
          <cell r="F210">
            <v>1</v>
          </cell>
          <cell r="G210">
            <v>3000</v>
          </cell>
          <cell r="H210">
            <v>3300</v>
          </cell>
          <cell r="I210">
            <v>336</v>
          </cell>
          <cell r="J210">
            <v>12</v>
          </cell>
          <cell r="K210" t="str">
            <v>Evaluación del desempeño para otros integrantes de las Instituciones de Seguridad Pública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 t="str">
            <v>Evaluaciones</v>
          </cell>
          <cell r="V210" t="str">
            <v>AE</v>
          </cell>
        </row>
        <row r="211">
          <cell r="A211">
            <v>154</v>
          </cell>
          <cell r="B211">
            <v>2017</v>
          </cell>
          <cell r="C211">
            <v>8300</v>
          </cell>
          <cell r="D211">
            <v>2</v>
          </cell>
          <cell r="E211">
            <v>2</v>
          </cell>
          <cell r="F211">
            <v>1</v>
          </cell>
          <cell r="G211">
            <v>3000</v>
          </cell>
          <cell r="H211">
            <v>3300</v>
          </cell>
          <cell r="I211">
            <v>336</v>
          </cell>
          <cell r="J211">
            <v>13</v>
          </cell>
          <cell r="K211" t="str">
            <v>Impresiones de documentos oficiales para la prestación de servicios públicos, identificación, formatos administrativos y fiscales, formas valoradas, certificados y títulos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 t="str">
            <v>Servicio</v>
          </cell>
          <cell r="V211" t="str">
            <v>AE</v>
          </cell>
        </row>
        <row r="212">
          <cell r="A212">
            <v>155</v>
          </cell>
          <cell r="B212">
            <v>2017</v>
          </cell>
          <cell r="C212">
            <v>8300</v>
          </cell>
          <cell r="D212">
            <v>2</v>
          </cell>
          <cell r="E212">
            <v>2</v>
          </cell>
          <cell r="F212">
            <v>1</v>
          </cell>
          <cell r="G212">
            <v>3000</v>
          </cell>
          <cell r="H212">
            <v>3300</v>
          </cell>
          <cell r="I212">
            <v>336</v>
          </cell>
          <cell r="J212">
            <v>14</v>
          </cell>
          <cell r="K212" t="str">
            <v>Información en medios masivos derivada de la operación y administración de las dependencias y entidades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 t="str">
            <v>Servicio</v>
          </cell>
          <cell r="V212" t="str">
            <v>AE</v>
          </cell>
        </row>
        <row r="213">
          <cell r="A213">
            <v>156</v>
          </cell>
          <cell r="B213">
            <v>2017</v>
          </cell>
          <cell r="C213">
            <v>8300</v>
          </cell>
          <cell r="D213">
            <v>2</v>
          </cell>
          <cell r="E213">
            <v>2</v>
          </cell>
          <cell r="F213">
            <v>1</v>
          </cell>
          <cell r="G213">
            <v>3000</v>
          </cell>
          <cell r="H213">
            <v>3300</v>
          </cell>
          <cell r="I213">
            <v>339</v>
          </cell>
          <cell r="K213" t="str">
            <v>Servicios profesionales, científicos y técnicos integrales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</row>
        <row r="214">
          <cell r="A214">
            <v>157</v>
          </cell>
          <cell r="B214">
            <v>2017</v>
          </cell>
          <cell r="C214">
            <v>8300</v>
          </cell>
          <cell r="D214">
            <v>2</v>
          </cell>
          <cell r="E214">
            <v>2</v>
          </cell>
          <cell r="F214">
            <v>1</v>
          </cell>
          <cell r="G214">
            <v>3000</v>
          </cell>
          <cell r="H214">
            <v>3300</v>
          </cell>
          <cell r="I214">
            <v>339</v>
          </cell>
          <cell r="J214">
            <v>1</v>
          </cell>
          <cell r="K214" t="str">
            <v>Subcontratación de servicios con terceros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 t="str">
            <v>Evaluaciones</v>
          </cell>
          <cell r="V214" t="str">
            <v>FC</v>
          </cell>
        </row>
        <row r="215">
          <cell r="A215">
            <v>158</v>
          </cell>
          <cell r="B215">
            <v>2017</v>
          </cell>
          <cell r="C215">
            <v>8300</v>
          </cell>
          <cell r="D215">
            <v>2</v>
          </cell>
          <cell r="E215">
            <v>2</v>
          </cell>
          <cell r="F215">
            <v>1</v>
          </cell>
          <cell r="G215">
            <v>3000</v>
          </cell>
          <cell r="H215">
            <v>3300</v>
          </cell>
          <cell r="I215">
            <v>339</v>
          </cell>
          <cell r="K215" t="str">
            <v>Evaluación de Competencias Básicas para Personal de Custodia Penitenciaria</v>
          </cell>
          <cell r="S215" t="str">
            <v>Evaluaciones</v>
          </cell>
          <cell r="V215" t="str">
            <v>FC</v>
          </cell>
        </row>
        <row r="216">
          <cell r="A216">
            <v>159</v>
          </cell>
          <cell r="B216">
            <v>2017</v>
          </cell>
          <cell r="C216">
            <v>8300</v>
          </cell>
          <cell r="D216">
            <v>2</v>
          </cell>
          <cell r="E216">
            <v>2</v>
          </cell>
          <cell r="F216">
            <v>1</v>
          </cell>
          <cell r="G216">
            <v>3000</v>
          </cell>
          <cell r="H216">
            <v>3300</v>
          </cell>
          <cell r="I216">
            <v>339</v>
          </cell>
          <cell r="K216" t="str">
            <v>Evaluación de Competencias Básicas para Policías Estatales</v>
          </cell>
          <cell r="S216" t="str">
            <v>Evaluaciones</v>
          </cell>
          <cell r="V216" t="str">
            <v>FC</v>
          </cell>
        </row>
        <row r="217">
          <cell r="A217">
            <v>160</v>
          </cell>
          <cell r="B217">
            <v>2017</v>
          </cell>
          <cell r="C217">
            <v>8300</v>
          </cell>
          <cell r="D217">
            <v>2</v>
          </cell>
          <cell r="E217">
            <v>2</v>
          </cell>
          <cell r="F217">
            <v>1</v>
          </cell>
          <cell r="G217">
            <v>3000</v>
          </cell>
          <cell r="H217">
            <v>3300</v>
          </cell>
          <cell r="I217">
            <v>339</v>
          </cell>
          <cell r="K217" t="str">
            <v>Evaluación de Competencias Básicas para Policías Municipales</v>
          </cell>
          <cell r="S217" t="str">
            <v>Evaluaciones</v>
          </cell>
          <cell r="V217" t="str">
            <v>FC/FM</v>
          </cell>
        </row>
        <row r="218">
          <cell r="A218">
            <v>161</v>
          </cell>
          <cell r="B218">
            <v>2017</v>
          </cell>
          <cell r="C218">
            <v>8300</v>
          </cell>
          <cell r="D218">
            <v>2</v>
          </cell>
          <cell r="E218">
            <v>2</v>
          </cell>
          <cell r="F218">
            <v>1</v>
          </cell>
          <cell r="G218">
            <v>3000</v>
          </cell>
          <cell r="H218">
            <v>3300</v>
          </cell>
          <cell r="I218">
            <v>339</v>
          </cell>
          <cell r="K218" t="str">
            <v>Evaluación de Competencias Básicas para Policías de Investigación</v>
          </cell>
          <cell r="S218" t="str">
            <v>Evaluaciones</v>
          </cell>
          <cell r="V218" t="str">
            <v>FC</v>
          </cell>
        </row>
        <row r="219">
          <cell r="A219">
            <v>162</v>
          </cell>
          <cell r="B219">
            <v>2017</v>
          </cell>
          <cell r="C219">
            <v>8300</v>
          </cell>
          <cell r="D219">
            <v>2</v>
          </cell>
          <cell r="E219">
            <v>2</v>
          </cell>
          <cell r="F219">
            <v>1</v>
          </cell>
          <cell r="G219">
            <v>3000</v>
          </cell>
          <cell r="H219">
            <v>3300</v>
          </cell>
          <cell r="I219">
            <v>339</v>
          </cell>
          <cell r="K219" t="str">
            <v>Evaluación de  aspirantes a Instructores Evaluadores de la función.</v>
          </cell>
          <cell r="S219" t="str">
            <v>Evaluaciones</v>
          </cell>
          <cell r="V219" t="str">
            <v>AE</v>
          </cell>
        </row>
        <row r="220">
          <cell r="A220">
            <v>163</v>
          </cell>
          <cell r="B220">
            <v>2017</v>
          </cell>
          <cell r="C220">
            <v>8300</v>
          </cell>
          <cell r="D220">
            <v>2</v>
          </cell>
          <cell r="E220">
            <v>2</v>
          </cell>
          <cell r="F220">
            <v>1</v>
          </cell>
          <cell r="G220">
            <v>3000</v>
          </cell>
          <cell r="H220">
            <v>3700</v>
          </cell>
          <cell r="K220" t="str">
            <v>Servicios de Traslado y Viáticos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</row>
        <row r="221">
          <cell r="A221">
            <v>164</v>
          </cell>
          <cell r="B221">
            <v>2017</v>
          </cell>
          <cell r="C221">
            <v>8300</v>
          </cell>
          <cell r="D221">
            <v>2</v>
          </cell>
          <cell r="E221">
            <v>2</v>
          </cell>
          <cell r="F221">
            <v>1</v>
          </cell>
          <cell r="G221">
            <v>3000</v>
          </cell>
          <cell r="H221">
            <v>3700</v>
          </cell>
          <cell r="I221">
            <v>371</v>
          </cell>
          <cell r="K221" t="str">
            <v>Pasajes aéreos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</row>
        <row r="222">
          <cell r="A222">
            <v>165</v>
          </cell>
          <cell r="B222">
            <v>2017</v>
          </cell>
          <cell r="C222">
            <v>8300</v>
          </cell>
          <cell r="D222">
            <v>2</v>
          </cell>
          <cell r="E222">
            <v>2</v>
          </cell>
          <cell r="F222">
            <v>1</v>
          </cell>
          <cell r="G222">
            <v>3000</v>
          </cell>
          <cell r="H222">
            <v>3700</v>
          </cell>
          <cell r="I222">
            <v>371</v>
          </cell>
          <cell r="J222">
            <v>1</v>
          </cell>
          <cell r="K222" t="str">
            <v xml:space="preserve">Pasajes aéreos nacionales 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 t="str">
            <v>Traslado</v>
          </cell>
          <cell r="V222" t="str">
            <v>AE</v>
          </cell>
        </row>
        <row r="223">
          <cell r="A223">
            <v>166</v>
          </cell>
          <cell r="B223">
            <v>2017</v>
          </cell>
          <cell r="C223">
            <v>8300</v>
          </cell>
          <cell r="D223">
            <v>2</v>
          </cell>
          <cell r="E223">
            <v>2</v>
          </cell>
          <cell r="F223">
            <v>1</v>
          </cell>
          <cell r="G223">
            <v>3000</v>
          </cell>
          <cell r="H223">
            <v>3700</v>
          </cell>
          <cell r="I223">
            <v>372</v>
          </cell>
          <cell r="K223" t="str">
            <v>Pasajes terrestres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</row>
        <row r="224">
          <cell r="A224">
            <v>167</v>
          </cell>
          <cell r="B224">
            <v>2017</v>
          </cell>
          <cell r="C224">
            <v>8300</v>
          </cell>
          <cell r="D224">
            <v>2</v>
          </cell>
          <cell r="E224">
            <v>2</v>
          </cell>
          <cell r="F224">
            <v>1</v>
          </cell>
          <cell r="G224">
            <v>3000</v>
          </cell>
          <cell r="H224">
            <v>3700</v>
          </cell>
          <cell r="I224">
            <v>372</v>
          </cell>
          <cell r="J224">
            <v>1</v>
          </cell>
          <cell r="K224" t="str">
            <v xml:space="preserve">Pasajes terrestres nacionales 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 t="str">
            <v>Traslado</v>
          </cell>
          <cell r="V224" t="str">
            <v>AE</v>
          </cell>
        </row>
        <row r="225">
          <cell r="A225">
            <v>168</v>
          </cell>
          <cell r="B225">
            <v>2017</v>
          </cell>
          <cell r="C225">
            <v>8300</v>
          </cell>
          <cell r="D225">
            <v>2</v>
          </cell>
          <cell r="E225">
            <v>2</v>
          </cell>
          <cell r="F225">
            <v>1</v>
          </cell>
          <cell r="G225">
            <v>3000</v>
          </cell>
          <cell r="H225">
            <v>3700</v>
          </cell>
          <cell r="I225">
            <v>375</v>
          </cell>
          <cell r="K225" t="str">
            <v>Viáticos en el país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</row>
        <row r="226">
          <cell r="A226">
            <v>169</v>
          </cell>
          <cell r="B226">
            <v>2017</v>
          </cell>
          <cell r="C226">
            <v>8300</v>
          </cell>
          <cell r="D226">
            <v>2</v>
          </cell>
          <cell r="E226">
            <v>2</v>
          </cell>
          <cell r="F226">
            <v>1</v>
          </cell>
          <cell r="G226">
            <v>3000</v>
          </cell>
          <cell r="H226">
            <v>3700</v>
          </cell>
          <cell r="I226">
            <v>375</v>
          </cell>
          <cell r="J226">
            <v>1</v>
          </cell>
          <cell r="K226" t="str">
            <v xml:space="preserve">Viáticos nacionales 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 t="str">
            <v>Traslado</v>
          </cell>
          <cell r="V226" t="str">
            <v>AE</v>
          </cell>
        </row>
        <row r="227">
          <cell r="A227">
            <v>170</v>
          </cell>
          <cell r="B227">
            <v>2017</v>
          </cell>
          <cell r="C227">
            <v>8300</v>
          </cell>
          <cell r="D227">
            <v>2</v>
          </cell>
          <cell r="E227">
            <v>2</v>
          </cell>
          <cell r="F227">
            <v>1</v>
          </cell>
          <cell r="G227">
            <v>3000</v>
          </cell>
          <cell r="H227">
            <v>3700</v>
          </cell>
          <cell r="I227">
            <v>376</v>
          </cell>
          <cell r="K227" t="str">
            <v>Viáticos en el extranjero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</row>
        <row r="228">
          <cell r="A228">
            <v>171</v>
          </cell>
          <cell r="B228">
            <v>2017</v>
          </cell>
          <cell r="C228">
            <v>8300</v>
          </cell>
          <cell r="D228">
            <v>2</v>
          </cell>
          <cell r="E228">
            <v>2</v>
          </cell>
          <cell r="F228">
            <v>1</v>
          </cell>
          <cell r="G228">
            <v>3000</v>
          </cell>
          <cell r="H228">
            <v>3700</v>
          </cell>
          <cell r="I228">
            <v>376</v>
          </cell>
          <cell r="J228">
            <v>1</v>
          </cell>
          <cell r="K228" t="str">
            <v>Viáticos en el extranjero asociados a los programas de Seguridad Pública Nacional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 t="str">
            <v>Traslado</v>
          </cell>
          <cell r="V228" t="str">
            <v>AE</v>
          </cell>
        </row>
        <row r="229">
          <cell r="A229">
            <v>172</v>
          </cell>
          <cell r="B229">
            <v>2017</v>
          </cell>
          <cell r="C229">
            <v>8300</v>
          </cell>
          <cell r="D229">
            <v>2</v>
          </cell>
          <cell r="E229">
            <v>2</v>
          </cell>
          <cell r="F229">
            <v>1</v>
          </cell>
          <cell r="G229">
            <v>4000</v>
          </cell>
          <cell r="K229" t="str">
            <v>TRANSFERENCIAS, ASIGNACIONES, SUBSIDIOS Y OTRAS AYUDAS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</row>
        <row r="230">
          <cell r="A230">
            <v>173</v>
          </cell>
          <cell r="B230">
            <v>2017</v>
          </cell>
          <cell r="C230">
            <v>8300</v>
          </cell>
          <cell r="D230">
            <v>2</v>
          </cell>
          <cell r="E230">
            <v>2</v>
          </cell>
          <cell r="F230">
            <v>1</v>
          </cell>
          <cell r="G230">
            <v>4000</v>
          </cell>
          <cell r="H230">
            <v>4400</v>
          </cell>
          <cell r="K230" t="str">
            <v>Ayudas Sociales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</row>
        <row r="231">
          <cell r="A231">
            <v>174</v>
          </cell>
          <cell r="B231">
            <v>2017</v>
          </cell>
          <cell r="C231">
            <v>8300</v>
          </cell>
          <cell r="D231">
            <v>2</v>
          </cell>
          <cell r="E231">
            <v>2</v>
          </cell>
          <cell r="F231">
            <v>1</v>
          </cell>
          <cell r="G231">
            <v>4000</v>
          </cell>
          <cell r="H231">
            <v>4400</v>
          </cell>
          <cell r="I231">
            <v>442</v>
          </cell>
          <cell r="K231" t="str">
            <v>Becas y otras ayudas para programas de capacitación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</row>
        <row r="232">
          <cell r="A232">
            <v>175</v>
          </cell>
          <cell r="B232">
            <v>2017</v>
          </cell>
          <cell r="C232">
            <v>8300</v>
          </cell>
          <cell r="D232">
            <v>2</v>
          </cell>
          <cell r="E232">
            <v>2</v>
          </cell>
          <cell r="F232">
            <v>1</v>
          </cell>
          <cell r="G232">
            <v>4000</v>
          </cell>
          <cell r="H232">
            <v>4400</v>
          </cell>
          <cell r="I232">
            <v>442</v>
          </cell>
          <cell r="J232">
            <v>1</v>
          </cell>
          <cell r="K232" t="str">
            <v>Becas y otras ayudas para programas de capacitación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 t="str">
            <v>Beca</v>
          </cell>
          <cell r="V232" t="str">
            <v>FC</v>
          </cell>
        </row>
        <row r="233">
          <cell r="A233">
            <v>176</v>
          </cell>
          <cell r="B233">
            <v>2017</v>
          </cell>
          <cell r="C233">
            <v>8300</v>
          </cell>
          <cell r="D233">
            <v>2</v>
          </cell>
          <cell r="E233">
            <v>2</v>
          </cell>
          <cell r="F233">
            <v>1</v>
          </cell>
          <cell r="G233">
            <v>4000</v>
          </cell>
          <cell r="H233">
            <v>4400</v>
          </cell>
          <cell r="I233">
            <v>442</v>
          </cell>
          <cell r="K233" t="str">
            <v>Becas para aspirantes a Agentes del Ministerio Público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 t="str">
            <v>Beca</v>
          </cell>
          <cell r="V233" t="str">
            <v>FC</v>
          </cell>
        </row>
        <row r="234">
          <cell r="A234">
            <v>177</v>
          </cell>
          <cell r="B234">
            <v>2017</v>
          </cell>
          <cell r="C234">
            <v>8300</v>
          </cell>
          <cell r="D234">
            <v>2</v>
          </cell>
          <cell r="E234">
            <v>2</v>
          </cell>
          <cell r="F234">
            <v>1</v>
          </cell>
          <cell r="G234">
            <v>4000</v>
          </cell>
          <cell r="H234">
            <v>4400</v>
          </cell>
          <cell r="I234">
            <v>442</v>
          </cell>
          <cell r="K234" t="str">
            <v>Becas para aspirantes a Personal de Custodia Penitenciaria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 t="str">
            <v>Beca</v>
          </cell>
          <cell r="V234" t="str">
            <v>FC</v>
          </cell>
        </row>
        <row r="235">
          <cell r="A235">
            <v>178</v>
          </cell>
          <cell r="B235">
            <v>2017</v>
          </cell>
          <cell r="C235">
            <v>8300</v>
          </cell>
          <cell r="D235">
            <v>2</v>
          </cell>
          <cell r="E235">
            <v>2</v>
          </cell>
          <cell r="F235">
            <v>1</v>
          </cell>
          <cell r="G235">
            <v>4000</v>
          </cell>
          <cell r="H235">
            <v>4400</v>
          </cell>
          <cell r="I235">
            <v>442</v>
          </cell>
          <cell r="K235" t="str">
            <v>Becas para aspirantes a Peritos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 t="str">
            <v>Beca</v>
          </cell>
          <cell r="V235" t="str">
            <v>FC</v>
          </cell>
        </row>
        <row r="236">
          <cell r="A236">
            <v>179</v>
          </cell>
          <cell r="B236">
            <v>2017</v>
          </cell>
          <cell r="C236">
            <v>8300</v>
          </cell>
          <cell r="D236">
            <v>2</v>
          </cell>
          <cell r="E236">
            <v>2</v>
          </cell>
          <cell r="F236">
            <v>1</v>
          </cell>
          <cell r="G236">
            <v>4000</v>
          </cell>
          <cell r="H236">
            <v>4400</v>
          </cell>
          <cell r="I236">
            <v>442</v>
          </cell>
          <cell r="K236" t="str">
            <v>Becas para aspirantes a Policía de Investigación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 t="str">
            <v>Beca</v>
          </cell>
          <cell r="V236" t="str">
            <v>FC</v>
          </cell>
        </row>
        <row r="237">
          <cell r="A237">
            <v>180</v>
          </cell>
          <cell r="B237">
            <v>2017</v>
          </cell>
          <cell r="C237">
            <v>8300</v>
          </cell>
          <cell r="D237">
            <v>2</v>
          </cell>
          <cell r="E237">
            <v>2</v>
          </cell>
          <cell r="F237">
            <v>1</v>
          </cell>
          <cell r="G237">
            <v>4000</v>
          </cell>
          <cell r="H237">
            <v>4400</v>
          </cell>
          <cell r="I237">
            <v>442</v>
          </cell>
          <cell r="K237" t="str">
            <v>Becas para aspirantes a Policía Estatal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 t="str">
            <v>Beca</v>
          </cell>
          <cell r="V237" t="str">
            <v>FC</v>
          </cell>
        </row>
        <row r="238">
          <cell r="A238">
            <v>181</v>
          </cell>
          <cell r="B238">
            <v>2017</v>
          </cell>
          <cell r="C238">
            <v>8300</v>
          </cell>
          <cell r="D238">
            <v>2</v>
          </cell>
          <cell r="E238">
            <v>2</v>
          </cell>
          <cell r="F238">
            <v>1</v>
          </cell>
          <cell r="G238">
            <v>4000</v>
          </cell>
          <cell r="H238">
            <v>4400</v>
          </cell>
          <cell r="I238">
            <v>442</v>
          </cell>
          <cell r="K238" t="str">
            <v>Becas para aspirantes a Policía Municipal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 t="str">
            <v>Beca</v>
          </cell>
          <cell r="V238" t="str">
            <v>FC/FM</v>
          </cell>
        </row>
        <row r="239">
          <cell r="A239">
            <v>182</v>
          </cell>
          <cell r="B239">
            <v>2017</v>
          </cell>
          <cell r="C239">
            <v>8300</v>
          </cell>
          <cell r="D239">
            <v>2</v>
          </cell>
          <cell r="E239">
            <v>2</v>
          </cell>
          <cell r="F239">
            <v>1</v>
          </cell>
          <cell r="G239">
            <v>4000</v>
          </cell>
          <cell r="H239">
            <v>4400</v>
          </cell>
          <cell r="I239">
            <v>442</v>
          </cell>
          <cell r="K239" t="str">
            <v>Becas para aspirantes a Administrativo del sistema penitenciario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 t="str">
            <v>Beca</v>
          </cell>
          <cell r="V239" t="str">
            <v>AE</v>
          </cell>
        </row>
        <row r="240">
          <cell r="A240">
            <v>183</v>
          </cell>
          <cell r="B240">
            <v>2017</v>
          </cell>
          <cell r="C240">
            <v>8300</v>
          </cell>
          <cell r="D240">
            <v>2</v>
          </cell>
          <cell r="E240">
            <v>2</v>
          </cell>
          <cell r="F240">
            <v>1</v>
          </cell>
          <cell r="G240">
            <v>4000</v>
          </cell>
          <cell r="H240">
            <v>4400</v>
          </cell>
          <cell r="I240">
            <v>442</v>
          </cell>
          <cell r="K240" t="str">
            <v>Becas para aspirantes a Técnico del sistema penitenciario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 t="str">
            <v>Beca</v>
          </cell>
          <cell r="V240" t="str">
            <v>AE</v>
          </cell>
        </row>
        <row r="241">
          <cell r="A241">
            <v>184</v>
          </cell>
          <cell r="B241">
            <v>2017</v>
          </cell>
          <cell r="C241">
            <v>8300</v>
          </cell>
          <cell r="D241">
            <v>2</v>
          </cell>
          <cell r="E241">
            <v>2</v>
          </cell>
          <cell r="F241">
            <v>1</v>
          </cell>
          <cell r="G241">
            <v>4000</v>
          </cell>
          <cell r="H241">
            <v>4400</v>
          </cell>
          <cell r="I241">
            <v>442</v>
          </cell>
          <cell r="K241" t="str">
            <v>Becas para aspirantes a Jurídico del sistema penitenciario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 t="str">
            <v>Beca</v>
          </cell>
          <cell r="V241" t="str">
            <v>AE</v>
          </cell>
        </row>
        <row r="242">
          <cell r="A242">
            <v>185</v>
          </cell>
          <cell r="B242">
            <v>2017</v>
          </cell>
          <cell r="C242">
            <v>8300</v>
          </cell>
          <cell r="D242">
            <v>2</v>
          </cell>
          <cell r="E242">
            <v>2</v>
          </cell>
          <cell r="F242">
            <v>1</v>
          </cell>
          <cell r="G242">
            <v>4000</v>
          </cell>
          <cell r="H242">
            <v>4400</v>
          </cell>
          <cell r="I242">
            <v>442</v>
          </cell>
          <cell r="K242" t="str">
            <v>Becas para aspirante a Guía Técnico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 t="str">
            <v>Beca</v>
          </cell>
          <cell r="V242" t="str">
            <v>AE</v>
          </cell>
        </row>
        <row r="243">
          <cell r="A243">
            <v>186</v>
          </cell>
          <cell r="B243">
            <v>2017</v>
          </cell>
          <cell r="C243">
            <v>8300</v>
          </cell>
          <cell r="D243">
            <v>2</v>
          </cell>
          <cell r="E243">
            <v>2</v>
          </cell>
          <cell r="F243">
            <v>1</v>
          </cell>
          <cell r="G243">
            <v>4000</v>
          </cell>
          <cell r="H243">
            <v>4400</v>
          </cell>
          <cell r="I243">
            <v>442</v>
          </cell>
          <cell r="K243" t="str">
            <v>Becas para otros aspirantes a ser integrantes de las instituciones de seguridad pública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 t="str">
            <v>Beca</v>
          </cell>
          <cell r="V243" t="str">
            <v>AE</v>
          </cell>
        </row>
        <row r="244">
          <cell r="A244">
            <v>187</v>
          </cell>
          <cell r="B244">
            <v>2017</v>
          </cell>
          <cell r="C244">
            <v>8300</v>
          </cell>
          <cell r="D244">
            <v>2</v>
          </cell>
          <cell r="E244">
            <v>2</v>
          </cell>
          <cell r="F244">
            <v>1</v>
          </cell>
          <cell r="G244">
            <v>5000</v>
          </cell>
          <cell r="K244" t="str">
            <v>BIENES MUEBLES, INMUEBLES E INTANGIBLES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</row>
        <row r="245">
          <cell r="A245">
            <v>188</v>
          </cell>
          <cell r="B245">
            <v>2017</v>
          </cell>
          <cell r="C245">
            <v>8300</v>
          </cell>
          <cell r="D245">
            <v>2</v>
          </cell>
          <cell r="E245">
            <v>2</v>
          </cell>
          <cell r="F245">
            <v>1</v>
          </cell>
          <cell r="G245">
            <v>5000</v>
          </cell>
          <cell r="H245">
            <v>5200</v>
          </cell>
          <cell r="K245" t="str">
            <v>Mobiliario y Equipo Educacional y Recreativo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</row>
        <row r="246">
          <cell r="A246">
            <v>189</v>
          </cell>
          <cell r="B246">
            <v>2017</v>
          </cell>
          <cell r="C246">
            <v>8300</v>
          </cell>
          <cell r="D246">
            <v>2</v>
          </cell>
          <cell r="E246">
            <v>2</v>
          </cell>
          <cell r="F246">
            <v>1</v>
          </cell>
          <cell r="G246">
            <v>5000</v>
          </cell>
          <cell r="H246">
            <v>5200</v>
          </cell>
          <cell r="I246">
            <v>522</v>
          </cell>
          <cell r="K246" t="str">
            <v>Aparatos deportivos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</row>
        <row r="247">
          <cell r="A247">
            <v>190</v>
          </cell>
          <cell r="B247">
            <v>2017</v>
          </cell>
          <cell r="C247">
            <v>8300</v>
          </cell>
          <cell r="D247">
            <v>2</v>
          </cell>
          <cell r="E247">
            <v>2</v>
          </cell>
          <cell r="F247">
            <v>1</v>
          </cell>
          <cell r="G247">
            <v>5000</v>
          </cell>
          <cell r="H247">
            <v>5200</v>
          </cell>
          <cell r="I247">
            <v>522</v>
          </cell>
          <cell r="J247">
            <v>1</v>
          </cell>
          <cell r="K247" t="str">
            <v>Aparato pantorrilla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 t="str">
            <v>Pieza</v>
          </cell>
          <cell r="V247" t="str">
            <v>FC</v>
          </cell>
        </row>
        <row r="248">
          <cell r="A248">
            <v>191</v>
          </cell>
          <cell r="B248">
            <v>2017</v>
          </cell>
          <cell r="C248">
            <v>8300</v>
          </cell>
          <cell r="D248">
            <v>2</v>
          </cell>
          <cell r="E248">
            <v>2</v>
          </cell>
          <cell r="F248">
            <v>1</v>
          </cell>
          <cell r="G248">
            <v>5000</v>
          </cell>
          <cell r="H248">
            <v>5200</v>
          </cell>
          <cell r="I248">
            <v>522</v>
          </cell>
          <cell r="J248">
            <v>2</v>
          </cell>
          <cell r="K248" t="str">
            <v>Banco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 t="str">
            <v>Pieza</v>
          </cell>
          <cell r="V248" t="str">
            <v>FC</v>
          </cell>
        </row>
        <row r="249">
          <cell r="A249">
            <v>192</v>
          </cell>
          <cell r="B249">
            <v>2017</v>
          </cell>
          <cell r="C249">
            <v>8300</v>
          </cell>
          <cell r="D249">
            <v>2</v>
          </cell>
          <cell r="E249">
            <v>2</v>
          </cell>
          <cell r="F249">
            <v>1</v>
          </cell>
          <cell r="G249">
            <v>5000</v>
          </cell>
          <cell r="H249">
            <v>5200</v>
          </cell>
          <cell r="I249">
            <v>522</v>
          </cell>
          <cell r="J249">
            <v>3</v>
          </cell>
          <cell r="K249" t="str">
            <v>Barra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 t="str">
            <v>Pieza</v>
          </cell>
          <cell r="V249" t="str">
            <v>FC</v>
          </cell>
        </row>
        <row r="250">
          <cell r="A250">
            <v>193</v>
          </cell>
          <cell r="B250">
            <v>2017</v>
          </cell>
          <cell r="C250">
            <v>8300</v>
          </cell>
          <cell r="D250">
            <v>2</v>
          </cell>
          <cell r="E250">
            <v>2</v>
          </cell>
          <cell r="F250">
            <v>1</v>
          </cell>
          <cell r="G250">
            <v>5000</v>
          </cell>
          <cell r="H250">
            <v>5200</v>
          </cell>
          <cell r="I250">
            <v>522</v>
          </cell>
          <cell r="J250">
            <v>4</v>
          </cell>
          <cell r="K250" t="str">
            <v>Bicicleta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 t="str">
            <v>Pieza</v>
          </cell>
          <cell r="V250" t="str">
            <v>FC</v>
          </cell>
        </row>
        <row r="251">
          <cell r="A251">
            <v>194</v>
          </cell>
          <cell r="B251">
            <v>2017</v>
          </cell>
          <cell r="C251">
            <v>8300</v>
          </cell>
          <cell r="D251">
            <v>2</v>
          </cell>
          <cell r="E251">
            <v>2</v>
          </cell>
          <cell r="F251">
            <v>1</v>
          </cell>
          <cell r="G251">
            <v>5000</v>
          </cell>
          <cell r="H251">
            <v>5200</v>
          </cell>
          <cell r="I251">
            <v>522</v>
          </cell>
          <cell r="J251">
            <v>5</v>
          </cell>
          <cell r="K251" t="str">
            <v>Caminadora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 t="str">
            <v>Pieza</v>
          </cell>
          <cell r="V251" t="str">
            <v>FC</v>
          </cell>
        </row>
        <row r="252">
          <cell r="A252">
            <v>195</v>
          </cell>
          <cell r="B252">
            <v>2017</v>
          </cell>
          <cell r="C252">
            <v>8300</v>
          </cell>
          <cell r="D252">
            <v>2</v>
          </cell>
          <cell r="E252">
            <v>2</v>
          </cell>
          <cell r="F252">
            <v>1</v>
          </cell>
          <cell r="G252">
            <v>5000</v>
          </cell>
          <cell r="H252">
            <v>5200</v>
          </cell>
          <cell r="I252">
            <v>522</v>
          </cell>
          <cell r="J252">
            <v>6</v>
          </cell>
          <cell r="K252" t="str">
            <v>Costal de box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 t="str">
            <v>Pieza</v>
          </cell>
          <cell r="V252" t="str">
            <v>FC</v>
          </cell>
        </row>
        <row r="253">
          <cell r="A253">
            <v>196</v>
          </cell>
          <cell r="B253">
            <v>2017</v>
          </cell>
          <cell r="C253">
            <v>8300</v>
          </cell>
          <cell r="D253">
            <v>2</v>
          </cell>
          <cell r="E253">
            <v>2</v>
          </cell>
          <cell r="F253">
            <v>1</v>
          </cell>
          <cell r="G253">
            <v>5000</v>
          </cell>
          <cell r="H253">
            <v>5200</v>
          </cell>
          <cell r="I253">
            <v>522</v>
          </cell>
          <cell r="J253">
            <v>7</v>
          </cell>
          <cell r="K253" t="str">
            <v>Discos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 t="str">
            <v>Pieza</v>
          </cell>
          <cell r="V253" t="str">
            <v>FC</v>
          </cell>
        </row>
        <row r="254">
          <cell r="A254">
            <v>197</v>
          </cell>
          <cell r="B254">
            <v>2017</v>
          </cell>
          <cell r="C254">
            <v>8300</v>
          </cell>
          <cell r="D254">
            <v>2</v>
          </cell>
          <cell r="E254">
            <v>2</v>
          </cell>
          <cell r="F254">
            <v>1</v>
          </cell>
          <cell r="G254">
            <v>5000</v>
          </cell>
          <cell r="H254">
            <v>5200</v>
          </cell>
          <cell r="I254">
            <v>522</v>
          </cell>
          <cell r="J254">
            <v>8</v>
          </cell>
          <cell r="K254" t="str">
            <v>Elíptica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 t="str">
            <v>Pieza</v>
          </cell>
          <cell r="V254" t="str">
            <v>FC</v>
          </cell>
        </row>
        <row r="255">
          <cell r="A255">
            <v>198</v>
          </cell>
          <cell r="B255">
            <v>2017</v>
          </cell>
          <cell r="C255">
            <v>8300</v>
          </cell>
          <cell r="D255">
            <v>2</v>
          </cell>
          <cell r="E255">
            <v>2</v>
          </cell>
          <cell r="F255">
            <v>1</v>
          </cell>
          <cell r="G255">
            <v>5000</v>
          </cell>
          <cell r="H255">
            <v>5200</v>
          </cell>
          <cell r="I255">
            <v>522</v>
          </cell>
          <cell r="J255">
            <v>9</v>
          </cell>
          <cell r="K255" t="str">
            <v>Equipo para bíceps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 t="str">
            <v>Pieza</v>
          </cell>
          <cell r="V255" t="str">
            <v>FC</v>
          </cell>
        </row>
        <row r="256">
          <cell r="A256">
            <v>199</v>
          </cell>
          <cell r="B256">
            <v>2017</v>
          </cell>
          <cell r="C256">
            <v>8300</v>
          </cell>
          <cell r="D256">
            <v>2</v>
          </cell>
          <cell r="E256">
            <v>2</v>
          </cell>
          <cell r="F256">
            <v>1</v>
          </cell>
          <cell r="G256">
            <v>5000</v>
          </cell>
          <cell r="H256">
            <v>5200</v>
          </cell>
          <cell r="I256">
            <v>522</v>
          </cell>
          <cell r="J256">
            <v>10</v>
          </cell>
          <cell r="K256" t="str">
            <v>Equipo para ejercitar bíceps y tríceps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 t="str">
            <v>Pieza</v>
          </cell>
          <cell r="V256" t="str">
            <v>FC</v>
          </cell>
        </row>
        <row r="257">
          <cell r="A257">
            <v>200</v>
          </cell>
          <cell r="B257">
            <v>2017</v>
          </cell>
          <cell r="C257">
            <v>8300</v>
          </cell>
          <cell r="D257">
            <v>2</v>
          </cell>
          <cell r="E257">
            <v>2</v>
          </cell>
          <cell r="F257">
            <v>1</v>
          </cell>
          <cell r="G257">
            <v>5000</v>
          </cell>
          <cell r="H257">
            <v>5200</v>
          </cell>
          <cell r="I257">
            <v>522</v>
          </cell>
          <cell r="J257">
            <v>11</v>
          </cell>
          <cell r="K257" t="str">
            <v>Equipo para ejercitar espalda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 t="str">
            <v>Pieza</v>
          </cell>
          <cell r="V257" t="str">
            <v>FC</v>
          </cell>
        </row>
        <row r="258">
          <cell r="A258">
            <v>201</v>
          </cell>
          <cell r="B258">
            <v>2017</v>
          </cell>
          <cell r="C258">
            <v>8300</v>
          </cell>
          <cell r="D258">
            <v>2</v>
          </cell>
          <cell r="E258">
            <v>2</v>
          </cell>
          <cell r="F258">
            <v>1</v>
          </cell>
          <cell r="G258">
            <v>5000</v>
          </cell>
          <cell r="H258">
            <v>5200</v>
          </cell>
          <cell r="I258">
            <v>522</v>
          </cell>
          <cell r="J258">
            <v>12</v>
          </cell>
          <cell r="K258" t="str">
            <v>Equipo para ejercitar pectoral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 t="str">
            <v>Pieza</v>
          </cell>
          <cell r="V258" t="str">
            <v>FC</v>
          </cell>
        </row>
        <row r="259">
          <cell r="A259">
            <v>202</v>
          </cell>
          <cell r="B259">
            <v>2017</v>
          </cell>
          <cell r="C259">
            <v>8300</v>
          </cell>
          <cell r="D259">
            <v>2</v>
          </cell>
          <cell r="E259">
            <v>2</v>
          </cell>
          <cell r="F259">
            <v>1</v>
          </cell>
          <cell r="G259">
            <v>5000</v>
          </cell>
          <cell r="H259">
            <v>5200</v>
          </cell>
          <cell r="I259">
            <v>522</v>
          </cell>
          <cell r="J259">
            <v>13</v>
          </cell>
          <cell r="K259" t="str">
            <v>Equipo para ejercitar pectorales y hombro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 t="str">
            <v>Pieza</v>
          </cell>
          <cell r="V259" t="str">
            <v>FC</v>
          </cell>
        </row>
        <row r="260">
          <cell r="A260">
            <v>203</v>
          </cell>
          <cell r="B260">
            <v>2017</v>
          </cell>
          <cell r="C260">
            <v>8300</v>
          </cell>
          <cell r="D260">
            <v>2</v>
          </cell>
          <cell r="E260">
            <v>2</v>
          </cell>
          <cell r="F260">
            <v>1</v>
          </cell>
          <cell r="G260">
            <v>5000</v>
          </cell>
          <cell r="H260">
            <v>5200</v>
          </cell>
          <cell r="I260">
            <v>522</v>
          </cell>
          <cell r="J260">
            <v>14</v>
          </cell>
          <cell r="K260" t="str">
            <v>Equipo para ejercitar pierna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 t="str">
            <v>Pieza</v>
          </cell>
          <cell r="V260" t="str">
            <v>FC</v>
          </cell>
        </row>
        <row r="261">
          <cell r="A261">
            <v>204</v>
          </cell>
          <cell r="B261">
            <v>2017</v>
          </cell>
          <cell r="C261">
            <v>8300</v>
          </cell>
          <cell r="D261">
            <v>2</v>
          </cell>
          <cell r="E261">
            <v>2</v>
          </cell>
          <cell r="F261">
            <v>1</v>
          </cell>
          <cell r="G261">
            <v>5000</v>
          </cell>
          <cell r="H261">
            <v>5200</v>
          </cell>
          <cell r="I261">
            <v>522</v>
          </cell>
          <cell r="J261">
            <v>15</v>
          </cell>
          <cell r="K261" t="str">
            <v>Equipo para tríceps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 t="str">
            <v>Pieza</v>
          </cell>
          <cell r="V261" t="str">
            <v>FC</v>
          </cell>
        </row>
        <row r="262">
          <cell r="A262">
            <v>205</v>
          </cell>
          <cell r="B262">
            <v>2017</v>
          </cell>
          <cell r="C262">
            <v>8300</v>
          </cell>
          <cell r="D262">
            <v>2</v>
          </cell>
          <cell r="E262">
            <v>2</v>
          </cell>
          <cell r="F262">
            <v>1</v>
          </cell>
          <cell r="G262">
            <v>5000</v>
          </cell>
          <cell r="H262">
            <v>5200</v>
          </cell>
          <cell r="I262">
            <v>522</v>
          </cell>
          <cell r="J262">
            <v>16</v>
          </cell>
          <cell r="K262" t="str">
            <v>Extensión de pierna con peso integrado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 t="str">
            <v>Pieza</v>
          </cell>
          <cell r="V262" t="str">
            <v>FC</v>
          </cell>
        </row>
        <row r="263">
          <cell r="A263">
            <v>206</v>
          </cell>
          <cell r="B263">
            <v>2017</v>
          </cell>
          <cell r="C263">
            <v>8300</v>
          </cell>
          <cell r="D263">
            <v>2</v>
          </cell>
          <cell r="E263">
            <v>2</v>
          </cell>
          <cell r="F263">
            <v>1</v>
          </cell>
          <cell r="G263">
            <v>5000</v>
          </cell>
          <cell r="H263">
            <v>5200</v>
          </cell>
          <cell r="I263">
            <v>522</v>
          </cell>
          <cell r="J263">
            <v>17</v>
          </cell>
          <cell r="K263" t="str">
            <v>Juego de mancuernas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 t="str">
            <v>Pieza</v>
          </cell>
          <cell r="V263" t="str">
            <v>FC</v>
          </cell>
        </row>
        <row r="264">
          <cell r="A264">
            <v>207</v>
          </cell>
          <cell r="B264">
            <v>2017</v>
          </cell>
          <cell r="C264">
            <v>8300</v>
          </cell>
          <cell r="D264">
            <v>2</v>
          </cell>
          <cell r="E264">
            <v>2</v>
          </cell>
          <cell r="F264">
            <v>1</v>
          </cell>
          <cell r="G264">
            <v>5000</v>
          </cell>
          <cell r="H264">
            <v>5200</v>
          </cell>
          <cell r="I264">
            <v>522</v>
          </cell>
          <cell r="J264">
            <v>18</v>
          </cell>
          <cell r="K264" t="str">
            <v>Manoplas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 t="str">
            <v>Pieza</v>
          </cell>
          <cell r="V264" t="str">
            <v>FC</v>
          </cell>
        </row>
        <row r="265">
          <cell r="A265">
            <v>208</v>
          </cell>
          <cell r="B265">
            <v>2017</v>
          </cell>
          <cell r="C265">
            <v>8300</v>
          </cell>
          <cell r="D265">
            <v>2</v>
          </cell>
          <cell r="E265">
            <v>2</v>
          </cell>
          <cell r="F265">
            <v>1</v>
          </cell>
          <cell r="G265">
            <v>5000</v>
          </cell>
          <cell r="H265">
            <v>5200</v>
          </cell>
          <cell r="I265">
            <v>522</v>
          </cell>
          <cell r="J265">
            <v>19</v>
          </cell>
          <cell r="K265" t="str">
            <v>Máquina smith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 t="str">
            <v>Pieza</v>
          </cell>
          <cell r="V265" t="str">
            <v>FC</v>
          </cell>
        </row>
        <row r="266">
          <cell r="A266">
            <v>209</v>
          </cell>
          <cell r="B266">
            <v>2017</v>
          </cell>
          <cell r="C266">
            <v>8300</v>
          </cell>
          <cell r="D266">
            <v>2</v>
          </cell>
          <cell r="E266">
            <v>2</v>
          </cell>
          <cell r="F266">
            <v>1</v>
          </cell>
          <cell r="G266">
            <v>5000</v>
          </cell>
          <cell r="H266">
            <v>5200</v>
          </cell>
          <cell r="I266">
            <v>522</v>
          </cell>
          <cell r="J266">
            <v>20</v>
          </cell>
          <cell r="K266" t="str">
            <v>Multipolea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 t="str">
            <v>Pieza</v>
          </cell>
          <cell r="V266" t="str">
            <v>FC</v>
          </cell>
        </row>
        <row r="267">
          <cell r="A267">
            <v>210</v>
          </cell>
          <cell r="B267">
            <v>2017</v>
          </cell>
          <cell r="C267">
            <v>8300</v>
          </cell>
          <cell r="D267">
            <v>2</v>
          </cell>
          <cell r="E267">
            <v>2</v>
          </cell>
          <cell r="F267">
            <v>1</v>
          </cell>
          <cell r="G267">
            <v>5000</v>
          </cell>
          <cell r="H267">
            <v>5200</v>
          </cell>
          <cell r="I267">
            <v>522</v>
          </cell>
          <cell r="J267">
            <v>21</v>
          </cell>
          <cell r="K267" t="str">
            <v>Peras fijas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 t="str">
            <v>Pieza</v>
          </cell>
          <cell r="V267" t="str">
            <v>FC</v>
          </cell>
        </row>
        <row r="268">
          <cell r="A268">
            <v>211</v>
          </cell>
          <cell r="B268">
            <v>2017</v>
          </cell>
          <cell r="C268">
            <v>8300</v>
          </cell>
          <cell r="D268">
            <v>2</v>
          </cell>
          <cell r="E268">
            <v>2</v>
          </cell>
          <cell r="F268">
            <v>1</v>
          </cell>
          <cell r="G268">
            <v>5000</v>
          </cell>
          <cell r="H268">
            <v>5200</v>
          </cell>
          <cell r="I268">
            <v>522</v>
          </cell>
          <cell r="J268">
            <v>22</v>
          </cell>
          <cell r="K268" t="str">
            <v>Polea para espalda y remo peso integrado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 t="str">
            <v>Pieza</v>
          </cell>
          <cell r="V268" t="str">
            <v>FC</v>
          </cell>
        </row>
        <row r="269">
          <cell r="A269">
            <v>212</v>
          </cell>
          <cell r="B269">
            <v>2017</v>
          </cell>
          <cell r="C269">
            <v>8300</v>
          </cell>
          <cell r="D269">
            <v>2</v>
          </cell>
          <cell r="E269">
            <v>2</v>
          </cell>
          <cell r="F269">
            <v>1</v>
          </cell>
          <cell r="G269">
            <v>5000</v>
          </cell>
          <cell r="H269">
            <v>5200</v>
          </cell>
          <cell r="I269">
            <v>522</v>
          </cell>
          <cell r="J269">
            <v>23</v>
          </cell>
          <cell r="K269" t="str">
            <v>Porta mancuerna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 t="str">
            <v>Pieza</v>
          </cell>
          <cell r="V269" t="str">
            <v>FC</v>
          </cell>
        </row>
        <row r="270">
          <cell r="A270">
            <v>213</v>
          </cell>
          <cell r="B270">
            <v>2017</v>
          </cell>
          <cell r="C270">
            <v>8300</v>
          </cell>
          <cell r="D270">
            <v>2</v>
          </cell>
          <cell r="E270">
            <v>2</v>
          </cell>
          <cell r="F270">
            <v>1</v>
          </cell>
          <cell r="G270">
            <v>5000</v>
          </cell>
          <cell r="H270">
            <v>5200</v>
          </cell>
          <cell r="I270">
            <v>522</v>
          </cell>
          <cell r="J270">
            <v>24</v>
          </cell>
          <cell r="K270" t="str">
            <v>Portadiscos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 t="str">
            <v>Pieza</v>
          </cell>
          <cell r="V270" t="str">
            <v>FC</v>
          </cell>
        </row>
        <row r="271">
          <cell r="A271">
            <v>214</v>
          </cell>
          <cell r="B271">
            <v>2017</v>
          </cell>
          <cell r="C271">
            <v>8300</v>
          </cell>
          <cell r="D271">
            <v>2</v>
          </cell>
          <cell r="E271">
            <v>2</v>
          </cell>
          <cell r="F271">
            <v>1</v>
          </cell>
          <cell r="G271">
            <v>5000</v>
          </cell>
          <cell r="H271">
            <v>5200</v>
          </cell>
          <cell r="I271">
            <v>522</v>
          </cell>
          <cell r="J271">
            <v>25</v>
          </cell>
          <cell r="K271" t="str">
            <v xml:space="preserve">Prensa para pierna 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 t="str">
            <v>Pieza</v>
          </cell>
          <cell r="V271" t="str">
            <v>FC</v>
          </cell>
        </row>
        <row r="272">
          <cell r="A272">
            <v>215</v>
          </cell>
          <cell r="B272">
            <v>2017</v>
          </cell>
          <cell r="C272">
            <v>8300</v>
          </cell>
          <cell r="D272">
            <v>2</v>
          </cell>
          <cell r="E272">
            <v>2</v>
          </cell>
          <cell r="F272">
            <v>1</v>
          </cell>
          <cell r="G272">
            <v>5000</v>
          </cell>
          <cell r="H272">
            <v>5200</v>
          </cell>
          <cell r="I272">
            <v>522</v>
          </cell>
          <cell r="J272">
            <v>26</v>
          </cell>
          <cell r="K272" t="str">
            <v xml:space="preserve">Rack 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 t="str">
            <v>Pieza</v>
          </cell>
          <cell r="V272" t="str">
            <v>FC</v>
          </cell>
        </row>
        <row r="273">
          <cell r="A273">
            <v>216</v>
          </cell>
          <cell r="B273">
            <v>2017</v>
          </cell>
          <cell r="C273">
            <v>8300</v>
          </cell>
          <cell r="D273">
            <v>2</v>
          </cell>
          <cell r="E273">
            <v>2</v>
          </cell>
          <cell r="F273">
            <v>1</v>
          </cell>
          <cell r="G273">
            <v>5000</v>
          </cell>
          <cell r="H273">
            <v>5200</v>
          </cell>
          <cell r="I273">
            <v>522</v>
          </cell>
          <cell r="J273">
            <v>27</v>
          </cell>
          <cell r="K273" t="str">
            <v>Remadora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 t="str">
            <v>Pieza</v>
          </cell>
          <cell r="V273" t="str">
            <v>FC</v>
          </cell>
        </row>
        <row r="274">
          <cell r="A274">
            <v>217</v>
          </cell>
          <cell r="B274">
            <v>2017</v>
          </cell>
          <cell r="C274">
            <v>8300</v>
          </cell>
          <cell r="D274">
            <v>2</v>
          </cell>
          <cell r="E274">
            <v>2</v>
          </cell>
          <cell r="F274">
            <v>1</v>
          </cell>
          <cell r="G274">
            <v>5000</v>
          </cell>
          <cell r="H274">
            <v>5200</v>
          </cell>
          <cell r="I274">
            <v>522</v>
          </cell>
          <cell r="J274">
            <v>28</v>
          </cell>
          <cell r="K274" t="str">
            <v>Set olímpico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 t="str">
            <v>Pieza</v>
          </cell>
          <cell r="V274" t="str">
            <v>FC</v>
          </cell>
        </row>
        <row r="275">
          <cell r="A275">
            <v>218</v>
          </cell>
          <cell r="B275">
            <v>2017</v>
          </cell>
          <cell r="C275">
            <v>8300</v>
          </cell>
          <cell r="D275">
            <v>2</v>
          </cell>
          <cell r="E275">
            <v>2</v>
          </cell>
          <cell r="F275">
            <v>1</v>
          </cell>
          <cell r="G275">
            <v>5000</v>
          </cell>
          <cell r="H275">
            <v>5200</v>
          </cell>
          <cell r="I275">
            <v>522</v>
          </cell>
          <cell r="J275">
            <v>29</v>
          </cell>
          <cell r="K275" t="str">
            <v>Tabla abdominal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 t="str">
            <v>Pieza</v>
          </cell>
          <cell r="V275" t="str">
            <v>FC</v>
          </cell>
        </row>
        <row r="276">
          <cell r="A276">
            <v>219</v>
          </cell>
          <cell r="B276">
            <v>2017</v>
          </cell>
          <cell r="C276">
            <v>8300</v>
          </cell>
          <cell r="D276">
            <v>2</v>
          </cell>
          <cell r="E276">
            <v>2</v>
          </cell>
          <cell r="F276">
            <v>1</v>
          </cell>
          <cell r="G276">
            <v>5000</v>
          </cell>
          <cell r="H276">
            <v>5200</v>
          </cell>
          <cell r="I276">
            <v>522</v>
          </cell>
          <cell r="J276">
            <v>30</v>
          </cell>
          <cell r="K276" t="str">
            <v>Torre multifuncional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 t="str">
            <v>Pieza</v>
          </cell>
          <cell r="V276" t="str">
            <v>FC</v>
          </cell>
        </row>
        <row r="277">
          <cell r="A277">
            <v>220</v>
          </cell>
          <cell r="B277">
            <v>2017</v>
          </cell>
          <cell r="C277">
            <v>8300</v>
          </cell>
          <cell r="D277">
            <v>2</v>
          </cell>
          <cell r="E277">
            <v>2</v>
          </cell>
          <cell r="F277">
            <v>1</v>
          </cell>
          <cell r="G277">
            <v>5000</v>
          </cell>
          <cell r="H277">
            <v>5400</v>
          </cell>
          <cell r="K277" t="str">
            <v>Vehículos y Equipo de Transporte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</row>
        <row r="278">
          <cell r="A278">
            <v>221</v>
          </cell>
          <cell r="B278">
            <v>2017</v>
          </cell>
          <cell r="C278">
            <v>8300</v>
          </cell>
          <cell r="D278">
            <v>2</v>
          </cell>
          <cell r="E278">
            <v>2</v>
          </cell>
          <cell r="F278">
            <v>1</v>
          </cell>
          <cell r="G278">
            <v>5000</v>
          </cell>
          <cell r="H278">
            <v>5400</v>
          </cell>
          <cell r="I278">
            <v>541</v>
          </cell>
          <cell r="K278" t="str">
            <v>Vehículos y equipo terrestre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</row>
        <row r="279">
          <cell r="A279">
            <v>222</v>
          </cell>
          <cell r="B279">
            <v>2017</v>
          </cell>
          <cell r="C279">
            <v>8300</v>
          </cell>
          <cell r="D279">
            <v>2</v>
          </cell>
          <cell r="E279">
            <v>2</v>
          </cell>
          <cell r="F279">
            <v>1</v>
          </cell>
          <cell r="G279">
            <v>5000</v>
          </cell>
          <cell r="H279">
            <v>5400</v>
          </cell>
          <cell r="I279">
            <v>541</v>
          </cell>
          <cell r="J279">
            <v>1</v>
          </cell>
          <cell r="K279" t="str">
            <v>Cuatrimoto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 t="str">
            <v>Pieza</v>
          </cell>
          <cell r="V279" t="str">
            <v>FC</v>
          </cell>
        </row>
        <row r="280">
          <cell r="A280">
            <v>223</v>
          </cell>
          <cell r="B280">
            <v>2017</v>
          </cell>
          <cell r="C280">
            <v>8300</v>
          </cell>
          <cell r="D280">
            <v>2</v>
          </cell>
          <cell r="E280">
            <v>2</v>
          </cell>
          <cell r="F280">
            <v>1</v>
          </cell>
          <cell r="G280">
            <v>5000</v>
          </cell>
          <cell r="H280">
            <v>5400</v>
          </cell>
          <cell r="I280">
            <v>541</v>
          </cell>
          <cell r="J280">
            <v>2</v>
          </cell>
          <cell r="K280" t="str">
            <v>Motocicleta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 t="str">
            <v>Pieza</v>
          </cell>
          <cell r="V280" t="str">
            <v>FC</v>
          </cell>
        </row>
        <row r="281">
          <cell r="A281">
            <v>224</v>
          </cell>
          <cell r="B281">
            <v>2017</v>
          </cell>
          <cell r="C281">
            <v>8300</v>
          </cell>
          <cell r="D281">
            <v>2</v>
          </cell>
          <cell r="E281">
            <v>2</v>
          </cell>
          <cell r="F281">
            <v>1</v>
          </cell>
          <cell r="G281">
            <v>5000</v>
          </cell>
          <cell r="H281">
            <v>5400</v>
          </cell>
          <cell r="I281">
            <v>541</v>
          </cell>
          <cell r="J281">
            <v>3</v>
          </cell>
          <cell r="K281" t="str">
            <v xml:space="preserve">Vehículo 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 t="str">
            <v>Pieza</v>
          </cell>
          <cell r="V281" t="str">
            <v>FC</v>
          </cell>
        </row>
        <row r="282">
          <cell r="A282">
            <v>225</v>
          </cell>
          <cell r="B282">
            <v>2017</v>
          </cell>
          <cell r="C282">
            <v>8300</v>
          </cell>
          <cell r="D282">
            <v>2</v>
          </cell>
          <cell r="E282">
            <v>2</v>
          </cell>
          <cell r="F282">
            <v>1</v>
          </cell>
          <cell r="G282">
            <v>5000</v>
          </cell>
          <cell r="H282">
            <v>5500</v>
          </cell>
          <cell r="K282" t="str">
            <v>Equipo de Defensa y Seguridad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</row>
        <row r="283">
          <cell r="A283">
            <v>226</v>
          </cell>
          <cell r="B283">
            <v>2017</v>
          </cell>
          <cell r="C283">
            <v>8300</v>
          </cell>
          <cell r="D283">
            <v>2</v>
          </cell>
          <cell r="E283">
            <v>2</v>
          </cell>
          <cell r="F283">
            <v>1</v>
          </cell>
          <cell r="G283">
            <v>5000</v>
          </cell>
          <cell r="H283">
            <v>5500</v>
          </cell>
          <cell r="I283">
            <v>551</v>
          </cell>
          <cell r="K283" t="str">
            <v>Equipo de defensa y seguridad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</row>
        <row r="284">
          <cell r="A284">
            <v>227</v>
          </cell>
          <cell r="B284">
            <v>2017</v>
          </cell>
          <cell r="C284">
            <v>8300</v>
          </cell>
          <cell r="D284">
            <v>2</v>
          </cell>
          <cell r="E284">
            <v>2</v>
          </cell>
          <cell r="F284">
            <v>1</v>
          </cell>
          <cell r="G284">
            <v>5000</v>
          </cell>
          <cell r="H284">
            <v>5500</v>
          </cell>
          <cell r="I284">
            <v>551</v>
          </cell>
          <cell r="J284">
            <v>1</v>
          </cell>
          <cell r="K284" t="str">
            <v xml:space="preserve">Ariete 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 t="str">
            <v>Pieza</v>
          </cell>
          <cell r="V284" t="str">
            <v>FC</v>
          </cell>
        </row>
        <row r="285">
          <cell r="A285">
            <v>228</v>
          </cell>
          <cell r="B285">
            <v>2017</v>
          </cell>
          <cell r="C285">
            <v>8300</v>
          </cell>
          <cell r="D285">
            <v>2</v>
          </cell>
          <cell r="E285">
            <v>2</v>
          </cell>
          <cell r="F285">
            <v>1</v>
          </cell>
          <cell r="G285">
            <v>5000</v>
          </cell>
          <cell r="H285">
            <v>5500</v>
          </cell>
          <cell r="I285">
            <v>551</v>
          </cell>
          <cell r="J285">
            <v>2</v>
          </cell>
          <cell r="K285" t="str">
            <v xml:space="preserve">Arma corta  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 t="str">
            <v>Pieza</v>
          </cell>
          <cell r="V285" t="str">
            <v>FC</v>
          </cell>
        </row>
        <row r="286">
          <cell r="A286">
            <v>229</v>
          </cell>
          <cell r="B286">
            <v>2017</v>
          </cell>
          <cell r="C286">
            <v>8300</v>
          </cell>
          <cell r="D286">
            <v>2</v>
          </cell>
          <cell r="E286">
            <v>2</v>
          </cell>
          <cell r="F286">
            <v>1</v>
          </cell>
          <cell r="G286">
            <v>5000</v>
          </cell>
          <cell r="H286">
            <v>5500</v>
          </cell>
          <cell r="I286">
            <v>551</v>
          </cell>
          <cell r="J286">
            <v>3</v>
          </cell>
          <cell r="K286" t="str">
            <v xml:space="preserve">Arma larga  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 t="str">
            <v>Pieza</v>
          </cell>
          <cell r="V286" t="str">
            <v>FC</v>
          </cell>
        </row>
        <row r="287">
          <cell r="A287">
            <v>230</v>
          </cell>
          <cell r="B287">
            <v>2017</v>
          </cell>
          <cell r="C287">
            <v>8300</v>
          </cell>
          <cell r="D287">
            <v>2</v>
          </cell>
          <cell r="E287">
            <v>2</v>
          </cell>
          <cell r="F287">
            <v>1</v>
          </cell>
          <cell r="G287">
            <v>5000</v>
          </cell>
          <cell r="H287">
            <v>5500</v>
          </cell>
          <cell r="I287">
            <v>551</v>
          </cell>
          <cell r="J287">
            <v>4</v>
          </cell>
          <cell r="K287" t="str">
            <v>Binoculares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 t="str">
            <v>Pieza</v>
          </cell>
          <cell r="V287" t="str">
            <v>FC</v>
          </cell>
        </row>
        <row r="288">
          <cell r="A288">
            <v>231</v>
          </cell>
          <cell r="B288">
            <v>2017</v>
          </cell>
          <cell r="C288">
            <v>8300</v>
          </cell>
          <cell r="D288">
            <v>2</v>
          </cell>
          <cell r="E288">
            <v>2</v>
          </cell>
          <cell r="F288">
            <v>1</v>
          </cell>
          <cell r="G288">
            <v>5000</v>
          </cell>
          <cell r="H288">
            <v>5500</v>
          </cell>
          <cell r="I288">
            <v>551</v>
          </cell>
          <cell r="J288">
            <v>5</v>
          </cell>
          <cell r="K288" t="str">
            <v>Cizalla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 t="str">
            <v>Pieza</v>
          </cell>
          <cell r="V288" t="str">
            <v>FC</v>
          </cell>
        </row>
        <row r="289">
          <cell r="A289">
            <v>232</v>
          </cell>
          <cell r="B289">
            <v>2017</v>
          </cell>
          <cell r="C289">
            <v>8300</v>
          </cell>
          <cell r="D289">
            <v>2</v>
          </cell>
          <cell r="E289">
            <v>2</v>
          </cell>
          <cell r="F289">
            <v>1</v>
          </cell>
          <cell r="G289">
            <v>5000</v>
          </cell>
          <cell r="H289">
            <v>5500</v>
          </cell>
          <cell r="I289">
            <v>551</v>
          </cell>
          <cell r="J289">
            <v>6</v>
          </cell>
          <cell r="K289" t="str">
            <v>Implemento de visión nocturna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 t="str">
            <v>Pieza</v>
          </cell>
          <cell r="V289" t="str">
            <v>FC</v>
          </cell>
        </row>
        <row r="290">
          <cell r="A290">
            <v>233</v>
          </cell>
          <cell r="B290">
            <v>2017</v>
          </cell>
          <cell r="C290">
            <v>8300</v>
          </cell>
          <cell r="D290">
            <v>2</v>
          </cell>
          <cell r="E290">
            <v>2</v>
          </cell>
          <cell r="F290">
            <v>1</v>
          </cell>
          <cell r="G290">
            <v>5000</v>
          </cell>
          <cell r="H290">
            <v>5500</v>
          </cell>
          <cell r="I290">
            <v>551</v>
          </cell>
          <cell r="J290">
            <v>7</v>
          </cell>
          <cell r="K290" t="str">
            <v>Implemento para abrir ventanas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 t="str">
            <v>Pieza</v>
          </cell>
          <cell r="V290" t="str">
            <v>FC</v>
          </cell>
        </row>
        <row r="291">
          <cell r="A291">
            <v>234</v>
          </cell>
          <cell r="B291">
            <v>2017</v>
          </cell>
          <cell r="C291">
            <v>8300</v>
          </cell>
          <cell r="D291">
            <v>2</v>
          </cell>
          <cell r="E291">
            <v>2</v>
          </cell>
          <cell r="F291">
            <v>1</v>
          </cell>
          <cell r="G291">
            <v>5000</v>
          </cell>
          <cell r="H291">
            <v>5500</v>
          </cell>
          <cell r="I291">
            <v>551</v>
          </cell>
          <cell r="J291">
            <v>8</v>
          </cell>
          <cell r="K291" t="str">
            <v>Mira telescópica diurna y nocturna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 t="str">
            <v>Pieza</v>
          </cell>
          <cell r="V291" t="str">
            <v>FC</v>
          </cell>
        </row>
        <row r="292">
          <cell r="A292">
            <v>235</v>
          </cell>
          <cell r="B292">
            <v>2017</v>
          </cell>
          <cell r="C292">
            <v>8300</v>
          </cell>
          <cell r="D292">
            <v>2</v>
          </cell>
          <cell r="E292">
            <v>2</v>
          </cell>
          <cell r="F292">
            <v>1</v>
          </cell>
          <cell r="G292">
            <v>5000</v>
          </cell>
          <cell r="H292">
            <v>5500</v>
          </cell>
          <cell r="I292">
            <v>551</v>
          </cell>
          <cell r="J292">
            <v>9</v>
          </cell>
          <cell r="K292" t="str">
            <v>Puntero láser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 t="str">
            <v>Pieza</v>
          </cell>
          <cell r="V292" t="str">
            <v>FC</v>
          </cell>
        </row>
        <row r="293">
          <cell r="A293">
            <v>236</v>
          </cell>
          <cell r="B293">
            <v>2017</v>
          </cell>
          <cell r="C293">
            <v>8300</v>
          </cell>
          <cell r="D293">
            <v>2</v>
          </cell>
          <cell r="E293">
            <v>2</v>
          </cell>
          <cell r="F293">
            <v>1</v>
          </cell>
          <cell r="G293">
            <v>5000</v>
          </cell>
          <cell r="H293">
            <v>5500</v>
          </cell>
          <cell r="I293">
            <v>551</v>
          </cell>
          <cell r="J293">
            <v>10</v>
          </cell>
          <cell r="K293" t="str">
            <v>Réplica de cuchillo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 t="str">
            <v>Pieza</v>
          </cell>
          <cell r="V293" t="str">
            <v>FC</v>
          </cell>
        </row>
        <row r="294">
          <cell r="A294">
            <v>237</v>
          </cell>
          <cell r="B294">
            <v>2017</v>
          </cell>
          <cell r="C294">
            <v>8300</v>
          </cell>
          <cell r="D294">
            <v>2</v>
          </cell>
          <cell r="E294">
            <v>2</v>
          </cell>
          <cell r="F294">
            <v>1</v>
          </cell>
          <cell r="G294">
            <v>5000</v>
          </cell>
          <cell r="H294">
            <v>5500</v>
          </cell>
          <cell r="I294">
            <v>551</v>
          </cell>
          <cell r="J294">
            <v>11</v>
          </cell>
          <cell r="K294" t="str">
            <v xml:space="preserve">Réplica de fusil 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 t="str">
            <v>Pieza</v>
          </cell>
          <cell r="V294" t="str">
            <v>FC</v>
          </cell>
        </row>
        <row r="295">
          <cell r="A295">
            <v>238</v>
          </cell>
          <cell r="B295">
            <v>2017</v>
          </cell>
          <cell r="C295">
            <v>8300</v>
          </cell>
          <cell r="D295">
            <v>2</v>
          </cell>
          <cell r="E295">
            <v>2</v>
          </cell>
          <cell r="F295">
            <v>1</v>
          </cell>
          <cell r="G295">
            <v>5000</v>
          </cell>
          <cell r="H295">
            <v>5500</v>
          </cell>
          <cell r="I295">
            <v>551</v>
          </cell>
          <cell r="J295">
            <v>12</v>
          </cell>
          <cell r="K295" t="str">
            <v>Réplica de pistola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 t="str">
            <v>Pieza</v>
          </cell>
          <cell r="V295" t="str">
            <v>FC</v>
          </cell>
        </row>
        <row r="296">
          <cell r="A296">
            <v>239</v>
          </cell>
          <cell r="B296">
            <v>2017</v>
          </cell>
          <cell r="C296">
            <v>8300</v>
          </cell>
          <cell r="D296">
            <v>2</v>
          </cell>
          <cell r="E296">
            <v>2</v>
          </cell>
          <cell r="F296">
            <v>1</v>
          </cell>
          <cell r="G296">
            <v>5000</v>
          </cell>
          <cell r="H296">
            <v>5600</v>
          </cell>
          <cell r="K296" t="str">
            <v>Maquinaria, otros equipos y herramientas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</row>
        <row r="297">
          <cell r="A297">
            <v>240</v>
          </cell>
          <cell r="B297">
            <v>2017</v>
          </cell>
          <cell r="C297">
            <v>8300</v>
          </cell>
          <cell r="D297">
            <v>2</v>
          </cell>
          <cell r="E297">
            <v>2</v>
          </cell>
          <cell r="F297">
            <v>1</v>
          </cell>
          <cell r="G297">
            <v>5000</v>
          </cell>
          <cell r="H297">
            <v>5600</v>
          </cell>
          <cell r="I297">
            <v>565</v>
          </cell>
          <cell r="K297" t="str">
            <v>Equipo de comunicación y telecomunicación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</row>
        <row r="298">
          <cell r="A298">
            <v>241</v>
          </cell>
          <cell r="B298">
            <v>2017</v>
          </cell>
          <cell r="C298">
            <v>8300</v>
          </cell>
          <cell r="D298">
            <v>2</v>
          </cell>
          <cell r="E298">
            <v>2</v>
          </cell>
          <cell r="F298">
            <v>1</v>
          </cell>
          <cell r="G298">
            <v>5000</v>
          </cell>
          <cell r="H298">
            <v>5600</v>
          </cell>
          <cell r="I298">
            <v>565</v>
          </cell>
          <cell r="J298">
            <v>1</v>
          </cell>
          <cell r="K298" t="str">
            <v>Radio portátil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 t="str">
            <v>Pieza</v>
          </cell>
          <cell r="V298" t="str">
            <v>FC</v>
          </cell>
        </row>
        <row r="299">
          <cell r="A299">
            <v>242</v>
          </cell>
          <cell r="B299">
            <v>2017</v>
          </cell>
          <cell r="C299">
            <v>8300</v>
          </cell>
          <cell r="D299">
            <v>2</v>
          </cell>
          <cell r="E299">
            <v>2</v>
          </cell>
          <cell r="F299">
            <v>1</v>
          </cell>
          <cell r="G299">
            <v>5000</v>
          </cell>
          <cell r="H299">
            <v>5600</v>
          </cell>
          <cell r="I299">
            <v>569</v>
          </cell>
          <cell r="K299" t="str">
            <v>Otros equipos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</row>
        <row r="300">
          <cell r="A300">
            <v>243</v>
          </cell>
          <cell r="B300">
            <v>2017</v>
          </cell>
          <cell r="C300">
            <v>8300</v>
          </cell>
          <cell r="D300">
            <v>2</v>
          </cell>
          <cell r="E300">
            <v>2</v>
          </cell>
          <cell r="F300">
            <v>1</v>
          </cell>
          <cell r="G300">
            <v>5000</v>
          </cell>
          <cell r="H300">
            <v>5600</v>
          </cell>
          <cell r="I300">
            <v>569</v>
          </cell>
          <cell r="J300">
            <v>1</v>
          </cell>
          <cell r="K300" t="str">
            <v>Simulador de tiro virtual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 t="str">
            <v>Pieza</v>
          </cell>
          <cell r="V300" t="str">
            <v>FC</v>
          </cell>
        </row>
        <row r="301">
          <cell r="A301">
            <v>244</v>
          </cell>
          <cell r="B301">
            <v>2017</v>
          </cell>
          <cell r="C301">
            <v>8300</v>
          </cell>
          <cell r="D301">
            <v>2</v>
          </cell>
          <cell r="E301">
            <v>2</v>
          </cell>
          <cell r="F301">
            <v>1</v>
          </cell>
          <cell r="G301">
            <v>6000</v>
          </cell>
          <cell r="K301" t="str">
            <v>INVERSION PÚBLICA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</row>
        <row r="302">
          <cell r="A302">
            <v>245</v>
          </cell>
          <cell r="B302">
            <v>2017</v>
          </cell>
          <cell r="C302">
            <v>8300</v>
          </cell>
          <cell r="D302">
            <v>2</v>
          </cell>
          <cell r="E302">
            <v>2</v>
          </cell>
          <cell r="F302">
            <v>1</v>
          </cell>
          <cell r="G302">
            <v>6000</v>
          </cell>
          <cell r="H302">
            <v>6200</v>
          </cell>
          <cell r="K302" t="str">
            <v>Obra pública en bienes propios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</row>
        <row r="303">
          <cell r="A303">
            <v>246</v>
          </cell>
          <cell r="B303">
            <v>2017</v>
          </cell>
          <cell r="C303">
            <v>8300</v>
          </cell>
          <cell r="D303">
            <v>2</v>
          </cell>
          <cell r="E303">
            <v>2</v>
          </cell>
          <cell r="F303">
            <v>1</v>
          </cell>
          <cell r="G303">
            <v>6000</v>
          </cell>
          <cell r="H303">
            <v>6200</v>
          </cell>
          <cell r="I303">
            <v>622</v>
          </cell>
          <cell r="K303" t="str">
            <v>Edificación no habitacional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</row>
        <row r="304">
          <cell r="A304">
            <v>247</v>
          </cell>
          <cell r="B304">
            <v>2017</v>
          </cell>
          <cell r="C304">
            <v>8300</v>
          </cell>
          <cell r="D304">
            <v>2</v>
          </cell>
          <cell r="E304">
            <v>2</v>
          </cell>
          <cell r="F304">
            <v>1</v>
          </cell>
          <cell r="G304">
            <v>6000</v>
          </cell>
          <cell r="H304">
            <v>6200</v>
          </cell>
          <cell r="I304">
            <v>622</v>
          </cell>
          <cell r="J304">
            <v>1</v>
          </cell>
          <cell r="K304" t="str">
            <v>Construcción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 t="str">
            <v>Obra</v>
          </cell>
          <cell r="V304" t="str">
            <v>FC</v>
          </cell>
        </row>
        <row r="305">
          <cell r="A305">
            <v>248</v>
          </cell>
          <cell r="B305">
            <v>2017</v>
          </cell>
          <cell r="C305">
            <v>8300</v>
          </cell>
          <cell r="D305">
            <v>2</v>
          </cell>
          <cell r="E305">
            <v>2</v>
          </cell>
          <cell r="F305">
            <v>1</v>
          </cell>
          <cell r="G305">
            <v>6000</v>
          </cell>
          <cell r="H305">
            <v>6200</v>
          </cell>
          <cell r="I305">
            <v>622</v>
          </cell>
          <cell r="J305">
            <v>1</v>
          </cell>
          <cell r="K305" t="str">
            <v xml:space="preserve">Dependencia:
Nombre:
Domicilio: 
Meta: 
Etapa: 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 t="str">
            <v>Obra</v>
          </cell>
          <cell r="V305" t="str">
            <v>FC</v>
          </cell>
        </row>
        <row r="306">
          <cell r="A306">
            <v>249</v>
          </cell>
          <cell r="B306">
            <v>2017</v>
          </cell>
          <cell r="C306">
            <v>8300</v>
          </cell>
          <cell r="D306">
            <v>2</v>
          </cell>
          <cell r="E306">
            <v>2</v>
          </cell>
          <cell r="F306">
            <v>1</v>
          </cell>
          <cell r="G306">
            <v>6000</v>
          </cell>
          <cell r="H306">
            <v>6200</v>
          </cell>
          <cell r="I306">
            <v>622</v>
          </cell>
          <cell r="J306">
            <v>2</v>
          </cell>
          <cell r="K306" t="str">
            <v>Mejoramiento y/o ampliación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 t="str">
            <v>Obra</v>
          </cell>
          <cell r="V306" t="str">
            <v>FC</v>
          </cell>
        </row>
        <row r="307">
          <cell r="A307">
            <v>250</v>
          </cell>
          <cell r="B307">
            <v>2017</v>
          </cell>
          <cell r="C307">
            <v>8300</v>
          </cell>
          <cell r="D307">
            <v>2</v>
          </cell>
          <cell r="E307">
            <v>2</v>
          </cell>
          <cell r="F307">
            <v>1</v>
          </cell>
          <cell r="G307">
            <v>6000</v>
          </cell>
          <cell r="H307">
            <v>6200</v>
          </cell>
          <cell r="I307">
            <v>622</v>
          </cell>
          <cell r="J307">
            <v>2</v>
          </cell>
          <cell r="K307" t="str">
            <v xml:space="preserve">Dependencia:
Nombre:
Domicilio: 
Meta: 
Etapa: 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 t="str">
            <v>Obra</v>
          </cell>
          <cell r="V307" t="str">
            <v>FC</v>
          </cell>
        </row>
        <row r="309">
          <cell r="A309">
            <v>1</v>
          </cell>
          <cell r="B309">
            <v>2017</v>
          </cell>
          <cell r="C309">
            <v>8300</v>
          </cell>
          <cell r="D309">
            <v>2</v>
          </cell>
          <cell r="E309">
            <v>2</v>
          </cell>
          <cell r="F309">
            <v>2</v>
          </cell>
          <cell r="G309">
            <v>1000</v>
          </cell>
          <cell r="K309" t="str">
            <v>SERVICIOS PERSONALES</v>
          </cell>
          <cell r="L309">
            <v>0</v>
          </cell>
          <cell r="M309">
            <v>0</v>
          </cell>
          <cell r="N309">
            <v>0</v>
          </cell>
          <cell r="O309">
            <v>21743819.120000001</v>
          </cell>
          <cell r="P309">
            <v>0</v>
          </cell>
          <cell r="Q309">
            <v>21743819.120000001</v>
          </cell>
          <cell r="R309">
            <v>21743819.120000001</v>
          </cell>
        </row>
        <row r="310">
          <cell r="A310">
            <v>2</v>
          </cell>
          <cell r="B310">
            <v>2017</v>
          </cell>
          <cell r="C310">
            <v>8300</v>
          </cell>
          <cell r="D310">
            <v>2</v>
          </cell>
          <cell r="E310">
            <v>2</v>
          </cell>
          <cell r="F310">
            <v>2</v>
          </cell>
          <cell r="G310">
            <v>1000</v>
          </cell>
          <cell r="H310">
            <v>1200</v>
          </cell>
          <cell r="K310" t="str">
            <v>Remuneraciones al personal de carácter transitorio</v>
          </cell>
          <cell r="L310">
            <v>0</v>
          </cell>
          <cell r="M310">
            <v>0</v>
          </cell>
          <cell r="N310">
            <v>0</v>
          </cell>
          <cell r="O310">
            <v>18963790.41</v>
          </cell>
          <cell r="P310">
            <v>0</v>
          </cell>
          <cell r="Q310">
            <v>18963790.41</v>
          </cell>
          <cell r="R310">
            <v>18963790.41</v>
          </cell>
        </row>
        <row r="311">
          <cell r="A311">
            <v>3</v>
          </cell>
          <cell r="B311">
            <v>2017</v>
          </cell>
          <cell r="C311">
            <v>8300</v>
          </cell>
          <cell r="D311">
            <v>2</v>
          </cell>
          <cell r="E311">
            <v>2</v>
          </cell>
          <cell r="F311">
            <v>2</v>
          </cell>
          <cell r="G311">
            <v>1000</v>
          </cell>
          <cell r="H311">
            <v>1200</v>
          </cell>
          <cell r="I311">
            <v>121</v>
          </cell>
          <cell r="K311" t="str">
            <v>Honorarios asimilables a salarios</v>
          </cell>
          <cell r="L311">
            <v>0</v>
          </cell>
          <cell r="M311">
            <v>0</v>
          </cell>
          <cell r="N311">
            <v>0</v>
          </cell>
          <cell r="O311">
            <v>18963790.41</v>
          </cell>
          <cell r="P311">
            <v>0</v>
          </cell>
          <cell r="Q311">
            <v>18963790.41</v>
          </cell>
          <cell r="R311">
            <v>18963790.41</v>
          </cell>
        </row>
        <row r="312">
          <cell r="A312">
            <v>4</v>
          </cell>
          <cell r="B312">
            <v>2017</v>
          </cell>
          <cell r="C312">
            <v>8300</v>
          </cell>
          <cell r="D312">
            <v>2</v>
          </cell>
          <cell r="E312">
            <v>2</v>
          </cell>
          <cell r="F312">
            <v>2</v>
          </cell>
          <cell r="G312">
            <v>1000</v>
          </cell>
          <cell r="H312">
            <v>1200</v>
          </cell>
          <cell r="I312">
            <v>121</v>
          </cell>
          <cell r="J312">
            <v>1</v>
          </cell>
          <cell r="K312" t="str">
            <v>Honorarios</v>
          </cell>
          <cell r="L312">
            <v>0</v>
          </cell>
          <cell r="M312">
            <v>0</v>
          </cell>
          <cell r="N312">
            <v>0</v>
          </cell>
          <cell r="O312">
            <v>18963790.41</v>
          </cell>
          <cell r="P312">
            <v>0</v>
          </cell>
          <cell r="Q312">
            <v>18963790.41</v>
          </cell>
          <cell r="R312">
            <v>18963790.41</v>
          </cell>
          <cell r="S312" t="str">
            <v>Persona</v>
          </cell>
          <cell r="T312">
            <v>120</v>
          </cell>
          <cell r="V312" t="str">
            <v>AE</v>
          </cell>
        </row>
        <row r="313">
          <cell r="A313">
            <v>5</v>
          </cell>
          <cell r="B313">
            <v>2017</v>
          </cell>
          <cell r="C313">
            <v>8300</v>
          </cell>
          <cell r="D313">
            <v>2</v>
          </cell>
          <cell r="E313">
            <v>2</v>
          </cell>
          <cell r="F313">
            <v>2</v>
          </cell>
          <cell r="G313">
            <v>1000</v>
          </cell>
          <cell r="H313">
            <v>1200</v>
          </cell>
          <cell r="I313">
            <v>122</v>
          </cell>
          <cell r="K313" t="str">
            <v>Sueldos base al personal eventual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</row>
        <row r="314">
          <cell r="A314">
            <v>6</v>
          </cell>
          <cell r="B314">
            <v>2017</v>
          </cell>
          <cell r="C314">
            <v>8300</v>
          </cell>
          <cell r="D314">
            <v>2</v>
          </cell>
          <cell r="E314">
            <v>2</v>
          </cell>
          <cell r="F314">
            <v>2</v>
          </cell>
          <cell r="G314">
            <v>1000</v>
          </cell>
          <cell r="H314">
            <v>1200</v>
          </cell>
          <cell r="I314">
            <v>122</v>
          </cell>
          <cell r="J314">
            <v>1</v>
          </cell>
          <cell r="K314" t="str">
            <v>Sueldo base al personal eventual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 t="str">
            <v>Persona</v>
          </cell>
          <cell r="V314" t="str">
            <v>AE</v>
          </cell>
        </row>
        <row r="315">
          <cell r="A315">
            <v>7</v>
          </cell>
          <cell r="B315">
            <v>2017</v>
          </cell>
          <cell r="C315">
            <v>8300</v>
          </cell>
          <cell r="D315">
            <v>2</v>
          </cell>
          <cell r="E315">
            <v>2</v>
          </cell>
          <cell r="F315">
            <v>2</v>
          </cell>
          <cell r="G315">
            <v>1000</v>
          </cell>
          <cell r="H315">
            <v>1300</v>
          </cell>
          <cell r="K315" t="str">
            <v>Remuneraciones adicionales y especiales</v>
          </cell>
          <cell r="L315">
            <v>0</v>
          </cell>
          <cell r="M315">
            <v>0</v>
          </cell>
          <cell r="N315">
            <v>0</v>
          </cell>
          <cell r="O315">
            <v>2780028.71</v>
          </cell>
          <cell r="P315">
            <v>0</v>
          </cell>
          <cell r="Q315">
            <v>2780028.71</v>
          </cell>
          <cell r="R315">
            <v>2780028.71</v>
          </cell>
        </row>
        <row r="316">
          <cell r="A316">
            <v>8</v>
          </cell>
          <cell r="B316">
            <v>2017</v>
          </cell>
          <cell r="C316">
            <v>8300</v>
          </cell>
          <cell r="D316">
            <v>2</v>
          </cell>
          <cell r="E316">
            <v>2</v>
          </cell>
          <cell r="F316">
            <v>2</v>
          </cell>
          <cell r="G316">
            <v>1000</v>
          </cell>
          <cell r="H316">
            <v>1300</v>
          </cell>
          <cell r="I316">
            <v>132</v>
          </cell>
          <cell r="K316" t="str">
            <v>Primas de vacaciones, dominical y gratificación de fin de año</v>
          </cell>
          <cell r="L316">
            <v>0</v>
          </cell>
          <cell r="M316">
            <v>0</v>
          </cell>
          <cell r="N316">
            <v>0</v>
          </cell>
          <cell r="O316">
            <v>1619264.03</v>
          </cell>
          <cell r="P316">
            <v>0</v>
          </cell>
          <cell r="Q316">
            <v>1619264.03</v>
          </cell>
          <cell r="R316">
            <v>1619264.03</v>
          </cell>
        </row>
        <row r="317">
          <cell r="A317">
            <v>9</v>
          </cell>
          <cell r="B317">
            <v>2017</v>
          </cell>
          <cell r="C317">
            <v>8300</v>
          </cell>
          <cell r="D317">
            <v>2</v>
          </cell>
          <cell r="E317">
            <v>2</v>
          </cell>
          <cell r="F317">
            <v>2</v>
          </cell>
          <cell r="G317">
            <v>1000</v>
          </cell>
          <cell r="H317">
            <v>1300</v>
          </cell>
          <cell r="I317">
            <v>132</v>
          </cell>
          <cell r="J317">
            <v>1</v>
          </cell>
          <cell r="K317" t="str">
            <v>Prima de vacaciones y dominical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 t="str">
            <v>Persona</v>
          </cell>
          <cell r="V317" t="str">
            <v>AE</v>
          </cell>
        </row>
        <row r="318">
          <cell r="A318">
            <v>10</v>
          </cell>
          <cell r="B318">
            <v>2017</v>
          </cell>
          <cell r="C318">
            <v>8300</v>
          </cell>
          <cell r="D318">
            <v>2</v>
          </cell>
          <cell r="E318">
            <v>2</v>
          </cell>
          <cell r="F318">
            <v>2</v>
          </cell>
          <cell r="G318">
            <v>1000</v>
          </cell>
          <cell r="H318">
            <v>1300</v>
          </cell>
          <cell r="I318">
            <v>132</v>
          </cell>
          <cell r="J318">
            <v>2</v>
          </cell>
          <cell r="K318" t="str">
            <v>Aguinaldo o gratificación de fin de año</v>
          </cell>
          <cell r="L318">
            <v>0</v>
          </cell>
          <cell r="M318">
            <v>0</v>
          </cell>
          <cell r="N318">
            <v>0</v>
          </cell>
          <cell r="O318">
            <v>1619264.03</v>
          </cell>
          <cell r="P318">
            <v>0</v>
          </cell>
          <cell r="Q318">
            <v>1619264.03</v>
          </cell>
          <cell r="R318">
            <v>1619264.03</v>
          </cell>
          <cell r="S318" t="str">
            <v>Persona</v>
          </cell>
          <cell r="T318">
            <v>120</v>
          </cell>
          <cell r="V318" t="str">
            <v>AE</v>
          </cell>
        </row>
        <row r="319">
          <cell r="A319">
            <v>11</v>
          </cell>
          <cell r="B319">
            <v>2017</v>
          </cell>
          <cell r="C319">
            <v>8300</v>
          </cell>
          <cell r="D319">
            <v>2</v>
          </cell>
          <cell r="E319">
            <v>2</v>
          </cell>
          <cell r="F319">
            <v>2</v>
          </cell>
          <cell r="G319">
            <v>1000</v>
          </cell>
          <cell r="H319">
            <v>1300</v>
          </cell>
          <cell r="I319">
            <v>134</v>
          </cell>
          <cell r="K319" t="str">
            <v>Compensaciones</v>
          </cell>
          <cell r="L319">
            <v>0</v>
          </cell>
          <cell r="M319">
            <v>0</v>
          </cell>
          <cell r="N319">
            <v>0</v>
          </cell>
          <cell r="O319">
            <v>1160764.68</v>
          </cell>
          <cell r="P319">
            <v>0</v>
          </cell>
          <cell r="Q319">
            <v>1160764.68</v>
          </cell>
          <cell r="R319">
            <v>1160764.68</v>
          </cell>
        </row>
        <row r="320">
          <cell r="A320">
            <v>12</v>
          </cell>
          <cell r="B320">
            <v>2017</v>
          </cell>
          <cell r="C320">
            <v>8300</v>
          </cell>
          <cell r="D320">
            <v>2</v>
          </cell>
          <cell r="E320">
            <v>2</v>
          </cell>
          <cell r="F320">
            <v>2</v>
          </cell>
          <cell r="G320">
            <v>1000</v>
          </cell>
          <cell r="H320">
            <v>1300</v>
          </cell>
          <cell r="I320">
            <v>134</v>
          </cell>
          <cell r="J320">
            <v>1</v>
          </cell>
          <cell r="K320" t="str">
            <v>Compensaciones por servicios eventuales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 t="str">
            <v>Persona</v>
          </cell>
          <cell r="V320" t="str">
            <v>AE</v>
          </cell>
        </row>
        <row r="321">
          <cell r="A321">
            <v>13</v>
          </cell>
          <cell r="B321">
            <v>2017</v>
          </cell>
          <cell r="C321">
            <v>8300</v>
          </cell>
          <cell r="D321">
            <v>2</v>
          </cell>
          <cell r="E321">
            <v>2</v>
          </cell>
          <cell r="F321">
            <v>2</v>
          </cell>
          <cell r="G321">
            <v>1000</v>
          </cell>
          <cell r="H321">
            <v>1300</v>
          </cell>
          <cell r="I321">
            <v>134</v>
          </cell>
          <cell r="J321">
            <v>2</v>
          </cell>
          <cell r="K321" t="str">
            <v>Compensaciones adicionales por servicios especiales</v>
          </cell>
          <cell r="L321">
            <v>0</v>
          </cell>
          <cell r="M321">
            <v>0</v>
          </cell>
          <cell r="N321">
            <v>0</v>
          </cell>
          <cell r="O321">
            <v>1160764.68</v>
          </cell>
          <cell r="P321">
            <v>0</v>
          </cell>
          <cell r="Q321">
            <v>1160764.68</v>
          </cell>
          <cell r="R321">
            <v>1160764.68</v>
          </cell>
          <cell r="S321" t="str">
            <v>Persona</v>
          </cell>
          <cell r="T321">
            <v>98</v>
          </cell>
          <cell r="V321" t="str">
            <v>AE</v>
          </cell>
        </row>
        <row r="322">
          <cell r="A322">
            <v>14</v>
          </cell>
          <cell r="B322">
            <v>2017</v>
          </cell>
          <cell r="C322">
            <v>8300</v>
          </cell>
          <cell r="D322">
            <v>2</v>
          </cell>
          <cell r="E322">
            <v>2</v>
          </cell>
          <cell r="F322">
            <v>2</v>
          </cell>
          <cell r="G322">
            <v>2000</v>
          </cell>
          <cell r="K322" t="str">
            <v>MATERIALES Y SUMINISTROS</v>
          </cell>
          <cell r="L322">
            <v>0</v>
          </cell>
          <cell r="M322">
            <v>0</v>
          </cell>
          <cell r="N322">
            <v>0</v>
          </cell>
          <cell r="O322">
            <v>357863.32</v>
          </cell>
          <cell r="P322">
            <v>0</v>
          </cell>
          <cell r="Q322">
            <v>357863.32</v>
          </cell>
          <cell r="R322">
            <v>357863.32</v>
          </cell>
          <cell r="S322" t="str">
            <v xml:space="preserve"> </v>
          </cell>
        </row>
        <row r="323">
          <cell r="A323">
            <v>15</v>
          </cell>
          <cell r="B323">
            <v>2017</v>
          </cell>
          <cell r="C323">
            <v>8300</v>
          </cell>
          <cell r="D323">
            <v>2</v>
          </cell>
          <cell r="E323">
            <v>2</v>
          </cell>
          <cell r="F323">
            <v>2</v>
          </cell>
          <cell r="G323">
            <v>2000</v>
          </cell>
          <cell r="H323">
            <v>2100</v>
          </cell>
          <cell r="K323" t="str">
            <v>Materiales de administración, emisión de documentos y artículos oficiales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</row>
        <row r="324">
          <cell r="A324">
            <v>16</v>
          </cell>
          <cell r="B324">
            <v>2017</v>
          </cell>
          <cell r="C324">
            <v>8300</v>
          </cell>
          <cell r="D324">
            <v>2</v>
          </cell>
          <cell r="E324">
            <v>2</v>
          </cell>
          <cell r="F324">
            <v>2</v>
          </cell>
          <cell r="G324">
            <v>2000</v>
          </cell>
          <cell r="H324">
            <v>2100</v>
          </cell>
          <cell r="I324">
            <v>211</v>
          </cell>
          <cell r="K324" t="str">
            <v>Materiales, útiles y equipos menores de oficina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</row>
        <row r="325">
          <cell r="A325">
            <v>17</v>
          </cell>
          <cell r="B325">
            <v>2017</v>
          </cell>
          <cell r="C325">
            <v>8300</v>
          </cell>
          <cell r="D325">
            <v>2</v>
          </cell>
          <cell r="E325">
            <v>2</v>
          </cell>
          <cell r="F325">
            <v>2</v>
          </cell>
          <cell r="G325">
            <v>2000</v>
          </cell>
          <cell r="H325">
            <v>2100</v>
          </cell>
          <cell r="I325">
            <v>211</v>
          </cell>
          <cell r="J325">
            <v>1</v>
          </cell>
          <cell r="K325" t="str">
            <v>Materiales y útiles de oficina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 t="str">
            <v>Pieza</v>
          </cell>
          <cell r="V325" t="str">
            <v>AE</v>
          </cell>
        </row>
        <row r="326">
          <cell r="A326">
            <v>18</v>
          </cell>
          <cell r="B326">
            <v>2017</v>
          </cell>
          <cell r="C326">
            <v>8300</v>
          </cell>
          <cell r="D326">
            <v>2</v>
          </cell>
          <cell r="E326">
            <v>2</v>
          </cell>
          <cell r="F326">
            <v>2</v>
          </cell>
          <cell r="G326">
            <v>2000</v>
          </cell>
          <cell r="H326">
            <v>2100</v>
          </cell>
          <cell r="I326">
            <v>212</v>
          </cell>
          <cell r="K326" t="str">
            <v>Materiales y útiles de impresión y reproducción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</row>
        <row r="327">
          <cell r="A327">
            <v>19</v>
          </cell>
          <cell r="B327">
            <v>2017</v>
          </cell>
          <cell r="C327">
            <v>8300</v>
          </cell>
          <cell r="D327">
            <v>2</v>
          </cell>
          <cell r="E327">
            <v>2</v>
          </cell>
          <cell r="F327">
            <v>2</v>
          </cell>
          <cell r="G327">
            <v>2000</v>
          </cell>
          <cell r="H327">
            <v>2100</v>
          </cell>
          <cell r="I327">
            <v>212</v>
          </cell>
          <cell r="J327">
            <v>1</v>
          </cell>
          <cell r="K327" t="str">
            <v>Materiales y útiles de impresión y reproducción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 t="str">
            <v>Pieza/Lote</v>
          </cell>
          <cell r="V327" t="str">
            <v>AE</v>
          </cell>
        </row>
        <row r="328">
          <cell r="A328">
            <v>20</v>
          </cell>
          <cell r="B328">
            <v>2017</v>
          </cell>
          <cell r="C328">
            <v>8300</v>
          </cell>
          <cell r="D328">
            <v>2</v>
          </cell>
          <cell r="E328">
            <v>2</v>
          </cell>
          <cell r="F328">
            <v>2</v>
          </cell>
          <cell r="G328">
            <v>2000</v>
          </cell>
          <cell r="H328">
            <v>2100</v>
          </cell>
          <cell r="I328">
            <v>214</v>
          </cell>
          <cell r="K328" t="str">
            <v>Materiales, útiles y equipos menores de tecnologías de la información y comunicaciones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</row>
        <row r="329">
          <cell r="A329">
            <v>21</v>
          </cell>
          <cell r="B329">
            <v>2017</v>
          </cell>
          <cell r="C329">
            <v>8300</v>
          </cell>
          <cell r="D329">
            <v>2</v>
          </cell>
          <cell r="E329">
            <v>2</v>
          </cell>
          <cell r="F329">
            <v>2</v>
          </cell>
          <cell r="G329">
            <v>2000</v>
          </cell>
          <cell r="H329">
            <v>2100</v>
          </cell>
          <cell r="I329">
            <v>214</v>
          </cell>
          <cell r="J329">
            <v>1</v>
          </cell>
          <cell r="K329" t="str">
            <v>Materiales y útiles para el procesamiento en equipos y bienes informáticos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 t="str">
            <v>Pieza</v>
          </cell>
          <cell r="V329" t="str">
            <v>AE</v>
          </cell>
        </row>
        <row r="330">
          <cell r="A330">
            <v>22</v>
          </cell>
          <cell r="B330">
            <v>2017</v>
          </cell>
          <cell r="C330">
            <v>8300</v>
          </cell>
          <cell r="D330">
            <v>2</v>
          </cell>
          <cell r="E330">
            <v>2</v>
          </cell>
          <cell r="F330">
            <v>2</v>
          </cell>
          <cell r="G330">
            <v>2000</v>
          </cell>
          <cell r="H330">
            <v>2100</v>
          </cell>
          <cell r="I330">
            <v>215</v>
          </cell>
          <cell r="K330" t="str">
            <v>Material impreso e información digital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</row>
        <row r="331">
          <cell r="A331">
            <v>23</v>
          </cell>
          <cell r="B331">
            <v>2017</v>
          </cell>
          <cell r="C331">
            <v>8300</v>
          </cell>
          <cell r="D331">
            <v>2</v>
          </cell>
          <cell r="E331">
            <v>2</v>
          </cell>
          <cell r="F331">
            <v>2</v>
          </cell>
          <cell r="G331">
            <v>2000</v>
          </cell>
          <cell r="H331">
            <v>2100</v>
          </cell>
          <cell r="I331">
            <v>215</v>
          </cell>
          <cell r="J331">
            <v>1</v>
          </cell>
          <cell r="K331" t="str">
            <v>Material de apoyo informativo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 t="str">
            <v>Pieza</v>
          </cell>
          <cell r="V331" t="str">
            <v>AE</v>
          </cell>
        </row>
        <row r="332">
          <cell r="A332">
            <v>24</v>
          </cell>
          <cell r="B332">
            <v>2017</v>
          </cell>
          <cell r="C332">
            <v>8300</v>
          </cell>
          <cell r="D332">
            <v>2</v>
          </cell>
          <cell r="E332">
            <v>2</v>
          </cell>
          <cell r="F332">
            <v>2</v>
          </cell>
          <cell r="G332">
            <v>2000</v>
          </cell>
          <cell r="H332">
            <v>2100</v>
          </cell>
          <cell r="I332">
            <v>217</v>
          </cell>
          <cell r="K332" t="str">
            <v>Materiales, útiles de enseñanza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</row>
        <row r="333">
          <cell r="A333">
            <v>25</v>
          </cell>
          <cell r="B333">
            <v>2017</v>
          </cell>
          <cell r="C333">
            <v>8300</v>
          </cell>
          <cell r="D333">
            <v>2</v>
          </cell>
          <cell r="E333">
            <v>2</v>
          </cell>
          <cell r="F333">
            <v>2</v>
          </cell>
          <cell r="G333">
            <v>2000</v>
          </cell>
          <cell r="H333">
            <v>2100</v>
          </cell>
          <cell r="I333">
            <v>217</v>
          </cell>
          <cell r="J333">
            <v>1</v>
          </cell>
          <cell r="K333" t="str">
            <v>Materiales y útiles de enseñanza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 t="str">
            <v>Pieza</v>
          </cell>
          <cell r="V333" t="str">
            <v>AE</v>
          </cell>
        </row>
        <row r="334">
          <cell r="A334">
            <v>26</v>
          </cell>
          <cell r="B334">
            <v>2017</v>
          </cell>
          <cell r="C334">
            <v>8300</v>
          </cell>
          <cell r="D334">
            <v>2</v>
          </cell>
          <cell r="E334">
            <v>2</v>
          </cell>
          <cell r="F334">
            <v>2</v>
          </cell>
          <cell r="G334">
            <v>2000</v>
          </cell>
          <cell r="H334">
            <v>2500</v>
          </cell>
          <cell r="K334" t="str">
            <v>Productos Químicos, Farmacéuticos y de Laboratorio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</row>
        <row r="335">
          <cell r="A335">
            <v>27</v>
          </cell>
          <cell r="B335">
            <v>2017</v>
          </cell>
          <cell r="C335">
            <v>8300</v>
          </cell>
          <cell r="D335">
            <v>2</v>
          </cell>
          <cell r="E335">
            <v>2</v>
          </cell>
          <cell r="F335">
            <v>2</v>
          </cell>
          <cell r="G335">
            <v>2000</v>
          </cell>
          <cell r="H335">
            <v>2500</v>
          </cell>
          <cell r="I335">
            <v>251</v>
          </cell>
          <cell r="K335" t="str">
            <v>Productos químicos básicos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</row>
        <row r="336">
          <cell r="A336">
            <v>28</v>
          </cell>
          <cell r="B336">
            <v>2017</v>
          </cell>
          <cell r="C336">
            <v>8300</v>
          </cell>
          <cell r="D336">
            <v>2</v>
          </cell>
          <cell r="E336">
            <v>2</v>
          </cell>
          <cell r="F336">
            <v>2</v>
          </cell>
          <cell r="G336">
            <v>2000</v>
          </cell>
          <cell r="H336">
            <v>2500</v>
          </cell>
          <cell r="I336">
            <v>251</v>
          </cell>
          <cell r="J336">
            <v>1</v>
          </cell>
          <cell r="K336" t="str">
            <v>Productos químicos básicos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 t="str">
            <v>Lote</v>
          </cell>
          <cell r="V336" t="str">
            <v>FC</v>
          </cell>
        </row>
        <row r="337">
          <cell r="A337">
            <v>29</v>
          </cell>
          <cell r="B337">
            <v>2017</v>
          </cell>
          <cell r="C337">
            <v>8300</v>
          </cell>
          <cell r="D337">
            <v>2</v>
          </cell>
          <cell r="E337">
            <v>2</v>
          </cell>
          <cell r="F337">
            <v>2</v>
          </cell>
          <cell r="G337">
            <v>2000</v>
          </cell>
          <cell r="H337">
            <v>2500</v>
          </cell>
          <cell r="I337">
            <v>254</v>
          </cell>
          <cell r="K337" t="str">
            <v>Materiales, accesorios y suministros médicos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</row>
        <row r="338">
          <cell r="A338">
            <v>30</v>
          </cell>
          <cell r="B338">
            <v>2017</v>
          </cell>
          <cell r="C338">
            <v>8300</v>
          </cell>
          <cell r="D338">
            <v>2</v>
          </cell>
          <cell r="E338">
            <v>2</v>
          </cell>
          <cell r="F338">
            <v>2</v>
          </cell>
          <cell r="G338">
            <v>2000</v>
          </cell>
          <cell r="H338">
            <v>2500</v>
          </cell>
          <cell r="I338">
            <v>254</v>
          </cell>
          <cell r="J338">
            <v>1</v>
          </cell>
          <cell r="K338" t="str">
            <v>Materiales, accesorios y suministros médicos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 t="str">
            <v>Lote</v>
          </cell>
          <cell r="V338" t="str">
            <v>FC</v>
          </cell>
        </row>
        <row r="339">
          <cell r="A339">
            <v>31</v>
          </cell>
          <cell r="B339">
            <v>2017</v>
          </cell>
          <cell r="C339">
            <v>8300</v>
          </cell>
          <cell r="D339">
            <v>2</v>
          </cell>
          <cell r="E339">
            <v>2</v>
          </cell>
          <cell r="F339">
            <v>2</v>
          </cell>
          <cell r="G339">
            <v>2000</v>
          </cell>
          <cell r="H339">
            <v>2500</v>
          </cell>
          <cell r="I339">
            <v>255</v>
          </cell>
          <cell r="K339" t="str">
            <v>Materiales, accesorios y suministros de laboratorio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</row>
        <row r="340">
          <cell r="A340">
            <v>32</v>
          </cell>
          <cell r="B340">
            <v>2017</v>
          </cell>
          <cell r="C340">
            <v>8300</v>
          </cell>
          <cell r="D340">
            <v>2</v>
          </cell>
          <cell r="E340">
            <v>2</v>
          </cell>
          <cell r="F340">
            <v>2</v>
          </cell>
          <cell r="G340">
            <v>2000</v>
          </cell>
          <cell r="H340">
            <v>2500</v>
          </cell>
          <cell r="I340">
            <v>255</v>
          </cell>
          <cell r="J340">
            <v>1</v>
          </cell>
          <cell r="K340" t="str">
            <v>Materiales, accesorios y suministros de laboratorio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 t="str">
            <v>Lote</v>
          </cell>
          <cell r="V340" t="str">
            <v>FC</v>
          </cell>
        </row>
        <row r="341">
          <cell r="A341">
            <v>33</v>
          </cell>
          <cell r="B341">
            <v>2017</v>
          </cell>
          <cell r="C341">
            <v>8300</v>
          </cell>
          <cell r="D341">
            <v>2</v>
          </cell>
          <cell r="E341">
            <v>2</v>
          </cell>
          <cell r="F341">
            <v>2</v>
          </cell>
          <cell r="G341">
            <v>2000</v>
          </cell>
          <cell r="H341">
            <v>2500</v>
          </cell>
          <cell r="I341">
            <v>259</v>
          </cell>
          <cell r="K341" t="str">
            <v>Otros productos químicos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</row>
        <row r="342">
          <cell r="A342">
            <v>34</v>
          </cell>
          <cell r="B342">
            <v>2017</v>
          </cell>
          <cell r="C342">
            <v>8300</v>
          </cell>
          <cell r="D342">
            <v>2</v>
          </cell>
          <cell r="E342">
            <v>2</v>
          </cell>
          <cell r="F342">
            <v>2</v>
          </cell>
          <cell r="G342">
            <v>2000</v>
          </cell>
          <cell r="H342">
            <v>2500</v>
          </cell>
          <cell r="I342">
            <v>259</v>
          </cell>
          <cell r="J342">
            <v>1</v>
          </cell>
          <cell r="K342" t="str">
            <v>Otros productos químicos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 t="str">
            <v>Lote</v>
          </cell>
          <cell r="V342" t="str">
            <v>FC</v>
          </cell>
        </row>
        <row r="343">
          <cell r="A343">
            <v>35</v>
          </cell>
          <cell r="B343">
            <v>2017</v>
          </cell>
          <cell r="C343">
            <v>8300</v>
          </cell>
          <cell r="D343">
            <v>2</v>
          </cell>
          <cell r="E343">
            <v>2</v>
          </cell>
          <cell r="F343">
            <v>2</v>
          </cell>
          <cell r="G343">
            <v>2000</v>
          </cell>
          <cell r="H343">
            <v>2600</v>
          </cell>
          <cell r="K343" t="str">
            <v xml:space="preserve"> Combustibles, lubricantes y aditivos</v>
          </cell>
          <cell r="L343">
            <v>0</v>
          </cell>
          <cell r="M343">
            <v>0</v>
          </cell>
          <cell r="N343">
            <v>0</v>
          </cell>
          <cell r="O343">
            <v>357863.32</v>
          </cell>
          <cell r="P343">
            <v>0</v>
          </cell>
          <cell r="Q343">
            <v>357863.32</v>
          </cell>
          <cell r="R343">
            <v>357863.32</v>
          </cell>
        </row>
        <row r="344">
          <cell r="A344">
            <v>36</v>
          </cell>
          <cell r="B344">
            <v>2017</v>
          </cell>
          <cell r="C344">
            <v>8300</v>
          </cell>
          <cell r="D344">
            <v>2</v>
          </cell>
          <cell r="E344">
            <v>2</v>
          </cell>
          <cell r="F344">
            <v>2</v>
          </cell>
          <cell r="G344">
            <v>2000</v>
          </cell>
          <cell r="H344">
            <v>2600</v>
          </cell>
          <cell r="I344">
            <v>261</v>
          </cell>
          <cell r="K344" t="str">
            <v>Combustibles, lubricantes y aditivos</v>
          </cell>
          <cell r="L344">
            <v>0</v>
          </cell>
          <cell r="M344">
            <v>0</v>
          </cell>
          <cell r="N344">
            <v>0</v>
          </cell>
          <cell r="O344">
            <v>357863.32</v>
          </cell>
          <cell r="P344">
            <v>0</v>
          </cell>
          <cell r="Q344">
            <v>357863.32</v>
          </cell>
          <cell r="R344">
            <v>357863.32</v>
          </cell>
        </row>
        <row r="345">
          <cell r="A345">
            <v>37</v>
          </cell>
          <cell r="B345">
            <v>2017</v>
          </cell>
          <cell r="C345">
            <v>8300</v>
          </cell>
          <cell r="D345">
            <v>2</v>
          </cell>
          <cell r="E345">
            <v>2</v>
          </cell>
          <cell r="F345">
            <v>2</v>
          </cell>
          <cell r="G345">
            <v>2000</v>
          </cell>
          <cell r="H345">
            <v>2600</v>
          </cell>
          <cell r="I345">
            <v>261</v>
          </cell>
          <cell r="J345">
            <v>1</v>
          </cell>
          <cell r="K345" t="str">
            <v>Gasolina y diésel</v>
          </cell>
          <cell r="L345">
            <v>0</v>
          </cell>
          <cell r="M345">
            <v>0</v>
          </cell>
          <cell r="N345">
            <v>0</v>
          </cell>
          <cell r="O345">
            <v>357863.32</v>
          </cell>
          <cell r="P345">
            <v>0</v>
          </cell>
          <cell r="Q345">
            <v>357863.32</v>
          </cell>
          <cell r="R345">
            <v>357863.32</v>
          </cell>
          <cell r="S345" t="str">
            <v>Litro</v>
          </cell>
          <cell r="T345">
            <v>32133</v>
          </cell>
          <cell r="V345" t="str">
            <v>AE</v>
          </cell>
        </row>
        <row r="346">
          <cell r="A346">
            <v>38</v>
          </cell>
          <cell r="B346">
            <v>2017</v>
          </cell>
          <cell r="C346">
            <v>8300</v>
          </cell>
          <cell r="D346">
            <v>2</v>
          </cell>
          <cell r="E346">
            <v>2</v>
          </cell>
          <cell r="F346">
            <v>2</v>
          </cell>
          <cell r="G346">
            <v>2000</v>
          </cell>
          <cell r="H346">
            <v>2700</v>
          </cell>
          <cell r="K346" t="str">
            <v>Vestuario, Blancos, Prendas de Protección y Artículos Deportivos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</row>
        <row r="347">
          <cell r="A347">
            <v>39</v>
          </cell>
          <cell r="B347">
            <v>2017</v>
          </cell>
          <cell r="C347">
            <v>8300</v>
          </cell>
          <cell r="D347">
            <v>2</v>
          </cell>
          <cell r="E347">
            <v>2</v>
          </cell>
          <cell r="F347">
            <v>2</v>
          </cell>
          <cell r="G347">
            <v>2000</v>
          </cell>
          <cell r="H347">
            <v>2700</v>
          </cell>
          <cell r="I347">
            <v>271</v>
          </cell>
          <cell r="K347" t="str">
            <v>Vestuario y uniformes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</row>
        <row r="348">
          <cell r="A348">
            <v>40</v>
          </cell>
          <cell r="B348">
            <v>2017</v>
          </cell>
          <cell r="C348">
            <v>8300</v>
          </cell>
          <cell r="D348">
            <v>2</v>
          </cell>
          <cell r="E348">
            <v>2</v>
          </cell>
          <cell r="F348">
            <v>2</v>
          </cell>
          <cell r="G348">
            <v>2000</v>
          </cell>
          <cell r="H348">
            <v>2700</v>
          </cell>
          <cell r="I348">
            <v>271</v>
          </cell>
          <cell r="J348">
            <v>1</v>
          </cell>
          <cell r="K348" t="str">
            <v>Vestuario y uniformes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 t="str">
            <v>Par
Pieza</v>
          </cell>
          <cell r="V348" t="str">
            <v>AE</v>
          </cell>
        </row>
        <row r="349">
          <cell r="A349">
            <v>41</v>
          </cell>
          <cell r="B349">
            <v>2017</v>
          </cell>
          <cell r="C349">
            <v>8300</v>
          </cell>
          <cell r="D349">
            <v>2</v>
          </cell>
          <cell r="E349">
            <v>2</v>
          </cell>
          <cell r="F349">
            <v>2</v>
          </cell>
          <cell r="G349">
            <v>2000</v>
          </cell>
          <cell r="H349">
            <v>2700</v>
          </cell>
          <cell r="I349">
            <v>272</v>
          </cell>
          <cell r="K349" t="str">
            <v>Prendas de seguridad y protección personal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</row>
        <row r="350">
          <cell r="A350">
            <v>42</v>
          </cell>
          <cell r="B350">
            <v>2017</v>
          </cell>
          <cell r="C350">
            <v>8300</v>
          </cell>
          <cell r="D350">
            <v>2</v>
          </cell>
          <cell r="E350">
            <v>2</v>
          </cell>
          <cell r="F350">
            <v>2</v>
          </cell>
          <cell r="G350">
            <v>2000</v>
          </cell>
          <cell r="H350">
            <v>2700</v>
          </cell>
          <cell r="I350">
            <v>272</v>
          </cell>
          <cell r="J350">
            <v>1</v>
          </cell>
          <cell r="K350" t="str">
            <v>Prendas de protección personal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 t="str">
            <v>Pieza</v>
          </cell>
          <cell r="V350" t="str">
            <v>FC</v>
          </cell>
        </row>
        <row r="351">
          <cell r="A351">
            <v>43</v>
          </cell>
          <cell r="B351">
            <v>2017</v>
          </cell>
          <cell r="C351">
            <v>8300</v>
          </cell>
          <cell r="D351">
            <v>2</v>
          </cell>
          <cell r="E351">
            <v>2</v>
          </cell>
          <cell r="F351">
            <v>2</v>
          </cell>
          <cell r="G351">
            <v>2000</v>
          </cell>
          <cell r="H351">
            <v>2700</v>
          </cell>
          <cell r="I351">
            <v>275</v>
          </cell>
          <cell r="K351" t="str">
            <v>Blancos y otros productos textiles, excepto prendas de vestir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</row>
        <row r="352">
          <cell r="A352">
            <v>44</v>
          </cell>
          <cell r="B352">
            <v>2017</v>
          </cell>
          <cell r="C352">
            <v>8300</v>
          </cell>
          <cell r="D352">
            <v>2</v>
          </cell>
          <cell r="E352">
            <v>2</v>
          </cell>
          <cell r="F352">
            <v>2</v>
          </cell>
          <cell r="G352">
            <v>2000</v>
          </cell>
          <cell r="H352">
            <v>2700</v>
          </cell>
          <cell r="I352">
            <v>275</v>
          </cell>
          <cell r="J352">
            <v>1</v>
          </cell>
          <cell r="K352" t="str">
            <v xml:space="preserve">Blancos 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 t="str">
            <v>Pieza
Juego</v>
          </cell>
          <cell r="V352" t="str">
            <v>FC</v>
          </cell>
        </row>
        <row r="353">
          <cell r="A353">
            <v>45</v>
          </cell>
          <cell r="B353">
            <v>2017</v>
          </cell>
          <cell r="C353">
            <v>8300</v>
          </cell>
          <cell r="D353">
            <v>2</v>
          </cell>
          <cell r="E353">
            <v>2</v>
          </cell>
          <cell r="F353">
            <v>2</v>
          </cell>
          <cell r="G353">
            <v>2000</v>
          </cell>
          <cell r="H353">
            <v>2900</v>
          </cell>
          <cell r="K353" t="str">
            <v>Herramientas, refacciones y accesorios menores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</row>
        <row r="354">
          <cell r="A354">
            <v>46</v>
          </cell>
          <cell r="B354">
            <v>2017</v>
          </cell>
          <cell r="C354">
            <v>8301</v>
          </cell>
          <cell r="D354">
            <v>2</v>
          </cell>
          <cell r="E354">
            <v>2</v>
          </cell>
          <cell r="F354">
            <v>2</v>
          </cell>
          <cell r="G354">
            <v>2000</v>
          </cell>
          <cell r="H354">
            <v>2900</v>
          </cell>
          <cell r="I354">
            <v>291</v>
          </cell>
          <cell r="K354" t="str">
            <v>Herramientas menores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</row>
        <row r="355">
          <cell r="A355">
            <v>47</v>
          </cell>
          <cell r="B355">
            <v>2017</v>
          </cell>
          <cell r="C355">
            <v>8300</v>
          </cell>
          <cell r="D355">
            <v>2</v>
          </cell>
          <cell r="E355">
            <v>2</v>
          </cell>
          <cell r="F355">
            <v>2</v>
          </cell>
          <cell r="G355">
            <v>2000</v>
          </cell>
          <cell r="H355">
            <v>2900</v>
          </cell>
          <cell r="I355">
            <v>291</v>
          </cell>
          <cell r="J355">
            <v>1</v>
          </cell>
          <cell r="K355" t="str">
            <v>Cronómetro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 t="str">
            <v>Pieza</v>
          </cell>
          <cell r="V355" t="str">
            <v>AE</v>
          </cell>
        </row>
        <row r="356">
          <cell r="A356">
            <v>48</v>
          </cell>
          <cell r="B356">
            <v>2017</v>
          </cell>
          <cell r="C356">
            <v>8300</v>
          </cell>
          <cell r="D356">
            <v>2</v>
          </cell>
          <cell r="E356">
            <v>2</v>
          </cell>
          <cell r="F356">
            <v>2</v>
          </cell>
          <cell r="G356">
            <v>2000</v>
          </cell>
          <cell r="H356">
            <v>2900</v>
          </cell>
          <cell r="I356">
            <v>291</v>
          </cell>
          <cell r="J356">
            <v>2</v>
          </cell>
          <cell r="K356" t="str">
            <v xml:space="preserve">Detector de metales 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 t="str">
            <v>Pieza</v>
          </cell>
          <cell r="V356" t="str">
            <v>AE</v>
          </cell>
        </row>
        <row r="357">
          <cell r="A357">
            <v>49</v>
          </cell>
          <cell r="B357">
            <v>2017</v>
          </cell>
          <cell r="C357">
            <v>8300</v>
          </cell>
          <cell r="D357">
            <v>2</v>
          </cell>
          <cell r="E357">
            <v>2</v>
          </cell>
          <cell r="F357">
            <v>2</v>
          </cell>
          <cell r="G357">
            <v>2000</v>
          </cell>
          <cell r="H357">
            <v>2900</v>
          </cell>
          <cell r="I357">
            <v>294</v>
          </cell>
          <cell r="K357" t="str">
            <v>Refacciones y accesorios menores de equipo de cómputo y tecnologías de la información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</row>
        <row r="358">
          <cell r="A358">
            <v>50</v>
          </cell>
          <cell r="B358">
            <v>2017</v>
          </cell>
          <cell r="C358">
            <v>8300</v>
          </cell>
          <cell r="D358">
            <v>2</v>
          </cell>
          <cell r="E358">
            <v>2</v>
          </cell>
          <cell r="F358">
            <v>2</v>
          </cell>
          <cell r="G358">
            <v>2000</v>
          </cell>
          <cell r="H358">
            <v>2900</v>
          </cell>
          <cell r="I358">
            <v>294</v>
          </cell>
          <cell r="J358">
            <v>1</v>
          </cell>
          <cell r="K358" t="str">
            <v>Refacciones y accesorios para equipo de cómputo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 t="str">
            <v>Pieza</v>
          </cell>
          <cell r="V358" t="str">
            <v>AE</v>
          </cell>
        </row>
        <row r="359">
          <cell r="A359">
            <v>51</v>
          </cell>
          <cell r="B359">
            <v>2017</v>
          </cell>
          <cell r="C359">
            <v>8300</v>
          </cell>
          <cell r="D359">
            <v>2</v>
          </cell>
          <cell r="E359">
            <v>2</v>
          </cell>
          <cell r="F359">
            <v>2</v>
          </cell>
          <cell r="G359">
            <v>3000</v>
          </cell>
          <cell r="K359" t="str">
            <v>SERVICIOS GENERALES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</row>
        <row r="360">
          <cell r="A360">
            <v>52</v>
          </cell>
          <cell r="B360">
            <v>2017</v>
          </cell>
          <cell r="C360">
            <v>8300</v>
          </cell>
          <cell r="D360">
            <v>2</v>
          </cell>
          <cell r="E360">
            <v>2</v>
          </cell>
          <cell r="F360">
            <v>2</v>
          </cell>
          <cell r="G360">
            <v>3000</v>
          </cell>
          <cell r="H360">
            <v>3100</v>
          </cell>
          <cell r="K360" t="str">
            <v>Servicios Básicos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</row>
        <row r="361">
          <cell r="A361">
            <v>53</v>
          </cell>
          <cell r="B361">
            <v>2017</v>
          </cell>
          <cell r="C361">
            <v>8300</v>
          </cell>
          <cell r="D361">
            <v>2</v>
          </cell>
          <cell r="E361">
            <v>2</v>
          </cell>
          <cell r="F361">
            <v>2</v>
          </cell>
          <cell r="G361">
            <v>3000</v>
          </cell>
          <cell r="H361">
            <v>3100</v>
          </cell>
          <cell r="I361">
            <v>311</v>
          </cell>
          <cell r="K361" t="str">
            <v>Energía eléctrica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</row>
        <row r="362">
          <cell r="A362">
            <v>54</v>
          </cell>
          <cell r="B362">
            <v>2017</v>
          </cell>
          <cell r="C362">
            <v>8300</v>
          </cell>
          <cell r="D362">
            <v>2</v>
          </cell>
          <cell r="E362">
            <v>2</v>
          </cell>
          <cell r="F362">
            <v>2</v>
          </cell>
          <cell r="G362">
            <v>3000</v>
          </cell>
          <cell r="H362">
            <v>3100</v>
          </cell>
          <cell r="I362">
            <v>311</v>
          </cell>
          <cell r="J362">
            <v>1</v>
          </cell>
          <cell r="K362" t="str">
            <v>Servicio de energía eléctrica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 t="str">
            <v>Servicio</v>
          </cell>
          <cell r="V362" t="str">
            <v>AE</v>
          </cell>
        </row>
        <row r="363">
          <cell r="A363">
            <v>55</v>
          </cell>
          <cell r="B363">
            <v>2017</v>
          </cell>
          <cell r="C363">
            <v>8300</v>
          </cell>
          <cell r="D363">
            <v>2</v>
          </cell>
          <cell r="E363">
            <v>2</v>
          </cell>
          <cell r="F363">
            <v>2</v>
          </cell>
          <cell r="G363">
            <v>3000</v>
          </cell>
          <cell r="H363">
            <v>3100</v>
          </cell>
          <cell r="I363">
            <v>317</v>
          </cell>
          <cell r="K363" t="str">
            <v>Servicios de Acceso de Internet, redes y procesamiento de información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</row>
        <row r="364">
          <cell r="A364">
            <v>56</v>
          </cell>
          <cell r="B364">
            <v>2017</v>
          </cell>
          <cell r="C364">
            <v>8300</v>
          </cell>
          <cell r="D364">
            <v>2</v>
          </cell>
          <cell r="E364">
            <v>2</v>
          </cell>
          <cell r="F364">
            <v>2</v>
          </cell>
          <cell r="G364">
            <v>3000</v>
          </cell>
          <cell r="H364">
            <v>3100</v>
          </cell>
          <cell r="I364">
            <v>317</v>
          </cell>
          <cell r="J364">
            <v>1</v>
          </cell>
          <cell r="K364" t="str">
            <v>Enlaces digitales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 t="str">
            <v>Servicio</v>
          </cell>
          <cell r="V364" t="str">
            <v>FC</v>
          </cell>
        </row>
        <row r="365">
          <cell r="A365">
            <v>57</v>
          </cell>
          <cell r="B365">
            <v>2017</v>
          </cell>
          <cell r="C365">
            <v>8300</v>
          </cell>
          <cell r="D365">
            <v>2</v>
          </cell>
          <cell r="E365">
            <v>2</v>
          </cell>
          <cell r="F365">
            <v>2</v>
          </cell>
          <cell r="G365">
            <v>3000</v>
          </cell>
          <cell r="H365">
            <v>3200</v>
          </cell>
          <cell r="K365" t="str">
            <v>Servicios de arrendamiento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</row>
        <row r="366">
          <cell r="A366">
            <v>58</v>
          </cell>
          <cell r="B366">
            <v>2017</v>
          </cell>
          <cell r="C366">
            <v>8300</v>
          </cell>
          <cell r="D366">
            <v>2</v>
          </cell>
          <cell r="E366">
            <v>2</v>
          </cell>
          <cell r="F366">
            <v>2</v>
          </cell>
          <cell r="G366">
            <v>3000</v>
          </cell>
          <cell r="H366">
            <v>3200</v>
          </cell>
          <cell r="I366">
            <v>327</v>
          </cell>
          <cell r="K366" t="str">
            <v>Arrendamiento de activos intangibles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</row>
        <row r="367">
          <cell r="A367">
            <v>59</v>
          </cell>
          <cell r="B367">
            <v>2017</v>
          </cell>
          <cell r="C367">
            <v>8300</v>
          </cell>
          <cell r="D367">
            <v>2</v>
          </cell>
          <cell r="E367">
            <v>2</v>
          </cell>
          <cell r="F367">
            <v>2</v>
          </cell>
          <cell r="G367">
            <v>3000</v>
          </cell>
          <cell r="H367">
            <v>3200</v>
          </cell>
          <cell r="I367">
            <v>327</v>
          </cell>
          <cell r="J367">
            <v>1</v>
          </cell>
          <cell r="K367" t="str">
            <v>Actualización de licencias de software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 t="str">
            <v>Servicio</v>
          </cell>
          <cell r="V367" t="str">
            <v>AE</v>
          </cell>
        </row>
        <row r="368">
          <cell r="A368">
            <v>60</v>
          </cell>
          <cell r="B368">
            <v>2017</v>
          </cell>
          <cell r="C368">
            <v>8300</v>
          </cell>
          <cell r="D368">
            <v>2</v>
          </cell>
          <cell r="E368">
            <v>2</v>
          </cell>
          <cell r="F368">
            <v>2</v>
          </cell>
          <cell r="G368">
            <v>3000</v>
          </cell>
          <cell r="H368">
            <v>3300</v>
          </cell>
          <cell r="K368" t="str">
            <v>Servicios Profesionales, Científicos, Técnicos y Otros Servicios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</row>
        <row r="369">
          <cell r="A369">
            <v>61</v>
          </cell>
          <cell r="B369">
            <v>2017</v>
          </cell>
          <cell r="C369">
            <v>8300</v>
          </cell>
          <cell r="D369">
            <v>2</v>
          </cell>
          <cell r="E369">
            <v>2</v>
          </cell>
          <cell r="F369">
            <v>2</v>
          </cell>
          <cell r="G369">
            <v>3000</v>
          </cell>
          <cell r="H369">
            <v>3300</v>
          </cell>
          <cell r="I369">
            <v>336</v>
          </cell>
          <cell r="K369" t="str">
            <v>Servicios de Apoyo Administrativo, traducción, fotocopiado e impresión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</row>
        <row r="370">
          <cell r="A370">
            <v>62</v>
          </cell>
          <cell r="B370">
            <v>2017</v>
          </cell>
          <cell r="C370">
            <v>8300</v>
          </cell>
          <cell r="D370">
            <v>2</v>
          </cell>
          <cell r="E370">
            <v>2</v>
          </cell>
          <cell r="F370">
            <v>2</v>
          </cell>
          <cell r="G370">
            <v>3000</v>
          </cell>
          <cell r="H370">
            <v>3300</v>
          </cell>
          <cell r="I370">
            <v>336</v>
          </cell>
          <cell r="J370">
            <v>1</v>
          </cell>
          <cell r="K370" t="str">
            <v>Programa de aseguramiento de calidad, para el laboratorio clínico (Certificación Pacal)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 t="str">
            <v>Servicio</v>
          </cell>
          <cell r="V370" t="str">
            <v>AE</v>
          </cell>
        </row>
        <row r="371">
          <cell r="A371">
            <v>63</v>
          </cell>
          <cell r="B371">
            <v>2017</v>
          </cell>
          <cell r="C371">
            <v>8300</v>
          </cell>
          <cell r="D371">
            <v>2</v>
          </cell>
          <cell r="E371">
            <v>2</v>
          </cell>
          <cell r="F371">
            <v>2</v>
          </cell>
          <cell r="G371">
            <v>3000</v>
          </cell>
          <cell r="H371">
            <v>3300</v>
          </cell>
          <cell r="I371">
            <v>339</v>
          </cell>
          <cell r="K371" t="str">
            <v>Servicios profesionales, científicos y técnicos integrales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</row>
        <row r="372">
          <cell r="A372">
            <v>64</v>
          </cell>
          <cell r="B372">
            <v>2017</v>
          </cell>
          <cell r="C372">
            <v>8300</v>
          </cell>
          <cell r="D372">
            <v>2</v>
          </cell>
          <cell r="E372">
            <v>2</v>
          </cell>
          <cell r="F372">
            <v>2</v>
          </cell>
          <cell r="G372">
            <v>3000</v>
          </cell>
          <cell r="H372">
            <v>3300</v>
          </cell>
          <cell r="I372">
            <v>339</v>
          </cell>
          <cell r="J372">
            <v>1</v>
          </cell>
          <cell r="K372" t="str">
            <v>Certificación de elementos</v>
          </cell>
          <cell r="M372">
            <v>0</v>
          </cell>
          <cell r="N372">
            <v>0</v>
          </cell>
          <cell r="P372">
            <v>0</v>
          </cell>
          <cell r="Q372">
            <v>0</v>
          </cell>
          <cell r="S372" t="str">
            <v>Servicio</v>
          </cell>
          <cell r="V372" t="str">
            <v>FC/FM</v>
          </cell>
        </row>
        <row r="373">
          <cell r="A373">
            <v>65</v>
          </cell>
          <cell r="B373">
            <v>2017</v>
          </cell>
          <cell r="C373">
            <v>8300</v>
          </cell>
          <cell r="D373">
            <v>2</v>
          </cell>
          <cell r="E373">
            <v>2</v>
          </cell>
          <cell r="F373">
            <v>2</v>
          </cell>
          <cell r="G373">
            <v>3000</v>
          </cell>
          <cell r="H373">
            <v>3300</v>
          </cell>
          <cell r="I373">
            <v>339</v>
          </cell>
          <cell r="J373">
            <v>2</v>
          </cell>
          <cell r="K373" t="str">
            <v>Evaluaciones de permanencia/nuevo ingreso</v>
          </cell>
          <cell r="M373">
            <v>0</v>
          </cell>
          <cell r="N373">
            <v>0</v>
          </cell>
          <cell r="P373">
            <v>0</v>
          </cell>
          <cell r="Q373">
            <v>0</v>
          </cell>
          <cell r="S373" t="str">
            <v>Servicio</v>
          </cell>
          <cell r="V373" t="str">
            <v>FC/FM</v>
          </cell>
        </row>
        <row r="374">
          <cell r="A374">
            <v>66</v>
          </cell>
          <cell r="B374">
            <v>2017</v>
          </cell>
          <cell r="C374">
            <v>8300</v>
          </cell>
          <cell r="D374">
            <v>2</v>
          </cell>
          <cell r="E374">
            <v>2</v>
          </cell>
          <cell r="F374">
            <v>2</v>
          </cell>
          <cell r="G374">
            <v>3000</v>
          </cell>
          <cell r="H374">
            <v>3300</v>
          </cell>
          <cell r="I374">
            <v>339</v>
          </cell>
          <cell r="J374">
            <v>3</v>
          </cell>
          <cell r="K374" t="str">
            <v>Evaluación para la licencia colectiva de portación de armas de fuego</v>
          </cell>
          <cell r="M374">
            <v>0</v>
          </cell>
          <cell r="N374">
            <v>0</v>
          </cell>
          <cell r="P374">
            <v>0</v>
          </cell>
          <cell r="Q374">
            <v>0</v>
          </cell>
          <cell r="S374" t="str">
            <v>Servicio</v>
          </cell>
          <cell r="V374" t="str">
            <v>FC/FM</v>
          </cell>
        </row>
        <row r="375">
          <cell r="A375">
            <v>67</v>
          </cell>
          <cell r="B375">
            <v>2017</v>
          </cell>
          <cell r="C375">
            <v>8300</v>
          </cell>
          <cell r="D375">
            <v>2</v>
          </cell>
          <cell r="E375">
            <v>2</v>
          </cell>
          <cell r="F375">
            <v>2</v>
          </cell>
          <cell r="G375">
            <v>3000</v>
          </cell>
          <cell r="H375">
            <v>3300</v>
          </cell>
          <cell r="I375">
            <v>339</v>
          </cell>
          <cell r="J375">
            <v>4</v>
          </cell>
          <cell r="K375" t="str">
            <v>Subcontratación de eliminación de RPBI´s</v>
          </cell>
          <cell r="M375">
            <v>0</v>
          </cell>
          <cell r="N375">
            <v>0</v>
          </cell>
          <cell r="P375">
            <v>0</v>
          </cell>
          <cell r="Q375">
            <v>0</v>
          </cell>
          <cell r="S375" t="str">
            <v>Servicio</v>
          </cell>
          <cell r="V375" t="str">
            <v>AE</v>
          </cell>
        </row>
        <row r="376">
          <cell r="A376">
            <v>68</v>
          </cell>
          <cell r="B376">
            <v>2017</v>
          </cell>
          <cell r="C376">
            <v>8300</v>
          </cell>
          <cell r="D376">
            <v>2</v>
          </cell>
          <cell r="E376">
            <v>2</v>
          </cell>
          <cell r="F376">
            <v>2</v>
          </cell>
          <cell r="G376">
            <v>3000</v>
          </cell>
          <cell r="H376">
            <v>3300</v>
          </cell>
          <cell r="I376">
            <v>339</v>
          </cell>
          <cell r="J376">
            <v>5</v>
          </cell>
          <cell r="K376" t="str">
            <v>Subcontratación de servicios con terceros</v>
          </cell>
          <cell r="L376">
            <v>0</v>
          </cell>
          <cell r="M376">
            <v>0</v>
          </cell>
          <cell r="N376">
            <v>0</v>
          </cell>
          <cell r="P376">
            <v>0</v>
          </cell>
          <cell r="Q376">
            <v>0</v>
          </cell>
          <cell r="S376" t="str">
            <v>Servicio</v>
          </cell>
          <cell r="V376" t="str">
            <v>FC</v>
          </cell>
        </row>
        <row r="377">
          <cell r="A377">
            <v>69</v>
          </cell>
          <cell r="B377">
            <v>2017</v>
          </cell>
          <cell r="C377">
            <v>8300</v>
          </cell>
          <cell r="D377">
            <v>2</v>
          </cell>
          <cell r="E377">
            <v>2</v>
          </cell>
          <cell r="F377">
            <v>2</v>
          </cell>
          <cell r="G377">
            <v>3000</v>
          </cell>
          <cell r="H377">
            <v>3400</v>
          </cell>
          <cell r="K377" t="str">
            <v>Servicios Financieros, Bancarios y Comerciales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</row>
        <row r="378">
          <cell r="A378">
            <v>70</v>
          </cell>
          <cell r="B378">
            <v>2017</v>
          </cell>
          <cell r="C378">
            <v>8300</v>
          </cell>
          <cell r="D378">
            <v>2</v>
          </cell>
          <cell r="E378">
            <v>2</v>
          </cell>
          <cell r="F378">
            <v>2</v>
          </cell>
          <cell r="G378">
            <v>3000</v>
          </cell>
          <cell r="H378">
            <v>3400</v>
          </cell>
          <cell r="I378">
            <v>345</v>
          </cell>
          <cell r="K378" t="str">
            <v>Seguro de bienes patrimoniales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</row>
        <row r="379">
          <cell r="A379">
            <v>71</v>
          </cell>
          <cell r="B379">
            <v>2017</v>
          </cell>
          <cell r="C379">
            <v>8300</v>
          </cell>
          <cell r="D379">
            <v>2</v>
          </cell>
          <cell r="E379">
            <v>2</v>
          </cell>
          <cell r="F379">
            <v>2</v>
          </cell>
          <cell r="G379">
            <v>3000</v>
          </cell>
          <cell r="H379">
            <v>3400</v>
          </cell>
          <cell r="I379">
            <v>345</v>
          </cell>
          <cell r="J379">
            <v>1</v>
          </cell>
          <cell r="K379" t="str">
            <v>Seguro de bienes patrimoniales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 t="str">
            <v>Servicio</v>
          </cell>
          <cell r="V379" t="str">
            <v>AE</v>
          </cell>
        </row>
        <row r="380">
          <cell r="A380">
            <v>72</v>
          </cell>
          <cell r="B380">
            <v>2017</v>
          </cell>
          <cell r="C380">
            <v>8300</v>
          </cell>
          <cell r="D380">
            <v>2</v>
          </cell>
          <cell r="E380">
            <v>2</v>
          </cell>
          <cell r="F380">
            <v>2</v>
          </cell>
          <cell r="G380">
            <v>3000</v>
          </cell>
          <cell r="H380">
            <v>3500</v>
          </cell>
          <cell r="K380" t="str">
            <v>Servicios de Instalación, Reparación, Mantenimiento y Conservación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</row>
        <row r="381">
          <cell r="A381">
            <v>73</v>
          </cell>
          <cell r="B381">
            <v>2017</v>
          </cell>
          <cell r="C381">
            <v>8300</v>
          </cell>
          <cell r="D381">
            <v>2</v>
          </cell>
          <cell r="E381">
            <v>2</v>
          </cell>
          <cell r="F381">
            <v>2</v>
          </cell>
          <cell r="G381">
            <v>3000</v>
          </cell>
          <cell r="H381">
            <v>3500</v>
          </cell>
          <cell r="I381">
            <v>354</v>
          </cell>
          <cell r="K381" t="str">
            <v>Instalación , reparación y mantenimiento de equipo e instrumental médico y de laboratorio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</row>
        <row r="382">
          <cell r="A382">
            <v>74</v>
          </cell>
          <cell r="B382">
            <v>2017</v>
          </cell>
          <cell r="C382">
            <v>8300</v>
          </cell>
          <cell r="D382">
            <v>2</v>
          </cell>
          <cell r="E382">
            <v>2</v>
          </cell>
          <cell r="F382">
            <v>2</v>
          </cell>
          <cell r="G382">
            <v>3000</v>
          </cell>
          <cell r="H382">
            <v>3500</v>
          </cell>
          <cell r="I382">
            <v>354</v>
          </cell>
          <cell r="J382">
            <v>1</v>
          </cell>
          <cell r="K382" t="str">
            <v>Instalación, reparación y mantenimiento de equipo e instrumental médico y de laboratorio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 t="str">
            <v>Servicio</v>
          </cell>
          <cell r="V382" t="str">
            <v>AE</v>
          </cell>
        </row>
        <row r="383">
          <cell r="A383">
            <v>75</v>
          </cell>
          <cell r="B383">
            <v>2017</v>
          </cell>
          <cell r="C383">
            <v>8300</v>
          </cell>
          <cell r="D383">
            <v>2</v>
          </cell>
          <cell r="E383">
            <v>2</v>
          </cell>
          <cell r="F383">
            <v>2</v>
          </cell>
          <cell r="G383">
            <v>3000</v>
          </cell>
          <cell r="H383">
            <v>3500</v>
          </cell>
          <cell r="I383">
            <v>357</v>
          </cell>
          <cell r="K383" t="str">
            <v>Instalación, reparación y mantenimiento de maquinaria, otros equipos y herramienta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</row>
        <row r="384">
          <cell r="A384">
            <v>76</v>
          </cell>
          <cell r="B384">
            <v>2017</v>
          </cell>
          <cell r="C384">
            <v>8300</v>
          </cell>
          <cell r="D384">
            <v>2</v>
          </cell>
          <cell r="E384">
            <v>2</v>
          </cell>
          <cell r="F384">
            <v>2</v>
          </cell>
          <cell r="G384">
            <v>3000</v>
          </cell>
          <cell r="H384">
            <v>3500</v>
          </cell>
          <cell r="I384">
            <v>357</v>
          </cell>
          <cell r="J384">
            <v>1</v>
          </cell>
          <cell r="K384" t="str">
            <v>Mantenimiento y conservación de maquinaria y equipo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 t="str">
            <v>Póliza</v>
          </cell>
          <cell r="V384" t="str">
            <v>AE</v>
          </cell>
        </row>
        <row r="385">
          <cell r="A385">
            <v>77</v>
          </cell>
          <cell r="B385">
            <v>2017</v>
          </cell>
          <cell r="C385">
            <v>8300</v>
          </cell>
          <cell r="D385">
            <v>2</v>
          </cell>
          <cell r="E385">
            <v>2</v>
          </cell>
          <cell r="F385">
            <v>2</v>
          </cell>
          <cell r="G385">
            <v>3000</v>
          </cell>
          <cell r="H385">
            <v>3700</v>
          </cell>
          <cell r="K385" t="str">
            <v>Servicios de Traslado y Viáticos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</row>
        <row r="386">
          <cell r="A386">
            <v>78</v>
          </cell>
          <cell r="B386">
            <v>2017</v>
          </cell>
          <cell r="C386">
            <v>8300</v>
          </cell>
          <cell r="D386">
            <v>2</v>
          </cell>
          <cell r="E386">
            <v>2</v>
          </cell>
          <cell r="F386">
            <v>2</v>
          </cell>
          <cell r="G386">
            <v>3000</v>
          </cell>
          <cell r="H386">
            <v>3700</v>
          </cell>
          <cell r="I386">
            <v>371</v>
          </cell>
          <cell r="K386" t="str">
            <v>Pasajes aéreos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</row>
        <row r="387">
          <cell r="A387">
            <v>79</v>
          </cell>
          <cell r="B387">
            <v>2017</v>
          </cell>
          <cell r="C387">
            <v>8300</v>
          </cell>
          <cell r="D387">
            <v>2</v>
          </cell>
          <cell r="E387">
            <v>2</v>
          </cell>
          <cell r="F387">
            <v>2</v>
          </cell>
          <cell r="G387">
            <v>3000</v>
          </cell>
          <cell r="H387">
            <v>3700</v>
          </cell>
          <cell r="I387">
            <v>371</v>
          </cell>
          <cell r="J387">
            <v>1</v>
          </cell>
          <cell r="K387" t="str">
            <v xml:space="preserve">Pasajes aéreos nacionales 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 t="str">
            <v>Traslado</v>
          </cell>
          <cell r="V387" t="str">
            <v>AE</v>
          </cell>
        </row>
        <row r="388">
          <cell r="A388">
            <v>80</v>
          </cell>
          <cell r="B388">
            <v>2017</v>
          </cell>
          <cell r="C388">
            <v>8300</v>
          </cell>
          <cell r="D388">
            <v>2</v>
          </cell>
          <cell r="E388">
            <v>2</v>
          </cell>
          <cell r="F388">
            <v>2</v>
          </cell>
          <cell r="G388">
            <v>3000</v>
          </cell>
          <cell r="H388">
            <v>3700</v>
          </cell>
          <cell r="I388">
            <v>372</v>
          </cell>
          <cell r="K388" t="str">
            <v>Pasajes terrestres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</row>
        <row r="389">
          <cell r="A389">
            <v>81</v>
          </cell>
          <cell r="B389">
            <v>2017</v>
          </cell>
          <cell r="C389">
            <v>8300</v>
          </cell>
          <cell r="D389">
            <v>2</v>
          </cell>
          <cell r="E389">
            <v>2</v>
          </cell>
          <cell r="F389">
            <v>2</v>
          </cell>
          <cell r="G389">
            <v>3000</v>
          </cell>
          <cell r="H389">
            <v>3700</v>
          </cell>
          <cell r="I389">
            <v>372</v>
          </cell>
          <cell r="J389">
            <v>1</v>
          </cell>
          <cell r="K389" t="str">
            <v xml:space="preserve">Pasajes terrestres nacionales 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 t="str">
            <v>Traslado</v>
          </cell>
          <cell r="V389" t="str">
            <v>AE</v>
          </cell>
        </row>
        <row r="390">
          <cell r="A390">
            <v>82</v>
          </cell>
          <cell r="B390">
            <v>2017</v>
          </cell>
          <cell r="C390">
            <v>8300</v>
          </cell>
          <cell r="D390">
            <v>2</v>
          </cell>
          <cell r="E390">
            <v>2</v>
          </cell>
          <cell r="F390">
            <v>2</v>
          </cell>
          <cell r="G390">
            <v>3000</v>
          </cell>
          <cell r="H390">
            <v>3700</v>
          </cell>
          <cell r="I390">
            <v>375</v>
          </cell>
          <cell r="K390" t="str">
            <v>Viáticos en el país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</row>
        <row r="391">
          <cell r="A391">
            <v>83</v>
          </cell>
          <cell r="B391">
            <v>2017</v>
          </cell>
          <cell r="C391">
            <v>8300</v>
          </cell>
          <cell r="D391">
            <v>2</v>
          </cell>
          <cell r="E391">
            <v>2</v>
          </cell>
          <cell r="F391">
            <v>2</v>
          </cell>
          <cell r="G391">
            <v>3000</v>
          </cell>
          <cell r="H391">
            <v>3700</v>
          </cell>
          <cell r="I391">
            <v>375</v>
          </cell>
          <cell r="J391">
            <v>1</v>
          </cell>
          <cell r="K391" t="str">
            <v xml:space="preserve">Viáticos nacionales 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 t="str">
            <v>Traslado</v>
          </cell>
          <cell r="V391" t="str">
            <v>AE</v>
          </cell>
        </row>
        <row r="392">
          <cell r="A392">
            <v>84</v>
          </cell>
          <cell r="B392">
            <v>2017</v>
          </cell>
          <cell r="C392">
            <v>8300</v>
          </cell>
          <cell r="D392">
            <v>2</v>
          </cell>
          <cell r="E392">
            <v>2</v>
          </cell>
          <cell r="F392">
            <v>2</v>
          </cell>
          <cell r="G392">
            <v>5000</v>
          </cell>
          <cell r="K392" t="str">
            <v>BIENES MUEBLES, INMUEBLES E INTANGIBLES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</row>
        <row r="393">
          <cell r="A393">
            <v>85</v>
          </cell>
          <cell r="B393">
            <v>2017</v>
          </cell>
          <cell r="C393">
            <v>8300</v>
          </cell>
          <cell r="D393">
            <v>2</v>
          </cell>
          <cell r="E393">
            <v>2</v>
          </cell>
          <cell r="F393">
            <v>2</v>
          </cell>
          <cell r="G393">
            <v>5000</v>
          </cell>
          <cell r="H393">
            <v>5100</v>
          </cell>
          <cell r="K393" t="str">
            <v>Mobiliario y Equipo de Administración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</row>
        <row r="394">
          <cell r="A394">
            <v>86</v>
          </cell>
          <cell r="B394">
            <v>2017</v>
          </cell>
          <cell r="C394">
            <v>8300</v>
          </cell>
          <cell r="D394">
            <v>2</v>
          </cell>
          <cell r="E394">
            <v>2</v>
          </cell>
          <cell r="F394">
            <v>2</v>
          </cell>
          <cell r="G394">
            <v>5000</v>
          </cell>
          <cell r="H394">
            <v>5100</v>
          </cell>
          <cell r="I394">
            <v>511</v>
          </cell>
          <cell r="K394" t="str">
            <v>Muebles de oficina y estantería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</row>
        <row r="395">
          <cell r="A395">
            <v>87</v>
          </cell>
          <cell r="B395">
            <v>2017</v>
          </cell>
          <cell r="C395">
            <v>8300</v>
          </cell>
          <cell r="D395">
            <v>2</v>
          </cell>
          <cell r="E395">
            <v>2</v>
          </cell>
          <cell r="F395">
            <v>2</v>
          </cell>
          <cell r="G395">
            <v>5000</v>
          </cell>
          <cell r="H395">
            <v>5100</v>
          </cell>
          <cell r="I395">
            <v>511</v>
          </cell>
          <cell r="J395">
            <v>1</v>
          </cell>
          <cell r="K395" t="str">
            <v>Anaquel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 t="str">
            <v>Pieza</v>
          </cell>
          <cell r="V395" t="str">
            <v>FC</v>
          </cell>
        </row>
        <row r="396">
          <cell r="A396">
            <v>88</v>
          </cell>
          <cell r="B396">
            <v>2017</v>
          </cell>
          <cell r="C396">
            <v>8300</v>
          </cell>
          <cell r="D396">
            <v>2</v>
          </cell>
          <cell r="E396">
            <v>2</v>
          </cell>
          <cell r="F396">
            <v>2</v>
          </cell>
          <cell r="G396">
            <v>5000</v>
          </cell>
          <cell r="H396">
            <v>5100</v>
          </cell>
          <cell r="I396">
            <v>511</v>
          </cell>
          <cell r="J396">
            <v>2</v>
          </cell>
          <cell r="K396" t="str">
            <v>Archivero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 t="str">
            <v>Pieza</v>
          </cell>
          <cell r="V396" t="str">
            <v>FC</v>
          </cell>
        </row>
        <row r="397">
          <cell r="A397">
            <v>89</v>
          </cell>
          <cell r="B397">
            <v>2017</v>
          </cell>
          <cell r="C397">
            <v>8300</v>
          </cell>
          <cell r="D397">
            <v>2</v>
          </cell>
          <cell r="E397">
            <v>2</v>
          </cell>
          <cell r="F397">
            <v>2</v>
          </cell>
          <cell r="G397">
            <v>5000</v>
          </cell>
          <cell r="H397">
            <v>5100</v>
          </cell>
          <cell r="I397">
            <v>511</v>
          </cell>
          <cell r="J397">
            <v>3</v>
          </cell>
          <cell r="K397" t="str">
            <v>Archivo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 t="str">
            <v>Pieza</v>
          </cell>
          <cell r="V397" t="str">
            <v>FC</v>
          </cell>
        </row>
        <row r="398">
          <cell r="A398">
            <v>90</v>
          </cell>
          <cell r="B398">
            <v>2017</v>
          </cell>
          <cell r="C398">
            <v>8300</v>
          </cell>
          <cell r="D398">
            <v>2</v>
          </cell>
          <cell r="E398">
            <v>2</v>
          </cell>
          <cell r="F398">
            <v>2</v>
          </cell>
          <cell r="G398">
            <v>5000</v>
          </cell>
          <cell r="H398">
            <v>5100</v>
          </cell>
          <cell r="I398">
            <v>511</v>
          </cell>
          <cell r="J398">
            <v>4</v>
          </cell>
          <cell r="K398" t="str">
            <v>Butaca con paleta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 t="str">
            <v>Pieza</v>
          </cell>
          <cell r="V398" t="str">
            <v>FC</v>
          </cell>
        </row>
        <row r="399">
          <cell r="A399">
            <v>91</v>
          </cell>
          <cell r="B399">
            <v>2017</v>
          </cell>
          <cell r="C399">
            <v>8300</v>
          </cell>
          <cell r="D399">
            <v>2</v>
          </cell>
          <cell r="E399">
            <v>2</v>
          </cell>
          <cell r="F399">
            <v>2</v>
          </cell>
          <cell r="G399">
            <v>5000</v>
          </cell>
          <cell r="H399">
            <v>5100</v>
          </cell>
          <cell r="I399">
            <v>511</v>
          </cell>
          <cell r="J399">
            <v>5</v>
          </cell>
          <cell r="K399" t="str">
            <v>Cajonera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 t="str">
            <v>Pieza</v>
          </cell>
          <cell r="V399" t="str">
            <v>FC</v>
          </cell>
        </row>
        <row r="400">
          <cell r="A400">
            <v>92</v>
          </cell>
          <cell r="B400">
            <v>2017</v>
          </cell>
          <cell r="C400">
            <v>8300</v>
          </cell>
          <cell r="D400">
            <v>2</v>
          </cell>
          <cell r="E400">
            <v>2</v>
          </cell>
          <cell r="F400">
            <v>2</v>
          </cell>
          <cell r="G400">
            <v>5000</v>
          </cell>
          <cell r="H400">
            <v>5100</v>
          </cell>
          <cell r="I400">
            <v>511</v>
          </cell>
          <cell r="J400">
            <v>6</v>
          </cell>
          <cell r="K400" t="str">
            <v>Casillero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 t="str">
            <v>Pieza</v>
          </cell>
          <cell r="V400" t="str">
            <v>FC</v>
          </cell>
        </row>
        <row r="401">
          <cell r="A401">
            <v>93</v>
          </cell>
          <cell r="B401">
            <v>2017</v>
          </cell>
          <cell r="C401">
            <v>8300</v>
          </cell>
          <cell r="D401">
            <v>2</v>
          </cell>
          <cell r="E401">
            <v>2</v>
          </cell>
          <cell r="F401">
            <v>2</v>
          </cell>
          <cell r="G401">
            <v>5000</v>
          </cell>
          <cell r="H401">
            <v>5100</v>
          </cell>
          <cell r="I401">
            <v>511</v>
          </cell>
          <cell r="J401">
            <v>7</v>
          </cell>
          <cell r="K401" t="str">
            <v>Conjunto-Modular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 t="str">
            <v>Pieza</v>
          </cell>
          <cell r="V401" t="str">
            <v>FC</v>
          </cell>
        </row>
        <row r="402">
          <cell r="A402">
            <v>94</v>
          </cell>
          <cell r="B402">
            <v>2017</v>
          </cell>
          <cell r="C402">
            <v>8300</v>
          </cell>
          <cell r="D402">
            <v>2</v>
          </cell>
          <cell r="E402">
            <v>2</v>
          </cell>
          <cell r="F402">
            <v>2</v>
          </cell>
          <cell r="G402">
            <v>5000</v>
          </cell>
          <cell r="H402">
            <v>5100</v>
          </cell>
          <cell r="I402">
            <v>511</v>
          </cell>
          <cell r="J402">
            <v>8</v>
          </cell>
          <cell r="K402" t="str">
            <v>Credenza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 t="str">
            <v>Pieza</v>
          </cell>
          <cell r="V402" t="str">
            <v>FC</v>
          </cell>
        </row>
        <row r="403">
          <cell r="A403">
            <v>95</v>
          </cell>
          <cell r="B403">
            <v>2017</v>
          </cell>
          <cell r="C403">
            <v>8300</v>
          </cell>
          <cell r="D403">
            <v>2</v>
          </cell>
          <cell r="E403">
            <v>2</v>
          </cell>
          <cell r="F403">
            <v>2</v>
          </cell>
          <cell r="G403">
            <v>5000</v>
          </cell>
          <cell r="H403">
            <v>5100</v>
          </cell>
          <cell r="I403">
            <v>511</v>
          </cell>
          <cell r="J403">
            <v>9</v>
          </cell>
          <cell r="K403" t="str">
            <v>Escritorio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 t="str">
            <v>Pieza</v>
          </cell>
          <cell r="V403" t="str">
            <v>FC</v>
          </cell>
        </row>
        <row r="404">
          <cell r="A404">
            <v>96</v>
          </cell>
          <cell r="B404">
            <v>2017</v>
          </cell>
          <cell r="C404">
            <v>8300</v>
          </cell>
          <cell r="D404">
            <v>2</v>
          </cell>
          <cell r="E404">
            <v>2</v>
          </cell>
          <cell r="F404">
            <v>2</v>
          </cell>
          <cell r="G404">
            <v>5000</v>
          </cell>
          <cell r="H404">
            <v>5100</v>
          </cell>
          <cell r="I404">
            <v>511</v>
          </cell>
          <cell r="J404">
            <v>10</v>
          </cell>
          <cell r="K404" t="str">
            <v>Esquinero curvo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 t="str">
            <v>Pieza</v>
          </cell>
          <cell r="V404" t="str">
            <v>FC</v>
          </cell>
        </row>
        <row r="405">
          <cell r="A405">
            <v>97</v>
          </cell>
          <cell r="B405">
            <v>2017</v>
          </cell>
          <cell r="C405">
            <v>8300</v>
          </cell>
          <cell r="D405">
            <v>2</v>
          </cell>
          <cell r="E405">
            <v>2</v>
          </cell>
          <cell r="F405">
            <v>2</v>
          </cell>
          <cell r="G405">
            <v>5000</v>
          </cell>
          <cell r="H405">
            <v>5100</v>
          </cell>
          <cell r="I405">
            <v>511</v>
          </cell>
          <cell r="J405">
            <v>11</v>
          </cell>
          <cell r="K405" t="str">
            <v>Estante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 t="str">
            <v>Pieza</v>
          </cell>
          <cell r="V405" t="str">
            <v>FC</v>
          </cell>
        </row>
        <row r="406">
          <cell r="A406">
            <v>98</v>
          </cell>
          <cell r="B406">
            <v>2017</v>
          </cell>
          <cell r="C406">
            <v>8300</v>
          </cell>
          <cell r="D406">
            <v>2</v>
          </cell>
          <cell r="E406">
            <v>2</v>
          </cell>
          <cell r="F406">
            <v>2</v>
          </cell>
          <cell r="G406">
            <v>5000</v>
          </cell>
          <cell r="H406">
            <v>5100</v>
          </cell>
          <cell r="I406">
            <v>511</v>
          </cell>
          <cell r="J406">
            <v>12</v>
          </cell>
          <cell r="K406" t="str">
            <v>Gabinete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 t="str">
            <v>Pieza</v>
          </cell>
          <cell r="V406" t="str">
            <v>FC</v>
          </cell>
        </row>
        <row r="407">
          <cell r="A407">
            <v>99</v>
          </cell>
          <cell r="B407">
            <v>2017</v>
          </cell>
          <cell r="C407">
            <v>8300</v>
          </cell>
          <cell r="D407">
            <v>2</v>
          </cell>
          <cell r="E407">
            <v>2</v>
          </cell>
          <cell r="F407">
            <v>2</v>
          </cell>
          <cell r="G407">
            <v>5000</v>
          </cell>
          <cell r="H407">
            <v>5100</v>
          </cell>
          <cell r="I407">
            <v>511</v>
          </cell>
          <cell r="J407">
            <v>13</v>
          </cell>
          <cell r="K407" t="str">
            <v>Gaveta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 t="str">
            <v>Pieza</v>
          </cell>
          <cell r="V407" t="str">
            <v>FC</v>
          </cell>
        </row>
        <row r="408">
          <cell r="A408">
            <v>100</v>
          </cell>
          <cell r="B408">
            <v>2017</v>
          </cell>
          <cell r="C408">
            <v>8300</v>
          </cell>
          <cell r="D408">
            <v>2</v>
          </cell>
          <cell r="E408">
            <v>2</v>
          </cell>
          <cell r="F408">
            <v>2</v>
          </cell>
          <cell r="G408">
            <v>5000</v>
          </cell>
          <cell r="H408">
            <v>5100</v>
          </cell>
          <cell r="I408">
            <v>511</v>
          </cell>
          <cell r="J408">
            <v>14</v>
          </cell>
          <cell r="K408" t="str">
            <v>Librero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 t="str">
            <v>Pieza</v>
          </cell>
          <cell r="V408" t="str">
            <v>FC</v>
          </cell>
        </row>
        <row r="409">
          <cell r="A409">
            <v>101</v>
          </cell>
          <cell r="B409">
            <v>2017</v>
          </cell>
          <cell r="C409">
            <v>8300</v>
          </cell>
          <cell r="D409">
            <v>2</v>
          </cell>
          <cell r="E409">
            <v>2</v>
          </cell>
          <cell r="F409">
            <v>2</v>
          </cell>
          <cell r="G409">
            <v>5000</v>
          </cell>
          <cell r="H409">
            <v>5100</v>
          </cell>
          <cell r="I409">
            <v>511</v>
          </cell>
          <cell r="J409">
            <v>15</v>
          </cell>
          <cell r="K409" t="str">
            <v>Mesa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 t="str">
            <v>Pieza</v>
          </cell>
          <cell r="V409" t="str">
            <v>FC</v>
          </cell>
        </row>
        <row r="410">
          <cell r="A410">
            <v>102</v>
          </cell>
          <cell r="B410">
            <v>2017</v>
          </cell>
          <cell r="C410">
            <v>8300</v>
          </cell>
          <cell r="D410">
            <v>2</v>
          </cell>
          <cell r="E410">
            <v>2</v>
          </cell>
          <cell r="F410">
            <v>2</v>
          </cell>
          <cell r="G410">
            <v>5000</v>
          </cell>
          <cell r="H410">
            <v>5100</v>
          </cell>
          <cell r="I410">
            <v>511</v>
          </cell>
          <cell r="J410">
            <v>16</v>
          </cell>
          <cell r="K410" t="str">
            <v>Mostrador para recepción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 t="str">
            <v>Pieza</v>
          </cell>
          <cell r="V410" t="str">
            <v>FC</v>
          </cell>
        </row>
        <row r="411">
          <cell r="A411">
            <v>103</v>
          </cell>
          <cell r="B411">
            <v>2017</v>
          </cell>
          <cell r="C411">
            <v>8300</v>
          </cell>
          <cell r="D411">
            <v>2</v>
          </cell>
          <cell r="E411">
            <v>2</v>
          </cell>
          <cell r="F411">
            <v>2</v>
          </cell>
          <cell r="G411">
            <v>5000</v>
          </cell>
          <cell r="H411">
            <v>5100</v>
          </cell>
          <cell r="I411">
            <v>511</v>
          </cell>
          <cell r="J411">
            <v>17</v>
          </cell>
          <cell r="K411" t="str">
            <v>Mueble para computadora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 t="str">
            <v>Pieza</v>
          </cell>
          <cell r="V411" t="str">
            <v>FC</v>
          </cell>
        </row>
        <row r="412">
          <cell r="A412">
            <v>104</v>
          </cell>
          <cell r="B412">
            <v>2017</v>
          </cell>
          <cell r="C412">
            <v>8300</v>
          </cell>
          <cell r="D412">
            <v>2</v>
          </cell>
          <cell r="E412">
            <v>2</v>
          </cell>
          <cell r="F412">
            <v>2</v>
          </cell>
          <cell r="G412">
            <v>5000</v>
          </cell>
          <cell r="H412">
            <v>5100</v>
          </cell>
          <cell r="I412">
            <v>511</v>
          </cell>
          <cell r="J412">
            <v>18</v>
          </cell>
          <cell r="K412" t="str">
            <v>Perchero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 t="str">
            <v>Pieza</v>
          </cell>
          <cell r="V412" t="str">
            <v>FC</v>
          </cell>
        </row>
        <row r="413">
          <cell r="A413">
            <v>105</v>
          </cell>
          <cell r="B413">
            <v>2017</v>
          </cell>
          <cell r="C413">
            <v>8300</v>
          </cell>
          <cell r="D413">
            <v>2</v>
          </cell>
          <cell r="E413">
            <v>2</v>
          </cell>
          <cell r="F413">
            <v>2</v>
          </cell>
          <cell r="G413">
            <v>5000</v>
          </cell>
          <cell r="H413">
            <v>5100</v>
          </cell>
          <cell r="I413">
            <v>511</v>
          </cell>
          <cell r="J413">
            <v>19</v>
          </cell>
          <cell r="K413" t="str">
            <v>Sala de espera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 t="str">
            <v>Pieza</v>
          </cell>
          <cell r="V413" t="str">
            <v>FC</v>
          </cell>
        </row>
        <row r="414">
          <cell r="A414">
            <v>106</v>
          </cell>
          <cell r="B414">
            <v>2017</v>
          </cell>
          <cell r="C414">
            <v>8300</v>
          </cell>
          <cell r="D414">
            <v>2</v>
          </cell>
          <cell r="E414">
            <v>2</v>
          </cell>
          <cell r="F414">
            <v>2</v>
          </cell>
          <cell r="G414">
            <v>5000</v>
          </cell>
          <cell r="H414">
            <v>5100</v>
          </cell>
          <cell r="I414">
            <v>511</v>
          </cell>
          <cell r="J414">
            <v>20</v>
          </cell>
          <cell r="K414" t="str">
            <v>Silla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 t="str">
            <v>Pieza</v>
          </cell>
          <cell r="V414" t="str">
            <v>FC</v>
          </cell>
        </row>
        <row r="415">
          <cell r="A415">
            <v>107</v>
          </cell>
          <cell r="B415">
            <v>2017</v>
          </cell>
          <cell r="C415">
            <v>8300</v>
          </cell>
          <cell r="D415">
            <v>2</v>
          </cell>
          <cell r="E415">
            <v>2</v>
          </cell>
          <cell r="F415">
            <v>2</v>
          </cell>
          <cell r="G415">
            <v>5000</v>
          </cell>
          <cell r="H415">
            <v>5100</v>
          </cell>
          <cell r="I415">
            <v>511</v>
          </cell>
          <cell r="J415">
            <v>21</v>
          </cell>
          <cell r="K415" t="str">
            <v>Silla para polígrafo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 t="str">
            <v>Pieza</v>
          </cell>
          <cell r="V415" t="str">
            <v>FC</v>
          </cell>
        </row>
        <row r="416">
          <cell r="A416">
            <v>108</v>
          </cell>
          <cell r="B416">
            <v>2017</v>
          </cell>
          <cell r="C416">
            <v>8300</v>
          </cell>
          <cell r="D416">
            <v>2</v>
          </cell>
          <cell r="E416">
            <v>2</v>
          </cell>
          <cell r="F416">
            <v>2</v>
          </cell>
          <cell r="G416">
            <v>5000</v>
          </cell>
          <cell r="H416">
            <v>5100</v>
          </cell>
          <cell r="I416">
            <v>511</v>
          </cell>
          <cell r="J416">
            <v>22</v>
          </cell>
          <cell r="K416" t="str">
            <v>Sillón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 t="str">
            <v>Pieza</v>
          </cell>
          <cell r="V416" t="str">
            <v>FC</v>
          </cell>
        </row>
        <row r="417">
          <cell r="A417">
            <v>109</v>
          </cell>
          <cell r="B417">
            <v>2017</v>
          </cell>
          <cell r="C417">
            <v>8300</v>
          </cell>
          <cell r="D417">
            <v>2</v>
          </cell>
          <cell r="E417">
            <v>2</v>
          </cell>
          <cell r="F417">
            <v>2</v>
          </cell>
          <cell r="G417">
            <v>5000</v>
          </cell>
          <cell r="H417">
            <v>5100</v>
          </cell>
          <cell r="I417">
            <v>512</v>
          </cell>
          <cell r="K417" t="str">
            <v>Muebles, excepto de oficina y estantería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</row>
        <row r="418">
          <cell r="A418">
            <v>110</v>
          </cell>
          <cell r="B418">
            <v>2017</v>
          </cell>
          <cell r="C418">
            <v>8300</v>
          </cell>
          <cell r="D418">
            <v>2</v>
          </cell>
          <cell r="E418">
            <v>2</v>
          </cell>
          <cell r="F418">
            <v>2</v>
          </cell>
          <cell r="G418">
            <v>5000</v>
          </cell>
          <cell r="H418">
            <v>5100</v>
          </cell>
          <cell r="I418">
            <v>512</v>
          </cell>
          <cell r="J418">
            <v>1</v>
          </cell>
          <cell r="K418" t="str">
            <v>Bote de arena (Armero)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 t="str">
            <v>Pieza</v>
          </cell>
          <cell r="V418" t="str">
            <v>AE</v>
          </cell>
        </row>
        <row r="419">
          <cell r="A419">
            <v>111</v>
          </cell>
          <cell r="B419">
            <v>2017</v>
          </cell>
          <cell r="C419">
            <v>8300</v>
          </cell>
          <cell r="D419">
            <v>2</v>
          </cell>
          <cell r="E419">
            <v>2</v>
          </cell>
          <cell r="F419">
            <v>2</v>
          </cell>
          <cell r="G419">
            <v>5000</v>
          </cell>
          <cell r="H419">
            <v>5100</v>
          </cell>
          <cell r="I419">
            <v>512</v>
          </cell>
          <cell r="J419">
            <v>2</v>
          </cell>
          <cell r="K419" t="str">
            <v>Rack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 t="str">
            <v>Pieza</v>
          </cell>
          <cell r="V419" t="str">
            <v>AE</v>
          </cell>
        </row>
        <row r="420">
          <cell r="A420">
            <v>112</v>
          </cell>
          <cell r="B420">
            <v>2017</v>
          </cell>
          <cell r="C420">
            <v>8300</v>
          </cell>
          <cell r="D420">
            <v>2</v>
          </cell>
          <cell r="E420">
            <v>2</v>
          </cell>
          <cell r="F420">
            <v>2</v>
          </cell>
          <cell r="G420">
            <v>5000</v>
          </cell>
          <cell r="H420">
            <v>5100</v>
          </cell>
          <cell r="I420">
            <v>515</v>
          </cell>
          <cell r="K420" t="str">
            <v>Equipo de cómputo y de tecnologías de la información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</row>
        <row r="421">
          <cell r="A421">
            <v>113</v>
          </cell>
          <cell r="B421">
            <v>2017</v>
          </cell>
          <cell r="C421">
            <v>8300</v>
          </cell>
          <cell r="D421">
            <v>2</v>
          </cell>
          <cell r="E421">
            <v>2</v>
          </cell>
          <cell r="F421">
            <v>2</v>
          </cell>
          <cell r="G421">
            <v>5000</v>
          </cell>
          <cell r="H421">
            <v>5100</v>
          </cell>
          <cell r="I421">
            <v>515</v>
          </cell>
          <cell r="J421">
            <v>1</v>
          </cell>
          <cell r="K421" t="str">
            <v>Cerradura biométrica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 t="str">
            <v>Pieza</v>
          </cell>
          <cell r="V421" t="str">
            <v>FC</v>
          </cell>
        </row>
        <row r="422">
          <cell r="A422">
            <v>114</v>
          </cell>
          <cell r="B422">
            <v>2017</v>
          </cell>
          <cell r="C422">
            <v>8300</v>
          </cell>
          <cell r="D422">
            <v>2</v>
          </cell>
          <cell r="E422">
            <v>2</v>
          </cell>
          <cell r="F422">
            <v>2</v>
          </cell>
          <cell r="G422">
            <v>5000</v>
          </cell>
          <cell r="H422">
            <v>5100</v>
          </cell>
          <cell r="I422">
            <v>515</v>
          </cell>
          <cell r="J422">
            <v>2</v>
          </cell>
          <cell r="K422" t="str">
            <v>Computadora de escritorio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 t="str">
            <v>Pieza</v>
          </cell>
          <cell r="V422" t="str">
            <v>FC</v>
          </cell>
        </row>
        <row r="423">
          <cell r="A423">
            <v>115</v>
          </cell>
          <cell r="B423">
            <v>2017</v>
          </cell>
          <cell r="C423">
            <v>8300</v>
          </cell>
          <cell r="D423">
            <v>2</v>
          </cell>
          <cell r="E423">
            <v>2</v>
          </cell>
          <cell r="F423">
            <v>2</v>
          </cell>
          <cell r="G423">
            <v>5000</v>
          </cell>
          <cell r="H423">
            <v>5100</v>
          </cell>
          <cell r="I423">
            <v>515</v>
          </cell>
          <cell r="J423">
            <v>3</v>
          </cell>
          <cell r="K423" t="str">
            <v>Computadora portátil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 t="str">
            <v>Pieza</v>
          </cell>
          <cell r="V423" t="str">
            <v>FC</v>
          </cell>
        </row>
        <row r="424">
          <cell r="A424">
            <v>116</v>
          </cell>
          <cell r="B424">
            <v>2017</v>
          </cell>
          <cell r="C424">
            <v>8300</v>
          </cell>
          <cell r="D424">
            <v>2</v>
          </cell>
          <cell r="E424">
            <v>2</v>
          </cell>
          <cell r="F424">
            <v>2</v>
          </cell>
          <cell r="G424">
            <v>5000</v>
          </cell>
          <cell r="H424">
            <v>5100</v>
          </cell>
          <cell r="I424">
            <v>515</v>
          </cell>
          <cell r="J424">
            <v>4</v>
          </cell>
          <cell r="K424" t="str">
            <v>Diadema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 t="str">
            <v>Pieza</v>
          </cell>
          <cell r="V424" t="str">
            <v>FC</v>
          </cell>
        </row>
        <row r="425">
          <cell r="A425">
            <v>117</v>
          </cell>
          <cell r="B425">
            <v>2017</v>
          </cell>
          <cell r="C425">
            <v>8300</v>
          </cell>
          <cell r="D425">
            <v>2</v>
          </cell>
          <cell r="E425">
            <v>2</v>
          </cell>
          <cell r="F425">
            <v>2</v>
          </cell>
          <cell r="G425">
            <v>5000</v>
          </cell>
          <cell r="H425">
            <v>5100</v>
          </cell>
          <cell r="I425">
            <v>515</v>
          </cell>
          <cell r="J425">
            <v>5</v>
          </cell>
          <cell r="K425" t="str">
            <v>Digiscan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 t="str">
            <v>Pieza</v>
          </cell>
          <cell r="V425" t="str">
            <v>FC</v>
          </cell>
        </row>
        <row r="426">
          <cell r="A426">
            <v>118</v>
          </cell>
          <cell r="B426">
            <v>2017</v>
          </cell>
          <cell r="C426">
            <v>8300</v>
          </cell>
          <cell r="D426">
            <v>2</v>
          </cell>
          <cell r="E426">
            <v>2</v>
          </cell>
          <cell r="F426">
            <v>2</v>
          </cell>
          <cell r="G426">
            <v>5000</v>
          </cell>
          <cell r="H426">
            <v>5100</v>
          </cell>
          <cell r="I426">
            <v>515</v>
          </cell>
          <cell r="J426">
            <v>6</v>
          </cell>
          <cell r="K426" t="str">
            <v>Disco duro externo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 t="str">
            <v>Pieza</v>
          </cell>
          <cell r="V426" t="str">
            <v>FC</v>
          </cell>
        </row>
        <row r="427">
          <cell r="A427">
            <v>119</v>
          </cell>
          <cell r="B427">
            <v>2017</v>
          </cell>
          <cell r="C427">
            <v>8300</v>
          </cell>
          <cell r="D427">
            <v>2</v>
          </cell>
          <cell r="E427">
            <v>2</v>
          </cell>
          <cell r="F427">
            <v>2</v>
          </cell>
          <cell r="G427">
            <v>5000</v>
          </cell>
          <cell r="H427">
            <v>5100</v>
          </cell>
          <cell r="I427">
            <v>515</v>
          </cell>
          <cell r="J427">
            <v>7</v>
          </cell>
          <cell r="K427" t="str">
            <v>Electrodo EDA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 t="str">
            <v>Pieza</v>
          </cell>
          <cell r="V427" t="str">
            <v>FC</v>
          </cell>
        </row>
        <row r="428">
          <cell r="A428">
            <v>120</v>
          </cell>
          <cell r="B428">
            <v>2017</v>
          </cell>
          <cell r="C428">
            <v>8300</v>
          </cell>
          <cell r="D428">
            <v>2</v>
          </cell>
          <cell r="E428">
            <v>2</v>
          </cell>
          <cell r="F428">
            <v>2</v>
          </cell>
          <cell r="G428">
            <v>5000</v>
          </cell>
          <cell r="H428">
            <v>5100</v>
          </cell>
          <cell r="I428">
            <v>515</v>
          </cell>
          <cell r="J428">
            <v>8</v>
          </cell>
          <cell r="K428" t="str">
            <v>Escáner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 t="str">
            <v>Pieza</v>
          </cell>
          <cell r="V428" t="str">
            <v>FC</v>
          </cell>
        </row>
        <row r="429">
          <cell r="A429">
            <v>121</v>
          </cell>
          <cell r="B429">
            <v>2017</v>
          </cell>
          <cell r="C429">
            <v>8300</v>
          </cell>
          <cell r="D429">
            <v>2</v>
          </cell>
          <cell r="E429">
            <v>2</v>
          </cell>
          <cell r="F429">
            <v>2</v>
          </cell>
          <cell r="G429">
            <v>5000</v>
          </cell>
          <cell r="H429">
            <v>5100</v>
          </cell>
          <cell r="I429">
            <v>515</v>
          </cell>
          <cell r="J429">
            <v>9</v>
          </cell>
          <cell r="K429" t="str">
            <v>Impresora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 t="str">
            <v>Pieza</v>
          </cell>
          <cell r="V429" t="str">
            <v>FC</v>
          </cell>
        </row>
        <row r="430">
          <cell r="A430">
            <v>122</v>
          </cell>
          <cell r="B430">
            <v>2017</v>
          </cell>
          <cell r="C430">
            <v>8300</v>
          </cell>
          <cell r="D430">
            <v>2</v>
          </cell>
          <cell r="E430">
            <v>2</v>
          </cell>
          <cell r="F430">
            <v>2</v>
          </cell>
          <cell r="G430">
            <v>5000</v>
          </cell>
          <cell r="H430">
            <v>5100</v>
          </cell>
          <cell r="I430">
            <v>515</v>
          </cell>
          <cell r="J430">
            <v>10</v>
          </cell>
          <cell r="K430" t="str">
            <v>Interfase USB para digitalizador-grabación de voz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 t="str">
            <v>Pieza</v>
          </cell>
          <cell r="V430" t="str">
            <v>FC</v>
          </cell>
        </row>
        <row r="431">
          <cell r="A431">
            <v>123</v>
          </cell>
          <cell r="B431">
            <v>2017</v>
          </cell>
          <cell r="C431">
            <v>8300</v>
          </cell>
          <cell r="D431">
            <v>2</v>
          </cell>
          <cell r="E431">
            <v>2</v>
          </cell>
          <cell r="F431">
            <v>2</v>
          </cell>
          <cell r="G431">
            <v>5000</v>
          </cell>
          <cell r="H431">
            <v>5100</v>
          </cell>
          <cell r="I431">
            <v>515</v>
          </cell>
          <cell r="J431">
            <v>11</v>
          </cell>
          <cell r="K431" t="str">
            <v>Lector Huella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 t="str">
            <v>Pieza</v>
          </cell>
          <cell r="V431" t="str">
            <v>FC</v>
          </cell>
        </row>
        <row r="432">
          <cell r="A432">
            <v>124</v>
          </cell>
          <cell r="B432">
            <v>2017</v>
          </cell>
          <cell r="C432">
            <v>8300</v>
          </cell>
          <cell r="D432">
            <v>2</v>
          </cell>
          <cell r="E432">
            <v>2</v>
          </cell>
          <cell r="F432">
            <v>2</v>
          </cell>
          <cell r="G432">
            <v>5000</v>
          </cell>
          <cell r="H432">
            <v>5100</v>
          </cell>
          <cell r="I432">
            <v>515</v>
          </cell>
          <cell r="J432">
            <v>12</v>
          </cell>
          <cell r="K432" t="str">
            <v xml:space="preserve">Lector óptico 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 t="str">
            <v>Pieza</v>
          </cell>
          <cell r="V432" t="str">
            <v>FC</v>
          </cell>
        </row>
        <row r="433">
          <cell r="A433">
            <v>125</v>
          </cell>
          <cell r="B433">
            <v>2017</v>
          </cell>
          <cell r="C433">
            <v>8300</v>
          </cell>
          <cell r="D433">
            <v>2</v>
          </cell>
          <cell r="E433">
            <v>2</v>
          </cell>
          <cell r="F433">
            <v>2</v>
          </cell>
          <cell r="G433">
            <v>5000</v>
          </cell>
          <cell r="H433">
            <v>5100</v>
          </cell>
          <cell r="I433">
            <v>515</v>
          </cell>
          <cell r="J433">
            <v>13</v>
          </cell>
          <cell r="K433" t="str">
            <v>Módem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 t="str">
            <v>Pieza</v>
          </cell>
          <cell r="V433" t="str">
            <v>FC</v>
          </cell>
        </row>
        <row r="434">
          <cell r="A434">
            <v>126</v>
          </cell>
          <cell r="B434">
            <v>2017</v>
          </cell>
          <cell r="C434">
            <v>8300</v>
          </cell>
          <cell r="D434">
            <v>2</v>
          </cell>
          <cell r="E434">
            <v>2</v>
          </cell>
          <cell r="F434">
            <v>2</v>
          </cell>
          <cell r="G434">
            <v>5000</v>
          </cell>
          <cell r="H434">
            <v>5100</v>
          </cell>
          <cell r="I434">
            <v>515</v>
          </cell>
          <cell r="J434">
            <v>14</v>
          </cell>
          <cell r="K434" t="str">
            <v xml:space="preserve">Monitor 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 t="str">
            <v>Pieza</v>
          </cell>
          <cell r="V434" t="str">
            <v>FC</v>
          </cell>
        </row>
        <row r="435">
          <cell r="A435">
            <v>127</v>
          </cell>
          <cell r="B435">
            <v>2017</v>
          </cell>
          <cell r="C435">
            <v>8300</v>
          </cell>
          <cell r="D435">
            <v>2</v>
          </cell>
          <cell r="E435">
            <v>2</v>
          </cell>
          <cell r="F435">
            <v>2</v>
          </cell>
          <cell r="G435">
            <v>5000</v>
          </cell>
          <cell r="H435">
            <v>5100</v>
          </cell>
          <cell r="I435">
            <v>515</v>
          </cell>
          <cell r="J435">
            <v>15</v>
          </cell>
          <cell r="K435" t="str">
            <v>Multifuncional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 t="str">
            <v>Pieza</v>
          </cell>
          <cell r="V435" t="str">
            <v>FC</v>
          </cell>
        </row>
        <row r="436">
          <cell r="A436">
            <v>128</v>
          </cell>
          <cell r="B436">
            <v>2017</v>
          </cell>
          <cell r="C436">
            <v>8300</v>
          </cell>
          <cell r="D436">
            <v>2</v>
          </cell>
          <cell r="E436">
            <v>2</v>
          </cell>
          <cell r="F436">
            <v>2</v>
          </cell>
          <cell r="G436">
            <v>5000</v>
          </cell>
          <cell r="H436">
            <v>5100</v>
          </cell>
          <cell r="I436">
            <v>515</v>
          </cell>
          <cell r="J436">
            <v>16</v>
          </cell>
          <cell r="K436" t="str">
            <v>Polígrafo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 t="str">
            <v>Pieza</v>
          </cell>
          <cell r="V436" t="str">
            <v>FC</v>
          </cell>
        </row>
        <row r="437">
          <cell r="A437">
            <v>129</v>
          </cell>
          <cell r="B437">
            <v>2017</v>
          </cell>
          <cell r="C437">
            <v>8300</v>
          </cell>
          <cell r="D437">
            <v>2</v>
          </cell>
          <cell r="E437">
            <v>2</v>
          </cell>
          <cell r="F437">
            <v>2</v>
          </cell>
          <cell r="G437">
            <v>5000</v>
          </cell>
          <cell r="H437">
            <v>5100</v>
          </cell>
          <cell r="I437">
            <v>515</v>
          </cell>
          <cell r="J437">
            <v>17</v>
          </cell>
          <cell r="K437" t="str">
            <v>Red local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 t="str">
            <v>Pieza</v>
          </cell>
          <cell r="V437" t="str">
            <v>FC</v>
          </cell>
        </row>
        <row r="438">
          <cell r="A438">
            <v>130</v>
          </cell>
          <cell r="B438">
            <v>2017</v>
          </cell>
          <cell r="C438">
            <v>8300</v>
          </cell>
          <cell r="D438">
            <v>2</v>
          </cell>
          <cell r="E438">
            <v>2</v>
          </cell>
          <cell r="F438">
            <v>2</v>
          </cell>
          <cell r="G438">
            <v>5000</v>
          </cell>
          <cell r="H438">
            <v>5100</v>
          </cell>
          <cell r="I438">
            <v>515</v>
          </cell>
          <cell r="J438">
            <v>18</v>
          </cell>
          <cell r="K438" t="str">
            <v>Router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 t="str">
            <v>Pieza</v>
          </cell>
          <cell r="V438" t="str">
            <v>FC</v>
          </cell>
        </row>
        <row r="439">
          <cell r="A439">
            <v>131</v>
          </cell>
          <cell r="B439">
            <v>2017</v>
          </cell>
          <cell r="C439">
            <v>8300</v>
          </cell>
          <cell r="D439">
            <v>2</v>
          </cell>
          <cell r="E439">
            <v>2</v>
          </cell>
          <cell r="F439">
            <v>2</v>
          </cell>
          <cell r="G439">
            <v>5000</v>
          </cell>
          <cell r="H439">
            <v>5100</v>
          </cell>
          <cell r="I439">
            <v>515</v>
          </cell>
          <cell r="J439">
            <v>19</v>
          </cell>
          <cell r="K439" t="str">
            <v>Sensor de movimiento (para polígrafo)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 t="str">
            <v>Pieza</v>
          </cell>
          <cell r="V439" t="str">
            <v>FC</v>
          </cell>
        </row>
        <row r="440">
          <cell r="A440">
            <v>132</v>
          </cell>
          <cell r="B440">
            <v>2017</v>
          </cell>
          <cell r="C440">
            <v>8300</v>
          </cell>
          <cell r="D440">
            <v>2</v>
          </cell>
          <cell r="E440">
            <v>2</v>
          </cell>
          <cell r="F440">
            <v>2</v>
          </cell>
          <cell r="G440">
            <v>5000</v>
          </cell>
          <cell r="H440">
            <v>5100</v>
          </cell>
          <cell r="I440">
            <v>515</v>
          </cell>
          <cell r="J440">
            <v>20</v>
          </cell>
          <cell r="K440" t="str">
            <v xml:space="preserve">Servidor 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 t="str">
            <v>Pieza</v>
          </cell>
          <cell r="V440" t="str">
            <v>FC</v>
          </cell>
        </row>
        <row r="441">
          <cell r="A441">
            <v>133</v>
          </cell>
          <cell r="B441">
            <v>2017</v>
          </cell>
          <cell r="C441">
            <v>8300</v>
          </cell>
          <cell r="D441">
            <v>2</v>
          </cell>
          <cell r="E441">
            <v>2</v>
          </cell>
          <cell r="F441">
            <v>2</v>
          </cell>
          <cell r="G441">
            <v>5000</v>
          </cell>
          <cell r="H441">
            <v>5100</v>
          </cell>
          <cell r="I441">
            <v>515</v>
          </cell>
          <cell r="J441">
            <v>21</v>
          </cell>
          <cell r="K441" t="str">
            <v xml:space="preserve">Conmutador de datos (Switch) 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 t="str">
            <v>Pieza</v>
          </cell>
          <cell r="V441" t="str">
            <v>FC</v>
          </cell>
        </row>
        <row r="442">
          <cell r="A442">
            <v>134</v>
          </cell>
          <cell r="B442">
            <v>2017</v>
          </cell>
          <cell r="C442">
            <v>8300</v>
          </cell>
          <cell r="D442">
            <v>2</v>
          </cell>
          <cell r="E442">
            <v>2</v>
          </cell>
          <cell r="F442">
            <v>2</v>
          </cell>
          <cell r="G442">
            <v>5000</v>
          </cell>
          <cell r="H442">
            <v>5100</v>
          </cell>
          <cell r="I442">
            <v>515</v>
          </cell>
          <cell r="J442">
            <v>22</v>
          </cell>
          <cell r="K442" t="str">
            <v>Teléfono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 t="str">
            <v>Pieza</v>
          </cell>
          <cell r="V442" t="str">
            <v>FC</v>
          </cell>
        </row>
        <row r="443">
          <cell r="A443">
            <v>135</v>
          </cell>
          <cell r="B443">
            <v>2017</v>
          </cell>
          <cell r="C443">
            <v>8300</v>
          </cell>
          <cell r="D443">
            <v>2</v>
          </cell>
          <cell r="E443">
            <v>2</v>
          </cell>
          <cell r="F443">
            <v>2</v>
          </cell>
          <cell r="G443">
            <v>5000</v>
          </cell>
          <cell r="H443">
            <v>5100</v>
          </cell>
          <cell r="I443">
            <v>515</v>
          </cell>
          <cell r="J443">
            <v>23</v>
          </cell>
          <cell r="K443" t="str">
            <v>Telescan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 t="str">
            <v>Pieza</v>
          </cell>
          <cell r="V443" t="str">
            <v>FC</v>
          </cell>
        </row>
        <row r="444">
          <cell r="A444">
            <v>136</v>
          </cell>
          <cell r="B444">
            <v>2017</v>
          </cell>
          <cell r="C444">
            <v>8300</v>
          </cell>
          <cell r="D444">
            <v>2</v>
          </cell>
          <cell r="E444">
            <v>2</v>
          </cell>
          <cell r="F444">
            <v>2</v>
          </cell>
          <cell r="G444">
            <v>5000</v>
          </cell>
          <cell r="H444">
            <v>5100</v>
          </cell>
          <cell r="I444">
            <v>515</v>
          </cell>
          <cell r="J444">
            <v>24</v>
          </cell>
          <cell r="K444" t="str">
            <v>Unidad de protección y respaldo de energía (UPS)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 t="str">
            <v>Pieza</v>
          </cell>
          <cell r="V444" t="str">
            <v>FC</v>
          </cell>
        </row>
        <row r="445">
          <cell r="A445">
            <v>137</v>
          </cell>
          <cell r="B445">
            <v>2017</v>
          </cell>
          <cell r="C445">
            <v>8300</v>
          </cell>
          <cell r="D445">
            <v>2</v>
          </cell>
          <cell r="E445">
            <v>2</v>
          </cell>
          <cell r="F445">
            <v>2</v>
          </cell>
          <cell r="G445">
            <v>5000</v>
          </cell>
          <cell r="H445">
            <v>5100</v>
          </cell>
          <cell r="I445">
            <v>515</v>
          </cell>
          <cell r="J445">
            <v>25</v>
          </cell>
          <cell r="K445" t="str">
            <v xml:space="preserve">Equipo de seguridad para filtrar información (firewall) 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 t="str">
            <v>Pieza</v>
          </cell>
          <cell r="V445" t="str">
            <v>FC</v>
          </cell>
        </row>
        <row r="446">
          <cell r="A446">
            <v>138</v>
          </cell>
          <cell r="B446">
            <v>2017</v>
          </cell>
          <cell r="C446">
            <v>8300</v>
          </cell>
          <cell r="D446">
            <v>2</v>
          </cell>
          <cell r="E446">
            <v>2</v>
          </cell>
          <cell r="F446">
            <v>2</v>
          </cell>
          <cell r="G446">
            <v>5000</v>
          </cell>
          <cell r="H446">
            <v>5100</v>
          </cell>
          <cell r="I446">
            <v>519</v>
          </cell>
          <cell r="K446" t="str">
            <v>Otros mobiliarios y equipos de administración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</row>
        <row r="447">
          <cell r="A447">
            <v>139</v>
          </cell>
          <cell r="B447">
            <v>2017</v>
          </cell>
          <cell r="C447">
            <v>8300</v>
          </cell>
          <cell r="D447">
            <v>2</v>
          </cell>
          <cell r="E447">
            <v>2</v>
          </cell>
          <cell r="F447">
            <v>2</v>
          </cell>
          <cell r="G447">
            <v>5000</v>
          </cell>
          <cell r="H447">
            <v>5100</v>
          </cell>
          <cell r="I447">
            <v>519</v>
          </cell>
          <cell r="J447">
            <v>1</v>
          </cell>
          <cell r="K447" t="str">
            <v>Aire acondicionado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 t="str">
            <v>Pieza</v>
          </cell>
          <cell r="V447" t="str">
            <v>FC</v>
          </cell>
        </row>
        <row r="448">
          <cell r="A448">
            <v>140</v>
          </cell>
          <cell r="B448">
            <v>2017</v>
          </cell>
          <cell r="C448">
            <v>8300</v>
          </cell>
          <cell r="D448">
            <v>2</v>
          </cell>
          <cell r="E448">
            <v>2</v>
          </cell>
          <cell r="F448">
            <v>2</v>
          </cell>
          <cell r="G448">
            <v>5000</v>
          </cell>
          <cell r="H448">
            <v>5100</v>
          </cell>
          <cell r="I448">
            <v>519</v>
          </cell>
          <cell r="J448">
            <v>2</v>
          </cell>
          <cell r="K448" t="str">
            <v>Circuito Cerrado de Televisión (CCTV)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 t="str">
            <v>Pieza</v>
          </cell>
          <cell r="V448" t="str">
            <v>FC</v>
          </cell>
        </row>
        <row r="449">
          <cell r="A449">
            <v>141</v>
          </cell>
          <cell r="B449">
            <v>2017</v>
          </cell>
          <cell r="C449">
            <v>8300</v>
          </cell>
          <cell r="D449">
            <v>2</v>
          </cell>
          <cell r="E449">
            <v>2</v>
          </cell>
          <cell r="F449">
            <v>2</v>
          </cell>
          <cell r="G449">
            <v>5000</v>
          </cell>
          <cell r="H449">
            <v>5100</v>
          </cell>
          <cell r="I449">
            <v>519</v>
          </cell>
          <cell r="J449">
            <v>3</v>
          </cell>
          <cell r="K449" t="str">
            <v>Calentador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 t="str">
            <v>Pieza</v>
          </cell>
          <cell r="V449" t="str">
            <v>FC</v>
          </cell>
        </row>
        <row r="450">
          <cell r="A450">
            <v>142</v>
          </cell>
          <cell r="B450">
            <v>2017</v>
          </cell>
          <cell r="C450">
            <v>8300</v>
          </cell>
          <cell r="D450">
            <v>2</v>
          </cell>
          <cell r="E450">
            <v>2</v>
          </cell>
          <cell r="F450">
            <v>2</v>
          </cell>
          <cell r="G450">
            <v>5000</v>
          </cell>
          <cell r="H450">
            <v>5100</v>
          </cell>
          <cell r="I450">
            <v>519</v>
          </cell>
          <cell r="J450">
            <v>4</v>
          </cell>
          <cell r="K450" t="str">
            <v>Equipo de detección de incendio, alarma y voceo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 t="str">
            <v>Pieza</v>
          </cell>
          <cell r="V450" t="str">
            <v>FC</v>
          </cell>
        </row>
        <row r="451">
          <cell r="A451">
            <v>143</v>
          </cell>
          <cell r="B451">
            <v>2017</v>
          </cell>
          <cell r="C451">
            <v>8300</v>
          </cell>
          <cell r="D451">
            <v>2</v>
          </cell>
          <cell r="E451">
            <v>2</v>
          </cell>
          <cell r="F451">
            <v>2</v>
          </cell>
          <cell r="G451">
            <v>5000</v>
          </cell>
          <cell r="H451">
            <v>5100</v>
          </cell>
          <cell r="I451">
            <v>519</v>
          </cell>
          <cell r="J451">
            <v>5</v>
          </cell>
          <cell r="K451" t="str">
            <v>Etiquetadora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 t="str">
            <v>Pieza</v>
          </cell>
          <cell r="V451" t="str">
            <v>FC</v>
          </cell>
        </row>
        <row r="452">
          <cell r="A452">
            <v>144</v>
          </cell>
          <cell r="B452">
            <v>2017</v>
          </cell>
          <cell r="C452">
            <v>8300</v>
          </cell>
          <cell r="D452">
            <v>2</v>
          </cell>
          <cell r="E452">
            <v>2</v>
          </cell>
          <cell r="F452">
            <v>2</v>
          </cell>
          <cell r="G452">
            <v>5000</v>
          </cell>
          <cell r="H452">
            <v>5100</v>
          </cell>
          <cell r="I452">
            <v>519</v>
          </cell>
          <cell r="J452">
            <v>6</v>
          </cell>
          <cell r="K452" t="str">
            <v>Pantalla para proyector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 t="str">
            <v>Pieza</v>
          </cell>
          <cell r="V452" t="str">
            <v>FC</v>
          </cell>
        </row>
        <row r="453">
          <cell r="A453">
            <v>145</v>
          </cell>
          <cell r="B453">
            <v>2017</v>
          </cell>
          <cell r="C453">
            <v>8300</v>
          </cell>
          <cell r="D453">
            <v>2</v>
          </cell>
          <cell r="E453">
            <v>2</v>
          </cell>
          <cell r="F453">
            <v>2</v>
          </cell>
          <cell r="G453">
            <v>5000</v>
          </cell>
          <cell r="H453">
            <v>5100</v>
          </cell>
          <cell r="I453">
            <v>519</v>
          </cell>
          <cell r="J453">
            <v>7</v>
          </cell>
          <cell r="K453" t="str">
            <v>Reloj checador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 t="str">
            <v>Pieza</v>
          </cell>
          <cell r="V453" t="str">
            <v>FC</v>
          </cell>
        </row>
        <row r="454">
          <cell r="A454">
            <v>146</v>
          </cell>
          <cell r="B454">
            <v>2017</v>
          </cell>
          <cell r="C454">
            <v>8300</v>
          </cell>
          <cell r="D454">
            <v>2</v>
          </cell>
          <cell r="E454">
            <v>2</v>
          </cell>
          <cell r="F454">
            <v>2</v>
          </cell>
          <cell r="G454">
            <v>5000</v>
          </cell>
          <cell r="H454">
            <v>5100</v>
          </cell>
          <cell r="I454">
            <v>519</v>
          </cell>
          <cell r="J454">
            <v>8</v>
          </cell>
          <cell r="K454" t="str">
            <v>Sistema de control de acceso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 t="str">
            <v>Pieza</v>
          </cell>
          <cell r="V454" t="str">
            <v>FC</v>
          </cell>
        </row>
        <row r="455">
          <cell r="A455">
            <v>147</v>
          </cell>
          <cell r="B455">
            <v>2017</v>
          </cell>
          <cell r="C455">
            <v>8300</v>
          </cell>
          <cell r="D455">
            <v>2</v>
          </cell>
          <cell r="E455">
            <v>2</v>
          </cell>
          <cell r="F455">
            <v>2</v>
          </cell>
          <cell r="G455">
            <v>5000</v>
          </cell>
          <cell r="H455">
            <v>5100</v>
          </cell>
          <cell r="I455">
            <v>519</v>
          </cell>
          <cell r="J455">
            <v>9</v>
          </cell>
          <cell r="K455" t="str">
            <v>Soporte para videoproyector/pantalla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 t="str">
            <v>Pieza</v>
          </cell>
          <cell r="V455" t="str">
            <v>FC</v>
          </cell>
        </row>
        <row r="456">
          <cell r="A456">
            <v>148</v>
          </cell>
          <cell r="B456">
            <v>2017</v>
          </cell>
          <cell r="C456">
            <v>8300</v>
          </cell>
          <cell r="D456">
            <v>2</v>
          </cell>
          <cell r="E456">
            <v>2</v>
          </cell>
          <cell r="F456">
            <v>2</v>
          </cell>
          <cell r="G456">
            <v>5000</v>
          </cell>
          <cell r="H456">
            <v>5100</v>
          </cell>
          <cell r="I456">
            <v>519</v>
          </cell>
          <cell r="J456">
            <v>10</v>
          </cell>
          <cell r="K456" t="str">
            <v>Triturador de papel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 t="str">
            <v>Pieza</v>
          </cell>
          <cell r="V456" t="str">
            <v>FC</v>
          </cell>
        </row>
        <row r="457">
          <cell r="A457">
            <v>149</v>
          </cell>
          <cell r="B457">
            <v>2017</v>
          </cell>
          <cell r="C457">
            <v>8300</v>
          </cell>
          <cell r="D457">
            <v>2</v>
          </cell>
          <cell r="E457">
            <v>2</v>
          </cell>
          <cell r="F457">
            <v>2</v>
          </cell>
          <cell r="G457">
            <v>5000</v>
          </cell>
          <cell r="H457">
            <v>5200</v>
          </cell>
          <cell r="K457" t="str">
            <v>Mobiliario y Equipo Educacional y Recreativo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</row>
        <row r="458">
          <cell r="A458">
            <v>150</v>
          </cell>
          <cell r="B458">
            <v>2017</v>
          </cell>
          <cell r="C458">
            <v>8300</v>
          </cell>
          <cell r="D458">
            <v>2</v>
          </cell>
          <cell r="E458">
            <v>2</v>
          </cell>
          <cell r="F458">
            <v>2</v>
          </cell>
          <cell r="G458">
            <v>5000</v>
          </cell>
          <cell r="H458">
            <v>5200</v>
          </cell>
          <cell r="I458">
            <v>521</v>
          </cell>
          <cell r="K458" t="str">
            <v>Equipos y aparatos audiovisuales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</row>
        <row r="459">
          <cell r="A459">
            <v>151</v>
          </cell>
          <cell r="B459">
            <v>2017</v>
          </cell>
          <cell r="C459">
            <v>8300</v>
          </cell>
          <cell r="D459">
            <v>2</v>
          </cell>
          <cell r="E459">
            <v>2</v>
          </cell>
          <cell r="F459">
            <v>2</v>
          </cell>
          <cell r="G459">
            <v>5000</v>
          </cell>
          <cell r="H459">
            <v>5200</v>
          </cell>
          <cell r="I459">
            <v>521</v>
          </cell>
          <cell r="J459">
            <v>1</v>
          </cell>
          <cell r="K459" t="str">
            <v>Audífonos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 t="str">
            <v>Pieza</v>
          </cell>
          <cell r="V459" t="str">
            <v>FC</v>
          </cell>
        </row>
        <row r="460">
          <cell r="A460">
            <v>152</v>
          </cell>
          <cell r="B460">
            <v>2017</v>
          </cell>
          <cell r="C460">
            <v>8300</v>
          </cell>
          <cell r="D460">
            <v>2</v>
          </cell>
          <cell r="E460">
            <v>2</v>
          </cell>
          <cell r="F460">
            <v>2</v>
          </cell>
          <cell r="G460">
            <v>5000</v>
          </cell>
          <cell r="H460">
            <v>5200</v>
          </cell>
          <cell r="I460">
            <v>521</v>
          </cell>
          <cell r="J460">
            <v>2</v>
          </cell>
          <cell r="K460" t="str">
            <v>Distribuidor-Amplificador de audio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 t="str">
            <v>Pieza</v>
          </cell>
          <cell r="V460" t="str">
            <v>FC</v>
          </cell>
        </row>
        <row r="461">
          <cell r="A461">
            <v>153</v>
          </cell>
          <cell r="B461">
            <v>2017</v>
          </cell>
          <cell r="C461">
            <v>8300</v>
          </cell>
          <cell r="D461">
            <v>2</v>
          </cell>
          <cell r="E461">
            <v>2</v>
          </cell>
          <cell r="F461">
            <v>2</v>
          </cell>
          <cell r="G461">
            <v>5000</v>
          </cell>
          <cell r="H461">
            <v>5200</v>
          </cell>
          <cell r="I461">
            <v>521</v>
          </cell>
          <cell r="J461">
            <v>3</v>
          </cell>
          <cell r="K461" t="str">
            <v>Grabadora reportera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 t="str">
            <v>Pieza</v>
          </cell>
          <cell r="V461" t="str">
            <v>FC</v>
          </cell>
        </row>
        <row r="462">
          <cell r="A462">
            <v>154</v>
          </cell>
          <cell r="B462">
            <v>2017</v>
          </cell>
          <cell r="C462">
            <v>8300</v>
          </cell>
          <cell r="D462">
            <v>2</v>
          </cell>
          <cell r="E462">
            <v>2</v>
          </cell>
          <cell r="F462">
            <v>2</v>
          </cell>
          <cell r="G462">
            <v>5000</v>
          </cell>
          <cell r="H462">
            <v>5200</v>
          </cell>
          <cell r="I462">
            <v>521</v>
          </cell>
          <cell r="J462">
            <v>4</v>
          </cell>
          <cell r="K462" t="str">
            <v>Micrófono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 t="str">
            <v>Pieza</v>
          </cell>
          <cell r="V462" t="str">
            <v>FC</v>
          </cell>
        </row>
        <row r="463">
          <cell r="A463">
            <v>155</v>
          </cell>
          <cell r="B463">
            <v>2017</v>
          </cell>
          <cell r="C463">
            <v>8300</v>
          </cell>
          <cell r="D463">
            <v>2</v>
          </cell>
          <cell r="E463">
            <v>2</v>
          </cell>
          <cell r="F463">
            <v>2</v>
          </cell>
          <cell r="G463">
            <v>5000</v>
          </cell>
          <cell r="H463">
            <v>5200</v>
          </cell>
          <cell r="I463">
            <v>521</v>
          </cell>
          <cell r="J463">
            <v>5</v>
          </cell>
          <cell r="K463" t="str">
            <v>Pantalla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 t="str">
            <v>Pieza</v>
          </cell>
          <cell r="V463" t="str">
            <v>FC</v>
          </cell>
        </row>
        <row r="464">
          <cell r="A464">
            <v>156</v>
          </cell>
          <cell r="B464">
            <v>2017</v>
          </cell>
          <cell r="C464">
            <v>8300</v>
          </cell>
          <cell r="D464">
            <v>2</v>
          </cell>
          <cell r="E464">
            <v>2</v>
          </cell>
          <cell r="F464">
            <v>2</v>
          </cell>
          <cell r="G464">
            <v>5000</v>
          </cell>
          <cell r="H464">
            <v>5200</v>
          </cell>
          <cell r="I464">
            <v>523</v>
          </cell>
          <cell r="K464" t="str">
            <v>Cámaras fotográficas y de video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</row>
        <row r="465">
          <cell r="A465">
            <v>157</v>
          </cell>
          <cell r="B465">
            <v>2017</v>
          </cell>
          <cell r="C465">
            <v>8300</v>
          </cell>
          <cell r="D465">
            <v>2</v>
          </cell>
          <cell r="E465">
            <v>2</v>
          </cell>
          <cell r="F465">
            <v>2</v>
          </cell>
          <cell r="G465">
            <v>5000</v>
          </cell>
          <cell r="H465">
            <v>5200</v>
          </cell>
          <cell r="I465">
            <v>523</v>
          </cell>
          <cell r="J465">
            <v>1</v>
          </cell>
          <cell r="K465" t="str">
            <v xml:space="preserve">Cámara 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 t="str">
            <v>Pieza</v>
          </cell>
          <cell r="V465" t="str">
            <v>FC</v>
          </cell>
        </row>
        <row r="466">
          <cell r="A466">
            <v>158</v>
          </cell>
          <cell r="B466">
            <v>2017</v>
          </cell>
          <cell r="C466">
            <v>8300</v>
          </cell>
          <cell r="D466">
            <v>2</v>
          </cell>
          <cell r="E466">
            <v>2</v>
          </cell>
          <cell r="F466">
            <v>2</v>
          </cell>
          <cell r="G466">
            <v>5000</v>
          </cell>
          <cell r="H466">
            <v>5200</v>
          </cell>
          <cell r="I466">
            <v>523</v>
          </cell>
          <cell r="J466">
            <v>2</v>
          </cell>
          <cell r="K466" t="str">
            <v>Lámpara fotográfica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 t="str">
            <v>Pieza</v>
          </cell>
          <cell r="V466" t="str">
            <v>FC</v>
          </cell>
        </row>
        <row r="467">
          <cell r="A467">
            <v>159</v>
          </cell>
          <cell r="B467">
            <v>2017</v>
          </cell>
          <cell r="C467">
            <v>8300</v>
          </cell>
          <cell r="D467">
            <v>2</v>
          </cell>
          <cell r="E467">
            <v>2</v>
          </cell>
          <cell r="F467">
            <v>2</v>
          </cell>
          <cell r="G467">
            <v>5000</v>
          </cell>
          <cell r="H467">
            <v>5200</v>
          </cell>
          <cell r="I467">
            <v>523</v>
          </cell>
          <cell r="J467">
            <v>3</v>
          </cell>
          <cell r="K467" t="str">
            <v>Tripié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 t="str">
            <v>Pieza</v>
          </cell>
          <cell r="V467" t="str">
            <v>FC</v>
          </cell>
        </row>
        <row r="468">
          <cell r="A468">
            <v>160</v>
          </cell>
          <cell r="B468">
            <v>2017</v>
          </cell>
          <cell r="C468">
            <v>8300</v>
          </cell>
          <cell r="D468">
            <v>2</v>
          </cell>
          <cell r="E468">
            <v>2</v>
          </cell>
          <cell r="F468">
            <v>2</v>
          </cell>
          <cell r="G468">
            <v>5000</v>
          </cell>
          <cell r="H468">
            <v>5200</v>
          </cell>
          <cell r="I468">
            <v>523</v>
          </cell>
          <cell r="J468">
            <v>4</v>
          </cell>
          <cell r="K468" t="str">
            <v>Videoproyector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 t="str">
            <v>Pieza</v>
          </cell>
          <cell r="V468" t="str">
            <v>FC</v>
          </cell>
        </row>
        <row r="469">
          <cell r="A469">
            <v>161</v>
          </cell>
          <cell r="B469">
            <v>2017</v>
          </cell>
          <cell r="C469">
            <v>8300</v>
          </cell>
          <cell r="D469">
            <v>2</v>
          </cell>
          <cell r="E469">
            <v>2</v>
          </cell>
          <cell r="F469">
            <v>2</v>
          </cell>
          <cell r="G469">
            <v>5000</v>
          </cell>
          <cell r="H469">
            <v>5300</v>
          </cell>
          <cell r="K469" t="str">
            <v>Equipo e Instrumental Médico y de Laboratorio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</row>
        <row r="470">
          <cell r="A470">
            <v>162</v>
          </cell>
          <cell r="B470">
            <v>2017</v>
          </cell>
          <cell r="C470">
            <v>8300</v>
          </cell>
          <cell r="D470">
            <v>2</v>
          </cell>
          <cell r="E470">
            <v>2</v>
          </cell>
          <cell r="F470">
            <v>2</v>
          </cell>
          <cell r="G470">
            <v>5000</v>
          </cell>
          <cell r="H470">
            <v>5300</v>
          </cell>
          <cell r="I470">
            <v>531</v>
          </cell>
          <cell r="K470" t="str">
            <v>Equipo médico y de laboratorio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</row>
        <row r="471">
          <cell r="A471">
            <v>163</v>
          </cell>
          <cell r="B471">
            <v>2017</v>
          </cell>
          <cell r="C471">
            <v>8300</v>
          </cell>
          <cell r="D471">
            <v>2</v>
          </cell>
          <cell r="E471">
            <v>2</v>
          </cell>
          <cell r="F471">
            <v>2</v>
          </cell>
          <cell r="G471">
            <v>5000</v>
          </cell>
          <cell r="H471">
            <v>5300</v>
          </cell>
          <cell r="I471">
            <v>531</v>
          </cell>
          <cell r="J471">
            <v>1</v>
          </cell>
          <cell r="K471" t="str">
            <v>Analizador de hematología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 t="str">
            <v>Pieza</v>
          </cell>
          <cell r="V471" t="str">
            <v>FC</v>
          </cell>
        </row>
        <row r="472">
          <cell r="A472">
            <v>164</v>
          </cell>
          <cell r="B472">
            <v>2017</v>
          </cell>
          <cell r="C472">
            <v>8300</v>
          </cell>
          <cell r="D472">
            <v>2</v>
          </cell>
          <cell r="E472">
            <v>2</v>
          </cell>
          <cell r="F472">
            <v>2</v>
          </cell>
          <cell r="G472">
            <v>5000</v>
          </cell>
          <cell r="H472">
            <v>5300</v>
          </cell>
          <cell r="I472">
            <v>531</v>
          </cell>
          <cell r="J472">
            <v>2</v>
          </cell>
          <cell r="K472" t="str">
            <v>Autoclave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 t="str">
            <v>Pieza</v>
          </cell>
          <cell r="V472" t="str">
            <v>FC</v>
          </cell>
        </row>
        <row r="473">
          <cell r="A473">
            <v>165</v>
          </cell>
          <cell r="B473">
            <v>2017</v>
          </cell>
          <cell r="C473">
            <v>8300</v>
          </cell>
          <cell r="D473">
            <v>2</v>
          </cell>
          <cell r="E473">
            <v>2</v>
          </cell>
          <cell r="F473">
            <v>2</v>
          </cell>
          <cell r="G473">
            <v>5000</v>
          </cell>
          <cell r="H473">
            <v>5300</v>
          </cell>
          <cell r="I473">
            <v>531</v>
          </cell>
          <cell r="J473">
            <v>3</v>
          </cell>
          <cell r="K473" t="str">
            <v xml:space="preserve">Balanza 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 t="str">
            <v>Pieza</v>
          </cell>
          <cell r="V473" t="str">
            <v>FC</v>
          </cell>
        </row>
        <row r="474">
          <cell r="A474">
            <v>166</v>
          </cell>
          <cell r="B474">
            <v>2017</v>
          </cell>
          <cell r="C474">
            <v>8300</v>
          </cell>
          <cell r="D474">
            <v>2</v>
          </cell>
          <cell r="E474">
            <v>2</v>
          </cell>
          <cell r="F474">
            <v>2</v>
          </cell>
          <cell r="G474">
            <v>5000</v>
          </cell>
          <cell r="H474">
            <v>5300</v>
          </cell>
          <cell r="I474">
            <v>531</v>
          </cell>
          <cell r="J474">
            <v>4</v>
          </cell>
          <cell r="K474" t="str">
            <v>Buró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 t="str">
            <v>Pieza</v>
          </cell>
          <cell r="V474" t="str">
            <v>FC</v>
          </cell>
        </row>
        <row r="475">
          <cell r="A475">
            <v>167</v>
          </cell>
          <cell r="B475">
            <v>2017</v>
          </cell>
          <cell r="C475">
            <v>8300</v>
          </cell>
          <cell r="D475">
            <v>2</v>
          </cell>
          <cell r="E475">
            <v>2</v>
          </cell>
          <cell r="F475">
            <v>2</v>
          </cell>
          <cell r="G475">
            <v>5000</v>
          </cell>
          <cell r="H475">
            <v>5300</v>
          </cell>
          <cell r="I475">
            <v>531</v>
          </cell>
          <cell r="J475">
            <v>5</v>
          </cell>
          <cell r="K475" t="str">
            <v xml:space="preserve">Campana de extracción 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 t="str">
            <v>Pieza</v>
          </cell>
          <cell r="V475" t="str">
            <v>FC</v>
          </cell>
        </row>
        <row r="476">
          <cell r="A476">
            <v>168</v>
          </cell>
          <cell r="B476">
            <v>2017</v>
          </cell>
          <cell r="C476">
            <v>8300</v>
          </cell>
          <cell r="D476">
            <v>2</v>
          </cell>
          <cell r="E476">
            <v>2</v>
          </cell>
          <cell r="F476">
            <v>2</v>
          </cell>
          <cell r="G476">
            <v>5000</v>
          </cell>
          <cell r="H476">
            <v>5300</v>
          </cell>
          <cell r="I476">
            <v>531</v>
          </cell>
          <cell r="J476">
            <v>6</v>
          </cell>
          <cell r="K476" t="str">
            <v xml:space="preserve">Cartuchos de extracción en fase sólida 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 t="str">
            <v>Pieza</v>
          </cell>
          <cell r="V476" t="str">
            <v>FC</v>
          </cell>
        </row>
        <row r="477">
          <cell r="A477">
            <v>169</v>
          </cell>
          <cell r="B477">
            <v>2017</v>
          </cell>
          <cell r="C477">
            <v>8300</v>
          </cell>
          <cell r="D477">
            <v>2</v>
          </cell>
          <cell r="E477">
            <v>2</v>
          </cell>
          <cell r="F477">
            <v>2</v>
          </cell>
          <cell r="G477">
            <v>5000</v>
          </cell>
          <cell r="H477">
            <v>5300</v>
          </cell>
          <cell r="I477">
            <v>531</v>
          </cell>
          <cell r="J477">
            <v>7</v>
          </cell>
          <cell r="K477" t="str">
            <v>Congelador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 t="str">
            <v>Pieza</v>
          </cell>
          <cell r="V477" t="str">
            <v>FC</v>
          </cell>
        </row>
        <row r="478">
          <cell r="A478">
            <v>170</v>
          </cell>
          <cell r="B478">
            <v>2017</v>
          </cell>
          <cell r="C478">
            <v>8300</v>
          </cell>
          <cell r="D478">
            <v>2</v>
          </cell>
          <cell r="E478">
            <v>2</v>
          </cell>
          <cell r="F478">
            <v>2</v>
          </cell>
          <cell r="G478">
            <v>5000</v>
          </cell>
          <cell r="H478">
            <v>5300</v>
          </cell>
          <cell r="I478">
            <v>531</v>
          </cell>
          <cell r="J478">
            <v>8</v>
          </cell>
          <cell r="K478" t="str">
            <v>Contador de células metálico para diferencial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 t="str">
            <v>Pieza</v>
          </cell>
          <cell r="V478" t="str">
            <v>FC</v>
          </cell>
        </row>
        <row r="479">
          <cell r="A479">
            <v>171</v>
          </cell>
          <cell r="B479">
            <v>2017</v>
          </cell>
          <cell r="C479">
            <v>8300</v>
          </cell>
          <cell r="D479">
            <v>2</v>
          </cell>
          <cell r="E479">
            <v>2</v>
          </cell>
          <cell r="F479">
            <v>2</v>
          </cell>
          <cell r="G479">
            <v>5000</v>
          </cell>
          <cell r="H479">
            <v>5300</v>
          </cell>
          <cell r="I479">
            <v>531</v>
          </cell>
          <cell r="J479">
            <v>9</v>
          </cell>
          <cell r="K479" t="str">
            <v>Deshumificador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 t="str">
            <v>Pieza</v>
          </cell>
          <cell r="V479" t="str">
            <v>FC</v>
          </cell>
        </row>
        <row r="480">
          <cell r="A480">
            <v>172</v>
          </cell>
          <cell r="B480">
            <v>2017</v>
          </cell>
          <cell r="C480">
            <v>8300</v>
          </cell>
          <cell r="D480">
            <v>2</v>
          </cell>
          <cell r="E480">
            <v>2</v>
          </cell>
          <cell r="F480">
            <v>2</v>
          </cell>
          <cell r="G480">
            <v>5000</v>
          </cell>
          <cell r="H480">
            <v>5300</v>
          </cell>
          <cell r="I480">
            <v>531</v>
          </cell>
          <cell r="J480">
            <v>10</v>
          </cell>
          <cell r="K480" t="str">
            <v>Equipo automatizado para análisis de muestra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 t="str">
            <v>Pieza</v>
          </cell>
          <cell r="V480" t="str">
            <v>FC</v>
          </cell>
        </row>
        <row r="481">
          <cell r="A481">
            <v>173</v>
          </cell>
          <cell r="B481">
            <v>2017</v>
          </cell>
          <cell r="C481">
            <v>8300</v>
          </cell>
          <cell r="D481">
            <v>2</v>
          </cell>
          <cell r="E481">
            <v>2</v>
          </cell>
          <cell r="F481">
            <v>2</v>
          </cell>
          <cell r="G481">
            <v>5000</v>
          </cell>
          <cell r="H481">
            <v>5300</v>
          </cell>
          <cell r="I481">
            <v>531</v>
          </cell>
          <cell r="J481">
            <v>11</v>
          </cell>
          <cell r="K481" t="str">
            <v>Equipo de química sanguínea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 t="str">
            <v>Pieza</v>
          </cell>
          <cell r="V481" t="str">
            <v>FC</v>
          </cell>
        </row>
        <row r="482">
          <cell r="A482">
            <v>174</v>
          </cell>
          <cell r="B482">
            <v>2017</v>
          </cell>
          <cell r="C482">
            <v>8300</v>
          </cell>
          <cell r="D482">
            <v>2</v>
          </cell>
          <cell r="E482">
            <v>2</v>
          </cell>
          <cell r="F482">
            <v>2</v>
          </cell>
          <cell r="G482">
            <v>5000</v>
          </cell>
          <cell r="H482">
            <v>5300</v>
          </cell>
          <cell r="I482">
            <v>531</v>
          </cell>
          <cell r="J482">
            <v>12</v>
          </cell>
          <cell r="K482" t="str">
            <v>Equipo para extracción en fase sólida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 t="str">
            <v>Pieza</v>
          </cell>
          <cell r="V482" t="str">
            <v>FC</v>
          </cell>
        </row>
        <row r="483">
          <cell r="A483">
            <v>175</v>
          </cell>
          <cell r="B483">
            <v>2017</v>
          </cell>
          <cell r="C483">
            <v>8300</v>
          </cell>
          <cell r="D483">
            <v>2</v>
          </cell>
          <cell r="E483">
            <v>2</v>
          </cell>
          <cell r="F483">
            <v>2</v>
          </cell>
          <cell r="G483">
            <v>5000</v>
          </cell>
          <cell r="H483">
            <v>5300</v>
          </cell>
          <cell r="I483">
            <v>531</v>
          </cell>
          <cell r="J483">
            <v>13</v>
          </cell>
          <cell r="K483" t="str">
            <v xml:space="preserve">Estuche de diagnóstico 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 t="str">
            <v>Pieza</v>
          </cell>
          <cell r="V483" t="str">
            <v>FC</v>
          </cell>
        </row>
        <row r="484">
          <cell r="A484">
            <v>176</v>
          </cell>
          <cell r="B484">
            <v>2017</v>
          </cell>
          <cell r="C484">
            <v>8300</v>
          </cell>
          <cell r="D484">
            <v>2</v>
          </cell>
          <cell r="E484">
            <v>2</v>
          </cell>
          <cell r="F484">
            <v>2</v>
          </cell>
          <cell r="G484">
            <v>5000</v>
          </cell>
          <cell r="H484">
            <v>5300</v>
          </cell>
          <cell r="I484">
            <v>531</v>
          </cell>
          <cell r="J484">
            <v>14</v>
          </cell>
          <cell r="K484" t="str">
            <v>Lector de tiras de orina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 t="str">
            <v>Pieza</v>
          </cell>
          <cell r="V484" t="str">
            <v>FC</v>
          </cell>
        </row>
        <row r="485">
          <cell r="A485">
            <v>177</v>
          </cell>
          <cell r="B485">
            <v>2017</v>
          </cell>
          <cell r="C485">
            <v>8300</v>
          </cell>
          <cell r="D485">
            <v>2</v>
          </cell>
          <cell r="E485">
            <v>2</v>
          </cell>
          <cell r="F485">
            <v>2</v>
          </cell>
          <cell r="G485">
            <v>5000</v>
          </cell>
          <cell r="H485">
            <v>5300</v>
          </cell>
          <cell r="I485">
            <v>531</v>
          </cell>
          <cell r="J485">
            <v>15</v>
          </cell>
          <cell r="K485" t="str">
            <v>Mesa de exploración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 t="str">
            <v>Pieza</v>
          </cell>
          <cell r="V485" t="str">
            <v>FC</v>
          </cell>
        </row>
        <row r="486">
          <cell r="A486">
            <v>178</v>
          </cell>
          <cell r="B486">
            <v>2017</v>
          </cell>
          <cell r="C486">
            <v>8300</v>
          </cell>
          <cell r="D486">
            <v>2</v>
          </cell>
          <cell r="E486">
            <v>2</v>
          </cell>
          <cell r="F486">
            <v>2</v>
          </cell>
          <cell r="G486">
            <v>5000</v>
          </cell>
          <cell r="H486">
            <v>5300</v>
          </cell>
          <cell r="I486">
            <v>531</v>
          </cell>
          <cell r="J486">
            <v>16</v>
          </cell>
          <cell r="K486" t="str">
            <v>Mesa especializada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 t="str">
            <v>Pieza</v>
          </cell>
          <cell r="V486" t="str">
            <v>FC</v>
          </cell>
        </row>
        <row r="487">
          <cell r="A487">
            <v>179</v>
          </cell>
          <cell r="B487">
            <v>2017</v>
          </cell>
          <cell r="C487">
            <v>8300</v>
          </cell>
          <cell r="D487">
            <v>2</v>
          </cell>
          <cell r="E487">
            <v>2</v>
          </cell>
          <cell r="F487">
            <v>2</v>
          </cell>
          <cell r="G487">
            <v>5000</v>
          </cell>
          <cell r="H487">
            <v>5300</v>
          </cell>
          <cell r="I487">
            <v>531</v>
          </cell>
          <cell r="J487">
            <v>17</v>
          </cell>
          <cell r="K487" t="str">
            <v xml:space="preserve">Micropipeta 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 t="str">
            <v>Pieza</v>
          </cell>
          <cell r="V487" t="str">
            <v>FC</v>
          </cell>
        </row>
        <row r="488">
          <cell r="A488">
            <v>180</v>
          </cell>
          <cell r="B488">
            <v>2017</v>
          </cell>
          <cell r="C488">
            <v>8300</v>
          </cell>
          <cell r="D488">
            <v>2</v>
          </cell>
          <cell r="E488">
            <v>2</v>
          </cell>
          <cell r="F488">
            <v>2</v>
          </cell>
          <cell r="G488">
            <v>5000</v>
          </cell>
          <cell r="H488">
            <v>5300</v>
          </cell>
          <cell r="I488">
            <v>531</v>
          </cell>
          <cell r="J488">
            <v>18</v>
          </cell>
          <cell r="K488" t="str">
            <v xml:space="preserve">Microscopio 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 t="str">
            <v>Pieza</v>
          </cell>
          <cell r="V488" t="str">
            <v>FC</v>
          </cell>
        </row>
        <row r="489">
          <cell r="A489">
            <v>181</v>
          </cell>
          <cell r="B489">
            <v>2017</v>
          </cell>
          <cell r="C489">
            <v>8300</v>
          </cell>
          <cell r="D489">
            <v>2</v>
          </cell>
          <cell r="E489">
            <v>2</v>
          </cell>
          <cell r="F489">
            <v>2</v>
          </cell>
          <cell r="G489">
            <v>5000</v>
          </cell>
          <cell r="H489">
            <v>5300</v>
          </cell>
          <cell r="I489">
            <v>531</v>
          </cell>
          <cell r="J489">
            <v>19</v>
          </cell>
          <cell r="K489" t="str">
            <v>Silla de flebotomía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 t="str">
            <v>Pieza</v>
          </cell>
          <cell r="V489" t="str">
            <v>FC</v>
          </cell>
        </row>
        <row r="490">
          <cell r="A490">
            <v>182</v>
          </cell>
          <cell r="B490">
            <v>2017</v>
          </cell>
          <cell r="C490">
            <v>8300</v>
          </cell>
          <cell r="D490">
            <v>2</v>
          </cell>
          <cell r="E490">
            <v>2</v>
          </cell>
          <cell r="F490">
            <v>2</v>
          </cell>
          <cell r="G490">
            <v>5000</v>
          </cell>
          <cell r="H490">
            <v>5300</v>
          </cell>
          <cell r="I490">
            <v>531</v>
          </cell>
          <cell r="J490">
            <v>20</v>
          </cell>
          <cell r="K490" t="str">
            <v>Silla para laboratorio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 t="str">
            <v>Pieza</v>
          </cell>
          <cell r="V490" t="str">
            <v>FC</v>
          </cell>
        </row>
        <row r="491">
          <cell r="A491">
            <v>183</v>
          </cell>
          <cell r="B491">
            <v>2017</v>
          </cell>
          <cell r="C491">
            <v>8300</v>
          </cell>
          <cell r="D491">
            <v>2</v>
          </cell>
          <cell r="E491">
            <v>2</v>
          </cell>
          <cell r="F491">
            <v>2</v>
          </cell>
          <cell r="G491">
            <v>5000</v>
          </cell>
          <cell r="H491">
            <v>5300</v>
          </cell>
          <cell r="I491">
            <v>531</v>
          </cell>
          <cell r="J491">
            <v>21</v>
          </cell>
          <cell r="K491" t="str">
            <v>Ultracongelador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 t="str">
            <v>Pieza</v>
          </cell>
          <cell r="V491" t="str">
            <v>FC</v>
          </cell>
        </row>
        <row r="492">
          <cell r="A492">
            <v>184</v>
          </cell>
          <cell r="B492">
            <v>2017</v>
          </cell>
          <cell r="C492">
            <v>8300</v>
          </cell>
          <cell r="D492">
            <v>2</v>
          </cell>
          <cell r="E492">
            <v>2</v>
          </cell>
          <cell r="F492">
            <v>2</v>
          </cell>
          <cell r="G492">
            <v>5000</v>
          </cell>
          <cell r="H492">
            <v>5300</v>
          </cell>
          <cell r="I492">
            <v>531</v>
          </cell>
          <cell r="J492">
            <v>22</v>
          </cell>
          <cell r="K492" t="str">
            <v>Vitrina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 t="str">
            <v>Pieza</v>
          </cell>
          <cell r="V492" t="str">
            <v>FC</v>
          </cell>
        </row>
        <row r="493">
          <cell r="A493">
            <v>185</v>
          </cell>
          <cell r="B493">
            <v>2017</v>
          </cell>
          <cell r="C493">
            <v>8300</v>
          </cell>
          <cell r="D493">
            <v>2</v>
          </cell>
          <cell r="E493">
            <v>2</v>
          </cell>
          <cell r="F493">
            <v>2</v>
          </cell>
          <cell r="G493">
            <v>5000</v>
          </cell>
          <cell r="H493">
            <v>5300</v>
          </cell>
          <cell r="I493">
            <v>532</v>
          </cell>
          <cell r="K493" t="str">
            <v>Instrumental médico y de laboratorio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</row>
        <row r="494">
          <cell r="A494">
            <v>186</v>
          </cell>
          <cell r="B494">
            <v>2017</v>
          </cell>
          <cell r="C494">
            <v>8300</v>
          </cell>
          <cell r="D494">
            <v>2</v>
          </cell>
          <cell r="E494">
            <v>2</v>
          </cell>
          <cell r="F494">
            <v>2</v>
          </cell>
          <cell r="G494">
            <v>5000</v>
          </cell>
          <cell r="H494">
            <v>5300</v>
          </cell>
          <cell r="I494">
            <v>532</v>
          </cell>
          <cell r="J494">
            <v>1</v>
          </cell>
          <cell r="K494" t="str">
            <v>Agitador Vórtex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 t="str">
            <v>Pieza</v>
          </cell>
          <cell r="V494" t="str">
            <v>FC</v>
          </cell>
        </row>
        <row r="495">
          <cell r="A495">
            <v>187</v>
          </cell>
          <cell r="B495">
            <v>2017</v>
          </cell>
          <cell r="C495">
            <v>8300</v>
          </cell>
          <cell r="D495">
            <v>2</v>
          </cell>
          <cell r="E495">
            <v>2</v>
          </cell>
          <cell r="F495">
            <v>2</v>
          </cell>
          <cell r="G495">
            <v>5000</v>
          </cell>
          <cell r="H495">
            <v>5300</v>
          </cell>
          <cell r="I495">
            <v>532</v>
          </cell>
          <cell r="J495">
            <v>2</v>
          </cell>
          <cell r="K495" t="str">
            <v xml:space="preserve">Audiómetro  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 t="str">
            <v>Pieza</v>
          </cell>
          <cell r="V495" t="str">
            <v>FC</v>
          </cell>
        </row>
        <row r="496">
          <cell r="A496">
            <v>188</v>
          </cell>
          <cell r="B496">
            <v>2017</v>
          </cell>
          <cell r="C496">
            <v>8300</v>
          </cell>
          <cell r="D496">
            <v>2</v>
          </cell>
          <cell r="E496">
            <v>2</v>
          </cell>
          <cell r="F496">
            <v>2</v>
          </cell>
          <cell r="G496">
            <v>5000</v>
          </cell>
          <cell r="H496">
            <v>5300</v>
          </cell>
          <cell r="I496">
            <v>532</v>
          </cell>
          <cell r="J496">
            <v>3</v>
          </cell>
          <cell r="K496" t="str">
            <v>Baño seco de tres bloques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 t="str">
            <v>Pieza</v>
          </cell>
          <cell r="V496" t="str">
            <v>FC</v>
          </cell>
        </row>
        <row r="497">
          <cell r="A497">
            <v>189</v>
          </cell>
          <cell r="B497">
            <v>2017</v>
          </cell>
          <cell r="C497">
            <v>8300</v>
          </cell>
          <cell r="D497">
            <v>2</v>
          </cell>
          <cell r="E497">
            <v>2</v>
          </cell>
          <cell r="F497">
            <v>2</v>
          </cell>
          <cell r="G497">
            <v>5000</v>
          </cell>
          <cell r="H497">
            <v>5300</v>
          </cell>
          <cell r="I497">
            <v>532</v>
          </cell>
          <cell r="J497">
            <v>4</v>
          </cell>
          <cell r="K497" t="str">
            <v>Baño ultrasónico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 t="str">
            <v>Pieza</v>
          </cell>
          <cell r="V497" t="str">
            <v>FC</v>
          </cell>
        </row>
        <row r="498">
          <cell r="A498">
            <v>190</v>
          </cell>
          <cell r="B498">
            <v>2017</v>
          </cell>
          <cell r="C498">
            <v>8300</v>
          </cell>
          <cell r="D498">
            <v>2</v>
          </cell>
          <cell r="E498">
            <v>2</v>
          </cell>
          <cell r="F498">
            <v>2</v>
          </cell>
          <cell r="G498">
            <v>5000</v>
          </cell>
          <cell r="H498">
            <v>5300</v>
          </cell>
          <cell r="I498">
            <v>532</v>
          </cell>
          <cell r="J498">
            <v>5</v>
          </cell>
          <cell r="K498" t="str">
            <v xml:space="preserve">Báscula con estadímetro 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 t="str">
            <v>Pieza</v>
          </cell>
          <cell r="V498" t="str">
            <v>FC</v>
          </cell>
        </row>
        <row r="499">
          <cell r="A499">
            <v>191</v>
          </cell>
          <cell r="B499">
            <v>2017</v>
          </cell>
          <cell r="C499">
            <v>8300</v>
          </cell>
          <cell r="D499">
            <v>2</v>
          </cell>
          <cell r="E499">
            <v>2</v>
          </cell>
          <cell r="F499">
            <v>2</v>
          </cell>
          <cell r="G499">
            <v>5000</v>
          </cell>
          <cell r="H499">
            <v>5300</v>
          </cell>
          <cell r="I499">
            <v>532</v>
          </cell>
          <cell r="J499">
            <v>6</v>
          </cell>
          <cell r="K499" t="str">
            <v xml:space="preserve">Baumanómetro 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 t="str">
            <v>Pieza</v>
          </cell>
          <cell r="V499" t="str">
            <v>FC</v>
          </cell>
        </row>
        <row r="500">
          <cell r="A500">
            <v>192</v>
          </cell>
          <cell r="B500">
            <v>2017</v>
          </cell>
          <cell r="C500">
            <v>8300</v>
          </cell>
          <cell r="D500">
            <v>2</v>
          </cell>
          <cell r="E500">
            <v>2</v>
          </cell>
          <cell r="F500">
            <v>2</v>
          </cell>
          <cell r="G500">
            <v>5000</v>
          </cell>
          <cell r="H500">
            <v>5300</v>
          </cell>
          <cell r="I500">
            <v>532</v>
          </cell>
          <cell r="J500">
            <v>7</v>
          </cell>
          <cell r="K500" t="str">
            <v xml:space="preserve">Calibrador 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 t="str">
            <v>Pieza</v>
          </cell>
          <cell r="V500" t="str">
            <v>FC</v>
          </cell>
        </row>
        <row r="501">
          <cell r="A501">
            <v>193</v>
          </cell>
          <cell r="B501">
            <v>2017</v>
          </cell>
          <cell r="C501">
            <v>8300</v>
          </cell>
          <cell r="D501">
            <v>2</v>
          </cell>
          <cell r="E501">
            <v>2</v>
          </cell>
          <cell r="F501">
            <v>2</v>
          </cell>
          <cell r="G501">
            <v>5000</v>
          </cell>
          <cell r="H501">
            <v>5300</v>
          </cell>
          <cell r="I501">
            <v>532</v>
          </cell>
          <cell r="J501">
            <v>8</v>
          </cell>
          <cell r="K501" t="str">
            <v>Carta de Snellen para visión lejana - cercana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 t="str">
            <v>Pieza</v>
          </cell>
          <cell r="V501" t="str">
            <v>FC</v>
          </cell>
        </row>
        <row r="502">
          <cell r="A502">
            <v>194</v>
          </cell>
          <cell r="B502">
            <v>2017</v>
          </cell>
          <cell r="C502">
            <v>8300</v>
          </cell>
          <cell r="D502">
            <v>2</v>
          </cell>
          <cell r="E502">
            <v>2</v>
          </cell>
          <cell r="F502">
            <v>2</v>
          </cell>
          <cell r="G502">
            <v>5000</v>
          </cell>
          <cell r="H502">
            <v>5300</v>
          </cell>
          <cell r="I502">
            <v>532</v>
          </cell>
          <cell r="J502">
            <v>9</v>
          </cell>
          <cell r="K502" t="str">
            <v>Centrífuga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 t="str">
            <v>Pieza</v>
          </cell>
          <cell r="V502" t="str">
            <v>FC</v>
          </cell>
        </row>
        <row r="503">
          <cell r="A503">
            <v>195</v>
          </cell>
          <cell r="B503">
            <v>2017</v>
          </cell>
          <cell r="C503">
            <v>8300</v>
          </cell>
          <cell r="D503">
            <v>2</v>
          </cell>
          <cell r="E503">
            <v>2</v>
          </cell>
          <cell r="F503">
            <v>2</v>
          </cell>
          <cell r="G503">
            <v>5000</v>
          </cell>
          <cell r="H503">
            <v>5300</v>
          </cell>
          <cell r="I503">
            <v>532</v>
          </cell>
          <cell r="J503">
            <v>10</v>
          </cell>
          <cell r="K503" t="str">
            <v>Diapasón de diferentes tonalidades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 t="str">
            <v>Pieza</v>
          </cell>
          <cell r="V503" t="str">
            <v>FC</v>
          </cell>
        </row>
        <row r="504">
          <cell r="A504">
            <v>196</v>
          </cell>
          <cell r="B504">
            <v>2017</v>
          </cell>
          <cell r="C504">
            <v>8300</v>
          </cell>
          <cell r="D504">
            <v>2</v>
          </cell>
          <cell r="E504">
            <v>2</v>
          </cell>
          <cell r="F504">
            <v>2</v>
          </cell>
          <cell r="G504">
            <v>5000</v>
          </cell>
          <cell r="H504">
            <v>5300</v>
          </cell>
          <cell r="I504">
            <v>532</v>
          </cell>
          <cell r="J504">
            <v>11</v>
          </cell>
          <cell r="K504" t="str">
            <v>Higrómetro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 t="str">
            <v>Pieza</v>
          </cell>
          <cell r="V504" t="str">
            <v>FC</v>
          </cell>
        </row>
        <row r="505">
          <cell r="A505">
            <v>197</v>
          </cell>
          <cell r="B505">
            <v>2017</v>
          </cell>
          <cell r="C505">
            <v>8300</v>
          </cell>
          <cell r="D505">
            <v>2</v>
          </cell>
          <cell r="E505">
            <v>2</v>
          </cell>
          <cell r="F505">
            <v>2</v>
          </cell>
          <cell r="G505">
            <v>5000</v>
          </cell>
          <cell r="H505">
            <v>5300</v>
          </cell>
          <cell r="I505">
            <v>532</v>
          </cell>
          <cell r="J505">
            <v>12</v>
          </cell>
          <cell r="K505" t="str">
            <v>Kit de aditamentos de poligrafía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 t="str">
            <v>Pieza</v>
          </cell>
          <cell r="V505" t="str">
            <v>FC</v>
          </cell>
        </row>
        <row r="506">
          <cell r="A506">
            <v>198</v>
          </cell>
          <cell r="B506">
            <v>2017</v>
          </cell>
          <cell r="C506">
            <v>8300</v>
          </cell>
          <cell r="D506">
            <v>2</v>
          </cell>
          <cell r="E506">
            <v>2</v>
          </cell>
          <cell r="F506">
            <v>2</v>
          </cell>
          <cell r="G506">
            <v>5000</v>
          </cell>
          <cell r="H506">
            <v>5300</v>
          </cell>
          <cell r="I506">
            <v>532</v>
          </cell>
          <cell r="J506">
            <v>13</v>
          </cell>
          <cell r="K506" t="str">
            <v>Kit de sensores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 t="str">
            <v>Pieza</v>
          </cell>
          <cell r="V506" t="str">
            <v>FC</v>
          </cell>
        </row>
        <row r="507">
          <cell r="A507">
            <v>199</v>
          </cell>
          <cell r="B507">
            <v>2017</v>
          </cell>
          <cell r="C507">
            <v>8300</v>
          </cell>
          <cell r="D507">
            <v>2</v>
          </cell>
          <cell r="E507">
            <v>2</v>
          </cell>
          <cell r="F507">
            <v>2</v>
          </cell>
          <cell r="G507">
            <v>5000</v>
          </cell>
          <cell r="H507">
            <v>5300</v>
          </cell>
          <cell r="I507">
            <v>532</v>
          </cell>
          <cell r="J507">
            <v>14</v>
          </cell>
          <cell r="K507" t="str">
            <v>Kit de viales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 t="str">
            <v>Pieza</v>
          </cell>
          <cell r="V507" t="str">
            <v>FC</v>
          </cell>
        </row>
        <row r="508">
          <cell r="A508">
            <v>200</v>
          </cell>
          <cell r="B508">
            <v>2017</v>
          </cell>
          <cell r="C508">
            <v>8300</v>
          </cell>
          <cell r="D508">
            <v>2</v>
          </cell>
          <cell r="E508">
            <v>2</v>
          </cell>
          <cell r="F508">
            <v>2</v>
          </cell>
          <cell r="G508">
            <v>5000</v>
          </cell>
          <cell r="H508">
            <v>5300</v>
          </cell>
          <cell r="I508">
            <v>532</v>
          </cell>
          <cell r="J508">
            <v>15</v>
          </cell>
          <cell r="K508" t="str">
            <v>Manga de cardio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 t="str">
            <v>Pieza</v>
          </cell>
          <cell r="V508" t="str">
            <v>FC</v>
          </cell>
        </row>
        <row r="509">
          <cell r="A509">
            <v>201</v>
          </cell>
          <cell r="B509">
            <v>2017</v>
          </cell>
          <cell r="C509">
            <v>8300</v>
          </cell>
          <cell r="D509">
            <v>2</v>
          </cell>
          <cell r="E509">
            <v>2</v>
          </cell>
          <cell r="F509">
            <v>2</v>
          </cell>
          <cell r="G509">
            <v>5000</v>
          </cell>
          <cell r="H509">
            <v>5300</v>
          </cell>
          <cell r="I509">
            <v>532</v>
          </cell>
          <cell r="J509">
            <v>16</v>
          </cell>
          <cell r="K509" t="str">
            <v>Neumógrafo superior e inferior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 t="str">
            <v>Pieza</v>
          </cell>
          <cell r="V509" t="str">
            <v>FC</v>
          </cell>
        </row>
        <row r="510">
          <cell r="A510">
            <v>202</v>
          </cell>
          <cell r="B510">
            <v>2017</v>
          </cell>
          <cell r="C510">
            <v>8300</v>
          </cell>
          <cell r="D510">
            <v>2</v>
          </cell>
          <cell r="E510">
            <v>2</v>
          </cell>
          <cell r="F510">
            <v>2</v>
          </cell>
          <cell r="G510">
            <v>5000</v>
          </cell>
          <cell r="H510">
            <v>5300</v>
          </cell>
          <cell r="I510">
            <v>532</v>
          </cell>
          <cell r="J510">
            <v>17</v>
          </cell>
          <cell r="K510" t="str">
            <v>Oftalmoscopio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 t="str">
            <v>Pieza</v>
          </cell>
          <cell r="V510" t="str">
            <v>FC</v>
          </cell>
        </row>
        <row r="511">
          <cell r="A511">
            <v>203</v>
          </cell>
          <cell r="B511">
            <v>2017</v>
          </cell>
          <cell r="C511">
            <v>8300</v>
          </cell>
          <cell r="D511">
            <v>2</v>
          </cell>
          <cell r="E511">
            <v>2</v>
          </cell>
          <cell r="F511">
            <v>2</v>
          </cell>
          <cell r="G511">
            <v>5000</v>
          </cell>
          <cell r="H511">
            <v>5300</v>
          </cell>
          <cell r="I511">
            <v>532</v>
          </cell>
          <cell r="J511">
            <v>18</v>
          </cell>
          <cell r="K511" t="str">
            <v xml:space="preserve">Otoscopio 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 t="str">
            <v>Pieza</v>
          </cell>
          <cell r="V511" t="str">
            <v>FC</v>
          </cell>
        </row>
        <row r="512">
          <cell r="A512">
            <v>204</v>
          </cell>
          <cell r="B512">
            <v>2017</v>
          </cell>
          <cell r="C512">
            <v>8300</v>
          </cell>
          <cell r="D512">
            <v>2</v>
          </cell>
          <cell r="E512">
            <v>2</v>
          </cell>
          <cell r="F512">
            <v>2</v>
          </cell>
          <cell r="G512">
            <v>5000</v>
          </cell>
          <cell r="H512">
            <v>5300</v>
          </cell>
          <cell r="I512">
            <v>532</v>
          </cell>
          <cell r="J512">
            <v>19</v>
          </cell>
          <cell r="K512" t="str">
            <v>Pletismógrafo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 t="str">
            <v>Pieza</v>
          </cell>
          <cell r="V512" t="str">
            <v>FC</v>
          </cell>
        </row>
        <row r="513">
          <cell r="A513">
            <v>205</v>
          </cell>
          <cell r="B513">
            <v>2017</v>
          </cell>
          <cell r="C513">
            <v>8300</v>
          </cell>
          <cell r="D513">
            <v>2</v>
          </cell>
          <cell r="E513">
            <v>2</v>
          </cell>
          <cell r="F513">
            <v>2</v>
          </cell>
          <cell r="G513">
            <v>5000</v>
          </cell>
          <cell r="H513">
            <v>5300</v>
          </cell>
          <cell r="I513">
            <v>532</v>
          </cell>
          <cell r="J513">
            <v>20</v>
          </cell>
          <cell r="K513" t="str">
            <v>Reloj cronómetro digital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 t="str">
            <v>Pieza</v>
          </cell>
          <cell r="V513" t="str">
            <v>FC</v>
          </cell>
        </row>
        <row r="514">
          <cell r="A514">
            <v>206</v>
          </cell>
          <cell r="B514">
            <v>2017</v>
          </cell>
          <cell r="C514">
            <v>8300</v>
          </cell>
          <cell r="D514">
            <v>2</v>
          </cell>
          <cell r="E514">
            <v>2</v>
          </cell>
          <cell r="F514">
            <v>2</v>
          </cell>
          <cell r="G514">
            <v>5000</v>
          </cell>
          <cell r="H514">
            <v>5300</v>
          </cell>
          <cell r="I514">
            <v>532</v>
          </cell>
          <cell r="J514">
            <v>21</v>
          </cell>
          <cell r="K514" t="str">
            <v>Rinoscopio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 t="str">
            <v>Pieza</v>
          </cell>
          <cell r="V514" t="str">
            <v>FC</v>
          </cell>
        </row>
        <row r="515">
          <cell r="A515">
            <v>207</v>
          </cell>
          <cell r="B515">
            <v>2017</v>
          </cell>
          <cell r="C515">
            <v>8300</v>
          </cell>
          <cell r="D515">
            <v>2</v>
          </cell>
          <cell r="E515">
            <v>2</v>
          </cell>
          <cell r="F515">
            <v>2</v>
          </cell>
          <cell r="G515">
            <v>5000</v>
          </cell>
          <cell r="H515">
            <v>5400</v>
          </cell>
          <cell r="K515" t="str">
            <v>Vehículos y Equipo de Transporte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</row>
        <row r="516">
          <cell r="A516">
            <v>208</v>
          </cell>
          <cell r="B516">
            <v>2017</v>
          </cell>
          <cell r="C516">
            <v>8300</v>
          </cell>
          <cell r="D516">
            <v>2</v>
          </cell>
          <cell r="E516">
            <v>2</v>
          </cell>
          <cell r="F516">
            <v>2</v>
          </cell>
          <cell r="G516">
            <v>5000</v>
          </cell>
          <cell r="H516">
            <v>5400</v>
          </cell>
          <cell r="I516">
            <v>541</v>
          </cell>
          <cell r="K516" t="str">
            <v>Vehículos y equipo terrestre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</row>
        <row r="517">
          <cell r="A517">
            <v>209</v>
          </cell>
          <cell r="B517">
            <v>2017</v>
          </cell>
          <cell r="C517">
            <v>8300</v>
          </cell>
          <cell r="D517">
            <v>2</v>
          </cell>
          <cell r="E517">
            <v>2</v>
          </cell>
          <cell r="F517">
            <v>2</v>
          </cell>
          <cell r="G517">
            <v>5000</v>
          </cell>
          <cell r="H517">
            <v>5400</v>
          </cell>
          <cell r="I517">
            <v>541</v>
          </cell>
          <cell r="J517">
            <v>1</v>
          </cell>
          <cell r="K517" t="str">
            <v>Vehículo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 t="str">
            <v>Pieza</v>
          </cell>
          <cell r="V517" t="str">
            <v>AE</v>
          </cell>
        </row>
        <row r="518">
          <cell r="A518">
            <v>210</v>
          </cell>
          <cell r="B518">
            <v>2017</v>
          </cell>
          <cell r="C518">
            <v>8300</v>
          </cell>
          <cell r="D518">
            <v>2</v>
          </cell>
          <cell r="E518">
            <v>2</v>
          </cell>
          <cell r="F518">
            <v>2</v>
          </cell>
          <cell r="G518">
            <v>5000</v>
          </cell>
          <cell r="H518">
            <v>5400</v>
          </cell>
          <cell r="I518">
            <v>542</v>
          </cell>
          <cell r="K518" t="str">
            <v>Carrocerías y remolques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</row>
        <row r="519">
          <cell r="A519">
            <v>211</v>
          </cell>
          <cell r="B519">
            <v>2017</v>
          </cell>
          <cell r="C519">
            <v>8300</v>
          </cell>
          <cell r="D519">
            <v>2</v>
          </cell>
          <cell r="E519">
            <v>2</v>
          </cell>
          <cell r="F519">
            <v>2</v>
          </cell>
          <cell r="G519">
            <v>5000</v>
          </cell>
          <cell r="H519">
            <v>5400</v>
          </cell>
          <cell r="I519">
            <v>542</v>
          </cell>
          <cell r="J519">
            <v>1</v>
          </cell>
          <cell r="K519" t="str">
            <v>Carrocerías y remolques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 t="str">
            <v>Pieza</v>
          </cell>
          <cell r="V519" t="str">
            <v>AE</v>
          </cell>
        </row>
        <row r="520">
          <cell r="A520">
            <v>212</v>
          </cell>
          <cell r="B520">
            <v>2017</v>
          </cell>
          <cell r="C520">
            <v>8300</v>
          </cell>
          <cell r="D520">
            <v>2</v>
          </cell>
          <cell r="E520">
            <v>2</v>
          </cell>
          <cell r="F520">
            <v>2</v>
          </cell>
          <cell r="G520">
            <v>5000</v>
          </cell>
          <cell r="H520">
            <v>5600</v>
          </cell>
          <cell r="K520" t="str">
            <v>Maquinaria, otros equipos y herramientas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</row>
        <row r="521">
          <cell r="A521">
            <v>213</v>
          </cell>
          <cell r="B521">
            <v>2017</v>
          </cell>
          <cell r="C521">
            <v>8300</v>
          </cell>
          <cell r="D521">
            <v>2</v>
          </cell>
          <cell r="E521">
            <v>2</v>
          </cell>
          <cell r="F521">
            <v>2</v>
          </cell>
          <cell r="G521">
            <v>5000</v>
          </cell>
          <cell r="H521">
            <v>5600</v>
          </cell>
          <cell r="I521">
            <v>562</v>
          </cell>
          <cell r="K521" t="str">
            <v>Maquinaria y equipo industrial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</row>
        <row r="522">
          <cell r="A522">
            <v>214</v>
          </cell>
          <cell r="B522">
            <v>2017</v>
          </cell>
          <cell r="C522">
            <v>8300</v>
          </cell>
          <cell r="D522">
            <v>2</v>
          </cell>
          <cell r="E522">
            <v>2</v>
          </cell>
          <cell r="F522">
            <v>2</v>
          </cell>
          <cell r="G522">
            <v>5000</v>
          </cell>
          <cell r="H522">
            <v>5600</v>
          </cell>
          <cell r="I522">
            <v>562</v>
          </cell>
          <cell r="J522">
            <v>1</v>
          </cell>
          <cell r="K522" t="str">
            <v xml:space="preserve">Detector de metales 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 t="str">
            <v>Equipo</v>
          </cell>
          <cell r="V522" t="str">
            <v>FC</v>
          </cell>
        </row>
        <row r="523">
          <cell r="A523">
            <v>215</v>
          </cell>
          <cell r="B523">
            <v>2017</v>
          </cell>
          <cell r="C523">
            <v>8300</v>
          </cell>
          <cell r="D523">
            <v>2</v>
          </cell>
          <cell r="E523">
            <v>2</v>
          </cell>
          <cell r="F523">
            <v>2</v>
          </cell>
          <cell r="G523">
            <v>5000</v>
          </cell>
          <cell r="H523">
            <v>5600</v>
          </cell>
          <cell r="I523">
            <v>564</v>
          </cell>
          <cell r="K523" t="str">
            <v>Sistemas de aire acondicionado, calefacción y de refrigeración industrial y comercial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</row>
        <row r="524">
          <cell r="A524">
            <v>216</v>
          </cell>
          <cell r="B524">
            <v>2017</v>
          </cell>
          <cell r="C524">
            <v>8300</v>
          </cell>
          <cell r="D524">
            <v>2</v>
          </cell>
          <cell r="E524">
            <v>2</v>
          </cell>
          <cell r="F524">
            <v>2</v>
          </cell>
          <cell r="G524">
            <v>5000</v>
          </cell>
          <cell r="H524">
            <v>5600</v>
          </cell>
          <cell r="I524">
            <v>564</v>
          </cell>
          <cell r="J524">
            <v>1</v>
          </cell>
          <cell r="K524" t="str">
            <v>Aire acondicionado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 t="str">
            <v>Pieza</v>
          </cell>
          <cell r="V524" t="str">
            <v>FC</v>
          </cell>
        </row>
        <row r="525">
          <cell r="A525">
            <v>217</v>
          </cell>
          <cell r="B525">
            <v>2017</v>
          </cell>
          <cell r="C525">
            <v>8300</v>
          </cell>
          <cell r="D525">
            <v>2</v>
          </cell>
          <cell r="E525">
            <v>2</v>
          </cell>
          <cell r="F525">
            <v>2</v>
          </cell>
          <cell r="G525">
            <v>5000</v>
          </cell>
          <cell r="H525">
            <v>5600</v>
          </cell>
          <cell r="I525">
            <v>565</v>
          </cell>
          <cell r="K525" t="str">
            <v>Equipo de comunicación y telecomunicación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</row>
        <row r="526">
          <cell r="A526">
            <v>218</v>
          </cell>
          <cell r="B526">
            <v>2017</v>
          </cell>
          <cell r="C526">
            <v>8300</v>
          </cell>
          <cell r="D526">
            <v>2</v>
          </cell>
          <cell r="E526">
            <v>2</v>
          </cell>
          <cell r="F526">
            <v>2</v>
          </cell>
          <cell r="G526">
            <v>5000</v>
          </cell>
          <cell r="H526">
            <v>5600</v>
          </cell>
          <cell r="I526">
            <v>565</v>
          </cell>
          <cell r="J526">
            <v>1</v>
          </cell>
          <cell r="K526" t="str">
            <v xml:space="preserve">Equipo para enlaces digitales sitios 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 t="str">
            <v>Pieza</v>
          </cell>
          <cell r="V526" t="str">
            <v>FC</v>
          </cell>
        </row>
        <row r="527">
          <cell r="A527">
            <v>219</v>
          </cell>
          <cell r="B527">
            <v>2017</v>
          </cell>
          <cell r="C527">
            <v>8300</v>
          </cell>
          <cell r="D527">
            <v>2</v>
          </cell>
          <cell r="E527">
            <v>2</v>
          </cell>
          <cell r="F527">
            <v>2</v>
          </cell>
          <cell r="G527">
            <v>5000</v>
          </cell>
          <cell r="H527">
            <v>5600</v>
          </cell>
          <cell r="I527">
            <v>565</v>
          </cell>
          <cell r="J527">
            <v>2</v>
          </cell>
          <cell r="K527" t="str">
            <v>GPS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 t="str">
            <v>Pieza</v>
          </cell>
          <cell r="V527" t="str">
            <v>FC</v>
          </cell>
        </row>
        <row r="528">
          <cell r="A528">
            <v>220</v>
          </cell>
          <cell r="B528">
            <v>2017</v>
          </cell>
          <cell r="C528">
            <v>8300</v>
          </cell>
          <cell r="D528">
            <v>2</v>
          </cell>
          <cell r="E528">
            <v>2</v>
          </cell>
          <cell r="F528">
            <v>2</v>
          </cell>
          <cell r="G528">
            <v>5000</v>
          </cell>
          <cell r="H528">
            <v>5600</v>
          </cell>
          <cell r="I528">
            <v>566</v>
          </cell>
          <cell r="K528" t="str">
            <v>Equipos de generación eléctrica, aparatos y accesorios eléctricos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</row>
        <row r="529">
          <cell r="A529">
            <v>221</v>
          </cell>
          <cell r="B529">
            <v>2017</v>
          </cell>
          <cell r="C529">
            <v>8300</v>
          </cell>
          <cell r="D529">
            <v>2</v>
          </cell>
          <cell r="E529">
            <v>2</v>
          </cell>
          <cell r="F529">
            <v>2</v>
          </cell>
          <cell r="G529">
            <v>5000</v>
          </cell>
          <cell r="H529">
            <v>5600</v>
          </cell>
          <cell r="I529">
            <v>566</v>
          </cell>
          <cell r="J529">
            <v>1</v>
          </cell>
          <cell r="K529" t="str">
            <v>Planta de emergencia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 t="str">
            <v>Pieza</v>
          </cell>
          <cell r="V529" t="str">
            <v>AE</v>
          </cell>
        </row>
        <row r="530">
          <cell r="A530">
            <v>222</v>
          </cell>
          <cell r="B530">
            <v>2017</v>
          </cell>
          <cell r="C530">
            <v>8300</v>
          </cell>
          <cell r="D530">
            <v>2</v>
          </cell>
          <cell r="E530">
            <v>2</v>
          </cell>
          <cell r="F530">
            <v>2</v>
          </cell>
          <cell r="G530">
            <v>5000</v>
          </cell>
          <cell r="H530">
            <v>5600</v>
          </cell>
          <cell r="I530">
            <v>566</v>
          </cell>
          <cell r="J530">
            <v>2</v>
          </cell>
          <cell r="K530" t="str">
            <v>Regulador de voltaje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 t="str">
            <v>Pieza</v>
          </cell>
          <cell r="V530" t="str">
            <v>AE</v>
          </cell>
        </row>
        <row r="531">
          <cell r="A531">
            <v>223</v>
          </cell>
          <cell r="B531">
            <v>2017</v>
          </cell>
          <cell r="C531">
            <v>8300</v>
          </cell>
          <cell r="D531">
            <v>2</v>
          </cell>
          <cell r="E531">
            <v>2</v>
          </cell>
          <cell r="F531">
            <v>2</v>
          </cell>
          <cell r="G531">
            <v>5000</v>
          </cell>
          <cell r="H531">
            <v>5900</v>
          </cell>
          <cell r="K531" t="str">
            <v>Activos Intangibles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</row>
        <row r="532">
          <cell r="A532">
            <v>224</v>
          </cell>
          <cell r="B532">
            <v>2017</v>
          </cell>
          <cell r="C532">
            <v>8300</v>
          </cell>
          <cell r="D532">
            <v>2</v>
          </cell>
          <cell r="E532">
            <v>2</v>
          </cell>
          <cell r="F532">
            <v>2</v>
          </cell>
          <cell r="G532">
            <v>5000</v>
          </cell>
          <cell r="H532">
            <v>5900</v>
          </cell>
          <cell r="I532">
            <v>591</v>
          </cell>
          <cell r="K532" t="str">
            <v>Software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</row>
        <row r="533">
          <cell r="A533">
            <v>225</v>
          </cell>
          <cell r="B533">
            <v>2017</v>
          </cell>
          <cell r="C533">
            <v>8300</v>
          </cell>
          <cell r="D533">
            <v>2</v>
          </cell>
          <cell r="E533">
            <v>2</v>
          </cell>
          <cell r="F533">
            <v>2</v>
          </cell>
          <cell r="G533">
            <v>5000</v>
          </cell>
          <cell r="H533">
            <v>5900</v>
          </cell>
          <cell r="I533">
            <v>591</v>
          </cell>
          <cell r="J533">
            <v>1</v>
          </cell>
          <cell r="K533" t="str">
            <v>Software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 t="str">
            <v>Licencia</v>
          </cell>
          <cell r="V533" t="str">
            <v>FC</v>
          </cell>
        </row>
        <row r="534">
          <cell r="A534">
            <v>226</v>
          </cell>
          <cell r="B534">
            <v>2017</v>
          </cell>
          <cell r="C534">
            <v>8300</v>
          </cell>
          <cell r="D534">
            <v>2</v>
          </cell>
          <cell r="E534">
            <v>2</v>
          </cell>
          <cell r="F534">
            <v>2</v>
          </cell>
          <cell r="G534">
            <v>5000</v>
          </cell>
          <cell r="H534">
            <v>5900</v>
          </cell>
          <cell r="I534">
            <v>597</v>
          </cell>
          <cell r="K534" t="str">
            <v>Licencias informáticas e intelectuales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</row>
        <row r="535">
          <cell r="A535">
            <v>227</v>
          </cell>
          <cell r="B535">
            <v>2017</v>
          </cell>
          <cell r="C535">
            <v>8300</v>
          </cell>
          <cell r="D535">
            <v>2</v>
          </cell>
          <cell r="E535">
            <v>2</v>
          </cell>
          <cell r="F535">
            <v>2</v>
          </cell>
          <cell r="G535">
            <v>5000</v>
          </cell>
          <cell r="H535">
            <v>5900</v>
          </cell>
          <cell r="I535">
            <v>597</v>
          </cell>
          <cell r="J535">
            <v>1</v>
          </cell>
          <cell r="K535" t="str">
            <v>Licencias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 t="str">
            <v>Licencia</v>
          </cell>
          <cell r="V535" t="str">
            <v>FC</v>
          </cell>
        </row>
        <row r="536">
          <cell r="A536">
            <v>228</v>
          </cell>
          <cell r="B536">
            <v>2017</v>
          </cell>
          <cell r="C536">
            <v>8300</v>
          </cell>
          <cell r="D536">
            <v>2</v>
          </cell>
          <cell r="E536">
            <v>2</v>
          </cell>
          <cell r="F536">
            <v>2</v>
          </cell>
          <cell r="G536">
            <v>6000</v>
          </cell>
          <cell r="K536" t="str">
            <v>INVERSIÓN PÚBLICA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</row>
        <row r="537">
          <cell r="A537">
            <v>229</v>
          </cell>
          <cell r="B537">
            <v>2017</v>
          </cell>
          <cell r="C537">
            <v>8300</v>
          </cell>
          <cell r="D537">
            <v>2</v>
          </cell>
          <cell r="E537">
            <v>2</v>
          </cell>
          <cell r="F537">
            <v>2</v>
          </cell>
          <cell r="G537">
            <v>6000</v>
          </cell>
          <cell r="H537">
            <v>6200</v>
          </cell>
          <cell r="K537" t="str">
            <v>Obra Pública en Bienes Propios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</row>
        <row r="538">
          <cell r="A538">
            <v>230</v>
          </cell>
          <cell r="B538">
            <v>2017</v>
          </cell>
          <cell r="C538">
            <v>8300</v>
          </cell>
          <cell r="D538">
            <v>2</v>
          </cell>
          <cell r="E538">
            <v>2</v>
          </cell>
          <cell r="F538">
            <v>2</v>
          </cell>
          <cell r="G538">
            <v>6000</v>
          </cell>
          <cell r="H538">
            <v>6200</v>
          </cell>
          <cell r="I538">
            <v>622</v>
          </cell>
          <cell r="K538" t="str">
            <v>Edificación no habitacional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</row>
        <row r="539">
          <cell r="A539">
            <v>231</v>
          </cell>
          <cell r="B539">
            <v>2017</v>
          </cell>
          <cell r="C539">
            <v>8300</v>
          </cell>
          <cell r="D539">
            <v>2</v>
          </cell>
          <cell r="E539">
            <v>2</v>
          </cell>
          <cell r="F539">
            <v>2</v>
          </cell>
          <cell r="G539">
            <v>6000</v>
          </cell>
          <cell r="H539">
            <v>6200</v>
          </cell>
          <cell r="I539">
            <v>622</v>
          </cell>
          <cell r="J539">
            <v>1</v>
          </cell>
          <cell r="K539" t="str">
            <v>Construcción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 t="str">
            <v>Obra</v>
          </cell>
          <cell r="V539" t="str">
            <v>FC</v>
          </cell>
        </row>
        <row r="540">
          <cell r="A540">
            <v>232</v>
          </cell>
          <cell r="B540">
            <v>2017</v>
          </cell>
          <cell r="C540">
            <v>8300</v>
          </cell>
          <cell r="D540">
            <v>2</v>
          </cell>
          <cell r="E540">
            <v>2</v>
          </cell>
          <cell r="F540">
            <v>2</v>
          </cell>
          <cell r="G540">
            <v>6000</v>
          </cell>
          <cell r="H540">
            <v>6200</v>
          </cell>
          <cell r="I540">
            <v>622</v>
          </cell>
          <cell r="J540">
            <v>1</v>
          </cell>
          <cell r="K540" t="str">
            <v xml:space="preserve">Dependencia:
Nombre:
Domicilio: 
Meta: 
Etapa: 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 t="str">
            <v>Obra</v>
          </cell>
          <cell r="V540" t="str">
            <v>FC</v>
          </cell>
        </row>
        <row r="541">
          <cell r="A541">
            <v>233</v>
          </cell>
          <cell r="B541">
            <v>2017</v>
          </cell>
          <cell r="C541">
            <v>8300</v>
          </cell>
          <cell r="D541">
            <v>2</v>
          </cell>
          <cell r="E541">
            <v>2</v>
          </cell>
          <cell r="F541">
            <v>2</v>
          </cell>
          <cell r="G541">
            <v>6000</v>
          </cell>
          <cell r="H541">
            <v>6200</v>
          </cell>
          <cell r="I541">
            <v>622</v>
          </cell>
          <cell r="J541">
            <v>2</v>
          </cell>
          <cell r="K541" t="str">
            <v>Mejoramiento y/o ampliación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 t="str">
            <v>Obra</v>
          </cell>
          <cell r="V541" t="str">
            <v>FC</v>
          </cell>
        </row>
        <row r="542">
          <cell r="A542">
            <v>234</v>
          </cell>
          <cell r="B542">
            <v>2017</v>
          </cell>
          <cell r="C542">
            <v>8300</v>
          </cell>
          <cell r="D542">
            <v>2</v>
          </cell>
          <cell r="E542">
            <v>2</v>
          </cell>
          <cell r="F542">
            <v>2</v>
          </cell>
          <cell r="G542">
            <v>6000</v>
          </cell>
          <cell r="H542">
            <v>6200</v>
          </cell>
          <cell r="I542">
            <v>622</v>
          </cell>
          <cell r="J542">
            <v>2</v>
          </cell>
          <cell r="K542" t="str">
            <v xml:space="preserve">Dependencia:
Nombre:
Domicilio: 
Meta: 
Etapa: 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 t="str">
            <v>Obra</v>
          </cell>
          <cell r="V542" t="str">
            <v>FC</v>
          </cell>
        </row>
      </sheetData>
      <sheetData sheetId="4">
        <row r="2145">
          <cell r="A2145">
            <v>1</v>
          </cell>
          <cell r="B2145">
            <v>2017</v>
          </cell>
          <cell r="C2145">
            <v>8300</v>
          </cell>
          <cell r="D2145">
            <v>3</v>
          </cell>
          <cell r="E2145">
            <v>5</v>
          </cell>
          <cell r="F2145">
            <v>1</v>
          </cell>
          <cell r="K2145" t="str">
            <v xml:space="preserve">Fortalecimiento al Sistema Penitenciario Nacional </v>
          </cell>
          <cell r="L2145">
            <v>5250456.2</v>
          </cell>
          <cell r="M2145">
            <v>0</v>
          </cell>
          <cell r="N2145">
            <v>5250456.2</v>
          </cell>
          <cell r="O2145">
            <v>654500</v>
          </cell>
          <cell r="P2145">
            <v>0</v>
          </cell>
          <cell r="Q2145">
            <v>654500</v>
          </cell>
          <cell r="R2145">
            <v>5904956.2000000002</v>
          </cell>
        </row>
        <row r="2146">
          <cell r="A2146">
            <v>2</v>
          </cell>
          <cell r="B2146">
            <v>2017</v>
          </cell>
          <cell r="C2146">
            <v>8300</v>
          </cell>
          <cell r="D2146">
            <v>3</v>
          </cell>
          <cell r="E2146">
            <v>5</v>
          </cell>
          <cell r="F2146">
            <v>1</v>
          </cell>
          <cell r="G2146">
            <v>2000</v>
          </cell>
          <cell r="K2146" t="str">
            <v>MATERIALES Y SUMINISTROS</v>
          </cell>
          <cell r="L2146">
            <v>149900</v>
          </cell>
          <cell r="M2146">
            <v>0</v>
          </cell>
          <cell r="N2146">
            <v>149900</v>
          </cell>
          <cell r="O2146">
            <v>0</v>
          </cell>
          <cell r="P2146">
            <v>0</v>
          </cell>
          <cell r="Q2146">
            <v>0</v>
          </cell>
          <cell r="R2146">
            <v>149900</v>
          </cell>
        </row>
        <row r="2147">
          <cell r="A2147">
            <v>3</v>
          </cell>
          <cell r="B2147">
            <v>2017</v>
          </cell>
          <cell r="C2147">
            <v>8300</v>
          </cell>
          <cell r="D2147">
            <v>3</v>
          </cell>
          <cell r="E2147">
            <v>5</v>
          </cell>
          <cell r="F2147">
            <v>1</v>
          </cell>
          <cell r="G2147">
            <v>2000</v>
          </cell>
          <cell r="H2147">
            <v>2100</v>
          </cell>
          <cell r="K2147" t="str">
            <v>Materiales de Administración, Emisión de Documentos y Artículos Oficiales</v>
          </cell>
          <cell r="L2147">
            <v>0</v>
          </cell>
          <cell r="M2147">
            <v>0</v>
          </cell>
          <cell r="N2147">
            <v>0</v>
          </cell>
          <cell r="O2147">
            <v>0</v>
          </cell>
          <cell r="P2147">
            <v>0</v>
          </cell>
          <cell r="Q2147">
            <v>0</v>
          </cell>
          <cell r="R2147">
            <v>0</v>
          </cell>
        </row>
        <row r="2148">
          <cell r="A2148">
            <v>4</v>
          </cell>
          <cell r="B2148">
            <v>2017</v>
          </cell>
          <cell r="C2148">
            <v>8300</v>
          </cell>
          <cell r="D2148">
            <v>3</v>
          </cell>
          <cell r="E2148">
            <v>5</v>
          </cell>
          <cell r="F2148">
            <v>1</v>
          </cell>
          <cell r="G2148">
            <v>2000</v>
          </cell>
          <cell r="H2148">
            <v>2100</v>
          </cell>
          <cell r="I2148">
            <v>214</v>
          </cell>
          <cell r="K2148" t="str">
            <v>Materiales, útiles y equipos menores de tecnologías de la información y comunicaciones</v>
          </cell>
          <cell r="L2148">
            <v>0</v>
          </cell>
          <cell r="M2148">
            <v>0</v>
          </cell>
          <cell r="N2148">
            <v>0</v>
          </cell>
          <cell r="O2148">
            <v>0</v>
          </cell>
          <cell r="P2148">
            <v>0</v>
          </cell>
          <cell r="Q2148">
            <v>0</v>
          </cell>
          <cell r="R2148">
            <v>0</v>
          </cell>
        </row>
        <row r="2149">
          <cell r="A2149">
            <v>5</v>
          </cell>
          <cell r="B2149">
            <v>2017</v>
          </cell>
          <cell r="C2149">
            <v>8300</v>
          </cell>
          <cell r="D2149">
            <v>3</v>
          </cell>
          <cell r="E2149">
            <v>5</v>
          </cell>
          <cell r="F2149">
            <v>1</v>
          </cell>
          <cell r="G2149">
            <v>2000</v>
          </cell>
          <cell r="H2149">
            <v>2100</v>
          </cell>
          <cell r="I2149">
            <v>214</v>
          </cell>
          <cell r="J2149">
            <v>1</v>
          </cell>
          <cell r="K2149" t="str">
            <v>Materiales y útiles para el procesamiento en equipos y bienes informáticos</v>
          </cell>
          <cell r="L2149">
            <v>0</v>
          </cell>
          <cell r="M2149">
            <v>0</v>
          </cell>
          <cell r="N2149">
            <v>0</v>
          </cell>
          <cell r="O2149">
            <v>0</v>
          </cell>
          <cell r="P2149">
            <v>0</v>
          </cell>
          <cell r="Q2149">
            <v>0</v>
          </cell>
          <cell r="R2149">
            <v>0</v>
          </cell>
          <cell r="S2149" t="str">
            <v>Pieza</v>
          </cell>
          <cell r="V2149" t="str">
            <v>AE</v>
          </cell>
        </row>
        <row r="2150">
          <cell r="A2150">
            <v>6</v>
          </cell>
          <cell r="B2150">
            <v>2017</v>
          </cell>
          <cell r="C2150">
            <v>8300</v>
          </cell>
          <cell r="D2150">
            <v>3</v>
          </cell>
          <cell r="E2150">
            <v>5</v>
          </cell>
          <cell r="F2150">
            <v>1</v>
          </cell>
          <cell r="G2150">
            <v>2000</v>
          </cell>
          <cell r="H2150">
            <v>2200</v>
          </cell>
          <cell r="K2150" t="str">
            <v xml:space="preserve"> Alimentos y Utensilios</v>
          </cell>
          <cell r="L2150">
            <v>0</v>
          </cell>
          <cell r="M2150">
            <v>0</v>
          </cell>
          <cell r="N2150">
            <v>0</v>
          </cell>
          <cell r="O2150">
            <v>0</v>
          </cell>
          <cell r="P2150">
            <v>0</v>
          </cell>
          <cell r="Q2150">
            <v>0</v>
          </cell>
          <cell r="R2150">
            <v>0</v>
          </cell>
        </row>
        <row r="2151">
          <cell r="A2151">
            <v>7</v>
          </cell>
          <cell r="B2151">
            <v>2017</v>
          </cell>
          <cell r="C2151">
            <v>8300</v>
          </cell>
          <cell r="D2151">
            <v>3</v>
          </cell>
          <cell r="E2151">
            <v>5</v>
          </cell>
          <cell r="F2151">
            <v>1</v>
          </cell>
          <cell r="G2151">
            <v>2000</v>
          </cell>
          <cell r="H2151">
            <v>2200</v>
          </cell>
          <cell r="I2151">
            <v>223</v>
          </cell>
          <cell r="K2151" t="str">
            <v>Utensilios para el servicio de alimentación</v>
          </cell>
          <cell r="L2151">
            <v>0</v>
          </cell>
          <cell r="M2151">
            <v>0</v>
          </cell>
          <cell r="N2151">
            <v>0</v>
          </cell>
          <cell r="O2151">
            <v>0</v>
          </cell>
          <cell r="P2151">
            <v>0</v>
          </cell>
          <cell r="Q2151">
            <v>0</v>
          </cell>
          <cell r="R2151">
            <v>0</v>
          </cell>
        </row>
        <row r="2152">
          <cell r="A2152">
            <v>8</v>
          </cell>
          <cell r="B2152">
            <v>2017</v>
          </cell>
          <cell r="C2152">
            <v>8300</v>
          </cell>
          <cell r="D2152">
            <v>3</v>
          </cell>
          <cell r="E2152">
            <v>5</v>
          </cell>
          <cell r="F2152">
            <v>1</v>
          </cell>
          <cell r="G2152">
            <v>2000</v>
          </cell>
          <cell r="H2152">
            <v>2200</v>
          </cell>
          <cell r="I2152">
            <v>223</v>
          </cell>
          <cell r="J2152">
            <v>1</v>
          </cell>
          <cell r="K2152" t="str">
            <v xml:space="preserve">Utensilios </v>
          </cell>
          <cell r="L2152">
            <v>0</v>
          </cell>
          <cell r="M2152">
            <v>0</v>
          </cell>
          <cell r="N2152">
            <v>0</v>
          </cell>
          <cell r="O2152">
            <v>0</v>
          </cell>
          <cell r="P2152">
            <v>0</v>
          </cell>
          <cell r="Q2152">
            <v>0</v>
          </cell>
          <cell r="R2152">
            <v>0</v>
          </cell>
          <cell r="S2152" t="str">
            <v>Pieza</v>
          </cell>
          <cell r="V2152" t="str">
            <v>FC</v>
          </cell>
        </row>
        <row r="2153">
          <cell r="A2153">
            <v>9</v>
          </cell>
          <cell r="B2153">
            <v>2017</v>
          </cell>
          <cell r="C2153">
            <v>8300</v>
          </cell>
          <cell r="D2153">
            <v>3</v>
          </cell>
          <cell r="E2153">
            <v>5</v>
          </cell>
          <cell r="F2153">
            <v>1</v>
          </cell>
          <cell r="G2153">
            <v>2000</v>
          </cell>
          <cell r="H2153">
            <v>2400</v>
          </cell>
          <cell r="K2153" t="str">
            <v>Materiales y artículos de construcción y de reparación</v>
          </cell>
          <cell r="L2153">
            <v>0</v>
          </cell>
          <cell r="M2153">
            <v>0</v>
          </cell>
          <cell r="N2153">
            <v>0</v>
          </cell>
          <cell r="O2153">
            <v>0</v>
          </cell>
          <cell r="P2153">
            <v>0</v>
          </cell>
          <cell r="Q2153">
            <v>0</v>
          </cell>
          <cell r="R2153">
            <v>0</v>
          </cell>
        </row>
        <row r="2154">
          <cell r="A2154">
            <v>10</v>
          </cell>
          <cell r="B2154">
            <v>2017</v>
          </cell>
          <cell r="C2154">
            <v>8300</v>
          </cell>
          <cell r="D2154">
            <v>3</v>
          </cell>
          <cell r="E2154">
            <v>5</v>
          </cell>
          <cell r="F2154">
            <v>1</v>
          </cell>
          <cell r="G2154">
            <v>2000</v>
          </cell>
          <cell r="H2154">
            <v>2400</v>
          </cell>
          <cell r="I2154">
            <v>246</v>
          </cell>
          <cell r="K2154" t="str">
            <v>Material eléctrico y electrónico</v>
          </cell>
          <cell r="L2154">
            <v>0</v>
          </cell>
          <cell r="M2154">
            <v>0</v>
          </cell>
          <cell r="N2154">
            <v>0</v>
          </cell>
          <cell r="O2154">
            <v>0</v>
          </cell>
          <cell r="P2154">
            <v>0</v>
          </cell>
          <cell r="Q2154">
            <v>0</v>
          </cell>
          <cell r="R2154">
            <v>0</v>
          </cell>
        </row>
        <row r="2155">
          <cell r="A2155">
            <v>11</v>
          </cell>
          <cell r="B2155">
            <v>2017</v>
          </cell>
          <cell r="C2155">
            <v>8300</v>
          </cell>
          <cell r="D2155">
            <v>3</v>
          </cell>
          <cell r="E2155">
            <v>5</v>
          </cell>
          <cell r="F2155">
            <v>1</v>
          </cell>
          <cell r="G2155">
            <v>2000</v>
          </cell>
          <cell r="H2155">
            <v>2400</v>
          </cell>
          <cell r="I2155">
            <v>246</v>
          </cell>
          <cell r="J2155">
            <v>1</v>
          </cell>
          <cell r="K2155" t="str">
            <v>Material eléctrico y electrónico</v>
          </cell>
          <cell r="L2155">
            <v>0</v>
          </cell>
          <cell r="M2155">
            <v>0</v>
          </cell>
          <cell r="N2155">
            <v>0</v>
          </cell>
          <cell r="O2155">
            <v>0</v>
          </cell>
          <cell r="P2155">
            <v>0</v>
          </cell>
          <cell r="Q2155">
            <v>0</v>
          </cell>
          <cell r="R2155">
            <v>0</v>
          </cell>
          <cell r="S2155" t="str">
            <v>Pieza</v>
          </cell>
          <cell r="V2155" t="str">
            <v>AE</v>
          </cell>
        </row>
        <row r="2156">
          <cell r="A2156">
            <v>12</v>
          </cell>
          <cell r="B2156">
            <v>2017</v>
          </cell>
          <cell r="C2156">
            <v>8300</v>
          </cell>
          <cell r="D2156">
            <v>3</v>
          </cell>
          <cell r="E2156">
            <v>5</v>
          </cell>
          <cell r="F2156">
            <v>1</v>
          </cell>
          <cell r="G2156">
            <v>2000</v>
          </cell>
          <cell r="H2156">
            <v>2500</v>
          </cell>
          <cell r="K2156" t="str">
            <v>Productos Químicos, Farmacéuticos y de Laboratorio</v>
          </cell>
          <cell r="L2156">
            <v>0</v>
          </cell>
          <cell r="M2156">
            <v>0</v>
          </cell>
          <cell r="N2156">
            <v>0</v>
          </cell>
          <cell r="O2156">
            <v>0</v>
          </cell>
          <cell r="P2156">
            <v>0</v>
          </cell>
          <cell r="Q2156">
            <v>0</v>
          </cell>
          <cell r="R2156">
            <v>0</v>
          </cell>
        </row>
        <row r="2157">
          <cell r="A2157">
            <v>13</v>
          </cell>
          <cell r="B2157">
            <v>2017</v>
          </cell>
          <cell r="C2157">
            <v>8300</v>
          </cell>
          <cell r="D2157">
            <v>3</v>
          </cell>
          <cell r="E2157">
            <v>5</v>
          </cell>
          <cell r="F2157">
            <v>1</v>
          </cell>
          <cell r="G2157">
            <v>2000</v>
          </cell>
          <cell r="H2157">
            <v>2500</v>
          </cell>
          <cell r="I2157">
            <v>253</v>
          </cell>
          <cell r="K2157" t="str">
            <v>Medicinas y productos farmacéuticos</v>
          </cell>
          <cell r="L2157">
            <v>0</v>
          </cell>
          <cell r="M2157">
            <v>0</v>
          </cell>
          <cell r="N2157">
            <v>0</v>
          </cell>
          <cell r="O2157">
            <v>0</v>
          </cell>
          <cell r="P2157">
            <v>0</v>
          </cell>
          <cell r="Q2157">
            <v>0</v>
          </cell>
          <cell r="R2157">
            <v>0</v>
          </cell>
        </row>
        <row r="2158">
          <cell r="A2158">
            <v>14</v>
          </cell>
          <cell r="B2158">
            <v>2017</v>
          </cell>
          <cell r="C2158">
            <v>8300</v>
          </cell>
          <cell r="D2158">
            <v>3</v>
          </cell>
          <cell r="E2158">
            <v>5</v>
          </cell>
          <cell r="F2158">
            <v>1</v>
          </cell>
          <cell r="G2158">
            <v>2000</v>
          </cell>
          <cell r="H2158">
            <v>2500</v>
          </cell>
          <cell r="I2158">
            <v>253</v>
          </cell>
          <cell r="J2158">
            <v>1</v>
          </cell>
          <cell r="K2158" t="str">
            <v xml:space="preserve">Medicamentos para clínica contra adicciones </v>
          </cell>
          <cell r="L2158">
            <v>0</v>
          </cell>
          <cell r="M2158">
            <v>0</v>
          </cell>
          <cell r="N2158">
            <v>0</v>
          </cell>
          <cell r="O2158">
            <v>0</v>
          </cell>
          <cell r="P2158">
            <v>0</v>
          </cell>
          <cell r="Q2158">
            <v>0</v>
          </cell>
          <cell r="R2158">
            <v>0</v>
          </cell>
          <cell r="S2158" t="str">
            <v>Pieza</v>
          </cell>
          <cell r="V2158" t="str">
            <v>AE</v>
          </cell>
        </row>
        <row r="2159">
          <cell r="A2159">
            <v>15</v>
          </cell>
          <cell r="B2159">
            <v>2017</v>
          </cell>
          <cell r="C2159">
            <v>8300</v>
          </cell>
          <cell r="D2159">
            <v>3</v>
          </cell>
          <cell r="E2159">
            <v>5</v>
          </cell>
          <cell r="F2159">
            <v>1</v>
          </cell>
          <cell r="G2159">
            <v>2000</v>
          </cell>
          <cell r="H2159">
            <v>2500</v>
          </cell>
          <cell r="I2159">
            <v>254</v>
          </cell>
          <cell r="K2159" t="str">
            <v>Materiales, accesorios y suministros médicos</v>
          </cell>
          <cell r="L2159">
            <v>0</v>
          </cell>
          <cell r="M2159">
            <v>0</v>
          </cell>
          <cell r="N2159">
            <v>0</v>
          </cell>
          <cell r="O2159">
            <v>0</v>
          </cell>
          <cell r="P2159">
            <v>0</v>
          </cell>
          <cell r="Q2159">
            <v>0</v>
          </cell>
          <cell r="R2159">
            <v>0</v>
          </cell>
        </row>
        <row r="2160">
          <cell r="A2160">
            <v>16</v>
          </cell>
          <cell r="B2160">
            <v>2017</v>
          </cell>
          <cell r="C2160">
            <v>8300</v>
          </cell>
          <cell r="D2160">
            <v>3</v>
          </cell>
          <cell r="E2160">
            <v>5</v>
          </cell>
          <cell r="F2160">
            <v>1</v>
          </cell>
          <cell r="G2160">
            <v>2000</v>
          </cell>
          <cell r="H2160">
            <v>2500</v>
          </cell>
          <cell r="I2160">
            <v>254</v>
          </cell>
          <cell r="J2160">
            <v>1</v>
          </cell>
          <cell r="K2160" t="str">
            <v>Materiales, accesorios y suministros médicos</v>
          </cell>
          <cell r="L2160">
            <v>0</v>
          </cell>
          <cell r="M2160">
            <v>0</v>
          </cell>
          <cell r="N2160">
            <v>0</v>
          </cell>
          <cell r="O2160">
            <v>0</v>
          </cell>
          <cell r="P2160">
            <v>0</v>
          </cell>
          <cell r="Q2160">
            <v>0</v>
          </cell>
          <cell r="R2160">
            <v>0</v>
          </cell>
          <cell r="S2160" t="str">
            <v>Pieza</v>
          </cell>
          <cell r="V2160" t="str">
            <v>FC</v>
          </cell>
        </row>
        <row r="2161">
          <cell r="A2161">
            <v>17</v>
          </cell>
          <cell r="B2161">
            <v>2017</v>
          </cell>
          <cell r="C2161">
            <v>8300</v>
          </cell>
          <cell r="D2161">
            <v>3</v>
          </cell>
          <cell r="E2161">
            <v>5</v>
          </cell>
          <cell r="F2161">
            <v>1</v>
          </cell>
          <cell r="G2161">
            <v>2000</v>
          </cell>
          <cell r="H2161">
            <v>2500</v>
          </cell>
          <cell r="I2161">
            <v>255</v>
          </cell>
          <cell r="K2161" t="str">
            <v>Materiales, accesorios y suministros de laboratorio</v>
          </cell>
          <cell r="L2161">
            <v>0</v>
          </cell>
          <cell r="M2161">
            <v>0</v>
          </cell>
          <cell r="N2161">
            <v>0</v>
          </cell>
          <cell r="O2161">
            <v>0</v>
          </cell>
          <cell r="P2161">
            <v>0</v>
          </cell>
          <cell r="Q2161">
            <v>0</v>
          </cell>
          <cell r="R2161">
            <v>0</v>
          </cell>
        </row>
        <row r="2162">
          <cell r="A2162">
            <v>18</v>
          </cell>
          <cell r="B2162">
            <v>2017</v>
          </cell>
          <cell r="C2162">
            <v>8300</v>
          </cell>
          <cell r="D2162">
            <v>3</v>
          </cell>
          <cell r="E2162">
            <v>5</v>
          </cell>
          <cell r="F2162">
            <v>1</v>
          </cell>
          <cell r="G2162">
            <v>2000</v>
          </cell>
          <cell r="H2162">
            <v>2500</v>
          </cell>
          <cell r="I2162">
            <v>255</v>
          </cell>
          <cell r="J2162">
            <v>1</v>
          </cell>
          <cell r="K2162" t="str">
            <v>Materiales, accesorios y suministros de laboratorio</v>
          </cell>
          <cell r="L2162">
            <v>0</v>
          </cell>
          <cell r="M2162">
            <v>0</v>
          </cell>
          <cell r="N2162">
            <v>0</v>
          </cell>
          <cell r="O2162">
            <v>0</v>
          </cell>
          <cell r="P2162">
            <v>0</v>
          </cell>
          <cell r="Q2162">
            <v>0</v>
          </cell>
          <cell r="R2162">
            <v>0</v>
          </cell>
          <cell r="S2162" t="str">
            <v>Pieza</v>
          </cell>
          <cell r="V2162" t="str">
            <v>FC</v>
          </cell>
        </row>
        <row r="2163">
          <cell r="A2163">
            <v>19</v>
          </cell>
          <cell r="B2163">
            <v>2017</v>
          </cell>
          <cell r="C2163">
            <v>8300</v>
          </cell>
          <cell r="D2163">
            <v>3</v>
          </cell>
          <cell r="E2163">
            <v>5</v>
          </cell>
          <cell r="F2163">
            <v>1</v>
          </cell>
          <cell r="G2163">
            <v>2000</v>
          </cell>
          <cell r="H2163">
            <v>2500</v>
          </cell>
          <cell r="I2163">
            <v>259</v>
          </cell>
          <cell r="K2163" t="str">
            <v>Otros productos químicos</v>
          </cell>
          <cell r="L2163">
            <v>0</v>
          </cell>
          <cell r="M2163">
            <v>0</v>
          </cell>
          <cell r="N2163">
            <v>0</v>
          </cell>
          <cell r="O2163">
            <v>0</v>
          </cell>
          <cell r="P2163">
            <v>0</v>
          </cell>
          <cell r="Q2163">
            <v>0</v>
          </cell>
          <cell r="R2163">
            <v>0</v>
          </cell>
        </row>
        <row r="2164">
          <cell r="A2164">
            <v>20</v>
          </cell>
          <cell r="B2164">
            <v>2017</v>
          </cell>
          <cell r="C2164">
            <v>8300</v>
          </cell>
          <cell r="D2164">
            <v>3</v>
          </cell>
          <cell r="E2164">
            <v>5</v>
          </cell>
          <cell r="F2164">
            <v>1</v>
          </cell>
          <cell r="G2164">
            <v>2000</v>
          </cell>
          <cell r="H2164">
            <v>2500</v>
          </cell>
          <cell r="I2164">
            <v>259</v>
          </cell>
          <cell r="J2164">
            <v>1</v>
          </cell>
          <cell r="K2164" t="str">
            <v>Otros productos químicos</v>
          </cell>
          <cell r="L2164">
            <v>0</v>
          </cell>
          <cell r="M2164">
            <v>0</v>
          </cell>
          <cell r="N2164">
            <v>0</v>
          </cell>
          <cell r="O2164">
            <v>0</v>
          </cell>
          <cell r="P2164">
            <v>0</v>
          </cell>
          <cell r="Q2164">
            <v>0</v>
          </cell>
          <cell r="R2164">
            <v>0</v>
          </cell>
          <cell r="S2164" t="str">
            <v>Especificar (Kg, lt,Cm3, Pza, Etc.)</v>
          </cell>
          <cell r="V2164" t="str">
            <v>FC</v>
          </cell>
        </row>
        <row r="2165">
          <cell r="A2165">
            <v>21</v>
          </cell>
          <cell r="B2165">
            <v>2017</v>
          </cell>
          <cell r="C2165">
            <v>8300</v>
          </cell>
          <cell r="D2165">
            <v>3</v>
          </cell>
          <cell r="E2165">
            <v>5</v>
          </cell>
          <cell r="F2165">
            <v>1</v>
          </cell>
          <cell r="G2165">
            <v>2000</v>
          </cell>
          <cell r="H2165">
            <v>2700</v>
          </cell>
          <cell r="K2165" t="str">
            <v>Vestuario, Blancos, Prendas de Protección y Artículos Deportivos</v>
          </cell>
          <cell r="L2165">
            <v>0</v>
          </cell>
          <cell r="M2165">
            <v>0</v>
          </cell>
          <cell r="N2165">
            <v>0</v>
          </cell>
          <cell r="O2165">
            <v>0</v>
          </cell>
          <cell r="P2165">
            <v>0</v>
          </cell>
          <cell r="Q2165">
            <v>0</v>
          </cell>
          <cell r="R2165">
            <v>0</v>
          </cell>
        </row>
        <row r="2166">
          <cell r="A2166">
            <v>22</v>
          </cell>
          <cell r="B2166">
            <v>2017</v>
          </cell>
          <cell r="C2166">
            <v>8300</v>
          </cell>
          <cell r="D2166">
            <v>3</v>
          </cell>
          <cell r="E2166">
            <v>5</v>
          </cell>
          <cell r="F2166">
            <v>1</v>
          </cell>
          <cell r="G2166">
            <v>2000</v>
          </cell>
          <cell r="H2166">
            <v>2700</v>
          </cell>
          <cell r="I2166">
            <v>271</v>
          </cell>
          <cell r="K2166" t="str">
            <v>Vestuario y uniformes</v>
          </cell>
          <cell r="L2166">
            <v>0</v>
          </cell>
          <cell r="M2166">
            <v>0</v>
          </cell>
          <cell r="N2166">
            <v>0</v>
          </cell>
          <cell r="O2166">
            <v>0</v>
          </cell>
          <cell r="P2166">
            <v>0</v>
          </cell>
          <cell r="Q2166">
            <v>0</v>
          </cell>
          <cell r="R2166">
            <v>0</v>
          </cell>
        </row>
        <row r="2167">
          <cell r="A2167">
            <v>23</v>
          </cell>
          <cell r="B2167">
            <v>2017</v>
          </cell>
          <cell r="C2167">
            <v>8300</v>
          </cell>
          <cell r="D2167">
            <v>3</v>
          </cell>
          <cell r="E2167">
            <v>5</v>
          </cell>
          <cell r="F2167">
            <v>1</v>
          </cell>
          <cell r="G2167">
            <v>2000</v>
          </cell>
          <cell r="H2167">
            <v>2700</v>
          </cell>
          <cell r="I2167">
            <v>271</v>
          </cell>
          <cell r="J2167">
            <v>1</v>
          </cell>
          <cell r="K2167" t="str">
            <v>Vestuario y uniformes</v>
          </cell>
          <cell r="L2167">
            <v>0</v>
          </cell>
          <cell r="M2167">
            <v>0</v>
          </cell>
          <cell r="N2167">
            <v>0</v>
          </cell>
          <cell r="O2167">
            <v>0</v>
          </cell>
          <cell r="P2167">
            <v>0</v>
          </cell>
          <cell r="Q2167">
            <v>0</v>
          </cell>
          <cell r="R2167">
            <v>0</v>
          </cell>
          <cell r="S2167" t="str">
            <v>Par
Pieza</v>
          </cell>
          <cell r="V2167" t="str">
            <v>FC</v>
          </cell>
        </row>
        <row r="2168">
          <cell r="A2168">
            <v>24</v>
          </cell>
          <cell r="B2168">
            <v>2017</v>
          </cell>
          <cell r="C2168">
            <v>8300</v>
          </cell>
          <cell r="D2168">
            <v>3</v>
          </cell>
          <cell r="E2168">
            <v>5</v>
          </cell>
          <cell r="F2168">
            <v>1</v>
          </cell>
          <cell r="G2168">
            <v>2000</v>
          </cell>
          <cell r="H2168">
            <v>2700</v>
          </cell>
          <cell r="I2168">
            <v>272</v>
          </cell>
          <cell r="K2168" t="str">
            <v>Prendas de seguridad y protección personal</v>
          </cell>
          <cell r="L2168">
            <v>0</v>
          </cell>
          <cell r="M2168">
            <v>0</v>
          </cell>
          <cell r="N2168">
            <v>0</v>
          </cell>
          <cell r="O2168">
            <v>0</v>
          </cell>
          <cell r="P2168">
            <v>0</v>
          </cell>
          <cell r="Q2168">
            <v>0</v>
          </cell>
          <cell r="R2168">
            <v>0</v>
          </cell>
        </row>
        <row r="2169">
          <cell r="A2169">
            <v>25</v>
          </cell>
          <cell r="B2169">
            <v>2017</v>
          </cell>
          <cell r="C2169">
            <v>8300</v>
          </cell>
          <cell r="D2169">
            <v>3</v>
          </cell>
          <cell r="E2169">
            <v>5</v>
          </cell>
          <cell r="F2169">
            <v>1</v>
          </cell>
          <cell r="G2169">
            <v>2000</v>
          </cell>
          <cell r="H2169">
            <v>2700</v>
          </cell>
          <cell r="I2169">
            <v>272</v>
          </cell>
          <cell r="J2169">
            <v>1</v>
          </cell>
          <cell r="K2169" t="str">
            <v>Botas tácticas</v>
          </cell>
          <cell r="L2169">
            <v>0</v>
          </cell>
          <cell r="M2169">
            <v>0</v>
          </cell>
          <cell r="N2169">
            <v>0</v>
          </cell>
          <cell r="O2169">
            <v>0</v>
          </cell>
          <cell r="P2169">
            <v>0</v>
          </cell>
          <cell r="Q2169">
            <v>0</v>
          </cell>
          <cell r="R2169">
            <v>0</v>
          </cell>
          <cell r="S2169" t="str">
            <v>Pieza</v>
          </cell>
          <cell r="V2169" t="str">
            <v>FC</v>
          </cell>
        </row>
        <row r="2170">
          <cell r="A2170">
            <v>26</v>
          </cell>
          <cell r="B2170">
            <v>2017</v>
          </cell>
          <cell r="C2170">
            <v>8300</v>
          </cell>
          <cell r="D2170">
            <v>3</v>
          </cell>
          <cell r="E2170">
            <v>5</v>
          </cell>
          <cell r="F2170">
            <v>1</v>
          </cell>
          <cell r="G2170">
            <v>2000</v>
          </cell>
          <cell r="H2170">
            <v>2700</v>
          </cell>
          <cell r="I2170">
            <v>272</v>
          </cell>
          <cell r="J2170">
            <v>2</v>
          </cell>
          <cell r="K2170" t="str">
            <v>Careta fibra de vidrio</v>
          </cell>
          <cell r="L2170">
            <v>0</v>
          </cell>
          <cell r="M2170">
            <v>0</v>
          </cell>
          <cell r="N2170">
            <v>0</v>
          </cell>
          <cell r="O2170">
            <v>0</v>
          </cell>
          <cell r="P2170">
            <v>0</v>
          </cell>
          <cell r="Q2170">
            <v>0</v>
          </cell>
          <cell r="R2170">
            <v>0</v>
          </cell>
          <cell r="S2170" t="str">
            <v>Pieza</v>
          </cell>
          <cell r="V2170" t="str">
            <v>AE</v>
          </cell>
        </row>
        <row r="2171">
          <cell r="A2171">
            <v>27</v>
          </cell>
          <cell r="B2171">
            <v>2017</v>
          </cell>
          <cell r="C2171">
            <v>8300</v>
          </cell>
          <cell r="D2171">
            <v>3</v>
          </cell>
          <cell r="E2171">
            <v>5</v>
          </cell>
          <cell r="F2171">
            <v>1</v>
          </cell>
          <cell r="G2171">
            <v>2000</v>
          </cell>
          <cell r="H2171">
            <v>2700</v>
          </cell>
          <cell r="I2171">
            <v>272</v>
          </cell>
          <cell r="J2171">
            <v>3</v>
          </cell>
          <cell r="K2171" t="str">
            <v>Careta para soldar</v>
          </cell>
          <cell r="L2171">
            <v>0</v>
          </cell>
          <cell r="M2171">
            <v>0</v>
          </cell>
          <cell r="N2171">
            <v>0</v>
          </cell>
          <cell r="O2171">
            <v>0</v>
          </cell>
          <cell r="P2171">
            <v>0</v>
          </cell>
          <cell r="Q2171">
            <v>0</v>
          </cell>
          <cell r="R2171">
            <v>0</v>
          </cell>
          <cell r="S2171" t="str">
            <v>Pieza</v>
          </cell>
          <cell r="V2171" t="str">
            <v>AE</v>
          </cell>
        </row>
        <row r="2172">
          <cell r="A2172">
            <v>28</v>
          </cell>
          <cell r="B2172">
            <v>2017</v>
          </cell>
          <cell r="C2172">
            <v>8300</v>
          </cell>
          <cell r="D2172">
            <v>3</v>
          </cell>
          <cell r="E2172">
            <v>5</v>
          </cell>
          <cell r="F2172">
            <v>1</v>
          </cell>
          <cell r="G2172">
            <v>2000</v>
          </cell>
          <cell r="H2172">
            <v>2700</v>
          </cell>
          <cell r="I2172">
            <v>272</v>
          </cell>
          <cell r="J2172">
            <v>5</v>
          </cell>
          <cell r="K2172" t="str">
            <v>Cinturón</v>
          </cell>
          <cell r="L2172">
            <v>0</v>
          </cell>
          <cell r="M2172">
            <v>0</v>
          </cell>
          <cell r="N2172">
            <v>0</v>
          </cell>
          <cell r="O2172">
            <v>0</v>
          </cell>
          <cell r="P2172">
            <v>0</v>
          </cell>
          <cell r="Q2172">
            <v>0</v>
          </cell>
          <cell r="R2172">
            <v>0</v>
          </cell>
          <cell r="S2172" t="str">
            <v>Pieza</v>
          </cell>
          <cell r="V2172" t="str">
            <v>FC</v>
          </cell>
        </row>
        <row r="2173">
          <cell r="A2173">
            <v>29</v>
          </cell>
          <cell r="B2173">
            <v>2017</v>
          </cell>
          <cell r="C2173">
            <v>8300</v>
          </cell>
          <cell r="D2173">
            <v>3</v>
          </cell>
          <cell r="E2173">
            <v>5</v>
          </cell>
          <cell r="F2173">
            <v>1</v>
          </cell>
          <cell r="G2173">
            <v>2000</v>
          </cell>
          <cell r="H2173">
            <v>2700</v>
          </cell>
          <cell r="I2173">
            <v>272</v>
          </cell>
          <cell r="J2173">
            <v>6</v>
          </cell>
          <cell r="K2173" t="str">
            <v>Fornitura</v>
          </cell>
          <cell r="L2173">
            <v>0</v>
          </cell>
          <cell r="M2173">
            <v>0</v>
          </cell>
          <cell r="N2173">
            <v>0</v>
          </cell>
          <cell r="O2173">
            <v>0</v>
          </cell>
          <cell r="P2173">
            <v>0</v>
          </cell>
          <cell r="Q2173">
            <v>0</v>
          </cell>
          <cell r="R2173">
            <v>0</v>
          </cell>
          <cell r="S2173" t="str">
            <v>Pieza</v>
          </cell>
          <cell r="V2173" t="str">
            <v>FC</v>
          </cell>
        </row>
        <row r="2174">
          <cell r="A2174">
            <v>30</v>
          </cell>
          <cell r="B2174">
            <v>2017</v>
          </cell>
          <cell r="C2174">
            <v>8300</v>
          </cell>
          <cell r="D2174">
            <v>3</v>
          </cell>
          <cell r="E2174">
            <v>5</v>
          </cell>
          <cell r="F2174">
            <v>1</v>
          </cell>
          <cell r="G2174">
            <v>2000</v>
          </cell>
          <cell r="H2174">
            <v>2700</v>
          </cell>
          <cell r="I2174">
            <v>272</v>
          </cell>
          <cell r="J2174">
            <v>7</v>
          </cell>
          <cell r="K2174" t="str">
            <v>Fundas para chaleco antibalas</v>
          </cell>
          <cell r="L2174">
            <v>0</v>
          </cell>
          <cell r="M2174">
            <v>0</v>
          </cell>
          <cell r="N2174">
            <v>0</v>
          </cell>
          <cell r="O2174">
            <v>0</v>
          </cell>
          <cell r="P2174">
            <v>0</v>
          </cell>
          <cell r="Q2174">
            <v>0</v>
          </cell>
          <cell r="R2174">
            <v>0</v>
          </cell>
          <cell r="S2174" t="str">
            <v>Pieza</v>
          </cell>
          <cell r="V2174" t="str">
            <v>FC</v>
          </cell>
        </row>
        <row r="2175">
          <cell r="A2175">
            <v>31</v>
          </cell>
          <cell r="B2175">
            <v>2017</v>
          </cell>
          <cell r="C2175">
            <v>8300</v>
          </cell>
          <cell r="D2175">
            <v>3</v>
          </cell>
          <cell r="E2175">
            <v>5</v>
          </cell>
          <cell r="F2175">
            <v>1</v>
          </cell>
          <cell r="G2175">
            <v>2000</v>
          </cell>
          <cell r="H2175">
            <v>2700</v>
          </cell>
          <cell r="I2175">
            <v>272</v>
          </cell>
          <cell r="J2175">
            <v>8</v>
          </cell>
          <cell r="K2175" t="str">
            <v>Gafas</v>
          </cell>
          <cell r="L2175">
            <v>0</v>
          </cell>
          <cell r="M2175">
            <v>0</v>
          </cell>
          <cell r="N2175">
            <v>0</v>
          </cell>
          <cell r="O2175">
            <v>0</v>
          </cell>
          <cell r="P2175">
            <v>0</v>
          </cell>
          <cell r="Q2175">
            <v>0</v>
          </cell>
          <cell r="R2175">
            <v>0</v>
          </cell>
          <cell r="S2175" t="str">
            <v>Pieza</v>
          </cell>
          <cell r="V2175" t="str">
            <v>FC</v>
          </cell>
        </row>
        <row r="2176">
          <cell r="A2176">
            <v>32</v>
          </cell>
          <cell r="B2176">
            <v>2017</v>
          </cell>
          <cell r="C2176">
            <v>8300</v>
          </cell>
          <cell r="D2176">
            <v>3</v>
          </cell>
          <cell r="E2176">
            <v>5</v>
          </cell>
          <cell r="F2176">
            <v>1</v>
          </cell>
          <cell r="G2176">
            <v>2000</v>
          </cell>
          <cell r="H2176">
            <v>2700</v>
          </cell>
          <cell r="I2176">
            <v>272</v>
          </cell>
          <cell r="J2176">
            <v>9</v>
          </cell>
          <cell r="K2176" t="str">
            <v>Guantes para soldar</v>
          </cell>
          <cell r="L2176">
            <v>0</v>
          </cell>
          <cell r="M2176">
            <v>0</v>
          </cell>
          <cell r="N2176">
            <v>0</v>
          </cell>
          <cell r="O2176">
            <v>0</v>
          </cell>
          <cell r="P2176">
            <v>0</v>
          </cell>
          <cell r="Q2176">
            <v>0</v>
          </cell>
          <cell r="R2176">
            <v>0</v>
          </cell>
          <cell r="S2176" t="str">
            <v>Pieza</v>
          </cell>
          <cell r="V2176" t="str">
            <v>AE</v>
          </cell>
        </row>
        <row r="2177">
          <cell r="A2177">
            <v>33</v>
          </cell>
          <cell r="B2177">
            <v>2017</v>
          </cell>
          <cell r="C2177">
            <v>8300</v>
          </cell>
          <cell r="D2177">
            <v>3</v>
          </cell>
          <cell r="E2177">
            <v>5</v>
          </cell>
          <cell r="F2177">
            <v>1</v>
          </cell>
          <cell r="G2177">
            <v>2000</v>
          </cell>
          <cell r="H2177">
            <v>2700</v>
          </cell>
          <cell r="I2177">
            <v>272</v>
          </cell>
          <cell r="J2177">
            <v>10</v>
          </cell>
          <cell r="K2177" t="str">
            <v>Impermeable</v>
          </cell>
          <cell r="L2177">
            <v>0</v>
          </cell>
          <cell r="M2177">
            <v>0</v>
          </cell>
          <cell r="N2177">
            <v>0</v>
          </cell>
          <cell r="O2177">
            <v>0</v>
          </cell>
          <cell r="P2177">
            <v>0</v>
          </cell>
          <cell r="Q2177">
            <v>0</v>
          </cell>
          <cell r="R2177">
            <v>0</v>
          </cell>
          <cell r="S2177" t="str">
            <v>Pieza</v>
          </cell>
          <cell r="V2177" t="str">
            <v>FC</v>
          </cell>
        </row>
        <row r="2178">
          <cell r="A2178">
            <v>34</v>
          </cell>
          <cell r="B2178">
            <v>2017</v>
          </cell>
          <cell r="C2178">
            <v>8300</v>
          </cell>
          <cell r="D2178">
            <v>3</v>
          </cell>
          <cell r="E2178">
            <v>5</v>
          </cell>
          <cell r="F2178">
            <v>1</v>
          </cell>
          <cell r="G2178">
            <v>2000</v>
          </cell>
          <cell r="H2178">
            <v>2700</v>
          </cell>
          <cell r="I2178">
            <v>272</v>
          </cell>
          <cell r="J2178">
            <v>11</v>
          </cell>
          <cell r="K2178" t="str">
            <v>Mandil para soldar</v>
          </cell>
          <cell r="L2178">
            <v>0</v>
          </cell>
          <cell r="M2178">
            <v>0</v>
          </cell>
          <cell r="N2178">
            <v>0</v>
          </cell>
          <cell r="O2178">
            <v>0</v>
          </cell>
          <cell r="P2178">
            <v>0</v>
          </cell>
          <cell r="Q2178">
            <v>0</v>
          </cell>
          <cell r="R2178">
            <v>0</v>
          </cell>
          <cell r="S2178" t="str">
            <v>Pieza</v>
          </cell>
          <cell r="V2178" t="str">
            <v>AE</v>
          </cell>
        </row>
        <row r="2179">
          <cell r="A2179">
            <v>35</v>
          </cell>
          <cell r="B2179">
            <v>2017</v>
          </cell>
          <cell r="C2179">
            <v>8300</v>
          </cell>
          <cell r="D2179">
            <v>3</v>
          </cell>
          <cell r="E2179">
            <v>5</v>
          </cell>
          <cell r="F2179">
            <v>1</v>
          </cell>
          <cell r="G2179">
            <v>2000</v>
          </cell>
          <cell r="H2179">
            <v>2700</v>
          </cell>
          <cell r="I2179">
            <v>273</v>
          </cell>
          <cell r="K2179" t="str">
            <v>Artículos deportivos</v>
          </cell>
          <cell r="L2179">
            <v>0</v>
          </cell>
          <cell r="M2179">
            <v>0</v>
          </cell>
          <cell r="N2179">
            <v>0</v>
          </cell>
          <cell r="O2179">
            <v>0</v>
          </cell>
          <cell r="P2179">
            <v>0</v>
          </cell>
          <cell r="Q2179">
            <v>0</v>
          </cell>
          <cell r="R2179">
            <v>0</v>
          </cell>
        </row>
        <row r="2180">
          <cell r="A2180">
            <v>36</v>
          </cell>
          <cell r="B2180">
            <v>2017</v>
          </cell>
          <cell r="C2180">
            <v>8300</v>
          </cell>
          <cell r="D2180">
            <v>3</v>
          </cell>
          <cell r="E2180">
            <v>5</v>
          </cell>
          <cell r="F2180">
            <v>1</v>
          </cell>
          <cell r="G2180">
            <v>2000</v>
          </cell>
          <cell r="H2180">
            <v>2700</v>
          </cell>
          <cell r="I2180">
            <v>273</v>
          </cell>
          <cell r="J2180">
            <v>1</v>
          </cell>
          <cell r="K2180" t="str">
            <v xml:space="preserve"> Artículos deportivos</v>
          </cell>
          <cell r="L2180">
            <v>0</v>
          </cell>
          <cell r="M2180">
            <v>0</v>
          </cell>
          <cell r="N2180">
            <v>0</v>
          </cell>
          <cell r="O2180">
            <v>0</v>
          </cell>
          <cell r="P2180">
            <v>0</v>
          </cell>
          <cell r="Q2180">
            <v>0</v>
          </cell>
          <cell r="R2180">
            <v>0</v>
          </cell>
          <cell r="S2180" t="str">
            <v>Pieza</v>
          </cell>
          <cell r="V2180" t="str">
            <v>AE</v>
          </cell>
        </row>
        <row r="2181">
          <cell r="A2181">
            <v>37</v>
          </cell>
          <cell r="B2181">
            <v>2017</v>
          </cell>
          <cell r="C2181">
            <v>8300</v>
          </cell>
          <cell r="D2181">
            <v>3</v>
          </cell>
          <cell r="E2181">
            <v>5</v>
          </cell>
          <cell r="F2181">
            <v>1</v>
          </cell>
          <cell r="G2181">
            <v>2000</v>
          </cell>
          <cell r="H2181">
            <v>2700</v>
          </cell>
          <cell r="I2181">
            <v>275</v>
          </cell>
          <cell r="K2181" t="str">
            <v>Blancos y otros productos textiles, excepto prendas de vestir</v>
          </cell>
          <cell r="L2181">
            <v>0</v>
          </cell>
          <cell r="M2181">
            <v>0</v>
          </cell>
          <cell r="N2181">
            <v>0</v>
          </cell>
          <cell r="O2181">
            <v>0</v>
          </cell>
          <cell r="P2181">
            <v>0</v>
          </cell>
          <cell r="Q2181">
            <v>0</v>
          </cell>
          <cell r="R2181">
            <v>0</v>
          </cell>
        </row>
        <row r="2182">
          <cell r="A2182">
            <v>38</v>
          </cell>
          <cell r="B2182">
            <v>2017</v>
          </cell>
          <cell r="C2182">
            <v>8300</v>
          </cell>
          <cell r="D2182">
            <v>3</v>
          </cell>
          <cell r="E2182">
            <v>5</v>
          </cell>
          <cell r="F2182">
            <v>1</v>
          </cell>
          <cell r="G2182">
            <v>2000</v>
          </cell>
          <cell r="H2182">
            <v>2700</v>
          </cell>
          <cell r="I2182">
            <v>275</v>
          </cell>
          <cell r="J2182">
            <v>1</v>
          </cell>
          <cell r="K2182" t="str">
            <v>Blancos</v>
          </cell>
          <cell r="L2182">
            <v>0</v>
          </cell>
          <cell r="M2182">
            <v>0</v>
          </cell>
          <cell r="N2182">
            <v>0</v>
          </cell>
          <cell r="O2182">
            <v>0</v>
          </cell>
          <cell r="P2182">
            <v>0</v>
          </cell>
          <cell r="Q2182">
            <v>0</v>
          </cell>
          <cell r="R2182">
            <v>0</v>
          </cell>
          <cell r="S2182" t="str">
            <v xml:space="preserve">Pieza
Juego
</v>
          </cell>
          <cell r="V2182" t="str">
            <v>FC</v>
          </cell>
        </row>
        <row r="2183">
          <cell r="A2183">
            <v>39</v>
          </cell>
          <cell r="B2183">
            <v>2017</v>
          </cell>
          <cell r="C2183">
            <v>8300</v>
          </cell>
          <cell r="D2183">
            <v>3</v>
          </cell>
          <cell r="E2183">
            <v>5</v>
          </cell>
          <cell r="F2183">
            <v>1</v>
          </cell>
          <cell r="G2183">
            <v>2000</v>
          </cell>
          <cell r="H2183">
            <v>2800</v>
          </cell>
          <cell r="K2183" t="str">
            <v>Materiales y Suministros para Seguridad</v>
          </cell>
          <cell r="L2183">
            <v>149900</v>
          </cell>
          <cell r="M2183">
            <v>0</v>
          </cell>
          <cell r="N2183">
            <v>149900</v>
          </cell>
          <cell r="O2183">
            <v>0</v>
          </cell>
          <cell r="P2183">
            <v>0</v>
          </cell>
          <cell r="Q2183">
            <v>0</v>
          </cell>
          <cell r="R2183">
            <v>149900</v>
          </cell>
        </row>
        <row r="2184">
          <cell r="A2184">
            <v>40</v>
          </cell>
          <cell r="B2184">
            <v>2017</v>
          </cell>
          <cell r="C2184">
            <v>8300</v>
          </cell>
          <cell r="D2184">
            <v>3</v>
          </cell>
          <cell r="E2184">
            <v>5</v>
          </cell>
          <cell r="F2184">
            <v>1</v>
          </cell>
          <cell r="G2184">
            <v>2000</v>
          </cell>
          <cell r="H2184">
            <v>2800</v>
          </cell>
          <cell r="I2184">
            <v>282</v>
          </cell>
          <cell r="K2184" t="str">
            <v>Materiales de seguridad pública</v>
          </cell>
          <cell r="L2184">
            <v>35000</v>
          </cell>
          <cell r="M2184">
            <v>0</v>
          </cell>
          <cell r="N2184">
            <v>35000</v>
          </cell>
          <cell r="O2184">
            <v>0</v>
          </cell>
          <cell r="P2184">
            <v>0</v>
          </cell>
          <cell r="Q2184">
            <v>0</v>
          </cell>
          <cell r="R2184">
            <v>35000</v>
          </cell>
        </row>
        <row r="2185">
          <cell r="A2185">
            <v>41</v>
          </cell>
          <cell r="B2185">
            <v>2017</v>
          </cell>
          <cell r="C2185">
            <v>8300</v>
          </cell>
          <cell r="D2185">
            <v>3</v>
          </cell>
          <cell r="E2185">
            <v>5</v>
          </cell>
          <cell r="F2185">
            <v>1</v>
          </cell>
          <cell r="G2185">
            <v>2000</v>
          </cell>
          <cell r="H2185">
            <v>2800</v>
          </cell>
          <cell r="I2185">
            <v>282</v>
          </cell>
          <cell r="J2185">
            <v>1</v>
          </cell>
          <cell r="K2185" t="str">
            <v>Balas</v>
          </cell>
          <cell r="L2185">
            <v>0</v>
          </cell>
          <cell r="M2185">
            <v>0</v>
          </cell>
          <cell r="N2185">
            <v>0</v>
          </cell>
          <cell r="O2185">
            <v>0</v>
          </cell>
          <cell r="P2185">
            <v>0</v>
          </cell>
          <cell r="Q2185">
            <v>0</v>
          </cell>
          <cell r="R2185">
            <v>0</v>
          </cell>
          <cell r="S2185" t="str">
            <v>Pieza</v>
          </cell>
          <cell r="V2185" t="str">
            <v>FC</v>
          </cell>
        </row>
        <row r="2186">
          <cell r="A2186">
            <v>42</v>
          </cell>
          <cell r="B2186">
            <v>2017</v>
          </cell>
          <cell r="C2186">
            <v>8300</v>
          </cell>
          <cell r="D2186">
            <v>3</v>
          </cell>
          <cell r="E2186">
            <v>5</v>
          </cell>
          <cell r="F2186">
            <v>1</v>
          </cell>
          <cell r="G2186">
            <v>2000</v>
          </cell>
          <cell r="H2186">
            <v>2800</v>
          </cell>
          <cell r="I2186">
            <v>282</v>
          </cell>
          <cell r="J2186">
            <v>2</v>
          </cell>
          <cell r="K2186" t="str">
            <v xml:space="preserve">Cargas </v>
          </cell>
          <cell r="L2186">
            <v>0</v>
          </cell>
          <cell r="M2186">
            <v>0</v>
          </cell>
          <cell r="N2186">
            <v>0</v>
          </cell>
          <cell r="O2186">
            <v>0</v>
          </cell>
          <cell r="P2186">
            <v>0</v>
          </cell>
          <cell r="Q2186">
            <v>0</v>
          </cell>
          <cell r="R2186">
            <v>0</v>
          </cell>
          <cell r="S2186" t="str">
            <v>Pieza</v>
          </cell>
          <cell r="V2186" t="str">
            <v>FC</v>
          </cell>
        </row>
        <row r="2187">
          <cell r="A2187">
            <v>43</v>
          </cell>
          <cell r="B2187">
            <v>2017</v>
          </cell>
          <cell r="C2187">
            <v>8300</v>
          </cell>
          <cell r="D2187">
            <v>3</v>
          </cell>
          <cell r="E2187">
            <v>5</v>
          </cell>
          <cell r="F2187">
            <v>1</v>
          </cell>
          <cell r="G2187">
            <v>2000</v>
          </cell>
          <cell r="H2187">
            <v>2800</v>
          </cell>
          <cell r="I2187">
            <v>282</v>
          </cell>
          <cell r="J2187">
            <v>3</v>
          </cell>
          <cell r="K2187" t="str">
            <v>Cartuchos</v>
          </cell>
          <cell r="L2187">
            <v>0</v>
          </cell>
          <cell r="M2187">
            <v>0</v>
          </cell>
          <cell r="N2187">
            <v>0</v>
          </cell>
          <cell r="O2187">
            <v>0</v>
          </cell>
          <cell r="P2187">
            <v>0</v>
          </cell>
          <cell r="Q2187">
            <v>0</v>
          </cell>
          <cell r="R2187">
            <v>0</v>
          </cell>
          <cell r="S2187" t="str">
            <v>Pieza</v>
          </cell>
          <cell r="V2187" t="str">
            <v>FC</v>
          </cell>
        </row>
        <row r="2188">
          <cell r="A2188">
            <v>44</v>
          </cell>
          <cell r="B2188">
            <v>2017</v>
          </cell>
          <cell r="C2188">
            <v>8300</v>
          </cell>
          <cell r="D2188">
            <v>3</v>
          </cell>
          <cell r="E2188">
            <v>5</v>
          </cell>
          <cell r="F2188">
            <v>1</v>
          </cell>
          <cell r="G2188">
            <v>2000</v>
          </cell>
          <cell r="H2188">
            <v>2800</v>
          </cell>
          <cell r="I2188">
            <v>282</v>
          </cell>
          <cell r="J2188">
            <v>4</v>
          </cell>
          <cell r="K2188" t="str">
            <v>Espray con agresivo químico</v>
          </cell>
          <cell r="L2188">
            <v>0</v>
          </cell>
          <cell r="M2188">
            <v>0</v>
          </cell>
          <cell r="N2188">
            <v>0</v>
          </cell>
          <cell r="O2188">
            <v>0</v>
          </cell>
          <cell r="P2188">
            <v>0</v>
          </cell>
          <cell r="Q2188">
            <v>0</v>
          </cell>
          <cell r="R2188">
            <v>0</v>
          </cell>
          <cell r="S2188" t="str">
            <v>Pieza</v>
          </cell>
          <cell r="V2188" t="str">
            <v>FC</v>
          </cell>
        </row>
        <row r="2189">
          <cell r="A2189">
            <v>45</v>
          </cell>
          <cell r="B2189">
            <v>2017</v>
          </cell>
          <cell r="C2189">
            <v>8300</v>
          </cell>
          <cell r="D2189">
            <v>3</v>
          </cell>
          <cell r="E2189">
            <v>5</v>
          </cell>
          <cell r="F2189">
            <v>1</v>
          </cell>
          <cell r="G2189">
            <v>2000</v>
          </cell>
          <cell r="H2189">
            <v>2800</v>
          </cell>
          <cell r="I2189">
            <v>282</v>
          </cell>
          <cell r="J2189">
            <v>5</v>
          </cell>
          <cell r="K2189" t="str">
            <v>Gas lacrimógeno</v>
          </cell>
          <cell r="L2189">
            <v>35000</v>
          </cell>
          <cell r="M2189">
            <v>0</v>
          </cell>
          <cell r="N2189">
            <v>35000</v>
          </cell>
          <cell r="O2189">
            <v>0</v>
          </cell>
          <cell r="P2189">
            <v>0</v>
          </cell>
          <cell r="Q2189">
            <v>0</v>
          </cell>
          <cell r="R2189">
            <v>35000</v>
          </cell>
          <cell r="S2189" t="str">
            <v>Pieza</v>
          </cell>
          <cell r="T2189">
            <v>100</v>
          </cell>
          <cell r="V2189" t="str">
            <v>FC</v>
          </cell>
        </row>
        <row r="2190">
          <cell r="A2190">
            <v>46</v>
          </cell>
          <cell r="B2190">
            <v>2017</v>
          </cell>
          <cell r="C2190">
            <v>8300</v>
          </cell>
          <cell r="D2190">
            <v>3</v>
          </cell>
          <cell r="E2190">
            <v>5</v>
          </cell>
          <cell r="F2190">
            <v>1</v>
          </cell>
          <cell r="G2190">
            <v>2000</v>
          </cell>
          <cell r="H2190">
            <v>2800</v>
          </cell>
          <cell r="I2190">
            <v>282</v>
          </cell>
          <cell r="J2190">
            <v>6</v>
          </cell>
          <cell r="K2190" t="str">
            <v xml:space="preserve">Granadas </v>
          </cell>
          <cell r="L2190">
            <v>0</v>
          </cell>
          <cell r="M2190">
            <v>0</v>
          </cell>
          <cell r="N2190">
            <v>0</v>
          </cell>
          <cell r="O2190">
            <v>0</v>
          </cell>
          <cell r="P2190">
            <v>0</v>
          </cell>
          <cell r="Q2190">
            <v>0</v>
          </cell>
          <cell r="R2190">
            <v>0</v>
          </cell>
          <cell r="S2190" t="str">
            <v>Pieza</v>
          </cell>
          <cell r="V2190" t="str">
            <v>FC</v>
          </cell>
        </row>
        <row r="2191">
          <cell r="A2191">
            <v>47</v>
          </cell>
          <cell r="B2191">
            <v>2017</v>
          </cell>
          <cell r="C2191">
            <v>8300</v>
          </cell>
          <cell r="D2191">
            <v>3</v>
          </cell>
          <cell r="E2191">
            <v>5</v>
          </cell>
          <cell r="F2191">
            <v>1</v>
          </cell>
          <cell r="G2191">
            <v>2000</v>
          </cell>
          <cell r="H2191">
            <v>2800</v>
          </cell>
          <cell r="I2191">
            <v>282</v>
          </cell>
          <cell r="J2191">
            <v>7</v>
          </cell>
          <cell r="K2191" t="str">
            <v>Municiones</v>
          </cell>
          <cell r="L2191">
            <v>0</v>
          </cell>
          <cell r="M2191">
            <v>0</v>
          </cell>
          <cell r="N2191">
            <v>0</v>
          </cell>
          <cell r="O2191">
            <v>0</v>
          </cell>
          <cell r="P2191">
            <v>0</v>
          </cell>
          <cell r="Q2191">
            <v>0</v>
          </cell>
          <cell r="R2191">
            <v>0</v>
          </cell>
          <cell r="S2191" t="str">
            <v>Pieza</v>
          </cell>
          <cell r="V2191" t="str">
            <v>FC</v>
          </cell>
        </row>
        <row r="2192">
          <cell r="A2192">
            <v>48</v>
          </cell>
          <cell r="B2192">
            <v>2017</v>
          </cell>
          <cell r="C2192">
            <v>8300</v>
          </cell>
          <cell r="D2192">
            <v>3</v>
          </cell>
          <cell r="E2192">
            <v>5</v>
          </cell>
          <cell r="F2192">
            <v>1</v>
          </cell>
          <cell r="G2192">
            <v>2000</v>
          </cell>
          <cell r="H2192">
            <v>2800</v>
          </cell>
          <cell r="I2192">
            <v>283</v>
          </cell>
          <cell r="K2192" t="str">
            <v>Prendas de protección para seguridad pública y nacional</v>
          </cell>
          <cell r="L2192">
            <v>114900</v>
          </cell>
          <cell r="M2192">
            <v>0</v>
          </cell>
          <cell r="N2192">
            <v>114900</v>
          </cell>
          <cell r="O2192">
            <v>0</v>
          </cell>
          <cell r="P2192">
            <v>0</v>
          </cell>
          <cell r="Q2192">
            <v>0</v>
          </cell>
          <cell r="R2192">
            <v>114900</v>
          </cell>
        </row>
        <row r="2193">
          <cell r="A2193">
            <v>49</v>
          </cell>
          <cell r="B2193">
            <v>2017</v>
          </cell>
          <cell r="C2193">
            <v>8300</v>
          </cell>
          <cell r="D2193">
            <v>3</v>
          </cell>
          <cell r="E2193">
            <v>5</v>
          </cell>
          <cell r="F2193">
            <v>1</v>
          </cell>
          <cell r="G2193">
            <v>2000</v>
          </cell>
          <cell r="H2193">
            <v>2800</v>
          </cell>
          <cell r="I2193">
            <v>283</v>
          </cell>
          <cell r="J2193">
            <v>1</v>
          </cell>
          <cell r="K2193" t="str">
            <v>Bastón retráctil</v>
          </cell>
          <cell r="L2193">
            <v>0</v>
          </cell>
          <cell r="M2193">
            <v>0</v>
          </cell>
          <cell r="N2193">
            <v>0</v>
          </cell>
          <cell r="O2193">
            <v>0</v>
          </cell>
          <cell r="P2193">
            <v>0</v>
          </cell>
          <cell r="Q2193">
            <v>0</v>
          </cell>
          <cell r="R2193">
            <v>0</v>
          </cell>
          <cell r="S2193" t="str">
            <v>Pieza</v>
          </cell>
          <cell r="V2193" t="str">
            <v>FC</v>
          </cell>
        </row>
        <row r="2194">
          <cell r="A2194">
            <v>50</v>
          </cell>
          <cell r="B2194">
            <v>2017</v>
          </cell>
          <cell r="C2194">
            <v>8300</v>
          </cell>
          <cell r="D2194">
            <v>3</v>
          </cell>
          <cell r="E2194">
            <v>5</v>
          </cell>
          <cell r="F2194">
            <v>1</v>
          </cell>
          <cell r="G2194">
            <v>2000</v>
          </cell>
          <cell r="H2194">
            <v>2800</v>
          </cell>
          <cell r="I2194">
            <v>283</v>
          </cell>
          <cell r="J2194">
            <v>2</v>
          </cell>
          <cell r="K2194" t="str">
            <v xml:space="preserve">Binoculares </v>
          </cell>
          <cell r="L2194">
            <v>0</v>
          </cell>
          <cell r="M2194">
            <v>0</v>
          </cell>
          <cell r="N2194">
            <v>0</v>
          </cell>
          <cell r="O2194">
            <v>0</v>
          </cell>
          <cell r="P2194">
            <v>0</v>
          </cell>
          <cell r="Q2194">
            <v>0</v>
          </cell>
          <cell r="R2194">
            <v>0</v>
          </cell>
          <cell r="S2194" t="str">
            <v>Pieza</v>
          </cell>
          <cell r="V2194" t="str">
            <v>FC</v>
          </cell>
        </row>
        <row r="2195">
          <cell r="A2195">
            <v>51</v>
          </cell>
          <cell r="B2195">
            <v>2017</v>
          </cell>
          <cell r="C2195">
            <v>8300</v>
          </cell>
          <cell r="D2195">
            <v>3</v>
          </cell>
          <cell r="E2195">
            <v>5</v>
          </cell>
          <cell r="F2195">
            <v>1</v>
          </cell>
          <cell r="G2195">
            <v>2000</v>
          </cell>
          <cell r="H2195">
            <v>2800</v>
          </cell>
          <cell r="I2195">
            <v>283</v>
          </cell>
          <cell r="J2195">
            <v>3</v>
          </cell>
          <cell r="K2195" t="str">
            <v xml:space="preserve">Casco </v>
          </cell>
          <cell r="L2195">
            <v>0</v>
          </cell>
          <cell r="M2195">
            <v>0</v>
          </cell>
          <cell r="N2195">
            <v>0</v>
          </cell>
          <cell r="O2195">
            <v>0</v>
          </cell>
          <cell r="P2195">
            <v>0</v>
          </cell>
          <cell r="Q2195">
            <v>0</v>
          </cell>
          <cell r="R2195">
            <v>0</v>
          </cell>
          <cell r="S2195" t="str">
            <v>Pieza</v>
          </cell>
          <cell r="V2195" t="str">
            <v>FC</v>
          </cell>
        </row>
        <row r="2196">
          <cell r="A2196">
            <v>52</v>
          </cell>
          <cell r="B2196">
            <v>2017</v>
          </cell>
          <cell r="C2196">
            <v>8300</v>
          </cell>
          <cell r="D2196">
            <v>3</v>
          </cell>
          <cell r="E2196">
            <v>5</v>
          </cell>
          <cell r="F2196">
            <v>1</v>
          </cell>
          <cell r="G2196">
            <v>2000</v>
          </cell>
          <cell r="H2196">
            <v>2800</v>
          </cell>
          <cell r="I2196">
            <v>283</v>
          </cell>
          <cell r="J2196">
            <v>4</v>
          </cell>
          <cell r="K2196" t="str">
            <v xml:space="preserve">Chaleco </v>
          </cell>
          <cell r="L2196">
            <v>0</v>
          </cell>
          <cell r="M2196">
            <v>0</v>
          </cell>
          <cell r="N2196">
            <v>0</v>
          </cell>
          <cell r="O2196">
            <v>0</v>
          </cell>
          <cell r="P2196">
            <v>0</v>
          </cell>
          <cell r="Q2196">
            <v>0</v>
          </cell>
          <cell r="R2196">
            <v>0</v>
          </cell>
          <cell r="S2196" t="str">
            <v>Pieza</v>
          </cell>
          <cell r="V2196" t="str">
            <v>FC</v>
          </cell>
        </row>
        <row r="2197">
          <cell r="A2197">
            <v>53</v>
          </cell>
          <cell r="B2197">
            <v>2017</v>
          </cell>
          <cell r="C2197">
            <v>8300</v>
          </cell>
          <cell r="D2197">
            <v>3</v>
          </cell>
          <cell r="E2197">
            <v>5</v>
          </cell>
          <cell r="F2197">
            <v>1</v>
          </cell>
          <cell r="G2197">
            <v>2000</v>
          </cell>
          <cell r="H2197">
            <v>2800</v>
          </cell>
          <cell r="I2197">
            <v>283</v>
          </cell>
          <cell r="J2197">
            <v>5</v>
          </cell>
          <cell r="K2197" t="str">
            <v>Cinturón de restricción de movimiento</v>
          </cell>
          <cell r="L2197">
            <v>0</v>
          </cell>
          <cell r="M2197">
            <v>0</v>
          </cell>
          <cell r="N2197">
            <v>0</v>
          </cell>
          <cell r="O2197">
            <v>0</v>
          </cell>
          <cell r="P2197">
            <v>0</v>
          </cell>
          <cell r="Q2197">
            <v>0</v>
          </cell>
          <cell r="R2197">
            <v>0</v>
          </cell>
          <cell r="S2197" t="str">
            <v>Pieza</v>
          </cell>
          <cell r="V2197" t="str">
            <v>FC</v>
          </cell>
        </row>
        <row r="2198">
          <cell r="A2198">
            <v>54</v>
          </cell>
          <cell r="B2198">
            <v>2017</v>
          </cell>
          <cell r="C2198">
            <v>8300</v>
          </cell>
          <cell r="D2198">
            <v>3</v>
          </cell>
          <cell r="E2198">
            <v>5</v>
          </cell>
          <cell r="F2198">
            <v>1</v>
          </cell>
          <cell r="G2198">
            <v>2000</v>
          </cell>
          <cell r="H2198">
            <v>2800</v>
          </cell>
          <cell r="I2198">
            <v>283</v>
          </cell>
          <cell r="J2198">
            <v>6</v>
          </cell>
          <cell r="K2198" t="str">
            <v xml:space="preserve">Coderas </v>
          </cell>
          <cell r="L2198">
            <v>0</v>
          </cell>
          <cell r="M2198">
            <v>0</v>
          </cell>
          <cell r="N2198">
            <v>0</v>
          </cell>
          <cell r="O2198">
            <v>0</v>
          </cell>
          <cell r="P2198">
            <v>0</v>
          </cell>
          <cell r="Q2198">
            <v>0</v>
          </cell>
          <cell r="R2198">
            <v>0</v>
          </cell>
          <cell r="S2198" t="str">
            <v>Pieza</v>
          </cell>
          <cell r="V2198" t="str">
            <v>FC</v>
          </cell>
        </row>
        <row r="2199">
          <cell r="A2199">
            <v>55</v>
          </cell>
          <cell r="B2199">
            <v>2017</v>
          </cell>
          <cell r="C2199">
            <v>8300</v>
          </cell>
          <cell r="D2199">
            <v>3</v>
          </cell>
          <cell r="E2199">
            <v>5</v>
          </cell>
          <cell r="F2199">
            <v>1</v>
          </cell>
          <cell r="G2199">
            <v>2000</v>
          </cell>
          <cell r="H2199">
            <v>2800</v>
          </cell>
          <cell r="I2199">
            <v>283</v>
          </cell>
          <cell r="J2199">
            <v>7</v>
          </cell>
          <cell r="K2199" t="str">
            <v xml:space="preserve">Escudo </v>
          </cell>
          <cell r="L2199">
            <v>0</v>
          </cell>
          <cell r="M2199">
            <v>0</v>
          </cell>
          <cell r="N2199">
            <v>0</v>
          </cell>
          <cell r="P2199">
            <v>0</v>
          </cell>
          <cell r="Q2199">
            <v>0</v>
          </cell>
          <cell r="R2199">
            <v>0</v>
          </cell>
          <cell r="S2199" t="str">
            <v xml:space="preserve">Par </v>
          </cell>
          <cell r="V2199" t="str">
            <v>FC</v>
          </cell>
        </row>
        <row r="2200">
          <cell r="A2200">
            <v>56</v>
          </cell>
          <cell r="B2200">
            <v>2017</v>
          </cell>
          <cell r="C2200">
            <v>8300</v>
          </cell>
          <cell r="D2200">
            <v>3</v>
          </cell>
          <cell r="E2200">
            <v>5</v>
          </cell>
          <cell r="F2200">
            <v>1</v>
          </cell>
          <cell r="G2200">
            <v>2000</v>
          </cell>
          <cell r="H2200">
            <v>2800</v>
          </cell>
          <cell r="I2200">
            <v>283</v>
          </cell>
          <cell r="J2200">
            <v>8</v>
          </cell>
          <cell r="K2200" t="str">
            <v xml:space="preserve">Esposas </v>
          </cell>
          <cell r="L2200">
            <v>25500</v>
          </cell>
          <cell r="M2200">
            <v>0</v>
          </cell>
          <cell r="N2200">
            <v>25500</v>
          </cell>
          <cell r="P2200">
            <v>0</v>
          </cell>
          <cell r="Q2200">
            <v>0</v>
          </cell>
          <cell r="R2200">
            <v>25500</v>
          </cell>
          <cell r="S2200" t="str">
            <v>Pieza</v>
          </cell>
          <cell r="T2200">
            <v>30</v>
          </cell>
          <cell r="V2200" t="str">
            <v>FC</v>
          </cell>
        </row>
        <row r="2201">
          <cell r="A2201">
            <v>57</v>
          </cell>
          <cell r="B2201">
            <v>2017</v>
          </cell>
          <cell r="C2201">
            <v>8300</v>
          </cell>
          <cell r="D2201">
            <v>3</v>
          </cell>
          <cell r="E2201">
            <v>5</v>
          </cell>
          <cell r="F2201">
            <v>1</v>
          </cell>
          <cell r="G2201">
            <v>2000</v>
          </cell>
          <cell r="H2201">
            <v>2800</v>
          </cell>
          <cell r="I2201">
            <v>283</v>
          </cell>
          <cell r="J2201">
            <v>9</v>
          </cell>
          <cell r="K2201" t="str">
            <v>Filtros para máscara</v>
          </cell>
          <cell r="M2201">
            <v>0</v>
          </cell>
          <cell r="N2201">
            <v>0</v>
          </cell>
          <cell r="P2201">
            <v>0</v>
          </cell>
          <cell r="Q2201">
            <v>0</v>
          </cell>
          <cell r="R2201">
            <v>0</v>
          </cell>
          <cell r="S2201" t="str">
            <v>Pieza</v>
          </cell>
          <cell r="V2201" t="str">
            <v>FC</v>
          </cell>
        </row>
        <row r="2202">
          <cell r="A2202">
            <v>58</v>
          </cell>
          <cell r="B2202">
            <v>2017</v>
          </cell>
          <cell r="C2202">
            <v>8300</v>
          </cell>
          <cell r="D2202">
            <v>3</v>
          </cell>
          <cell r="E2202">
            <v>5</v>
          </cell>
          <cell r="F2202">
            <v>1</v>
          </cell>
          <cell r="G2202">
            <v>2000</v>
          </cell>
          <cell r="H2202">
            <v>2800</v>
          </cell>
          <cell r="I2202">
            <v>283</v>
          </cell>
          <cell r="J2202">
            <v>10</v>
          </cell>
          <cell r="K2202" t="str">
            <v xml:space="preserve">Goggles </v>
          </cell>
          <cell r="M2202">
            <v>0</v>
          </cell>
          <cell r="N2202">
            <v>0</v>
          </cell>
          <cell r="P2202">
            <v>0</v>
          </cell>
          <cell r="Q2202">
            <v>0</v>
          </cell>
          <cell r="R2202">
            <v>0</v>
          </cell>
          <cell r="S2202" t="str">
            <v>Pieza</v>
          </cell>
          <cell r="V2202" t="str">
            <v>FC</v>
          </cell>
        </row>
        <row r="2203">
          <cell r="A2203">
            <v>59</v>
          </cell>
          <cell r="B2203">
            <v>2017</v>
          </cell>
          <cell r="C2203">
            <v>8300</v>
          </cell>
          <cell r="D2203">
            <v>3</v>
          </cell>
          <cell r="E2203">
            <v>5</v>
          </cell>
          <cell r="F2203">
            <v>1</v>
          </cell>
          <cell r="G2203">
            <v>2000</v>
          </cell>
          <cell r="H2203">
            <v>2800</v>
          </cell>
          <cell r="I2203">
            <v>283</v>
          </cell>
          <cell r="J2203">
            <v>11</v>
          </cell>
          <cell r="K2203" t="str">
            <v>Grilletes de pies y manos</v>
          </cell>
          <cell r="M2203">
            <v>0</v>
          </cell>
          <cell r="N2203">
            <v>0</v>
          </cell>
          <cell r="P2203">
            <v>0</v>
          </cell>
          <cell r="Q2203">
            <v>0</v>
          </cell>
          <cell r="R2203">
            <v>0</v>
          </cell>
          <cell r="S2203" t="str">
            <v>Pieza</v>
          </cell>
          <cell r="V2203" t="str">
            <v>FC</v>
          </cell>
        </row>
        <row r="2204">
          <cell r="A2204">
            <v>60</v>
          </cell>
          <cell r="B2204">
            <v>2017</v>
          </cell>
          <cell r="C2204">
            <v>8300</v>
          </cell>
          <cell r="D2204">
            <v>3</v>
          </cell>
          <cell r="E2204">
            <v>5</v>
          </cell>
          <cell r="F2204">
            <v>1</v>
          </cell>
          <cell r="G2204">
            <v>2000</v>
          </cell>
          <cell r="H2204">
            <v>2800</v>
          </cell>
          <cell r="I2204">
            <v>283</v>
          </cell>
          <cell r="J2204">
            <v>12</v>
          </cell>
          <cell r="K2204" t="str">
            <v xml:space="preserve">Guantes </v>
          </cell>
          <cell r="M2204">
            <v>0</v>
          </cell>
          <cell r="N2204">
            <v>0</v>
          </cell>
          <cell r="P2204">
            <v>0</v>
          </cell>
          <cell r="Q2204">
            <v>0</v>
          </cell>
          <cell r="R2204">
            <v>0</v>
          </cell>
          <cell r="S2204" t="str">
            <v>Pieza</v>
          </cell>
          <cell r="V2204" t="str">
            <v>FC</v>
          </cell>
        </row>
        <row r="2205">
          <cell r="A2205">
            <v>61</v>
          </cell>
          <cell r="B2205">
            <v>2017</v>
          </cell>
          <cell r="C2205">
            <v>8300</v>
          </cell>
          <cell r="D2205">
            <v>3</v>
          </cell>
          <cell r="E2205">
            <v>5</v>
          </cell>
          <cell r="F2205">
            <v>1</v>
          </cell>
          <cell r="G2205">
            <v>2000</v>
          </cell>
          <cell r="H2205">
            <v>2800</v>
          </cell>
          <cell r="I2205">
            <v>283</v>
          </cell>
          <cell r="J2205">
            <v>13</v>
          </cell>
          <cell r="K2205" t="str">
            <v>Kit equipo antimotín</v>
          </cell>
          <cell r="M2205">
            <v>0</v>
          </cell>
          <cell r="N2205">
            <v>0</v>
          </cell>
          <cell r="P2205">
            <v>0</v>
          </cell>
          <cell r="Q2205">
            <v>0</v>
          </cell>
          <cell r="R2205">
            <v>0</v>
          </cell>
          <cell r="S2205" t="str">
            <v>Pieza</v>
          </cell>
          <cell r="V2205" t="str">
            <v>FC</v>
          </cell>
        </row>
        <row r="2206">
          <cell r="A2206">
            <v>62</v>
          </cell>
          <cell r="B2206">
            <v>2017</v>
          </cell>
          <cell r="C2206">
            <v>8300</v>
          </cell>
          <cell r="D2206">
            <v>3</v>
          </cell>
          <cell r="E2206">
            <v>5</v>
          </cell>
          <cell r="F2206">
            <v>1</v>
          </cell>
          <cell r="G2206">
            <v>2000</v>
          </cell>
          <cell r="H2206">
            <v>2800</v>
          </cell>
          <cell r="I2206">
            <v>283</v>
          </cell>
          <cell r="J2206">
            <v>14</v>
          </cell>
          <cell r="K2206" t="str">
            <v xml:space="preserve">Lámpara </v>
          </cell>
          <cell r="L2206">
            <v>38400</v>
          </cell>
          <cell r="M2206">
            <v>0</v>
          </cell>
          <cell r="N2206">
            <v>38400</v>
          </cell>
          <cell r="P2206">
            <v>0</v>
          </cell>
          <cell r="Q2206">
            <v>0</v>
          </cell>
          <cell r="R2206">
            <v>38400</v>
          </cell>
          <cell r="S2206" t="str">
            <v>Pieza</v>
          </cell>
          <cell r="T2206">
            <v>80</v>
          </cell>
          <cell r="V2206" t="str">
            <v>FC</v>
          </cell>
        </row>
        <row r="2207">
          <cell r="A2207">
            <v>63</v>
          </cell>
          <cell r="B2207">
            <v>2017</v>
          </cell>
          <cell r="C2207">
            <v>8300</v>
          </cell>
          <cell r="D2207">
            <v>3</v>
          </cell>
          <cell r="E2207">
            <v>5</v>
          </cell>
          <cell r="F2207">
            <v>1</v>
          </cell>
          <cell r="G2207">
            <v>2000</v>
          </cell>
          <cell r="H2207">
            <v>2800</v>
          </cell>
          <cell r="I2207">
            <v>283</v>
          </cell>
          <cell r="J2207">
            <v>15</v>
          </cell>
          <cell r="K2207" t="str">
            <v>Lámpara led táctica</v>
          </cell>
          <cell r="M2207">
            <v>0</v>
          </cell>
          <cell r="N2207">
            <v>0</v>
          </cell>
          <cell r="P2207">
            <v>0</v>
          </cell>
          <cell r="Q2207">
            <v>0</v>
          </cell>
          <cell r="R2207">
            <v>0</v>
          </cell>
          <cell r="S2207" t="str">
            <v>Pieza</v>
          </cell>
          <cell r="V2207" t="str">
            <v>FC</v>
          </cell>
        </row>
        <row r="2208">
          <cell r="A2208">
            <v>64</v>
          </cell>
          <cell r="B2208">
            <v>2017</v>
          </cell>
          <cell r="C2208">
            <v>8300</v>
          </cell>
          <cell r="D2208">
            <v>3</v>
          </cell>
          <cell r="E2208">
            <v>5</v>
          </cell>
          <cell r="F2208">
            <v>1</v>
          </cell>
          <cell r="G2208">
            <v>2000</v>
          </cell>
          <cell r="H2208">
            <v>2800</v>
          </cell>
          <cell r="I2208">
            <v>283</v>
          </cell>
          <cell r="J2208">
            <v>16</v>
          </cell>
          <cell r="K2208" t="str">
            <v>Macana</v>
          </cell>
          <cell r="M2208">
            <v>0</v>
          </cell>
          <cell r="N2208">
            <v>0</v>
          </cell>
          <cell r="P2208">
            <v>0</v>
          </cell>
          <cell r="Q2208">
            <v>0</v>
          </cell>
          <cell r="R2208">
            <v>0</v>
          </cell>
          <cell r="S2208" t="str">
            <v>Pieza</v>
          </cell>
          <cell r="V2208" t="str">
            <v>FC</v>
          </cell>
        </row>
        <row r="2209">
          <cell r="A2209">
            <v>65</v>
          </cell>
          <cell r="B2209">
            <v>2017</v>
          </cell>
          <cell r="C2209">
            <v>8300</v>
          </cell>
          <cell r="D2209">
            <v>3</v>
          </cell>
          <cell r="E2209">
            <v>5</v>
          </cell>
          <cell r="F2209">
            <v>1</v>
          </cell>
          <cell r="G2209">
            <v>2000</v>
          </cell>
          <cell r="H2209">
            <v>2800</v>
          </cell>
          <cell r="I2209">
            <v>283</v>
          </cell>
          <cell r="J2209">
            <v>17</v>
          </cell>
          <cell r="K2209" t="str">
            <v>Mandil</v>
          </cell>
          <cell r="M2209">
            <v>0</v>
          </cell>
          <cell r="N2209">
            <v>0</v>
          </cell>
          <cell r="P2209">
            <v>0</v>
          </cell>
          <cell r="Q2209">
            <v>0</v>
          </cell>
          <cell r="R2209">
            <v>0</v>
          </cell>
          <cell r="S2209" t="str">
            <v>Pieza</v>
          </cell>
          <cell r="V2209" t="str">
            <v>FC</v>
          </cell>
        </row>
        <row r="2210">
          <cell r="A2210">
            <v>66</v>
          </cell>
          <cell r="B2210">
            <v>2017</v>
          </cell>
          <cell r="C2210">
            <v>8300</v>
          </cell>
          <cell r="D2210">
            <v>3</v>
          </cell>
          <cell r="E2210">
            <v>5</v>
          </cell>
          <cell r="F2210">
            <v>1</v>
          </cell>
          <cell r="G2210">
            <v>2000</v>
          </cell>
          <cell r="H2210">
            <v>2800</v>
          </cell>
          <cell r="I2210">
            <v>283</v>
          </cell>
          <cell r="J2210">
            <v>18</v>
          </cell>
          <cell r="K2210" t="str">
            <v xml:space="preserve">Máscara </v>
          </cell>
          <cell r="L2210">
            <v>51000</v>
          </cell>
          <cell r="M2210">
            <v>0</v>
          </cell>
          <cell r="N2210">
            <v>51000</v>
          </cell>
          <cell r="P2210">
            <v>0</v>
          </cell>
          <cell r="Q2210">
            <v>0</v>
          </cell>
          <cell r="R2210">
            <v>51000</v>
          </cell>
          <cell r="S2210" t="str">
            <v>Pieza</v>
          </cell>
          <cell r="T2210">
            <v>30</v>
          </cell>
          <cell r="V2210" t="str">
            <v>FC</v>
          </cell>
        </row>
        <row r="2211">
          <cell r="A2211">
            <v>67</v>
          </cell>
          <cell r="B2211">
            <v>2017</v>
          </cell>
          <cell r="C2211">
            <v>8300</v>
          </cell>
          <cell r="D2211">
            <v>3</v>
          </cell>
          <cell r="E2211">
            <v>5</v>
          </cell>
          <cell r="F2211">
            <v>1</v>
          </cell>
          <cell r="G2211">
            <v>2000</v>
          </cell>
          <cell r="H2211">
            <v>2800</v>
          </cell>
          <cell r="I2211">
            <v>283</v>
          </cell>
          <cell r="J2211">
            <v>19</v>
          </cell>
          <cell r="K2211" t="str">
            <v xml:space="preserve">Porta bastón </v>
          </cell>
          <cell r="M2211">
            <v>0</v>
          </cell>
          <cell r="N2211">
            <v>0</v>
          </cell>
          <cell r="P2211">
            <v>0</v>
          </cell>
          <cell r="Q2211">
            <v>0</v>
          </cell>
          <cell r="R2211">
            <v>0</v>
          </cell>
          <cell r="S2211" t="str">
            <v>Pieza</v>
          </cell>
          <cell r="V2211" t="str">
            <v>FC</v>
          </cell>
        </row>
        <row r="2212">
          <cell r="A2212">
            <v>68</v>
          </cell>
          <cell r="B2212">
            <v>2017</v>
          </cell>
          <cell r="C2212">
            <v>8300</v>
          </cell>
          <cell r="D2212">
            <v>3</v>
          </cell>
          <cell r="E2212">
            <v>5</v>
          </cell>
          <cell r="F2212">
            <v>1</v>
          </cell>
          <cell r="G2212">
            <v>2000</v>
          </cell>
          <cell r="H2212">
            <v>2800</v>
          </cell>
          <cell r="I2212">
            <v>283</v>
          </cell>
          <cell r="J2212">
            <v>20</v>
          </cell>
          <cell r="K2212" t="str">
            <v>Porta cargadores</v>
          </cell>
          <cell r="M2212">
            <v>0</v>
          </cell>
          <cell r="N2212">
            <v>0</v>
          </cell>
          <cell r="P2212">
            <v>0</v>
          </cell>
          <cell r="Q2212">
            <v>0</v>
          </cell>
          <cell r="R2212">
            <v>0</v>
          </cell>
          <cell r="S2212" t="str">
            <v>Pieza</v>
          </cell>
          <cell r="V2212" t="str">
            <v>FC</v>
          </cell>
        </row>
        <row r="2213">
          <cell r="A2213">
            <v>69</v>
          </cell>
          <cell r="B2213">
            <v>2017</v>
          </cell>
          <cell r="C2213">
            <v>8300</v>
          </cell>
          <cell r="D2213">
            <v>3</v>
          </cell>
          <cell r="E2213">
            <v>5</v>
          </cell>
          <cell r="F2213">
            <v>1</v>
          </cell>
          <cell r="G2213">
            <v>2000</v>
          </cell>
          <cell r="H2213">
            <v>2800</v>
          </cell>
          <cell r="I2213">
            <v>283</v>
          </cell>
          <cell r="J2213">
            <v>21</v>
          </cell>
          <cell r="K2213" t="str">
            <v xml:space="preserve">Porta lámpara </v>
          </cell>
          <cell r="M2213">
            <v>0</v>
          </cell>
          <cell r="N2213">
            <v>0</v>
          </cell>
          <cell r="P2213">
            <v>0</v>
          </cell>
          <cell r="Q2213">
            <v>0</v>
          </cell>
          <cell r="R2213">
            <v>0</v>
          </cell>
          <cell r="S2213" t="str">
            <v>Pieza</v>
          </cell>
          <cell r="V2213" t="str">
            <v>FC</v>
          </cell>
        </row>
        <row r="2214">
          <cell r="A2214">
            <v>70</v>
          </cell>
          <cell r="B2214">
            <v>2017</v>
          </cell>
          <cell r="C2214">
            <v>8300</v>
          </cell>
          <cell r="D2214">
            <v>3</v>
          </cell>
          <cell r="E2214">
            <v>5</v>
          </cell>
          <cell r="F2214">
            <v>1</v>
          </cell>
          <cell r="G2214">
            <v>2000</v>
          </cell>
          <cell r="H2214">
            <v>2800</v>
          </cell>
          <cell r="I2214">
            <v>283</v>
          </cell>
          <cell r="J2214">
            <v>22</v>
          </cell>
          <cell r="K2214" t="str">
            <v xml:space="preserve">Porta pistola </v>
          </cell>
          <cell r="M2214">
            <v>0</v>
          </cell>
          <cell r="N2214">
            <v>0</v>
          </cell>
          <cell r="P2214">
            <v>0</v>
          </cell>
          <cell r="Q2214">
            <v>0</v>
          </cell>
          <cell r="R2214">
            <v>0</v>
          </cell>
          <cell r="S2214" t="str">
            <v>Pieza</v>
          </cell>
          <cell r="V2214" t="str">
            <v>FC</v>
          </cell>
        </row>
        <row r="2215">
          <cell r="A2215">
            <v>71</v>
          </cell>
          <cell r="B2215">
            <v>2017</v>
          </cell>
          <cell r="C2215">
            <v>8300</v>
          </cell>
          <cell r="D2215">
            <v>3</v>
          </cell>
          <cell r="E2215">
            <v>5</v>
          </cell>
          <cell r="F2215">
            <v>1</v>
          </cell>
          <cell r="G2215">
            <v>2000</v>
          </cell>
          <cell r="H2215">
            <v>2800</v>
          </cell>
          <cell r="I2215">
            <v>283</v>
          </cell>
          <cell r="J2215">
            <v>23</v>
          </cell>
          <cell r="K2215" t="str">
            <v>Porta PR24</v>
          </cell>
          <cell r="M2215">
            <v>0</v>
          </cell>
          <cell r="N2215">
            <v>0</v>
          </cell>
          <cell r="P2215">
            <v>0</v>
          </cell>
          <cell r="Q2215">
            <v>0</v>
          </cell>
          <cell r="R2215">
            <v>0</v>
          </cell>
          <cell r="S2215" t="str">
            <v>Pieza</v>
          </cell>
          <cell r="V2215" t="str">
            <v>FC</v>
          </cell>
        </row>
        <row r="2216">
          <cell r="A2216">
            <v>72</v>
          </cell>
          <cell r="B2216">
            <v>2017</v>
          </cell>
          <cell r="C2216">
            <v>8300</v>
          </cell>
          <cell r="D2216">
            <v>3</v>
          </cell>
          <cell r="E2216">
            <v>5</v>
          </cell>
          <cell r="F2216">
            <v>1</v>
          </cell>
          <cell r="G2216">
            <v>2000</v>
          </cell>
          <cell r="H2216">
            <v>2800</v>
          </cell>
          <cell r="I2216">
            <v>283</v>
          </cell>
          <cell r="J2216">
            <v>24</v>
          </cell>
          <cell r="K2216" t="str">
            <v>PR24</v>
          </cell>
          <cell r="M2216">
            <v>0</v>
          </cell>
          <cell r="N2216">
            <v>0</v>
          </cell>
          <cell r="P2216">
            <v>0</v>
          </cell>
          <cell r="Q2216">
            <v>0</v>
          </cell>
          <cell r="R2216">
            <v>0</v>
          </cell>
          <cell r="S2216" t="str">
            <v>Pieza</v>
          </cell>
          <cell r="V2216" t="str">
            <v>FC</v>
          </cell>
        </row>
        <row r="2217">
          <cell r="A2217">
            <v>73</v>
          </cell>
          <cell r="B2217">
            <v>2017</v>
          </cell>
          <cell r="C2217">
            <v>8300</v>
          </cell>
          <cell r="D2217">
            <v>3</v>
          </cell>
          <cell r="E2217">
            <v>5</v>
          </cell>
          <cell r="F2217">
            <v>1</v>
          </cell>
          <cell r="G2217">
            <v>2000</v>
          </cell>
          <cell r="H2217">
            <v>2800</v>
          </cell>
          <cell r="I2217">
            <v>283</v>
          </cell>
          <cell r="J2217">
            <v>25</v>
          </cell>
          <cell r="K2217" t="str">
            <v xml:space="preserve">Protectores </v>
          </cell>
          <cell r="M2217">
            <v>0</v>
          </cell>
          <cell r="N2217">
            <v>0</v>
          </cell>
          <cell r="P2217">
            <v>0</v>
          </cell>
          <cell r="Q2217">
            <v>0</v>
          </cell>
          <cell r="R2217">
            <v>0</v>
          </cell>
          <cell r="S2217" t="str">
            <v>Pieza</v>
          </cell>
          <cell r="V2217" t="str">
            <v>FC</v>
          </cell>
        </row>
        <row r="2218">
          <cell r="A2218">
            <v>74</v>
          </cell>
          <cell r="B2218">
            <v>2017</v>
          </cell>
          <cell r="C2218">
            <v>8300</v>
          </cell>
          <cell r="D2218">
            <v>3</v>
          </cell>
          <cell r="E2218">
            <v>5</v>
          </cell>
          <cell r="F2218">
            <v>1</v>
          </cell>
          <cell r="G2218">
            <v>2000</v>
          </cell>
          <cell r="H2218">
            <v>2800</v>
          </cell>
          <cell r="I2218">
            <v>283</v>
          </cell>
          <cell r="J2218">
            <v>26</v>
          </cell>
          <cell r="K2218" t="str">
            <v xml:space="preserve">Sujetadores </v>
          </cell>
          <cell r="M2218">
            <v>0</v>
          </cell>
          <cell r="N2218">
            <v>0</v>
          </cell>
          <cell r="O2218">
            <v>0</v>
          </cell>
          <cell r="P2218">
            <v>0</v>
          </cell>
          <cell r="Q2218">
            <v>0</v>
          </cell>
          <cell r="R2218">
            <v>0</v>
          </cell>
          <cell r="S2218" t="str">
            <v>Pieza</v>
          </cell>
          <cell r="V2218" t="str">
            <v>FC</v>
          </cell>
        </row>
        <row r="2219">
          <cell r="A2219">
            <v>75</v>
          </cell>
          <cell r="B2219">
            <v>2017</v>
          </cell>
          <cell r="C2219">
            <v>8300</v>
          </cell>
          <cell r="D2219">
            <v>3</v>
          </cell>
          <cell r="E2219">
            <v>5</v>
          </cell>
          <cell r="F2219">
            <v>1</v>
          </cell>
          <cell r="G2219">
            <v>2000</v>
          </cell>
          <cell r="H2219">
            <v>2800</v>
          </cell>
          <cell r="I2219">
            <v>283</v>
          </cell>
          <cell r="J2219">
            <v>27</v>
          </cell>
          <cell r="K2219" t="str">
            <v xml:space="preserve">Traje </v>
          </cell>
          <cell r="M2219">
            <v>0</v>
          </cell>
          <cell r="N2219">
            <v>0</v>
          </cell>
          <cell r="O2219">
            <v>0</v>
          </cell>
          <cell r="P2219">
            <v>0</v>
          </cell>
          <cell r="Q2219">
            <v>0</v>
          </cell>
          <cell r="R2219">
            <v>0</v>
          </cell>
          <cell r="S2219" t="str">
            <v>Pieza</v>
          </cell>
          <cell r="V2219" t="str">
            <v>FC</v>
          </cell>
        </row>
        <row r="2220">
          <cell r="A2220">
            <v>76</v>
          </cell>
          <cell r="B2220">
            <v>2017</v>
          </cell>
          <cell r="C2220">
            <v>8300</v>
          </cell>
          <cell r="D2220">
            <v>3</v>
          </cell>
          <cell r="E2220">
            <v>5</v>
          </cell>
          <cell r="F2220">
            <v>1</v>
          </cell>
          <cell r="G2220">
            <v>2000</v>
          </cell>
          <cell r="H2220">
            <v>2900</v>
          </cell>
          <cell r="K2220" t="str">
            <v>Herramientas, Refacciones y Accesorios Menores</v>
          </cell>
          <cell r="L2220">
            <v>0</v>
          </cell>
          <cell r="M2220">
            <v>0</v>
          </cell>
          <cell r="N2220">
            <v>0</v>
          </cell>
          <cell r="O2220">
            <v>0</v>
          </cell>
          <cell r="P2220">
            <v>0</v>
          </cell>
          <cell r="Q2220">
            <v>0</v>
          </cell>
          <cell r="R2220">
            <v>0</v>
          </cell>
        </row>
        <row r="2221">
          <cell r="A2221">
            <v>77</v>
          </cell>
          <cell r="B2221">
            <v>2017</v>
          </cell>
          <cell r="C2221">
            <v>8300</v>
          </cell>
          <cell r="D2221">
            <v>3</v>
          </cell>
          <cell r="E2221">
            <v>5</v>
          </cell>
          <cell r="F2221">
            <v>1</v>
          </cell>
          <cell r="G2221">
            <v>2000</v>
          </cell>
          <cell r="H2221">
            <v>2900</v>
          </cell>
          <cell r="I2221">
            <v>291</v>
          </cell>
          <cell r="K2221" t="str">
            <v>Herramientas menores</v>
          </cell>
          <cell r="L2221">
            <v>0</v>
          </cell>
          <cell r="M2221">
            <v>0</v>
          </cell>
          <cell r="N2221">
            <v>0</v>
          </cell>
          <cell r="O2221">
            <v>0</v>
          </cell>
          <cell r="P2221">
            <v>0</v>
          </cell>
          <cell r="Q2221">
            <v>0</v>
          </cell>
          <cell r="R2221">
            <v>0</v>
          </cell>
        </row>
        <row r="2222">
          <cell r="A2222">
            <v>78</v>
          </cell>
          <cell r="B2222">
            <v>2017</v>
          </cell>
          <cell r="C2222">
            <v>8300</v>
          </cell>
          <cell r="D2222">
            <v>3</v>
          </cell>
          <cell r="E2222">
            <v>5</v>
          </cell>
          <cell r="F2222">
            <v>1</v>
          </cell>
          <cell r="G2222">
            <v>2000</v>
          </cell>
          <cell r="H2222">
            <v>2900</v>
          </cell>
          <cell r="I2222">
            <v>291</v>
          </cell>
          <cell r="J2222">
            <v>1</v>
          </cell>
          <cell r="K2222" t="str">
            <v>Detector de metal (manual)</v>
          </cell>
          <cell r="L2222">
            <v>0</v>
          </cell>
          <cell r="M2222">
            <v>0</v>
          </cell>
          <cell r="N2222">
            <v>0</v>
          </cell>
          <cell r="O2222">
            <v>0</v>
          </cell>
          <cell r="P2222">
            <v>0</v>
          </cell>
          <cell r="Q2222">
            <v>0</v>
          </cell>
          <cell r="R2222">
            <v>0</v>
          </cell>
          <cell r="S2222" t="str">
            <v>Pieza</v>
          </cell>
          <cell r="V2222" t="str">
            <v>FC</v>
          </cell>
        </row>
        <row r="2223">
          <cell r="A2223">
            <v>79</v>
          </cell>
          <cell r="B2223">
            <v>2017</v>
          </cell>
          <cell r="C2223">
            <v>8300</v>
          </cell>
          <cell r="D2223">
            <v>3</v>
          </cell>
          <cell r="E2223">
            <v>5</v>
          </cell>
          <cell r="F2223">
            <v>1</v>
          </cell>
          <cell r="G2223">
            <v>2000</v>
          </cell>
          <cell r="H2223">
            <v>2900</v>
          </cell>
          <cell r="I2223">
            <v>291</v>
          </cell>
          <cell r="J2223">
            <v>2</v>
          </cell>
          <cell r="K2223" t="str">
            <v>Herramientas menores</v>
          </cell>
          <cell r="L2223">
            <v>0</v>
          </cell>
          <cell r="M2223">
            <v>0</v>
          </cell>
          <cell r="N2223">
            <v>0</v>
          </cell>
          <cell r="O2223">
            <v>0</v>
          </cell>
          <cell r="P2223">
            <v>0</v>
          </cell>
          <cell r="Q2223">
            <v>0</v>
          </cell>
          <cell r="R2223">
            <v>0</v>
          </cell>
          <cell r="S2223" t="str">
            <v>Pieza</v>
          </cell>
          <cell r="V2223" t="str">
            <v>FC</v>
          </cell>
        </row>
        <row r="2224">
          <cell r="A2224">
            <v>80</v>
          </cell>
          <cell r="B2224">
            <v>2017</v>
          </cell>
          <cell r="C2224">
            <v>8300</v>
          </cell>
          <cell r="D2224">
            <v>3</v>
          </cell>
          <cell r="E2224">
            <v>5</v>
          </cell>
          <cell r="F2224">
            <v>1</v>
          </cell>
          <cell r="G2224">
            <v>2000</v>
          </cell>
          <cell r="H2224">
            <v>2900</v>
          </cell>
          <cell r="I2224">
            <v>292</v>
          </cell>
          <cell r="K2224" t="str">
            <v>Refacciones y accesorios menores de edificios</v>
          </cell>
          <cell r="L2224">
            <v>0</v>
          </cell>
          <cell r="M2224">
            <v>0</v>
          </cell>
          <cell r="N2224">
            <v>0</v>
          </cell>
          <cell r="O2224">
            <v>0</v>
          </cell>
          <cell r="P2224">
            <v>0</v>
          </cell>
          <cell r="Q2224">
            <v>0</v>
          </cell>
          <cell r="R2224">
            <v>0</v>
          </cell>
        </row>
        <row r="2225">
          <cell r="A2225">
            <v>81</v>
          </cell>
          <cell r="B2225">
            <v>2017</v>
          </cell>
          <cell r="C2225">
            <v>8300</v>
          </cell>
          <cell r="D2225">
            <v>3</v>
          </cell>
          <cell r="E2225">
            <v>5</v>
          </cell>
          <cell r="F2225">
            <v>1</v>
          </cell>
          <cell r="G2225">
            <v>2000</v>
          </cell>
          <cell r="H2225">
            <v>2900</v>
          </cell>
          <cell r="I2225">
            <v>292</v>
          </cell>
          <cell r="J2225">
            <v>1</v>
          </cell>
          <cell r="K2225" t="str">
            <v>Refacciones y accesorios menores de edificios</v>
          </cell>
          <cell r="L2225">
            <v>0</v>
          </cell>
          <cell r="M2225">
            <v>0</v>
          </cell>
          <cell r="N2225">
            <v>0</v>
          </cell>
          <cell r="O2225">
            <v>0</v>
          </cell>
          <cell r="P2225">
            <v>0</v>
          </cell>
          <cell r="Q2225">
            <v>0</v>
          </cell>
          <cell r="R2225">
            <v>0</v>
          </cell>
          <cell r="S2225" t="str">
            <v>Pieza</v>
          </cell>
          <cell r="V2225" t="str">
            <v>AE</v>
          </cell>
        </row>
        <row r="2226">
          <cell r="A2226">
            <v>82</v>
          </cell>
          <cell r="B2226">
            <v>2017</v>
          </cell>
          <cell r="C2226">
            <v>8300</v>
          </cell>
          <cell r="D2226">
            <v>3</v>
          </cell>
          <cell r="E2226">
            <v>5</v>
          </cell>
          <cell r="F2226">
            <v>1</v>
          </cell>
          <cell r="G2226">
            <v>2000</v>
          </cell>
          <cell r="H2226">
            <v>2900</v>
          </cell>
          <cell r="I2226">
            <v>294</v>
          </cell>
          <cell r="K2226" t="str">
            <v>Refacciones y accesorios menores de equipo de cómputo y tecnologías de la información</v>
          </cell>
          <cell r="L2226">
            <v>0</v>
          </cell>
          <cell r="M2226">
            <v>0</v>
          </cell>
          <cell r="N2226">
            <v>0</v>
          </cell>
          <cell r="O2226">
            <v>0</v>
          </cell>
          <cell r="P2226">
            <v>0</v>
          </cell>
          <cell r="Q2226">
            <v>0</v>
          </cell>
          <cell r="R2226">
            <v>0</v>
          </cell>
        </row>
        <row r="2227">
          <cell r="A2227">
            <v>83</v>
          </cell>
          <cell r="B2227">
            <v>2017</v>
          </cell>
          <cell r="C2227">
            <v>8300</v>
          </cell>
          <cell r="D2227">
            <v>3</v>
          </cell>
          <cell r="E2227">
            <v>5</v>
          </cell>
          <cell r="F2227">
            <v>1</v>
          </cell>
          <cell r="G2227">
            <v>2000</v>
          </cell>
          <cell r="H2227">
            <v>2900</v>
          </cell>
          <cell r="I2227">
            <v>294</v>
          </cell>
          <cell r="J2227">
            <v>1</v>
          </cell>
          <cell r="K2227" t="str">
            <v>Refacciones y accesorios menores de equipo de cómputo y tecnologías de la información</v>
          </cell>
          <cell r="L2227">
            <v>0</v>
          </cell>
          <cell r="M2227">
            <v>0</v>
          </cell>
          <cell r="N2227">
            <v>0</v>
          </cell>
          <cell r="O2227">
            <v>0</v>
          </cell>
          <cell r="P2227">
            <v>0</v>
          </cell>
          <cell r="Q2227">
            <v>0</v>
          </cell>
          <cell r="R2227">
            <v>0</v>
          </cell>
          <cell r="S2227" t="str">
            <v>Pieza</v>
          </cell>
          <cell r="V2227" t="str">
            <v>FC</v>
          </cell>
        </row>
        <row r="2228">
          <cell r="A2228">
            <v>84</v>
          </cell>
          <cell r="B2228">
            <v>2017</v>
          </cell>
          <cell r="C2228">
            <v>8300</v>
          </cell>
          <cell r="D2228">
            <v>3</v>
          </cell>
          <cell r="E2228">
            <v>5</v>
          </cell>
          <cell r="F2228">
            <v>1</v>
          </cell>
          <cell r="G2228">
            <v>3000</v>
          </cell>
          <cell r="K2228" t="str">
            <v>SERVICIOS GENERALES</v>
          </cell>
          <cell r="L2228">
            <v>0</v>
          </cell>
          <cell r="M2228">
            <v>0</v>
          </cell>
          <cell r="N2228">
            <v>0</v>
          </cell>
          <cell r="O2228">
            <v>650000</v>
          </cell>
          <cell r="P2228">
            <v>0</v>
          </cell>
          <cell r="Q2228">
            <v>650000</v>
          </cell>
          <cell r="R2228">
            <v>650000</v>
          </cell>
        </row>
        <row r="2229">
          <cell r="A2229">
            <v>85</v>
          </cell>
          <cell r="B2229">
            <v>2017</v>
          </cell>
          <cell r="C2229">
            <v>8300</v>
          </cell>
          <cell r="D2229">
            <v>3</v>
          </cell>
          <cell r="E2229">
            <v>5</v>
          </cell>
          <cell r="F2229">
            <v>1</v>
          </cell>
          <cell r="G2229">
            <v>3000</v>
          </cell>
          <cell r="H2229">
            <v>3100</v>
          </cell>
          <cell r="K2229" t="str">
            <v>Servicios básicos</v>
          </cell>
          <cell r="L2229">
            <v>0</v>
          </cell>
          <cell r="M2229">
            <v>0</v>
          </cell>
          <cell r="N2229">
            <v>0</v>
          </cell>
          <cell r="O2229">
            <v>0</v>
          </cell>
          <cell r="P2229">
            <v>0</v>
          </cell>
          <cell r="Q2229">
            <v>0</v>
          </cell>
          <cell r="R2229">
            <v>0</v>
          </cell>
        </row>
        <row r="2230">
          <cell r="A2230">
            <v>86</v>
          </cell>
          <cell r="B2230">
            <v>2017</v>
          </cell>
          <cell r="C2230">
            <v>8300</v>
          </cell>
          <cell r="D2230">
            <v>3</v>
          </cell>
          <cell r="E2230">
            <v>5</v>
          </cell>
          <cell r="F2230">
            <v>1</v>
          </cell>
          <cell r="G2230">
            <v>3000</v>
          </cell>
          <cell r="H2230">
            <v>3100</v>
          </cell>
          <cell r="I2230">
            <v>316</v>
          </cell>
          <cell r="K2230" t="str">
            <v>Servicios de telecomunicaciones y satélites</v>
          </cell>
          <cell r="L2230">
            <v>0</v>
          </cell>
          <cell r="M2230">
            <v>0</v>
          </cell>
          <cell r="N2230">
            <v>0</v>
          </cell>
          <cell r="O2230">
            <v>0</v>
          </cell>
          <cell r="P2230">
            <v>0</v>
          </cell>
          <cell r="Q2230">
            <v>0</v>
          </cell>
          <cell r="R2230">
            <v>0</v>
          </cell>
        </row>
        <row r="2231">
          <cell r="A2231">
            <v>87</v>
          </cell>
          <cell r="B2231">
            <v>2017</v>
          </cell>
          <cell r="C2231">
            <v>8300</v>
          </cell>
          <cell r="D2231">
            <v>3</v>
          </cell>
          <cell r="E2231">
            <v>5</v>
          </cell>
          <cell r="F2231">
            <v>1</v>
          </cell>
          <cell r="G2231">
            <v>3000</v>
          </cell>
          <cell r="H2231">
            <v>3100</v>
          </cell>
          <cell r="I2231">
            <v>316</v>
          </cell>
          <cell r="J2231">
            <v>1</v>
          </cell>
          <cell r="K2231" t="str">
            <v xml:space="preserve">Red de telecomunicaciones </v>
          </cell>
          <cell r="L2231">
            <v>0</v>
          </cell>
          <cell r="M2231">
            <v>0</v>
          </cell>
          <cell r="N2231">
            <v>0</v>
          </cell>
          <cell r="O2231">
            <v>0</v>
          </cell>
          <cell r="P2231">
            <v>0</v>
          </cell>
          <cell r="Q2231">
            <v>0</v>
          </cell>
          <cell r="R2231">
            <v>0</v>
          </cell>
          <cell r="S2231" t="str">
            <v>Servicio</v>
          </cell>
          <cell r="V2231" t="str">
            <v>FC</v>
          </cell>
        </row>
        <row r="2232">
          <cell r="A2232">
            <v>88</v>
          </cell>
          <cell r="B2232">
            <v>2017</v>
          </cell>
          <cell r="C2232">
            <v>8300</v>
          </cell>
          <cell r="D2232">
            <v>3</v>
          </cell>
          <cell r="E2232">
            <v>5</v>
          </cell>
          <cell r="F2232">
            <v>1</v>
          </cell>
          <cell r="G2232">
            <v>3000</v>
          </cell>
          <cell r="H2232">
            <v>3100</v>
          </cell>
          <cell r="I2232">
            <v>316</v>
          </cell>
          <cell r="J2232">
            <v>2</v>
          </cell>
          <cell r="K2232" t="str">
            <v>Servicios de radiolocalización o sistema de comunicación personal</v>
          </cell>
          <cell r="L2232">
            <v>0</v>
          </cell>
          <cell r="M2232">
            <v>0</v>
          </cell>
          <cell r="N2232">
            <v>0</v>
          </cell>
          <cell r="O2232">
            <v>0</v>
          </cell>
          <cell r="P2232">
            <v>0</v>
          </cell>
          <cell r="Q2232">
            <v>0</v>
          </cell>
          <cell r="R2232">
            <v>0</v>
          </cell>
          <cell r="S2232" t="str">
            <v>Servicio</v>
          </cell>
          <cell r="V2232" t="str">
            <v>FC</v>
          </cell>
        </row>
        <row r="2233">
          <cell r="A2233">
            <v>89</v>
          </cell>
          <cell r="B2233">
            <v>2017</v>
          </cell>
          <cell r="C2233">
            <v>8300</v>
          </cell>
          <cell r="D2233">
            <v>3</v>
          </cell>
          <cell r="E2233">
            <v>5</v>
          </cell>
          <cell r="F2233">
            <v>1</v>
          </cell>
          <cell r="G2233">
            <v>3000</v>
          </cell>
          <cell r="H2233">
            <v>3100</v>
          </cell>
          <cell r="I2233">
            <v>317</v>
          </cell>
          <cell r="K2233" t="str">
            <v>Servicios de acceso de Internet, redes y procesamiento de información</v>
          </cell>
          <cell r="L2233">
            <v>0</v>
          </cell>
          <cell r="M2233">
            <v>0</v>
          </cell>
          <cell r="N2233">
            <v>0</v>
          </cell>
          <cell r="O2233">
            <v>0</v>
          </cell>
          <cell r="P2233">
            <v>0</v>
          </cell>
          <cell r="Q2233">
            <v>0</v>
          </cell>
          <cell r="R2233">
            <v>0</v>
          </cell>
        </row>
        <row r="2234">
          <cell r="A2234">
            <v>90</v>
          </cell>
          <cell r="B2234">
            <v>2017</v>
          </cell>
          <cell r="C2234">
            <v>8300</v>
          </cell>
          <cell r="D2234">
            <v>3</v>
          </cell>
          <cell r="E2234">
            <v>5</v>
          </cell>
          <cell r="F2234">
            <v>1</v>
          </cell>
          <cell r="G2234">
            <v>3000</v>
          </cell>
          <cell r="H2234">
            <v>3100</v>
          </cell>
          <cell r="I2234">
            <v>317</v>
          </cell>
          <cell r="J2234">
            <v>1</v>
          </cell>
          <cell r="K2234" t="str">
            <v>Servicios de conducción de señales analógicas y digitales</v>
          </cell>
          <cell r="L2234">
            <v>0</v>
          </cell>
          <cell r="M2234">
            <v>0</v>
          </cell>
          <cell r="N2234">
            <v>0</v>
          </cell>
          <cell r="O2234">
            <v>0</v>
          </cell>
          <cell r="P2234">
            <v>0</v>
          </cell>
          <cell r="Q2234">
            <v>0</v>
          </cell>
          <cell r="R2234">
            <v>0</v>
          </cell>
          <cell r="S2234" t="str">
            <v>Servicio</v>
          </cell>
          <cell r="V2234" t="str">
            <v>FC</v>
          </cell>
        </row>
        <row r="2235">
          <cell r="A2235">
            <v>91</v>
          </cell>
          <cell r="B2235">
            <v>2017</v>
          </cell>
          <cell r="C2235">
            <v>8300</v>
          </cell>
          <cell r="D2235">
            <v>3</v>
          </cell>
          <cell r="E2235">
            <v>5</v>
          </cell>
          <cell r="F2235">
            <v>1</v>
          </cell>
          <cell r="G2235">
            <v>3000</v>
          </cell>
          <cell r="H2235">
            <v>3300</v>
          </cell>
          <cell r="K2235" t="str">
            <v>Servicios Profesionales, Científicos, Técnicos y Otros Servicios</v>
          </cell>
          <cell r="L2235">
            <v>0</v>
          </cell>
          <cell r="M2235">
            <v>0</v>
          </cell>
          <cell r="N2235">
            <v>0</v>
          </cell>
          <cell r="O2235">
            <v>0</v>
          </cell>
          <cell r="P2235">
            <v>0</v>
          </cell>
          <cell r="Q2235">
            <v>0</v>
          </cell>
          <cell r="R2235">
            <v>0</v>
          </cell>
        </row>
        <row r="2236">
          <cell r="A2236">
            <v>92</v>
          </cell>
          <cell r="B2236">
            <v>2017</v>
          </cell>
          <cell r="C2236">
            <v>8300</v>
          </cell>
          <cell r="D2236">
            <v>3</v>
          </cell>
          <cell r="E2236">
            <v>5</v>
          </cell>
          <cell r="F2236">
            <v>1</v>
          </cell>
          <cell r="G2236">
            <v>3000</v>
          </cell>
          <cell r="H2236">
            <v>3300</v>
          </cell>
          <cell r="I2236">
            <v>333</v>
          </cell>
          <cell r="K2236" t="str">
            <v>Servicios de consultoría administrativa, procesos, técnica y en tecnologías de la información</v>
          </cell>
          <cell r="L2236">
            <v>0</v>
          </cell>
          <cell r="M2236">
            <v>0</v>
          </cell>
          <cell r="N2236">
            <v>0</v>
          </cell>
          <cell r="O2236">
            <v>0</v>
          </cell>
          <cell r="P2236">
            <v>0</v>
          </cell>
          <cell r="Q2236">
            <v>0</v>
          </cell>
          <cell r="R2236">
            <v>0</v>
          </cell>
        </row>
        <row r="2237">
          <cell r="A2237">
            <v>93</v>
          </cell>
          <cell r="B2237">
            <v>2017</v>
          </cell>
          <cell r="C2237">
            <v>8300</v>
          </cell>
          <cell r="D2237">
            <v>3</v>
          </cell>
          <cell r="E2237">
            <v>5</v>
          </cell>
          <cell r="F2237">
            <v>1</v>
          </cell>
          <cell r="G2237">
            <v>3000</v>
          </cell>
          <cell r="H2237">
            <v>3300</v>
          </cell>
          <cell r="I2237">
            <v>333</v>
          </cell>
          <cell r="J2237">
            <v>1</v>
          </cell>
          <cell r="K2237" t="str">
            <v>Servicios de informática</v>
          </cell>
          <cell r="L2237">
            <v>0</v>
          </cell>
          <cell r="M2237">
            <v>0</v>
          </cell>
          <cell r="N2237">
            <v>0</v>
          </cell>
          <cell r="O2237">
            <v>0</v>
          </cell>
          <cell r="P2237">
            <v>0</v>
          </cell>
          <cell r="Q2237">
            <v>0</v>
          </cell>
          <cell r="R2237">
            <v>0</v>
          </cell>
          <cell r="S2237" t="str">
            <v>Servicio</v>
          </cell>
          <cell r="V2237" t="str">
            <v>AE</v>
          </cell>
        </row>
        <row r="2238">
          <cell r="A2238">
            <v>94</v>
          </cell>
          <cell r="B2238">
            <v>2017</v>
          </cell>
          <cell r="C2238">
            <v>8327</v>
          </cell>
          <cell r="D2238">
            <v>3</v>
          </cell>
          <cell r="E2238">
            <v>5</v>
          </cell>
          <cell r="F2238">
            <v>1</v>
          </cell>
          <cell r="G2238">
            <v>3000</v>
          </cell>
          <cell r="H2238">
            <v>3300</v>
          </cell>
          <cell r="K2238" t="str">
            <v>Servicios de Investigación científica y desarrollo</v>
          </cell>
          <cell r="L2238">
            <v>0</v>
          </cell>
          <cell r="M2238">
            <v>0</v>
          </cell>
          <cell r="N2238">
            <v>0</v>
          </cell>
          <cell r="O2238">
            <v>650000</v>
          </cell>
          <cell r="P2238">
            <v>0</v>
          </cell>
          <cell r="Q2238">
            <v>650000</v>
          </cell>
          <cell r="R2238">
            <v>650000</v>
          </cell>
        </row>
        <row r="2239">
          <cell r="A2239">
            <v>95</v>
          </cell>
          <cell r="B2239">
            <v>2017</v>
          </cell>
          <cell r="C2239">
            <v>8327</v>
          </cell>
          <cell r="D2239">
            <v>3</v>
          </cell>
          <cell r="E2239">
            <v>5</v>
          </cell>
          <cell r="F2239">
            <v>1</v>
          </cell>
          <cell r="G2239">
            <v>3000</v>
          </cell>
          <cell r="H2239">
            <v>3300</v>
          </cell>
          <cell r="I2239">
            <v>335</v>
          </cell>
          <cell r="K2239" t="str">
            <v>Servicios de Investigación científica y desarrollo</v>
          </cell>
          <cell r="L2239">
            <v>0</v>
          </cell>
          <cell r="M2239">
            <v>0</v>
          </cell>
          <cell r="N2239">
            <v>0</v>
          </cell>
          <cell r="O2239">
            <v>650000</v>
          </cell>
          <cell r="P2239">
            <v>0</v>
          </cell>
          <cell r="Q2239">
            <v>650000</v>
          </cell>
          <cell r="R2239">
            <v>650000</v>
          </cell>
        </row>
        <row r="2240">
          <cell r="A2240">
            <v>96</v>
          </cell>
          <cell r="B2240">
            <v>2017</v>
          </cell>
          <cell r="C2240">
            <v>8327</v>
          </cell>
          <cell r="D2240">
            <v>3</v>
          </cell>
          <cell r="E2240">
            <v>5</v>
          </cell>
          <cell r="F2240">
            <v>1</v>
          </cell>
          <cell r="G2240">
            <v>3000</v>
          </cell>
          <cell r="H2240">
            <v>3300</v>
          </cell>
          <cell r="I2240">
            <v>335</v>
          </cell>
          <cell r="J2240">
            <v>1</v>
          </cell>
          <cell r="K2240" t="str">
            <v>Desarrollo del Programa de atención de adicciones, aplicar a 1 Generación el programa de adicciones</v>
          </cell>
          <cell r="L2240">
            <v>0</v>
          </cell>
          <cell r="M2240">
            <v>0</v>
          </cell>
          <cell r="N2240">
            <v>0</v>
          </cell>
          <cell r="O2240">
            <v>650000</v>
          </cell>
          <cell r="P2240">
            <v>0</v>
          </cell>
          <cell r="Q2240">
            <v>650000</v>
          </cell>
          <cell r="R2240">
            <v>650000</v>
          </cell>
          <cell r="S2240" t="str">
            <v>Servicio</v>
          </cell>
          <cell r="T2240">
            <v>1</v>
          </cell>
          <cell r="U2240">
            <v>25</v>
          </cell>
          <cell r="V2240" t="str">
            <v>AE</v>
          </cell>
        </row>
        <row r="2241">
          <cell r="A2241">
            <v>97</v>
          </cell>
          <cell r="B2241">
            <v>2017</v>
          </cell>
          <cell r="C2241">
            <v>8300</v>
          </cell>
          <cell r="D2241">
            <v>3</v>
          </cell>
          <cell r="E2241">
            <v>5</v>
          </cell>
          <cell r="F2241">
            <v>1</v>
          </cell>
          <cell r="G2241">
            <v>3000</v>
          </cell>
          <cell r="H2241">
            <v>3500</v>
          </cell>
          <cell r="K2241" t="str">
            <v>Servicios de Instalación, Reparación, Mantenimiento y Conservación</v>
          </cell>
          <cell r="L2241">
            <v>0</v>
          </cell>
          <cell r="M2241">
            <v>0</v>
          </cell>
          <cell r="N2241">
            <v>0</v>
          </cell>
          <cell r="O2241">
            <v>0</v>
          </cell>
          <cell r="P2241">
            <v>0</v>
          </cell>
          <cell r="Q2241">
            <v>0</v>
          </cell>
          <cell r="R2241">
            <v>0</v>
          </cell>
        </row>
        <row r="2242">
          <cell r="A2242">
            <v>98</v>
          </cell>
          <cell r="B2242">
            <v>2017</v>
          </cell>
          <cell r="C2242">
            <v>8300</v>
          </cell>
          <cell r="D2242">
            <v>3</v>
          </cell>
          <cell r="E2242">
            <v>5</v>
          </cell>
          <cell r="F2242">
            <v>1</v>
          </cell>
          <cell r="G2242">
            <v>3000</v>
          </cell>
          <cell r="H2242">
            <v>3500</v>
          </cell>
          <cell r="I2242">
            <v>355</v>
          </cell>
          <cell r="K2242" t="str">
            <v>Reparación y mantenimiento de equipo de transporte</v>
          </cell>
          <cell r="L2242">
            <v>0</v>
          </cell>
          <cell r="M2242">
            <v>0</v>
          </cell>
          <cell r="N2242">
            <v>0</v>
          </cell>
          <cell r="O2242">
            <v>0</v>
          </cell>
          <cell r="P2242">
            <v>0</v>
          </cell>
          <cell r="Q2242">
            <v>0</v>
          </cell>
          <cell r="R2242">
            <v>0</v>
          </cell>
        </row>
        <row r="2243">
          <cell r="A2243">
            <v>99</v>
          </cell>
          <cell r="B2243">
            <v>2017</v>
          </cell>
          <cell r="C2243">
            <v>8300</v>
          </cell>
          <cell r="D2243">
            <v>3</v>
          </cell>
          <cell r="E2243">
            <v>5</v>
          </cell>
          <cell r="F2243">
            <v>1</v>
          </cell>
          <cell r="G2243">
            <v>3000</v>
          </cell>
          <cell r="H2243">
            <v>3500</v>
          </cell>
          <cell r="I2243">
            <v>355</v>
          </cell>
          <cell r="J2243">
            <v>1</v>
          </cell>
          <cell r="K2243" t="str">
            <v>Mantenimiento y conservación de vehículos terrestres</v>
          </cell>
          <cell r="L2243">
            <v>0</v>
          </cell>
          <cell r="M2243">
            <v>0</v>
          </cell>
          <cell r="N2243">
            <v>0</v>
          </cell>
          <cell r="O2243">
            <v>0</v>
          </cell>
          <cell r="P2243">
            <v>0</v>
          </cell>
          <cell r="Q2243">
            <v>0</v>
          </cell>
          <cell r="R2243">
            <v>0</v>
          </cell>
          <cell r="S2243" t="str">
            <v>Servicio</v>
          </cell>
          <cell r="V2243" t="str">
            <v>AE</v>
          </cell>
        </row>
        <row r="2244">
          <cell r="A2244">
            <v>100</v>
          </cell>
          <cell r="B2244">
            <v>2017</v>
          </cell>
          <cell r="C2244">
            <v>8300</v>
          </cell>
          <cell r="D2244">
            <v>3</v>
          </cell>
          <cell r="E2244">
            <v>5</v>
          </cell>
          <cell r="F2244">
            <v>1</v>
          </cell>
          <cell r="G2244">
            <v>3000</v>
          </cell>
          <cell r="H2244">
            <v>3500</v>
          </cell>
          <cell r="I2244">
            <v>356</v>
          </cell>
          <cell r="K2244" t="str">
            <v>Reparación y Mantenimiento de Equipo de Defensa y Seguridad</v>
          </cell>
          <cell r="L2244">
            <v>0</v>
          </cell>
          <cell r="M2244">
            <v>0</v>
          </cell>
          <cell r="N2244">
            <v>0</v>
          </cell>
          <cell r="O2244">
            <v>0</v>
          </cell>
          <cell r="P2244">
            <v>0</v>
          </cell>
          <cell r="Q2244">
            <v>0</v>
          </cell>
          <cell r="R2244">
            <v>0</v>
          </cell>
        </row>
        <row r="2245">
          <cell r="A2245">
            <v>101</v>
          </cell>
          <cell r="B2245">
            <v>2017</v>
          </cell>
          <cell r="C2245">
            <v>8300</v>
          </cell>
          <cell r="D2245">
            <v>3</v>
          </cell>
          <cell r="E2245">
            <v>5</v>
          </cell>
          <cell r="F2245">
            <v>1</v>
          </cell>
          <cell r="G2245">
            <v>3000</v>
          </cell>
          <cell r="H2245">
            <v>3500</v>
          </cell>
          <cell r="I2245">
            <v>356</v>
          </cell>
          <cell r="J2245">
            <v>1</v>
          </cell>
          <cell r="K2245" t="str">
            <v>Póliza de mantenimiento Inhibidores</v>
          </cell>
          <cell r="L2245">
            <v>0</v>
          </cell>
          <cell r="M2245">
            <v>0</v>
          </cell>
          <cell r="N2245">
            <v>0</v>
          </cell>
          <cell r="O2245">
            <v>0</v>
          </cell>
          <cell r="P2245">
            <v>0</v>
          </cell>
          <cell r="Q2245">
            <v>0</v>
          </cell>
          <cell r="R2245">
            <v>0</v>
          </cell>
          <cell r="S2245" t="str">
            <v>Servicio</v>
          </cell>
          <cell r="V2245" t="str">
            <v>AE</v>
          </cell>
        </row>
        <row r="2246">
          <cell r="A2246">
            <v>102</v>
          </cell>
          <cell r="B2246">
            <v>2017</v>
          </cell>
          <cell r="C2246">
            <v>8300</v>
          </cell>
          <cell r="D2246">
            <v>3</v>
          </cell>
          <cell r="E2246">
            <v>5</v>
          </cell>
          <cell r="F2246">
            <v>1</v>
          </cell>
          <cell r="G2246">
            <v>3000</v>
          </cell>
          <cell r="H2246">
            <v>3500</v>
          </cell>
          <cell r="I2246">
            <v>357</v>
          </cell>
          <cell r="K2246" t="str">
            <v>Instalación, reparación y mantenimiento de maquinaria, otros equipos y herramientas</v>
          </cell>
          <cell r="L2246">
            <v>0</v>
          </cell>
          <cell r="M2246">
            <v>0</v>
          </cell>
          <cell r="N2246">
            <v>0</v>
          </cell>
          <cell r="O2246">
            <v>0</v>
          </cell>
          <cell r="P2246">
            <v>0</v>
          </cell>
          <cell r="Q2246">
            <v>0</v>
          </cell>
          <cell r="R2246">
            <v>0</v>
          </cell>
        </row>
        <row r="2247">
          <cell r="A2247">
            <v>103</v>
          </cell>
          <cell r="B2247">
            <v>2017</v>
          </cell>
          <cell r="C2247">
            <v>8300</v>
          </cell>
          <cell r="D2247">
            <v>3</v>
          </cell>
          <cell r="E2247">
            <v>5</v>
          </cell>
          <cell r="F2247">
            <v>1</v>
          </cell>
          <cell r="G2247">
            <v>3000</v>
          </cell>
          <cell r="H2247">
            <v>3500</v>
          </cell>
          <cell r="I2247">
            <v>357</v>
          </cell>
          <cell r="J2247">
            <v>1</v>
          </cell>
          <cell r="K2247" t="str">
            <v>Mantenimiento y conservación de maquinaria y equipo</v>
          </cell>
          <cell r="L2247">
            <v>0</v>
          </cell>
          <cell r="M2247">
            <v>0</v>
          </cell>
          <cell r="N2247">
            <v>0</v>
          </cell>
          <cell r="O2247">
            <v>0</v>
          </cell>
          <cell r="P2247">
            <v>0</v>
          </cell>
          <cell r="Q2247">
            <v>0</v>
          </cell>
          <cell r="R2247">
            <v>0</v>
          </cell>
          <cell r="S2247" t="str">
            <v>Póliza</v>
          </cell>
          <cell r="V2247" t="str">
            <v>AE</v>
          </cell>
        </row>
        <row r="2248">
          <cell r="A2248">
            <v>104</v>
          </cell>
          <cell r="B2248">
            <v>2017</v>
          </cell>
          <cell r="C2248">
            <v>8300</v>
          </cell>
          <cell r="D2248">
            <v>3</v>
          </cell>
          <cell r="E2248">
            <v>5</v>
          </cell>
          <cell r="F2248">
            <v>1</v>
          </cell>
          <cell r="G2248">
            <v>5000</v>
          </cell>
          <cell r="K2248" t="str">
            <v>BIENES MUEBLES, INMUEBLES E INTANGIBLES</v>
          </cell>
          <cell r="L2248">
            <v>5100556.2</v>
          </cell>
          <cell r="M2248">
            <v>0</v>
          </cell>
          <cell r="N2248">
            <v>5100556.2</v>
          </cell>
          <cell r="O2248">
            <v>4500</v>
          </cell>
          <cell r="P2248">
            <v>0</v>
          </cell>
          <cell r="Q2248">
            <v>4500</v>
          </cell>
          <cell r="R2248">
            <v>5105056.2</v>
          </cell>
        </row>
        <row r="2249">
          <cell r="A2249">
            <v>105</v>
          </cell>
          <cell r="B2249">
            <v>2017</v>
          </cell>
          <cell r="C2249">
            <v>8300</v>
          </cell>
          <cell r="D2249">
            <v>3</v>
          </cell>
          <cell r="E2249">
            <v>5</v>
          </cell>
          <cell r="F2249">
            <v>1</v>
          </cell>
          <cell r="G2249">
            <v>5000</v>
          </cell>
          <cell r="H2249">
            <v>5100</v>
          </cell>
          <cell r="K2249" t="str">
            <v>Mobiliario y Equipo de Administración</v>
          </cell>
          <cell r="L2249">
            <v>1559679.45</v>
          </cell>
          <cell r="M2249">
            <v>0</v>
          </cell>
          <cell r="N2249">
            <v>1559679.45</v>
          </cell>
          <cell r="O2249">
            <v>4500</v>
          </cell>
          <cell r="P2249">
            <v>0</v>
          </cell>
          <cell r="Q2249">
            <v>4500</v>
          </cell>
          <cell r="R2249">
            <v>1564179.45</v>
          </cell>
        </row>
        <row r="2250">
          <cell r="A2250">
            <v>106</v>
          </cell>
          <cell r="B2250">
            <v>2017</v>
          </cell>
          <cell r="C2250">
            <v>8300</v>
          </cell>
          <cell r="D2250">
            <v>3</v>
          </cell>
          <cell r="E2250">
            <v>5</v>
          </cell>
          <cell r="F2250">
            <v>1</v>
          </cell>
          <cell r="G2250">
            <v>5000</v>
          </cell>
          <cell r="H2250">
            <v>5100</v>
          </cell>
          <cell r="I2250">
            <v>511</v>
          </cell>
          <cell r="K2250" t="str">
            <v>Muebles de oficina y estantería</v>
          </cell>
          <cell r="L2250">
            <v>288101.25</v>
          </cell>
          <cell r="M2250">
            <v>0</v>
          </cell>
          <cell r="N2250">
            <v>288101.25</v>
          </cell>
          <cell r="O2250">
            <v>0</v>
          </cell>
          <cell r="P2250">
            <v>0</v>
          </cell>
          <cell r="Q2250">
            <v>0</v>
          </cell>
          <cell r="R2250">
            <v>288101.25</v>
          </cell>
        </row>
        <row r="2251">
          <cell r="A2251">
            <v>107</v>
          </cell>
          <cell r="B2251">
            <v>2017</v>
          </cell>
          <cell r="C2251">
            <v>8300</v>
          </cell>
          <cell r="D2251">
            <v>3</v>
          </cell>
          <cell r="E2251">
            <v>5</v>
          </cell>
          <cell r="F2251">
            <v>1</v>
          </cell>
          <cell r="G2251">
            <v>5000</v>
          </cell>
          <cell r="H2251">
            <v>5100</v>
          </cell>
          <cell r="I2251">
            <v>511</v>
          </cell>
          <cell r="J2251">
            <v>1</v>
          </cell>
          <cell r="K2251" t="str">
            <v xml:space="preserve">Anaquel </v>
          </cell>
          <cell r="L2251">
            <v>47250</v>
          </cell>
          <cell r="M2251">
            <v>0</v>
          </cell>
          <cell r="N2251">
            <v>47250</v>
          </cell>
          <cell r="P2251">
            <v>0</v>
          </cell>
          <cell r="Q2251">
            <v>0</v>
          </cell>
          <cell r="R2251">
            <v>47250</v>
          </cell>
          <cell r="S2251" t="str">
            <v>Pieza</v>
          </cell>
          <cell r="T2251">
            <v>35</v>
          </cell>
          <cell r="V2251" t="str">
            <v>FC</v>
          </cell>
        </row>
        <row r="2252">
          <cell r="A2252">
            <v>108</v>
          </cell>
          <cell r="B2252">
            <v>2017</v>
          </cell>
          <cell r="C2252">
            <v>8300</v>
          </cell>
          <cell r="D2252">
            <v>3</v>
          </cell>
          <cell r="E2252">
            <v>5</v>
          </cell>
          <cell r="F2252">
            <v>1</v>
          </cell>
          <cell r="G2252">
            <v>5000</v>
          </cell>
          <cell r="H2252">
            <v>5100</v>
          </cell>
          <cell r="I2252">
            <v>511</v>
          </cell>
          <cell r="J2252">
            <v>2</v>
          </cell>
          <cell r="K2252" t="str">
            <v xml:space="preserve">Archivero </v>
          </cell>
          <cell r="L2252">
            <v>103320</v>
          </cell>
          <cell r="M2252">
            <v>0</v>
          </cell>
          <cell r="N2252">
            <v>103320</v>
          </cell>
          <cell r="P2252">
            <v>0</v>
          </cell>
          <cell r="Q2252">
            <v>0</v>
          </cell>
          <cell r="R2252">
            <v>103320</v>
          </cell>
          <cell r="S2252" t="str">
            <v>Pieza</v>
          </cell>
          <cell r="T2252">
            <v>20</v>
          </cell>
          <cell r="V2252" t="str">
            <v>FC</v>
          </cell>
        </row>
        <row r="2253">
          <cell r="A2253">
            <v>109</v>
          </cell>
          <cell r="B2253">
            <v>2017</v>
          </cell>
          <cell r="C2253">
            <v>8300</v>
          </cell>
          <cell r="D2253">
            <v>3</v>
          </cell>
          <cell r="E2253">
            <v>5</v>
          </cell>
          <cell r="F2253">
            <v>1</v>
          </cell>
          <cell r="G2253">
            <v>5000</v>
          </cell>
          <cell r="H2253">
            <v>5100</v>
          </cell>
          <cell r="I2253">
            <v>511</v>
          </cell>
          <cell r="J2253">
            <v>3</v>
          </cell>
          <cell r="K2253" t="str">
            <v xml:space="preserve">Banca </v>
          </cell>
          <cell r="M2253">
            <v>0</v>
          </cell>
          <cell r="N2253">
            <v>0</v>
          </cell>
          <cell r="P2253">
            <v>0</v>
          </cell>
          <cell r="Q2253">
            <v>0</v>
          </cell>
          <cell r="R2253">
            <v>0</v>
          </cell>
          <cell r="S2253" t="str">
            <v>Pieza</v>
          </cell>
          <cell r="V2253" t="str">
            <v>FC</v>
          </cell>
        </row>
        <row r="2254">
          <cell r="A2254">
            <v>110</v>
          </cell>
          <cell r="B2254">
            <v>2017</v>
          </cell>
          <cell r="C2254">
            <v>8300</v>
          </cell>
          <cell r="D2254">
            <v>3</v>
          </cell>
          <cell r="E2254">
            <v>5</v>
          </cell>
          <cell r="F2254">
            <v>1</v>
          </cell>
          <cell r="G2254">
            <v>5000</v>
          </cell>
          <cell r="H2254">
            <v>5100</v>
          </cell>
          <cell r="I2254">
            <v>511</v>
          </cell>
          <cell r="J2254">
            <v>4</v>
          </cell>
          <cell r="K2254" t="str">
            <v xml:space="preserve">Banco </v>
          </cell>
          <cell r="M2254">
            <v>0</v>
          </cell>
          <cell r="N2254">
            <v>0</v>
          </cell>
          <cell r="P2254">
            <v>0</v>
          </cell>
          <cell r="Q2254">
            <v>0</v>
          </cell>
          <cell r="R2254">
            <v>0</v>
          </cell>
          <cell r="S2254" t="str">
            <v>Pieza</v>
          </cell>
          <cell r="V2254" t="str">
            <v>FC</v>
          </cell>
        </row>
        <row r="2255">
          <cell r="A2255">
            <v>111</v>
          </cell>
          <cell r="B2255">
            <v>2017</v>
          </cell>
          <cell r="C2255">
            <v>8300</v>
          </cell>
          <cell r="D2255">
            <v>3</v>
          </cell>
          <cell r="E2255">
            <v>5</v>
          </cell>
          <cell r="F2255">
            <v>1</v>
          </cell>
          <cell r="G2255">
            <v>5000</v>
          </cell>
          <cell r="H2255">
            <v>5100</v>
          </cell>
          <cell r="I2255">
            <v>511</v>
          </cell>
          <cell r="J2255">
            <v>5</v>
          </cell>
          <cell r="K2255" t="str">
            <v xml:space="preserve">Butaca </v>
          </cell>
          <cell r="M2255">
            <v>0</v>
          </cell>
          <cell r="N2255">
            <v>0</v>
          </cell>
          <cell r="P2255">
            <v>0</v>
          </cell>
          <cell r="Q2255">
            <v>0</v>
          </cell>
          <cell r="R2255">
            <v>0</v>
          </cell>
          <cell r="S2255" t="str">
            <v>Pieza</v>
          </cell>
          <cell r="V2255" t="str">
            <v>FC</v>
          </cell>
        </row>
        <row r="2256">
          <cell r="A2256">
            <v>112</v>
          </cell>
          <cell r="B2256">
            <v>2017</v>
          </cell>
          <cell r="C2256">
            <v>8300</v>
          </cell>
          <cell r="D2256">
            <v>3</v>
          </cell>
          <cell r="E2256">
            <v>5</v>
          </cell>
          <cell r="F2256">
            <v>1</v>
          </cell>
          <cell r="G2256">
            <v>5000</v>
          </cell>
          <cell r="H2256">
            <v>5100</v>
          </cell>
          <cell r="I2256">
            <v>511</v>
          </cell>
          <cell r="J2256">
            <v>6</v>
          </cell>
          <cell r="K2256" t="str">
            <v xml:space="preserve">Cajonera </v>
          </cell>
          <cell r="M2256">
            <v>0</v>
          </cell>
          <cell r="N2256">
            <v>0</v>
          </cell>
          <cell r="P2256">
            <v>0</v>
          </cell>
          <cell r="Q2256">
            <v>0</v>
          </cell>
          <cell r="R2256">
            <v>0</v>
          </cell>
          <cell r="S2256" t="str">
            <v>Pieza</v>
          </cell>
          <cell r="V2256" t="str">
            <v>FC</v>
          </cell>
        </row>
        <row r="2257">
          <cell r="A2257">
            <v>113</v>
          </cell>
          <cell r="B2257">
            <v>2017</v>
          </cell>
          <cell r="C2257">
            <v>8300</v>
          </cell>
          <cell r="D2257">
            <v>3</v>
          </cell>
          <cell r="E2257">
            <v>5</v>
          </cell>
          <cell r="F2257">
            <v>1</v>
          </cell>
          <cell r="G2257">
            <v>5000</v>
          </cell>
          <cell r="H2257">
            <v>5100</v>
          </cell>
          <cell r="I2257">
            <v>511</v>
          </cell>
          <cell r="J2257">
            <v>7</v>
          </cell>
          <cell r="K2257" t="str">
            <v xml:space="preserve">Credenza </v>
          </cell>
          <cell r="M2257">
            <v>0</v>
          </cell>
          <cell r="N2257">
            <v>0</v>
          </cell>
          <cell r="P2257">
            <v>0</v>
          </cell>
          <cell r="Q2257">
            <v>0</v>
          </cell>
          <cell r="R2257">
            <v>0</v>
          </cell>
          <cell r="S2257" t="str">
            <v>Pieza</v>
          </cell>
          <cell r="V2257" t="str">
            <v>FC</v>
          </cell>
        </row>
        <row r="2258">
          <cell r="A2258">
            <v>114</v>
          </cell>
          <cell r="B2258">
            <v>2017</v>
          </cell>
          <cell r="C2258">
            <v>8300</v>
          </cell>
          <cell r="D2258">
            <v>3</v>
          </cell>
          <cell r="E2258">
            <v>5</v>
          </cell>
          <cell r="F2258">
            <v>1</v>
          </cell>
          <cell r="G2258">
            <v>5000</v>
          </cell>
          <cell r="H2258">
            <v>5100</v>
          </cell>
          <cell r="I2258">
            <v>511</v>
          </cell>
          <cell r="J2258">
            <v>8</v>
          </cell>
          <cell r="K2258" t="str">
            <v xml:space="preserve">Escritorio </v>
          </cell>
          <cell r="L2258">
            <v>83531.25</v>
          </cell>
          <cell r="M2258">
            <v>0</v>
          </cell>
          <cell r="N2258">
            <v>83531.25</v>
          </cell>
          <cell r="P2258">
            <v>0</v>
          </cell>
          <cell r="Q2258">
            <v>0</v>
          </cell>
          <cell r="R2258">
            <v>83531.25</v>
          </cell>
          <cell r="S2258" t="str">
            <v>Pieza</v>
          </cell>
          <cell r="T2258">
            <v>15</v>
          </cell>
          <cell r="V2258" t="str">
            <v>FC</v>
          </cell>
        </row>
        <row r="2259">
          <cell r="A2259">
            <v>115</v>
          </cell>
          <cell r="B2259">
            <v>2017</v>
          </cell>
          <cell r="C2259">
            <v>8300</v>
          </cell>
          <cell r="D2259">
            <v>3</v>
          </cell>
          <cell r="E2259">
            <v>5</v>
          </cell>
          <cell r="F2259">
            <v>1</v>
          </cell>
          <cell r="G2259">
            <v>5000</v>
          </cell>
          <cell r="H2259">
            <v>5100</v>
          </cell>
          <cell r="I2259">
            <v>511</v>
          </cell>
          <cell r="J2259">
            <v>9</v>
          </cell>
          <cell r="K2259" t="str">
            <v>Escritorio Ejecutivo</v>
          </cell>
          <cell r="M2259">
            <v>0</v>
          </cell>
          <cell r="N2259">
            <v>0</v>
          </cell>
          <cell r="P2259">
            <v>0</v>
          </cell>
          <cell r="Q2259">
            <v>0</v>
          </cell>
          <cell r="R2259">
            <v>0</v>
          </cell>
          <cell r="S2259" t="str">
            <v>Pieza</v>
          </cell>
          <cell r="V2259" t="str">
            <v>FC</v>
          </cell>
        </row>
        <row r="2260">
          <cell r="A2260">
            <v>116</v>
          </cell>
          <cell r="B2260">
            <v>2017</v>
          </cell>
          <cell r="C2260">
            <v>8300</v>
          </cell>
          <cell r="D2260">
            <v>3</v>
          </cell>
          <cell r="E2260">
            <v>5</v>
          </cell>
          <cell r="F2260">
            <v>1</v>
          </cell>
          <cell r="G2260">
            <v>5000</v>
          </cell>
          <cell r="H2260">
            <v>5100</v>
          </cell>
          <cell r="I2260">
            <v>511</v>
          </cell>
          <cell r="J2260">
            <v>10</v>
          </cell>
          <cell r="K2260" t="str">
            <v xml:space="preserve">Estante </v>
          </cell>
          <cell r="M2260">
            <v>0</v>
          </cell>
          <cell r="N2260">
            <v>0</v>
          </cell>
          <cell r="P2260">
            <v>0</v>
          </cell>
          <cell r="Q2260">
            <v>0</v>
          </cell>
          <cell r="R2260">
            <v>0</v>
          </cell>
          <cell r="S2260" t="str">
            <v>Pieza</v>
          </cell>
          <cell r="V2260" t="str">
            <v>FC</v>
          </cell>
        </row>
        <row r="2261">
          <cell r="A2261">
            <v>117</v>
          </cell>
          <cell r="B2261">
            <v>2017</v>
          </cell>
          <cell r="C2261">
            <v>8300</v>
          </cell>
          <cell r="D2261">
            <v>3</v>
          </cell>
          <cell r="E2261">
            <v>5</v>
          </cell>
          <cell r="F2261">
            <v>1</v>
          </cell>
          <cell r="G2261">
            <v>5000</v>
          </cell>
          <cell r="H2261">
            <v>5100</v>
          </cell>
          <cell r="I2261">
            <v>511</v>
          </cell>
          <cell r="J2261">
            <v>11</v>
          </cell>
          <cell r="K2261" t="str">
            <v>Gabinete</v>
          </cell>
          <cell r="M2261">
            <v>0</v>
          </cell>
          <cell r="N2261">
            <v>0</v>
          </cell>
          <cell r="P2261">
            <v>0</v>
          </cell>
          <cell r="Q2261">
            <v>0</v>
          </cell>
          <cell r="R2261">
            <v>0</v>
          </cell>
          <cell r="S2261" t="str">
            <v>Pieza</v>
          </cell>
          <cell r="V2261" t="str">
            <v>FC</v>
          </cell>
        </row>
        <row r="2262">
          <cell r="A2262">
            <v>118</v>
          </cell>
          <cell r="B2262">
            <v>2017</v>
          </cell>
          <cell r="C2262">
            <v>8300</v>
          </cell>
          <cell r="D2262">
            <v>3</v>
          </cell>
          <cell r="E2262">
            <v>5</v>
          </cell>
          <cell r="F2262">
            <v>1</v>
          </cell>
          <cell r="G2262">
            <v>5000</v>
          </cell>
          <cell r="H2262">
            <v>5100</v>
          </cell>
          <cell r="I2262">
            <v>511</v>
          </cell>
          <cell r="J2262">
            <v>12</v>
          </cell>
          <cell r="K2262" t="str">
            <v>Lámpara</v>
          </cell>
          <cell r="M2262">
            <v>0</v>
          </cell>
          <cell r="N2262">
            <v>0</v>
          </cell>
          <cell r="P2262">
            <v>0</v>
          </cell>
          <cell r="Q2262">
            <v>0</v>
          </cell>
          <cell r="R2262">
            <v>0</v>
          </cell>
          <cell r="S2262" t="str">
            <v>Pieza</v>
          </cell>
          <cell r="V2262" t="str">
            <v>FC</v>
          </cell>
        </row>
        <row r="2263">
          <cell r="A2263">
            <v>119</v>
          </cell>
          <cell r="B2263">
            <v>2017</v>
          </cell>
          <cell r="C2263">
            <v>8300</v>
          </cell>
          <cell r="D2263">
            <v>3</v>
          </cell>
          <cell r="E2263">
            <v>5</v>
          </cell>
          <cell r="F2263">
            <v>1</v>
          </cell>
          <cell r="G2263">
            <v>5000</v>
          </cell>
          <cell r="H2263">
            <v>5100</v>
          </cell>
          <cell r="I2263">
            <v>511</v>
          </cell>
          <cell r="J2263">
            <v>13</v>
          </cell>
          <cell r="K2263" t="str">
            <v xml:space="preserve">Librero </v>
          </cell>
          <cell r="M2263">
            <v>0</v>
          </cell>
          <cell r="N2263">
            <v>0</v>
          </cell>
          <cell r="P2263">
            <v>0</v>
          </cell>
          <cell r="Q2263">
            <v>0</v>
          </cell>
          <cell r="R2263">
            <v>0</v>
          </cell>
          <cell r="S2263" t="str">
            <v>Pieza</v>
          </cell>
          <cell r="V2263" t="str">
            <v>FC</v>
          </cell>
        </row>
        <row r="2264">
          <cell r="A2264">
            <v>120</v>
          </cell>
          <cell r="B2264">
            <v>2017</v>
          </cell>
          <cell r="C2264">
            <v>8300</v>
          </cell>
          <cell r="D2264">
            <v>3</v>
          </cell>
          <cell r="E2264">
            <v>5</v>
          </cell>
          <cell r="F2264">
            <v>1</v>
          </cell>
          <cell r="G2264">
            <v>5000</v>
          </cell>
          <cell r="H2264">
            <v>5100</v>
          </cell>
          <cell r="I2264">
            <v>511</v>
          </cell>
          <cell r="J2264">
            <v>14</v>
          </cell>
          <cell r="K2264" t="str">
            <v>Locker</v>
          </cell>
          <cell r="M2264">
            <v>0</v>
          </cell>
          <cell r="N2264">
            <v>0</v>
          </cell>
          <cell r="P2264">
            <v>0</v>
          </cell>
          <cell r="Q2264">
            <v>0</v>
          </cell>
          <cell r="R2264">
            <v>0</v>
          </cell>
          <cell r="S2264" t="str">
            <v>Pieza</v>
          </cell>
          <cell r="V2264" t="str">
            <v>FC</v>
          </cell>
        </row>
        <row r="2265">
          <cell r="A2265">
            <v>121</v>
          </cell>
          <cell r="B2265">
            <v>2017</v>
          </cell>
          <cell r="C2265">
            <v>8300</v>
          </cell>
          <cell r="D2265">
            <v>3</v>
          </cell>
          <cell r="E2265">
            <v>5</v>
          </cell>
          <cell r="F2265">
            <v>1</v>
          </cell>
          <cell r="G2265">
            <v>5000</v>
          </cell>
          <cell r="H2265">
            <v>5100</v>
          </cell>
          <cell r="I2265">
            <v>511</v>
          </cell>
          <cell r="J2265">
            <v>15</v>
          </cell>
          <cell r="K2265" t="str">
            <v>Mesa</v>
          </cell>
          <cell r="M2265">
            <v>0</v>
          </cell>
          <cell r="N2265">
            <v>0</v>
          </cell>
          <cell r="P2265">
            <v>0</v>
          </cell>
          <cell r="Q2265">
            <v>0</v>
          </cell>
          <cell r="R2265">
            <v>0</v>
          </cell>
          <cell r="S2265" t="str">
            <v>Pieza</v>
          </cell>
          <cell r="V2265" t="str">
            <v>FC</v>
          </cell>
        </row>
        <row r="2266">
          <cell r="A2266">
            <v>122</v>
          </cell>
          <cell r="B2266">
            <v>2017</v>
          </cell>
          <cell r="C2266">
            <v>8300</v>
          </cell>
          <cell r="D2266">
            <v>3</v>
          </cell>
          <cell r="E2266">
            <v>5</v>
          </cell>
          <cell r="F2266">
            <v>1</v>
          </cell>
          <cell r="G2266">
            <v>5000</v>
          </cell>
          <cell r="H2266">
            <v>5100</v>
          </cell>
          <cell r="I2266">
            <v>511</v>
          </cell>
          <cell r="J2266">
            <v>16</v>
          </cell>
          <cell r="K2266" t="str">
            <v xml:space="preserve">Módulo </v>
          </cell>
          <cell r="M2266">
            <v>0</v>
          </cell>
          <cell r="N2266">
            <v>0</v>
          </cell>
          <cell r="P2266">
            <v>0</v>
          </cell>
          <cell r="Q2266">
            <v>0</v>
          </cell>
          <cell r="R2266">
            <v>0</v>
          </cell>
          <cell r="S2266" t="str">
            <v>Pieza</v>
          </cell>
          <cell r="V2266" t="str">
            <v>FC</v>
          </cell>
        </row>
        <row r="2267">
          <cell r="A2267">
            <v>123</v>
          </cell>
          <cell r="B2267">
            <v>2017</v>
          </cell>
          <cell r="C2267">
            <v>8300</v>
          </cell>
          <cell r="D2267">
            <v>3</v>
          </cell>
          <cell r="E2267">
            <v>5</v>
          </cell>
          <cell r="F2267">
            <v>1</v>
          </cell>
          <cell r="G2267">
            <v>5000</v>
          </cell>
          <cell r="H2267">
            <v>5100</v>
          </cell>
          <cell r="I2267">
            <v>511</v>
          </cell>
          <cell r="J2267">
            <v>17</v>
          </cell>
          <cell r="K2267" t="str">
            <v xml:space="preserve">Mueble para computadora   </v>
          </cell>
          <cell r="M2267">
            <v>0</v>
          </cell>
          <cell r="N2267">
            <v>0</v>
          </cell>
          <cell r="P2267">
            <v>0</v>
          </cell>
          <cell r="Q2267">
            <v>0</v>
          </cell>
          <cell r="R2267">
            <v>0</v>
          </cell>
          <cell r="S2267" t="str">
            <v>Pieza</v>
          </cell>
          <cell r="V2267" t="str">
            <v>FC</v>
          </cell>
        </row>
        <row r="2268">
          <cell r="A2268">
            <v>124</v>
          </cell>
          <cell r="B2268">
            <v>2017</v>
          </cell>
          <cell r="C2268">
            <v>8300</v>
          </cell>
          <cell r="D2268">
            <v>3</v>
          </cell>
          <cell r="E2268">
            <v>5</v>
          </cell>
          <cell r="F2268">
            <v>1</v>
          </cell>
          <cell r="G2268">
            <v>5000</v>
          </cell>
          <cell r="H2268">
            <v>5100</v>
          </cell>
          <cell r="I2268">
            <v>511</v>
          </cell>
          <cell r="J2268">
            <v>18</v>
          </cell>
          <cell r="K2268" t="str">
            <v>Sala</v>
          </cell>
          <cell r="M2268">
            <v>0</v>
          </cell>
          <cell r="N2268">
            <v>0</v>
          </cell>
          <cell r="P2268">
            <v>0</v>
          </cell>
          <cell r="Q2268">
            <v>0</v>
          </cell>
          <cell r="R2268">
            <v>0</v>
          </cell>
          <cell r="S2268" t="str">
            <v>Pieza</v>
          </cell>
          <cell r="V2268" t="str">
            <v>FC</v>
          </cell>
        </row>
        <row r="2269">
          <cell r="A2269">
            <v>125</v>
          </cell>
          <cell r="B2269">
            <v>2017</v>
          </cell>
          <cell r="C2269">
            <v>8300</v>
          </cell>
          <cell r="D2269">
            <v>3</v>
          </cell>
          <cell r="E2269">
            <v>5</v>
          </cell>
          <cell r="F2269">
            <v>1</v>
          </cell>
          <cell r="G2269">
            <v>5000</v>
          </cell>
          <cell r="H2269">
            <v>5100</v>
          </cell>
          <cell r="I2269">
            <v>511</v>
          </cell>
          <cell r="J2269">
            <v>19</v>
          </cell>
          <cell r="K2269" t="str">
            <v xml:space="preserve">Silla </v>
          </cell>
          <cell r="M2269">
            <v>0</v>
          </cell>
          <cell r="N2269">
            <v>0</v>
          </cell>
          <cell r="P2269">
            <v>0</v>
          </cell>
          <cell r="Q2269">
            <v>0</v>
          </cell>
          <cell r="R2269">
            <v>0</v>
          </cell>
          <cell r="S2269" t="str">
            <v>Pieza</v>
          </cell>
          <cell r="V2269" t="str">
            <v>FC</v>
          </cell>
        </row>
        <row r="2270">
          <cell r="A2270">
            <v>126</v>
          </cell>
          <cell r="B2270">
            <v>2017</v>
          </cell>
          <cell r="C2270">
            <v>8300</v>
          </cell>
          <cell r="D2270">
            <v>3</v>
          </cell>
          <cell r="E2270">
            <v>5</v>
          </cell>
          <cell r="F2270">
            <v>1</v>
          </cell>
          <cell r="G2270">
            <v>5000</v>
          </cell>
          <cell r="H2270">
            <v>5100</v>
          </cell>
          <cell r="I2270">
            <v>511</v>
          </cell>
          <cell r="J2270">
            <v>20</v>
          </cell>
          <cell r="K2270" t="str">
            <v>Silla con paleta de madera</v>
          </cell>
          <cell r="M2270">
            <v>0</v>
          </cell>
          <cell r="N2270">
            <v>0</v>
          </cell>
          <cell r="P2270">
            <v>0</v>
          </cell>
          <cell r="Q2270">
            <v>0</v>
          </cell>
          <cell r="R2270">
            <v>0</v>
          </cell>
          <cell r="S2270" t="str">
            <v>Pieza</v>
          </cell>
          <cell r="V2270" t="str">
            <v>FC</v>
          </cell>
        </row>
        <row r="2271">
          <cell r="A2271">
            <v>127</v>
          </cell>
          <cell r="B2271">
            <v>2017</v>
          </cell>
          <cell r="C2271">
            <v>8300</v>
          </cell>
          <cell r="D2271">
            <v>3</v>
          </cell>
          <cell r="E2271">
            <v>5</v>
          </cell>
          <cell r="F2271">
            <v>1</v>
          </cell>
          <cell r="G2271">
            <v>5000</v>
          </cell>
          <cell r="H2271">
            <v>5100</v>
          </cell>
          <cell r="I2271">
            <v>511</v>
          </cell>
          <cell r="J2271">
            <v>21</v>
          </cell>
          <cell r="K2271" t="str">
            <v>Sillón ejecutivo</v>
          </cell>
          <cell r="M2271">
            <v>0</v>
          </cell>
          <cell r="N2271">
            <v>0</v>
          </cell>
          <cell r="P2271">
            <v>0</v>
          </cell>
          <cell r="Q2271">
            <v>0</v>
          </cell>
          <cell r="R2271">
            <v>0</v>
          </cell>
          <cell r="S2271" t="str">
            <v>Pieza</v>
          </cell>
          <cell r="V2271" t="str">
            <v>FC</v>
          </cell>
        </row>
        <row r="2272">
          <cell r="A2272">
            <v>128</v>
          </cell>
          <cell r="B2272">
            <v>2017</v>
          </cell>
          <cell r="C2272">
            <v>8300</v>
          </cell>
          <cell r="D2272">
            <v>3</v>
          </cell>
          <cell r="E2272">
            <v>5</v>
          </cell>
          <cell r="F2272">
            <v>1</v>
          </cell>
          <cell r="G2272">
            <v>5000</v>
          </cell>
          <cell r="H2272">
            <v>5100</v>
          </cell>
          <cell r="I2272">
            <v>511</v>
          </cell>
          <cell r="J2272">
            <v>22</v>
          </cell>
          <cell r="K2272" t="str">
            <v>Sillón semiejecutivo</v>
          </cell>
          <cell r="L2272">
            <v>54000</v>
          </cell>
          <cell r="M2272">
            <v>0</v>
          </cell>
          <cell r="N2272">
            <v>54000</v>
          </cell>
          <cell r="P2272">
            <v>0</v>
          </cell>
          <cell r="Q2272">
            <v>0</v>
          </cell>
          <cell r="R2272">
            <v>54000</v>
          </cell>
          <cell r="S2272" t="str">
            <v>Pieza</v>
          </cell>
          <cell r="T2272">
            <v>15</v>
          </cell>
          <cell r="V2272" t="str">
            <v>FC</v>
          </cell>
        </row>
        <row r="2273">
          <cell r="A2273">
            <v>129</v>
          </cell>
          <cell r="B2273">
            <v>2017</v>
          </cell>
          <cell r="C2273">
            <v>8300</v>
          </cell>
          <cell r="D2273">
            <v>3</v>
          </cell>
          <cell r="E2273">
            <v>5</v>
          </cell>
          <cell r="F2273">
            <v>1</v>
          </cell>
          <cell r="G2273">
            <v>5000</v>
          </cell>
          <cell r="H2273">
            <v>5100</v>
          </cell>
          <cell r="I2273">
            <v>511</v>
          </cell>
          <cell r="J2273">
            <v>23</v>
          </cell>
          <cell r="K2273" t="str">
            <v>Sofá</v>
          </cell>
          <cell r="M2273">
            <v>0</v>
          </cell>
          <cell r="N2273">
            <v>0</v>
          </cell>
          <cell r="P2273">
            <v>0</v>
          </cell>
          <cell r="Q2273">
            <v>0</v>
          </cell>
          <cell r="R2273">
            <v>0</v>
          </cell>
          <cell r="S2273" t="str">
            <v>Pieza</v>
          </cell>
          <cell r="V2273" t="str">
            <v>FC</v>
          </cell>
        </row>
        <row r="2274">
          <cell r="A2274">
            <v>130</v>
          </cell>
          <cell r="B2274">
            <v>2017</v>
          </cell>
          <cell r="C2274">
            <v>8300</v>
          </cell>
          <cell r="D2274">
            <v>3</v>
          </cell>
          <cell r="E2274">
            <v>5</v>
          </cell>
          <cell r="F2274">
            <v>1</v>
          </cell>
          <cell r="G2274">
            <v>5000</v>
          </cell>
          <cell r="H2274">
            <v>5100</v>
          </cell>
          <cell r="I2274">
            <v>511</v>
          </cell>
          <cell r="J2274">
            <v>24</v>
          </cell>
          <cell r="K2274" t="str">
            <v xml:space="preserve">Vitrina </v>
          </cell>
          <cell r="M2274">
            <v>0</v>
          </cell>
          <cell r="N2274">
            <v>0</v>
          </cell>
          <cell r="P2274">
            <v>0</v>
          </cell>
          <cell r="Q2274">
            <v>0</v>
          </cell>
          <cell r="R2274">
            <v>0</v>
          </cell>
          <cell r="S2274" t="str">
            <v>Pieza</v>
          </cell>
          <cell r="V2274" t="str">
            <v>FC</v>
          </cell>
        </row>
        <row r="2275">
          <cell r="A2275">
            <v>131</v>
          </cell>
          <cell r="B2275">
            <v>2017</v>
          </cell>
          <cell r="C2275">
            <v>8300</v>
          </cell>
          <cell r="D2275">
            <v>3</v>
          </cell>
          <cell r="E2275">
            <v>5</v>
          </cell>
          <cell r="F2275">
            <v>1</v>
          </cell>
          <cell r="G2275">
            <v>5000</v>
          </cell>
          <cell r="H2275">
            <v>5100</v>
          </cell>
          <cell r="I2275">
            <v>512</v>
          </cell>
          <cell r="K2275" t="str">
            <v>Muebles, excepto de oficina y estantería</v>
          </cell>
          <cell r="L2275">
            <v>0</v>
          </cell>
          <cell r="M2275">
            <v>0</v>
          </cell>
          <cell r="N2275">
            <v>0</v>
          </cell>
          <cell r="O2275">
            <v>4500</v>
          </cell>
          <cell r="P2275">
            <v>0</v>
          </cell>
          <cell r="Q2275">
            <v>4500</v>
          </cell>
          <cell r="R2275">
            <v>4500</v>
          </cell>
        </row>
        <row r="2276">
          <cell r="A2276">
            <v>132</v>
          </cell>
          <cell r="B2276">
            <v>2017</v>
          </cell>
          <cell r="C2276">
            <v>8300</v>
          </cell>
          <cell r="D2276">
            <v>3</v>
          </cell>
          <cell r="E2276">
            <v>5</v>
          </cell>
          <cell r="F2276">
            <v>1</v>
          </cell>
          <cell r="G2276">
            <v>5000</v>
          </cell>
          <cell r="H2276">
            <v>5100</v>
          </cell>
          <cell r="I2276">
            <v>512</v>
          </cell>
          <cell r="J2276">
            <v>1</v>
          </cell>
          <cell r="K2276" t="str">
            <v xml:space="preserve">Buró </v>
          </cell>
          <cell r="L2276">
            <v>0</v>
          </cell>
          <cell r="M2276">
            <v>0</v>
          </cell>
          <cell r="N2276">
            <v>0</v>
          </cell>
          <cell r="O2276">
            <v>0</v>
          </cell>
          <cell r="P2276">
            <v>0</v>
          </cell>
          <cell r="Q2276">
            <v>0</v>
          </cell>
          <cell r="R2276">
            <v>0</v>
          </cell>
          <cell r="S2276" t="str">
            <v>Pieza</v>
          </cell>
          <cell r="V2276" t="str">
            <v>FC</v>
          </cell>
        </row>
        <row r="2277">
          <cell r="A2277">
            <v>133</v>
          </cell>
          <cell r="B2277">
            <v>2017</v>
          </cell>
          <cell r="C2277">
            <v>8300</v>
          </cell>
          <cell r="D2277">
            <v>3</v>
          </cell>
          <cell r="E2277">
            <v>5</v>
          </cell>
          <cell r="F2277">
            <v>1</v>
          </cell>
          <cell r="G2277">
            <v>5000</v>
          </cell>
          <cell r="H2277">
            <v>5100</v>
          </cell>
          <cell r="I2277">
            <v>512</v>
          </cell>
          <cell r="J2277">
            <v>2</v>
          </cell>
          <cell r="K2277" t="str">
            <v>Cama</v>
          </cell>
          <cell r="L2277">
            <v>0</v>
          </cell>
          <cell r="M2277">
            <v>0</v>
          </cell>
          <cell r="N2277">
            <v>0</v>
          </cell>
          <cell r="O2277">
            <v>0</v>
          </cell>
          <cell r="P2277">
            <v>0</v>
          </cell>
          <cell r="Q2277">
            <v>0</v>
          </cell>
          <cell r="R2277">
            <v>0</v>
          </cell>
          <cell r="S2277" t="str">
            <v>Pieza</v>
          </cell>
          <cell r="V2277" t="str">
            <v>FC</v>
          </cell>
        </row>
        <row r="2278">
          <cell r="A2278">
            <v>134</v>
          </cell>
          <cell r="B2278">
            <v>2017</v>
          </cell>
          <cell r="C2278">
            <v>8300</v>
          </cell>
          <cell r="D2278">
            <v>3</v>
          </cell>
          <cell r="E2278">
            <v>5</v>
          </cell>
          <cell r="F2278">
            <v>1</v>
          </cell>
          <cell r="G2278">
            <v>5000</v>
          </cell>
          <cell r="H2278">
            <v>5100</v>
          </cell>
          <cell r="I2278">
            <v>512</v>
          </cell>
          <cell r="J2278">
            <v>3</v>
          </cell>
          <cell r="K2278" t="str">
            <v xml:space="preserve">Diván </v>
          </cell>
          <cell r="L2278">
            <v>0</v>
          </cell>
          <cell r="M2278">
            <v>0</v>
          </cell>
          <cell r="N2278">
            <v>0</v>
          </cell>
          <cell r="O2278">
            <v>0</v>
          </cell>
          <cell r="P2278">
            <v>0</v>
          </cell>
          <cell r="Q2278">
            <v>0</v>
          </cell>
          <cell r="R2278">
            <v>0</v>
          </cell>
          <cell r="S2278" t="str">
            <v>Pieza</v>
          </cell>
          <cell r="V2278" t="str">
            <v>FC</v>
          </cell>
        </row>
        <row r="2279">
          <cell r="A2279">
            <v>135</v>
          </cell>
          <cell r="B2279">
            <v>2017</v>
          </cell>
          <cell r="C2279">
            <v>8300</v>
          </cell>
          <cell r="D2279">
            <v>3</v>
          </cell>
          <cell r="E2279">
            <v>5</v>
          </cell>
          <cell r="F2279">
            <v>1</v>
          </cell>
          <cell r="G2279">
            <v>5000</v>
          </cell>
          <cell r="H2279">
            <v>5100</v>
          </cell>
          <cell r="I2279">
            <v>512</v>
          </cell>
          <cell r="J2279">
            <v>4</v>
          </cell>
          <cell r="K2279" t="str">
            <v xml:space="preserve">Estante </v>
          </cell>
          <cell r="L2279">
            <v>0</v>
          </cell>
          <cell r="M2279">
            <v>0</v>
          </cell>
          <cell r="N2279">
            <v>0</v>
          </cell>
          <cell r="O2279">
            <v>0</v>
          </cell>
          <cell r="P2279">
            <v>0</v>
          </cell>
          <cell r="Q2279">
            <v>0</v>
          </cell>
          <cell r="R2279">
            <v>0</v>
          </cell>
          <cell r="S2279" t="str">
            <v>Pieza</v>
          </cell>
          <cell r="V2279" t="str">
            <v>FC</v>
          </cell>
        </row>
        <row r="2280">
          <cell r="A2280">
            <v>136</v>
          </cell>
          <cell r="B2280">
            <v>2017</v>
          </cell>
          <cell r="C2280">
            <v>8300</v>
          </cell>
          <cell r="D2280">
            <v>3</v>
          </cell>
          <cell r="E2280">
            <v>5</v>
          </cell>
          <cell r="F2280">
            <v>1</v>
          </cell>
          <cell r="G2280">
            <v>5000</v>
          </cell>
          <cell r="H2280">
            <v>5100</v>
          </cell>
          <cell r="I2280">
            <v>512</v>
          </cell>
          <cell r="J2280">
            <v>5</v>
          </cell>
          <cell r="K2280" t="str">
            <v xml:space="preserve">Litera </v>
          </cell>
          <cell r="L2280">
            <v>0</v>
          </cell>
          <cell r="M2280">
            <v>0</v>
          </cell>
          <cell r="N2280">
            <v>0</v>
          </cell>
          <cell r="O2280">
            <v>0</v>
          </cell>
          <cell r="P2280">
            <v>0</v>
          </cell>
          <cell r="Q2280">
            <v>0</v>
          </cell>
          <cell r="R2280">
            <v>0</v>
          </cell>
          <cell r="S2280" t="str">
            <v>Pieza</v>
          </cell>
          <cell r="V2280" t="str">
            <v>FC</v>
          </cell>
        </row>
        <row r="2281">
          <cell r="A2281">
            <v>137</v>
          </cell>
          <cell r="B2281">
            <v>2017</v>
          </cell>
          <cell r="C2281">
            <v>8300</v>
          </cell>
          <cell r="D2281">
            <v>3</v>
          </cell>
          <cell r="E2281">
            <v>5</v>
          </cell>
          <cell r="F2281">
            <v>1</v>
          </cell>
          <cell r="G2281">
            <v>5000</v>
          </cell>
          <cell r="H2281">
            <v>5100</v>
          </cell>
          <cell r="I2281">
            <v>512</v>
          </cell>
          <cell r="J2281">
            <v>6</v>
          </cell>
          <cell r="K2281" t="str">
            <v>Mesa</v>
          </cell>
          <cell r="L2281">
            <v>0</v>
          </cell>
          <cell r="M2281">
            <v>0</v>
          </cell>
          <cell r="N2281">
            <v>0</v>
          </cell>
          <cell r="O2281">
            <v>0</v>
          </cell>
          <cell r="P2281">
            <v>0</v>
          </cell>
          <cell r="Q2281">
            <v>0</v>
          </cell>
          <cell r="R2281">
            <v>0</v>
          </cell>
          <cell r="S2281" t="str">
            <v>Pieza</v>
          </cell>
          <cell r="V2281" t="str">
            <v>FC</v>
          </cell>
        </row>
        <row r="2282">
          <cell r="A2282">
            <v>138</v>
          </cell>
          <cell r="B2282">
            <v>2017</v>
          </cell>
          <cell r="C2282">
            <v>8300</v>
          </cell>
          <cell r="D2282">
            <v>3</v>
          </cell>
          <cell r="E2282">
            <v>5</v>
          </cell>
          <cell r="F2282">
            <v>1</v>
          </cell>
          <cell r="G2282">
            <v>5000</v>
          </cell>
          <cell r="H2282">
            <v>5100</v>
          </cell>
          <cell r="I2282">
            <v>512</v>
          </cell>
          <cell r="J2282">
            <v>7</v>
          </cell>
          <cell r="K2282" t="str">
            <v>Rack</v>
          </cell>
          <cell r="L2282">
            <v>0</v>
          </cell>
          <cell r="M2282">
            <v>0</v>
          </cell>
          <cell r="N2282">
            <v>0</v>
          </cell>
          <cell r="O2282">
            <v>4500</v>
          </cell>
          <cell r="P2282">
            <v>0</v>
          </cell>
          <cell r="Q2282">
            <v>4500</v>
          </cell>
          <cell r="R2282">
            <v>4500</v>
          </cell>
          <cell r="S2282" t="str">
            <v>Pieza</v>
          </cell>
          <cell r="T2282">
            <v>1</v>
          </cell>
          <cell r="V2282" t="str">
            <v>AE</v>
          </cell>
        </row>
        <row r="2283">
          <cell r="A2283">
            <v>139</v>
          </cell>
          <cell r="B2283">
            <v>2017</v>
          </cell>
          <cell r="C2283">
            <v>8300</v>
          </cell>
          <cell r="D2283">
            <v>3</v>
          </cell>
          <cell r="E2283">
            <v>5</v>
          </cell>
          <cell r="F2283">
            <v>1</v>
          </cell>
          <cell r="G2283">
            <v>5000</v>
          </cell>
          <cell r="H2283">
            <v>5100</v>
          </cell>
          <cell r="I2283">
            <v>515</v>
          </cell>
          <cell r="K2283" t="str">
            <v>Equipo de cómputo y de tecnologías de la información</v>
          </cell>
          <cell r="L2283">
            <v>1271578.2</v>
          </cell>
          <cell r="M2283">
            <v>0</v>
          </cell>
          <cell r="N2283">
            <v>1271578.2</v>
          </cell>
          <cell r="O2283">
            <v>0</v>
          </cell>
          <cell r="P2283">
            <v>0</v>
          </cell>
          <cell r="Q2283">
            <v>0</v>
          </cell>
          <cell r="R2283">
            <v>1271578.2</v>
          </cell>
        </row>
        <row r="2284">
          <cell r="A2284">
            <v>140</v>
          </cell>
          <cell r="B2284">
            <v>2017</v>
          </cell>
          <cell r="C2284">
            <v>8300</v>
          </cell>
          <cell r="D2284">
            <v>3</v>
          </cell>
          <cell r="E2284">
            <v>5</v>
          </cell>
          <cell r="F2284">
            <v>1</v>
          </cell>
          <cell r="G2284">
            <v>5000</v>
          </cell>
          <cell r="H2284">
            <v>5100</v>
          </cell>
          <cell r="I2284">
            <v>515</v>
          </cell>
          <cell r="J2284">
            <v>1</v>
          </cell>
          <cell r="K2284" t="str">
            <v>Computadora de escritorio (para el Sistema Automatizado Biometrico de Reconocimiento Facial)</v>
          </cell>
          <cell r="L2284">
            <v>553806.96</v>
          </cell>
          <cell r="M2284">
            <v>0</v>
          </cell>
          <cell r="N2284">
            <v>553806.96</v>
          </cell>
          <cell r="P2284">
            <v>0</v>
          </cell>
          <cell r="Q2284">
            <v>0</v>
          </cell>
          <cell r="R2284">
            <v>553806.96</v>
          </cell>
          <cell r="S2284" t="str">
            <v>Pieza</v>
          </cell>
          <cell r="T2284">
            <v>24</v>
          </cell>
          <cell r="V2284" t="str">
            <v>FC</v>
          </cell>
        </row>
        <row r="2285">
          <cell r="A2285">
            <v>141</v>
          </cell>
          <cell r="B2285">
            <v>2017</v>
          </cell>
          <cell r="C2285">
            <v>8300</v>
          </cell>
          <cell r="D2285">
            <v>3</v>
          </cell>
          <cell r="E2285">
            <v>5</v>
          </cell>
          <cell r="F2285">
            <v>1</v>
          </cell>
          <cell r="G2285">
            <v>5000</v>
          </cell>
          <cell r="H2285">
            <v>5100</v>
          </cell>
          <cell r="I2285">
            <v>515</v>
          </cell>
          <cell r="J2285">
            <v>2</v>
          </cell>
          <cell r="K2285" t="str">
            <v>Computadora portátil</v>
          </cell>
          <cell r="M2285">
            <v>0</v>
          </cell>
          <cell r="N2285">
            <v>0</v>
          </cell>
          <cell r="P2285">
            <v>0</v>
          </cell>
          <cell r="Q2285">
            <v>0</v>
          </cell>
          <cell r="R2285">
            <v>0</v>
          </cell>
          <cell r="S2285" t="str">
            <v>Pieza</v>
          </cell>
          <cell r="V2285" t="str">
            <v>FC</v>
          </cell>
        </row>
        <row r="2286">
          <cell r="A2286">
            <v>142</v>
          </cell>
          <cell r="B2286">
            <v>2017</v>
          </cell>
          <cell r="C2286">
            <v>8300</v>
          </cell>
          <cell r="D2286">
            <v>3</v>
          </cell>
          <cell r="E2286">
            <v>5</v>
          </cell>
          <cell r="F2286">
            <v>1</v>
          </cell>
          <cell r="G2286">
            <v>5000</v>
          </cell>
          <cell r="H2286">
            <v>5100</v>
          </cell>
          <cell r="I2286">
            <v>515</v>
          </cell>
          <cell r="J2286">
            <v>3</v>
          </cell>
          <cell r="K2286" t="str">
            <v xml:space="preserve">Conmutador de radiocomunicación </v>
          </cell>
          <cell r="M2286">
            <v>0</v>
          </cell>
          <cell r="N2286">
            <v>0</v>
          </cell>
          <cell r="P2286">
            <v>0</v>
          </cell>
          <cell r="Q2286">
            <v>0</v>
          </cell>
          <cell r="R2286">
            <v>0</v>
          </cell>
          <cell r="S2286" t="str">
            <v>Pieza</v>
          </cell>
          <cell r="V2286" t="str">
            <v>FC</v>
          </cell>
        </row>
        <row r="2287">
          <cell r="A2287">
            <v>143</v>
          </cell>
          <cell r="B2287">
            <v>2017</v>
          </cell>
          <cell r="C2287">
            <v>8300</v>
          </cell>
          <cell r="D2287">
            <v>3</v>
          </cell>
          <cell r="E2287">
            <v>5</v>
          </cell>
          <cell r="F2287">
            <v>1</v>
          </cell>
          <cell r="G2287">
            <v>5000</v>
          </cell>
          <cell r="H2287">
            <v>5100</v>
          </cell>
          <cell r="I2287">
            <v>515</v>
          </cell>
          <cell r="J2287">
            <v>4</v>
          </cell>
          <cell r="K2287" t="str">
            <v xml:space="preserve">Conmutador telefónico </v>
          </cell>
          <cell r="M2287">
            <v>0</v>
          </cell>
          <cell r="N2287">
            <v>0</v>
          </cell>
          <cell r="P2287">
            <v>0</v>
          </cell>
          <cell r="Q2287">
            <v>0</v>
          </cell>
          <cell r="R2287">
            <v>0</v>
          </cell>
          <cell r="S2287" t="str">
            <v>Pieza</v>
          </cell>
          <cell r="V2287" t="str">
            <v>FC</v>
          </cell>
        </row>
        <row r="2288">
          <cell r="A2288">
            <v>144</v>
          </cell>
          <cell r="B2288">
            <v>2017</v>
          </cell>
          <cell r="C2288">
            <v>8300</v>
          </cell>
          <cell r="D2288">
            <v>3</v>
          </cell>
          <cell r="E2288">
            <v>5</v>
          </cell>
          <cell r="F2288">
            <v>1</v>
          </cell>
          <cell r="G2288">
            <v>5000</v>
          </cell>
          <cell r="H2288">
            <v>5100</v>
          </cell>
          <cell r="I2288">
            <v>515</v>
          </cell>
          <cell r="J2288">
            <v>5</v>
          </cell>
          <cell r="K2288" t="str">
            <v>Digitalizador de voz</v>
          </cell>
          <cell r="M2288">
            <v>0</v>
          </cell>
          <cell r="N2288">
            <v>0</v>
          </cell>
          <cell r="P2288">
            <v>0</v>
          </cell>
          <cell r="Q2288">
            <v>0</v>
          </cell>
          <cell r="R2288">
            <v>0</v>
          </cell>
          <cell r="S2288" t="str">
            <v>Pieza</v>
          </cell>
          <cell r="V2288" t="str">
            <v>FC</v>
          </cell>
        </row>
        <row r="2289">
          <cell r="A2289">
            <v>145</v>
          </cell>
          <cell r="B2289">
            <v>2017</v>
          </cell>
          <cell r="C2289">
            <v>8300</v>
          </cell>
          <cell r="D2289">
            <v>3</v>
          </cell>
          <cell r="E2289">
            <v>5</v>
          </cell>
          <cell r="F2289">
            <v>1</v>
          </cell>
          <cell r="G2289">
            <v>5000</v>
          </cell>
          <cell r="H2289">
            <v>5100</v>
          </cell>
          <cell r="I2289">
            <v>515</v>
          </cell>
          <cell r="J2289">
            <v>6</v>
          </cell>
          <cell r="K2289" t="str">
            <v xml:space="preserve">Equipo biométrico </v>
          </cell>
          <cell r="M2289">
            <v>0</v>
          </cell>
          <cell r="N2289">
            <v>0</v>
          </cell>
          <cell r="P2289">
            <v>0</v>
          </cell>
          <cell r="Q2289">
            <v>0</v>
          </cell>
          <cell r="R2289">
            <v>0</v>
          </cell>
          <cell r="S2289" t="str">
            <v>Pieza</v>
          </cell>
          <cell r="V2289" t="str">
            <v>FC</v>
          </cell>
        </row>
        <row r="2290">
          <cell r="A2290">
            <v>146</v>
          </cell>
          <cell r="B2290">
            <v>2017</v>
          </cell>
          <cell r="C2290">
            <v>8300</v>
          </cell>
          <cell r="D2290">
            <v>3</v>
          </cell>
          <cell r="E2290">
            <v>5</v>
          </cell>
          <cell r="F2290">
            <v>1</v>
          </cell>
          <cell r="G2290">
            <v>5000</v>
          </cell>
          <cell r="H2290">
            <v>5100</v>
          </cell>
          <cell r="I2290">
            <v>515</v>
          </cell>
          <cell r="J2290">
            <v>7</v>
          </cell>
          <cell r="K2290" t="str">
            <v xml:space="preserve">Equipo de seguridad para filtrar información (firewall) </v>
          </cell>
          <cell r="M2290">
            <v>0</v>
          </cell>
          <cell r="N2290">
            <v>0</v>
          </cell>
          <cell r="P2290">
            <v>0</v>
          </cell>
          <cell r="Q2290">
            <v>0</v>
          </cell>
          <cell r="R2290">
            <v>0</v>
          </cell>
          <cell r="S2290" t="str">
            <v>Pieza</v>
          </cell>
          <cell r="V2290" t="str">
            <v>FC</v>
          </cell>
        </row>
        <row r="2291">
          <cell r="A2291">
            <v>147</v>
          </cell>
          <cell r="B2291">
            <v>2017</v>
          </cell>
          <cell r="C2291">
            <v>8300</v>
          </cell>
          <cell r="D2291">
            <v>3</v>
          </cell>
          <cell r="E2291">
            <v>5</v>
          </cell>
          <cell r="F2291">
            <v>1</v>
          </cell>
          <cell r="G2291">
            <v>5000</v>
          </cell>
          <cell r="H2291">
            <v>5100</v>
          </cell>
          <cell r="I2291">
            <v>515</v>
          </cell>
          <cell r="J2291">
            <v>8</v>
          </cell>
          <cell r="K2291" t="str">
            <v>Equipos de conectividad (Router)</v>
          </cell>
          <cell r="L2291">
            <v>166668</v>
          </cell>
          <cell r="M2291">
            <v>0</v>
          </cell>
          <cell r="N2291">
            <v>166668</v>
          </cell>
          <cell r="P2291">
            <v>0</v>
          </cell>
          <cell r="Q2291">
            <v>0</v>
          </cell>
          <cell r="R2291">
            <v>166668</v>
          </cell>
          <cell r="S2291" t="str">
            <v>Pieza</v>
          </cell>
          <cell r="T2291">
            <v>2</v>
          </cell>
          <cell r="V2291" t="str">
            <v>FC</v>
          </cell>
        </row>
        <row r="2292">
          <cell r="A2292">
            <v>148</v>
          </cell>
          <cell r="B2292">
            <v>2017</v>
          </cell>
          <cell r="C2292">
            <v>8300</v>
          </cell>
          <cell r="D2292">
            <v>3</v>
          </cell>
          <cell r="E2292">
            <v>5</v>
          </cell>
          <cell r="F2292">
            <v>1</v>
          </cell>
          <cell r="G2292">
            <v>5000</v>
          </cell>
          <cell r="H2292">
            <v>5100</v>
          </cell>
          <cell r="I2292">
            <v>515</v>
          </cell>
          <cell r="J2292">
            <v>9</v>
          </cell>
          <cell r="K2292" t="str">
            <v xml:space="preserve">Escáner </v>
          </cell>
          <cell r="M2292">
            <v>0</v>
          </cell>
          <cell r="N2292">
            <v>0</v>
          </cell>
          <cell r="P2292">
            <v>0</v>
          </cell>
          <cell r="Q2292">
            <v>0</v>
          </cell>
          <cell r="R2292">
            <v>0</v>
          </cell>
          <cell r="S2292" t="str">
            <v>Pieza</v>
          </cell>
          <cell r="V2292" t="str">
            <v>FC</v>
          </cell>
        </row>
        <row r="2293">
          <cell r="A2293">
            <v>149</v>
          </cell>
          <cell r="B2293">
            <v>2017</v>
          </cell>
          <cell r="C2293">
            <v>8300</v>
          </cell>
          <cell r="D2293">
            <v>3</v>
          </cell>
          <cell r="E2293">
            <v>5</v>
          </cell>
          <cell r="F2293">
            <v>1</v>
          </cell>
          <cell r="G2293">
            <v>5000</v>
          </cell>
          <cell r="H2293">
            <v>5100</v>
          </cell>
          <cell r="I2293">
            <v>515</v>
          </cell>
          <cell r="J2293">
            <v>10</v>
          </cell>
          <cell r="K2293" t="str">
            <v>Estación Telescan</v>
          </cell>
          <cell r="M2293">
            <v>0</v>
          </cell>
          <cell r="N2293">
            <v>0</v>
          </cell>
          <cell r="P2293">
            <v>0</v>
          </cell>
          <cell r="Q2293">
            <v>0</v>
          </cell>
          <cell r="R2293">
            <v>0</v>
          </cell>
          <cell r="S2293" t="str">
            <v>Pieza</v>
          </cell>
          <cell r="V2293" t="str">
            <v>FC</v>
          </cell>
        </row>
        <row r="2294">
          <cell r="A2294">
            <v>150</v>
          </cell>
          <cell r="B2294">
            <v>2017</v>
          </cell>
          <cell r="C2294">
            <v>8300</v>
          </cell>
          <cell r="D2294">
            <v>3</v>
          </cell>
          <cell r="E2294">
            <v>5</v>
          </cell>
          <cell r="F2294">
            <v>1</v>
          </cell>
          <cell r="G2294">
            <v>5000</v>
          </cell>
          <cell r="H2294">
            <v>5100</v>
          </cell>
          <cell r="I2294">
            <v>515</v>
          </cell>
          <cell r="J2294">
            <v>11</v>
          </cell>
          <cell r="K2294" t="str">
            <v xml:space="preserve">Impresora </v>
          </cell>
          <cell r="L2294">
            <v>80876.009999999995</v>
          </cell>
          <cell r="M2294">
            <v>0</v>
          </cell>
          <cell r="N2294">
            <v>80876.009999999995</v>
          </cell>
          <cell r="P2294">
            <v>0</v>
          </cell>
          <cell r="Q2294">
            <v>0</v>
          </cell>
          <cell r="R2294">
            <v>80876.009999999995</v>
          </cell>
          <cell r="S2294" t="str">
            <v>Pieza</v>
          </cell>
          <cell r="T2294">
            <v>3</v>
          </cell>
          <cell r="V2294" t="str">
            <v>FC</v>
          </cell>
        </row>
        <row r="2295">
          <cell r="A2295">
            <v>151</v>
          </cell>
          <cell r="B2295">
            <v>2017</v>
          </cell>
          <cell r="C2295">
            <v>8300</v>
          </cell>
          <cell r="D2295">
            <v>3</v>
          </cell>
          <cell r="E2295">
            <v>5</v>
          </cell>
          <cell r="F2295">
            <v>1</v>
          </cell>
          <cell r="G2295">
            <v>5000</v>
          </cell>
          <cell r="H2295">
            <v>5100</v>
          </cell>
          <cell r="I2295">
            <v>515</v>
          </cell>
          <cell r="J2295">
            <v>12</v>
          </cell>
          <cell r="K2295" t="str">
            <v xml:space="preserve">Lector de código de barras </v>
          </cell>
          <cell r="L2295">
            <v>43065</v>
          </cell>
          <cell r="M2295">
            <v>0</v>
          </cell>
          <cell r="N2295">
            <v>43065</v>
          </cell>
          <cell r="P2295">
            <v>0</v>
          </cell>
          <cell r="Q2295">
            <v>0</v>
          </cell>
          <cell r="R2295">
            <v>43065</v>
          </cell>
          <cell r="S2295" t="str">
            <v>Pieza</v>
          </cell>
          <cell r="T2295">
            <v>15</v>
          </cell>
          <cell r="V2295" t="str">
            <v>FC</v>
          </cell>
        </row>
        <row r="2296">
          <cell r="A2296">
            <v>152</v>
          </cell>
          <cell r="B2296">
            <v>2017</v>
          </cell>
          <cell r="C2296">
            <v>8300</v>
          </cell>
          <cell r="D2296">
            <v>3</v>
          </cell>
          <cell r="E2296">
            <v>5</v>
          </cell>
          <cell r="F2296">
            <v>1</v>
          </cell>
          <cell r="G2296">
            <v>5000</v>
          </cell>
          <cell r="H2296">
            <v>5100</v>
          </cell>
          <cell r="I2296">
            <v>515</v>
          </cell>
          <cell r="J2296">
            <v>13</v>
          </cell>
          <cell r="K2296" t="str">
            <v>Lector de iris</v>
          </cell>
          <cell r="M2296">
            <v>0</v>
          </cell>
          <cell r="N2296">
            <v>0</v>
          </cell>
          <cell r="P2296">
            <v>0</v>
          </cell>
          <cell r="Q2296">
            <v>0</v>
          </cell>
          <cell r="R2296">
            <v>0</v>
          </cell>
          <cell r="S2296" t="str">
            <v>Pieza</v>
          </cell>
          <cell r="V2296" t="str">
            <v>FC</v>
          </cell>
        </row>
        <row r="2297">
          <cell r="A2297">
            <v>153</v>
          </cell>
          <cell r="B2297">
            <v>2017</v>
          </cell>
          <cell r="C2297">
            <v>8300</v>
          </cell>
          <cell r="D2297">
            <v>3</v>
          </cell>
          <cell r="E2297">
            <v>5</v>
          </cell>
          <cell r="F2297">
            <v>1</v>
          </cell>
          <cell r="G2297">
            <v>5000</v>
          </cell>
          <cell r="H2297">
            <v>5100</v>
          </cell>
          <cell r="I2297">
            <v>515</v>
          </cell>
          <cell r="J2297">
            <v>14</v>
          </cell>
          <cell r="K2297" t="str">
            <v>Monitor</v>
          </cell>
          <cell r="M2297">
            <v>0</v>
          </cell>
          <cell r="N2297">
            <v>0</v>
          </cell>
          <cell r="P2297">
            <v>0</v>
          </cell>
          <cell r="Q2297">
            <v>0</v>
          </cell>
          <cell r="R2297">
            <v>0</v>
          </cell>
          <cell r="S2297" t="str">
            <v>Pieza</v>
          </cell>
          <cell r="V2297" t="str">
            <v>FC</v>
          </cell>
        </row>
        <row r="2298">
          <cell r="A2298">
            <v>154</v>
          </cell>
          <cell r="B2298">
            <v>2017</v>
          </cell>
          <cell r="C2298">
            <v>8300</v>
          </cell>
          <cell r="D2298">
            <v>3</v>
          </cell>
          <cell r="E2298">
            <v>5</v>
          </cell>
          <cell r="F2298">
            <v>1</v>
          </cell>
          <cell r="G2298">
            <v>5000</v>
          </cell>
          <cell r="H2298">
            <v>5100</v>
          </cell>
          <cell r="I2298">
            <v>515</v>
          </cell>
          <cell r="J2298">
            <v>15</v>
          </cell>
          <cell r="K2298" t="str">
            <v>Multifuncional</v>
          </cell>
          <cell r="L2298">
            <v>10000</v>
          </cell>
          <cell r="M2298">
            <v>0</v>
          </cell>
          <cell r="N2298">
            <v>10000</v>
          </cell>
          <cell r="P2298">
            <v>0</v>
          </cell>
          <cell r="Q2298">
            <v>0</v>
          </cell>
          <cell r="R2298">
            <v>10000</v>
          </cell>
          <cell r="S2298" t="str">
            <v>Pieza</v>
          </cell>
          <cell r="T2298">
            <v>1</v>
          </cell>
          <cell r="V2298" t="str">
            <v>FC</v>
          </cell>
        </row>
        <row r="2299">
          <cell r="A2299">
            <v>155</v>
          </cell>
          <cell r="B2299">
            <v>2017</v>
          </cell>
          <cell r="C2299">
            <v>8300</v>
          </cell>
          <cell r="D2299">
            <v>3</v>
          </cell>
          <cell r="E2299">
            <v>5</v>
          </cell>
          <cell r="F2299">
            <v>1</v>
          </cell>
          <cell r="G2299">
            <v>5000</v>
          </cell>
          <cell r="H2299">
            <v>5100</v>
          </cell>
          <cell r="I2299">
            <v>515</v>
          </cell>
          <cell r="J2299">
            <v>16</v>
          </cell>
          <cell r="K2299" t="str">
            <v>Servidor de datos</v>
          </cell>
          <cell r="L2299">
            <v>32384.880000000001</v>
          </cell>
          <cell r="M2299">
            <v>0</v>
          </cell>
          <cell r="N2299">
            <v>32384.880000000001</v>
          </cell>
          <cell r="P2299">
            <v>0</v>
          </cell>
          <cell r="Q2299">
            <v>0</v>
          </cell>
          <cell r="R2299">
            <v>32384.880000000001</v>
          </cell>
          <cell r="S2299" t="str">
            <v>Pieza</v>
          </cell>
          <cell r="T2299">
            <v>1</v>
          </cell>
          <cell r="V2299" t="str">
            <v>FC</v>
          </cell>
        </row>
        <row r="2300">
          <cell r="A2300">
            <v>156</v>
          </cell>
          <cell r="B2300">
            <v>2017</v>
          </cell>
          <cell r="C2300">
            <v>8300</v>
          </cell>
          <cell r="D2300">
            <v>3</v>
          </cell>
          <cell r="E2300">
            <v>5</v>
          </cell>
          <cell r="F2300">
            <v>1</v>
          </cell>
          <cell r="G2300">
            <v>5000</v>
          </cell>
          <cell r="H2300">
            <v>5100</v>
          </cell>
          <cell r="I2300">
            <v>515</v>
          </cell>
          <cell r="J2300">
            <v>17</v>
          </cell>
          <cell r="K2300" t="str">
            <v xml:space="preserve">Conmutador de datos (Switch) </v>
          </cell>
          <cell r="M2300">
            <v>0</v>
          </cell>
          <cell r="N2300">
            <v>0</v>
          </cell>
          <cell r="P2300">
            <v>0</v>
          </cell>
          <cell r="Q2300">
            <v>0</v>
          </cell>
          <cell r="R2300">
            <v>0</v>
          </cell>
          <cell r="S2300" t="str">
            <v>Pieza</v>
          </cell>
          <cell r="V2300" t="str">
            <v>FC</v>
          </cell>
        </row>
        <row r="2301">
          <cell r="A2301">
            <v>157</v>
          </cell>
          <cell r="B2301">
            <v>2017</v>
          </cell>
          <cell r="C2301">
            <v>8300</v>
          </cell>
          <cell r="D2301">
            <v>3</v>
          </cell>
          <cell r="E2301">
            <v>5</v>
          </cell>
          <cell r="F2301">
            <v>1</v>
          </cell>
          <cell r="G2301">
            <v>5000</v>
          </cell>
          <cell r="H2301">
            <v>5100</v>
          </cell>
          <cell r="I2301">
            <v>515</v>
          </cell>
          <cell r="J2301">
            <v>18</v>
          </cell>
          <cell r="K2301" t="str">
            <v>Teléfono</v>
          </cell>
          <cell r="M2301">
            <v>0</v>
          </cell>
          <cell r="N2301">
            <v>0</v>
          </cell>
          <cell r="P2301">
            <v>0</v>
          </cell>
          <cell r="Q2301">
            <v>0</v>
          </cell>
          <cell r="R2301">
            <v>0</v>
          </cell>
          <cell r="S2301" t="str">
            <v>Pieza</v>
          </cell>
          <cell r="V2301" t="str">
            <v>FC</v>
          </cell>
        </row>
        <row r="2302">
          <cell r="A2302">
            <v>158</v>
          </cell>
          <cell r="B2302">
            <v>2017</v>
          </cell>
          <cell r="C2302">
            <v>8300</v>
          </cell>
          <cell r="D2302">
            <v>3</v>
          </cell>
          <cell r="E2302">
            <v>5</v>
          </cell>
          <cell r="F2302">
            <v>1</v>
          </cell>
          <cell r="G2302">
            <v>5000</v>
          </cell>
          <cell r="H2302">
            <v>5100</v>
          </cell>
          <cell r="I2302">
            <v>515</v>
          </cell>
          <cell r="J2302">
            <v>19</v>
          </cell>
          <cell r="K2302" t="str">
            <v>Unidad de protección y respaldo de energía (5 UPS Torre (SMART UPS 220 VA USB AND SERIAL RM 2U 120V+B+) (20 UPS sistema NOBREAK Omni vs 1500 Tripplite)</v>
          </cell>
          <cell r="L2302">
            <v>289027.34999999998</v>
          </cell>
          <cell r="M2302">
            <v>0</v>
          </cell>
          <cell r="N2302">
            <v>289027.34999999998</v>
          </cell>
          <cell r="P2302">
            <v>0</v>
          </cell>
          <cell r="Q2302">
            <v>0</v>
          </cell>
          <cell r="R2302">
            <v>289027.34999999998</v>
          </cell>
          <cell r="S2302" t="str">
            <v>Pieza</v>
          </cell>
          <cell r="T2302">
            <v>25</v>
          </cell>
          <cell r="V2302" t="str">
            <v>FC</v>
          </cell>
        </row>
        <row r="2303">
          <cell r="A2303">
            <v>159</v>
          </cell>
          <cell r="B2303">
            <v>2017</v>
          </cell>
          <cell r="C2303">
            <v>8300</v>
          </cell>
          <cell r="D2303">
            <v>3</v>
          </cell>
          <cell r="E2303">
            <v>5</v>
          </cell>
          <cell r="F2303">
            <v>1</v>
          </cell>
          <cell r="G2303">
            <v>5000</v>
          </cell>
          <cell r="H2303">
            <v>5100</v>
          </cell>
          <cell r="I2303">
            <v>515</v>
          </cell>
          <cell r="K2303" t="str">
            <v>Switch</v>
          </cell>
          <cell r="L2303">
            <v>69350</v>
          </cell>
          <cell r="M2303">
            <v>0</v>
          </cell>
          <cell r="N2303">
            <v>69350</v>
          </cell>
          <cell r="P2303">
            <v>0</v>
          </cell>
          <cell r="Q2303">
            <v>0</v>
          </cell>
          <cell r="R2303">
            <v>69350</v>
          </cell>
          <cell r="S2303" t="str">
            <v>Pieza</v>
          </cell>
          <cell r="T2303">
            <v>1</v>
          </cell>
          <cell r="V2303" t="str">
            <v>FC</v>
          </cell>
        </row>
        <row r="2304">
          <cell r="A2304">
            <v>160</v>
          </cell>
          <cell r="B2304">
            <v>2017</v>
          </cell>
          <cell r="C2304">
            <v>8300</v>
          </cell>
          <cell r="D2304">
            <v>3</v>
          </cell>
          <cell r="E2304">
            <v>5</v>
          </cell>
          <cell r="F2304">
            <v>1</v>
          </cell>
          <cell r="G2304">
            <v>5000</v>
          </cell>
          <cell r="H2304">
            <v>5100</v>
          </cell>
          <cell r="I2304">
            <v>515</v>
          </cell>
          <cell r="K2304" t="str">
            <v>Unidad de alamcenamiento de datos (Discos duros)</v>
          </cell>
          <cell r="L2304">
            <v>26400</v>
          </cell>
          <cell r="M2304">
            <v>0</v>
          </cell>
          <cell r="N2304">
            <v>26400</v>
          </cell>
          <cell r="P2304">
            <v>0</v>
          </cell>
          <cell r="Q2304">
            <v>0</v>
          </cell>
          <cell r="R2304">
            <v>26400</v>
          </cell>
          <cell r="S2304" t="str">
            <v>Pieza</v>
          </cell>
          <cell r="T2304">
            <v>10</v>
          </cell>
          <cell r="V2304" t="str">
            <v>FC</v>
          </cell>
        </row>
        <row r="2305">
          <cell r="A2305">
            <v>161</v>
          </cell>
          <cell r="B2305">
            <v>2017</v>
          </cell>
          <cell r="C2305">
            <v>8300</v>
          </cell>
          <cell r="D2305">
            <v>3</v>
          </cell>
          <cell r="E2305">
            <v>5</v>
          </cell>
          <cell r="F2305">
            <v>1</v>
          </cell>
          <cell r="G2305">
            <v>5000</v>
          </cell>
          <cell r="H2305">
            <v>5100</v>
          </cell>
          <cell r="I2305">
            <v>519</v>
          </cell>
          <cell r="K2305" t="str">
            <v>Otros mobiliarios y equipos de administración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</row>
        <row r="2306">
          <cell r="A2306">
            <v>162</v>
          </cell>
          <cell r="B2306">
            <v>2017</v>
          </cell>
          <cell r="C2306">
            <v>8300</v>
          </cell>
          <cell r="D2306">
            <v>3</v>
          </cell>
          <cell r="E2306">
            <v>5</v>
          </cell>
          <cell r="F2306">
            <v>1</v>
          </cell>
          <cell r="G2306">
            <v>5000</v>
          </cell>
          <cell r="H2306">
            <v>5100</v>
          </cell>
          <cell r="I2306">
            <v>519</v>
          </cell>
          <cell r="J2306">
            <v>1</v>
          </cell>
          <cell r="K2306" t="str">
            <v xml:space="preserve">Aire acondicionado </v>
          </cell>
          <cell r="L2306">
            <v>0</v>
          </cell>
          <cell r="M2306">
            <v>0</v>
          </cell>
          <cell r="N2306">
            <v>0</v>
          </cell>
          <cell r="O2306">
            <v>0</v>
          </cell>
          <cell r="P2306">
            <v>0</v>
          </cell>
          <cell r="Q2306">
            <v>0</v>
          </cell>
          <cell r="R2306">
            <v>0</v>
          </cell>
          <cell r="S2306" t="str">
            <v>Pieza</v>
          </cell>
          <cell r="V2306" t="str">
            <v>FC</v>
          </cell>
        </row>
        <row r="2307">
          <cell r="A2307">
            <v>163</v>
          </cell>
          <cell r="B2307">
            <v>2017</v>
          </cell>
          <cell r="C2307">
            <v>8300</v>
          </cell>
          <cell r="D2307">
            <v>3</v>
          </cell>
          <cell r="E2307">
            <v>5</v>
          </cell>
          <cell r="F2307">
            <v>1</v>
          </cell>
          <cell r="G2307">
            <v>5000</v>
          </cell>
          <cell r="H2307">
            <v>5100</v>
          </cell>
          <cell r="I2307">
            <v>519</v>
          </cell>
          <cell r="J2307">
            <v>2</v>
          </cell>
          <cell r="K2307" t="str">
            <v>Caja Fuerte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 t="str">
            <v>Pieza</v>
          </cell>
          <cell r="V2307" t="str">
            <v>FC</v>
          </cell>
        </row>
        <row r="2308">
          <cell r="A2308">
            <v>164</v>
          </cell>
          <cell r="B2308">
            <v>2017</v>
          </cell>
          <cell r="C2308">
            <v>8300</v>
          </cell>
          <cell r="D2308">
            <v>3</v>
          </cell>
          <cell r="E2308">
            <v>5</v>
          </cell>
          <cell r="F2308">
            <v>1</v>
          </cell>
          <cell r="G2308">
            <v>5000</v>
          </cell>
          <cell r="H2308">
            <v>5100</v>
          </cell>
          <cell r="I2308">
            <v>519</v>
          </cell>
          <cell r="J2308">
            <v>3</v>
          </cell>
          <cell r="K2308" t="str">
            <v>Circuito Cerrado de Televisión (CCTV)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 t="str">
            <v>Pieza</v>
          </cell>
          <cell r="V2308" t="str">
            <v>FC</v>
          </cell>
        </row>
        <row r="2309">
          <cell r="A2309">
            <v>165</v>
          </cell>
          <cell r="B2309">
            <v>2017</v>
          </cell>
          <cell r="C2309">
            <v>8300</v>
          </cell>
          <cell r="D2309">
            <v>3</v>
          </cell>
          <cell r="E2309">
            <v>5</v>
          </cell>
          <cell r="F2309">
            <v>1</v>
          </cell>
          <cell r="G2309">
            <v>5000</v>
          </cell>
          <cell r="H2309">
            <v>5100</v>
          </cell>
          <cell r="I2309">
            <v>519</v>
          </cell>
          <cell r="J2309">
            <v>4</v>
          </cell>
          <cell r="K2309" t="str">
            <v>Congelador horizontal de 15 pies con termostato</v>
          </cell>
          <cell r="L2309">
            <v>0</v>
          </cell>
          <cell r="M2309">
            <v>0</v>
          </cell>
          <cell r="N2309">
            <v>0</v>
          </cell>
          <cell r="O2309">
            <v>0</v>
          </cell>
          <cell r="P2309">
            <v>0</v>
          </cell>
          <cell r="Q2309">
            <v>0</v>
          </cell>
          <cell r="R2309">
            <v>0</v>
          </cell>
          <cell r="S2309" t="str">
            <v>Pieza</v>
          </cell>
          <cell r="V2309" t="str">
            <v>FC</v>
          </cell>
        </row>
        <row r="2310">
          <cell r="A2310">
            <v>166</v>
          </cell>
          <cell r="B2310">
            <v>2017</v>
          </cell>
          <cell r="C2310">
            <v>8300</v>
          </cell>
          <cell r="D2310">
            <v>3</v>
          </cell>
          <cell r="E2310">
            <v>5</v>
          </cell>
          <cell r="F2310">
            <v>1</v>
          </cell>
          <cell r="G2310">
            <v>5000</v>
          </cell>
          <cell r="H2310">
            <v>5100</v>
          </cell>
          <cell r="I2310">
            <v>519</v>
          </cell>
          <cell r="J2310">
            <v>5</v>
          </cell>
          <cell r="K2310" t="str">
            <v xml:space="preserve">Control de acceso de visita familiar    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 t="str">
            <v>Pieza</v>
          </cell>
          <cell r="V2310" t="str">
            <v>FC</v>
          </cell>
        </row>
        <row r="2311">
          <cell r="A2311">
            <v>167</v>
          </cell>
          <cell r="B2311">
            <v>2017</v>
          </cell>
          <cell r="C2311">
            <v>8300</v>
          </cell>
          <cell r="D2311">
            <v>3</v>
          </cell>
          <cell r="E2311">
            <v>5</v>
          </cell>
          <cell r="F2311">
            <v>1</v>
          </cell>
          <cell r="G2311">
            <v>5000</v>
          </cell>
          <cell r="H2311">
            <v>5100</v>
          </cell>
          <cell r="I2311">
            <v>519</v>
          </cell>
          <cell r="J2311">
            <v>6</v>
          </cell>
          <cell r="K2311" t="str">
            <v xml:space="preserve">Estufa 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S2311" t="str">
            <v>Pieza</v>
          </cell>
          <cell r="V2311" t="str">
            <v>FC</v>
          </cell>
        </row>
        <row r="2312">
          <cell r="A2312">
            <v>168</v>
          </cell>
          <cell r="B2312">
            <v>2017</v>
          </cell>
          <cell r="C2312">
            <v>8300</v>
          </cell>
          <cell r="D2312">
            <v>3</v>
          </cell>
          <cell r="E2312">
            <v>5</v>
          </cell>
          <cell r="F2312">
            <v>1</v>
          </cell>
          <cell r="G2312">
            <v>5000</v>
          </cell>
          <cell r="H2312">
            <v>5100</v>
          </cell>
          <cell r="I2312">
            <v>519</v>
          </cell>
          <cell r="J2312">
            <v>7</v>
          </cell>
          <cell r="K2312" t="str">
            <v>Fotocopiadora</v>
          </cell>
          <cell r="L2312">
            <v>0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0</v>
          </cell>
          <cell r="S2312" t="str">
            <v>Pieza</v>
          </cell>
          <cell r="V2312" t="str">
            <v>FC</v>
          </cell>
        </row>
        <row r="2313">
          <cell r="A2313">
            <v>169</v>
          </cell>
          <cell r="B2313">
            <v>2017</v>
          </cell>
          <cell r="C2313">
            <v>8300</v>
          </cell>
          <cell r="D2313">
            <v>3</v>
          </cell>
          <cell r="E2313">
            <v>5</v>
          </cell>
          <cell r="F2313">
            <v>1</v>
          </cell>
          <cell r="G2313">
            <v>5000</v>
          </cell>
          <cell r="H2313">
            <v>5100</v>
          </cell>
          <cell r="I2313">
            <v>519</v>
          </cell>
          <cell r="J2313">
            <v>8</v>
          </cell>
          <cell r="K2313" t="str">
            <v xml:space="preserve">Lavadora </v>
          </cell>
          <cell r="L2313">
            <v>0</v>
          </cell>
          <cell r="M2313">
            <v>0</v>
          </cell>
          <cell r="N2313">
            <v>0</v>
          </cell>
          <cell r="O2313">
            <v>0</v>
          </cell>
          <cell r="P2313">
            <v>0</v>
          </cell>
          <cell r="Q2313">
            <v>0</v>
          </cell>
          <cell r="R2313">
            <v>0</v>
          </cell>
          <cell r="S2313" t="str">
            <v>Pieza</v>
          </cell>
          <cell r="V2313" t="str">
            <v>FC</v>
          </cell>
        </row>
        <row r="2314">
          <cell r="A2314">
            <v>170</v>
          </cell>
          <cell r="B2314">
            <v>2017</v>
          </cell>
          <cell r="C2314">
            <v>8300</v>
          </cell>
          <cell r="D2314">
            <v>3</v>
          </cell>
          <cell r="E2314">
            <v>5</v>
          </cell>
          <cell r="F2314">
            <v>1</v>
          </cell>
          <cell r="G2314">
            <v>5000</v>
          </cell>
          <cell r="H2314">
            <v>5100</v>
          </cell>
          <cell r="I2314">
            <v>519</v>
          </cell>
          <cell r="J2314">
            <v>9</v>
          </cell>
          <cell r="K2314" t="str">
            <v>Mesa para cocina y comedores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0</v>
          </cell>
          <cell r="R2314">
            <v>0</v>
          </cell>
          <cell r="S2314" t="str">
            <v>Pieza</v>
          </cell>
          <cell r="V2314" t="str">
            <v>FC</v>
          </cell>
        </row>
        <row r="2315">
          <cell r="A2315">
            <v>171</v>
          </cell>
          <cell r="B2315">
            <v>2017</v>
          </cell>
          <cell r="C2315">
            <v>8300</v>
          </cell>
          <cell r="D2315">
            <v>3</v>
          </cell>
          <cell r="E2315">
            <v>5</v>
          </cell>
          <cell r="F2315">
            <v>1</v>
          </cell>
          <cell r="G2315">
            <v>5000</v>
          </cell>
          <cell r="H2315">
            <v>5100</v>
          </cell>
          <cell r="I2315">
            <v>519</v>
          </cell>
          <cell r="J2315">
            <v>10</v>
          </cell>
          <cell r="K2315" t="str">
            <v>Pantalla para proyector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 t="str">
            <v>Pieza</v>
          </cell>
          <cell r="V2315" t="str">
            <v>FC</v>
          </cell>
        </row>
        <row r="2316">
          <cell r="A2316">
            <v>172</v>
          </cell>
          <cell r="B2316">
            <v>2017</v>
          </cell>
          <cell r="C2316">
            <v>8300</v>
          </cell>
          <cell r="D2316">
            <v>3</v>
          </cell>
          <cell r="E2316">
            <v>5</v>
          </cell>
          <cell r="F2316">
            <v>1</v>
          </cell>
          <cell r="G2316">
            <v>5000</v>
          </cell>
          <cell r="H2316">
            <v>5100</v>
          </cell>
          <cell r="I2316">
            <v>519</v>
          </cell>
          <cell r="J2316">
            <v>11</v>
          </cell>
          <cell r="K2316" t="str">
            <v xml:space="preserve">Refrigerador 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 t="str">
            <v>Pieza</v>
          </cell>
          <cell r="V2316" t="str">
            <v>FC</v>
          </cell>
        </row>
        <row r="2317">
          <cell r="A2317">
            <v>173</v>
          </cell>
          <cell r="B2317">
            <v>2017</v>
          </cell>
          <cell r="C2317">
            <v>8300</v>
          </cell>
          <cell r="D2317">
            <v>3</v>
          </cell>
          <cell r="E2317">
            <v>5</v>
          </cell>
          <cell r="F2317">
            <v>1</v>
          </cell>
          <cell r="G2317">
            <v>5000</v>
          </cell>
          <cell r="H2317">
            <v>5100</v>
          </cell>
          <cell r="I2317">
            <v>519</v>
          </cell>
          <cell r="J2317">
            <v>12</v>
          </cell>
          <cell r="K2317" t="str">
            <v xml:space="preserve">Reloj checador </v>
          </cell>
          <cell r="L2317">
            <v>0</v>
          </cell>
          <cell r="M2317">
            <v>0</v>
          </cell>
          <cell r="N2317">
            <v>0</v>
          </cell>
          <cell r="O2317">
            <v>0</v>
          </cell>
          <cell r="P2317">
            <v>0</v>
          </cell>
          <cell r="Q2317">
            <v>0</v>
          </cell>
          <cell r="R2317">
            <v>0</v>
          </cell>
          <cell r="S2317" t="str">
            <v>Pieza</v>
          </cell>
          <cell r="V2317" t="str">
            <v>FC</v>
          </cell>
        </row>
        <row r="2318">
          <cell r="A2318">
            <v>174</v>
          </cell>
          <cell r="B2318">
            <v>2017</v>
          </cell>
          <cell r="C2318">
            <v>8300</v>
          </cell>
          <cell r="D2318">
            <v>3</v>
          </cell>
          <cell r="E2318">
            <v>5</v>
          </cell>
          <cell r="F2318">
            <v>1</v>
          </cell>
          <cell r="G2318">
            <v>5000</v>
          </cell>
          <cell r="H2318">
            <v>5100</v>
          </cell>
          <cell r="I2318">
            <v>519</v>
          </cell>
          <cell r="J2318">
            <v>13</v>
          </cell>
          <cell r="K2318" t="str">
            <v xml:space="preserve">Secadora 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 t="str">
            <v>Pieza</v>
          </cell>
          <cell r="V2318" t="str">
            <v>FC</v>
          </cell>
        </row>
        <row r="2319">
          <cell r="A2319">
            <v>175</v>
          </cell>
          <cell r="B2319">
            <v>2017</v>
          </cell>
          <cell r="C2319">
            <v>8300</v>
          </cell>
          <cell r="D2319">
            <v>3</v>
          </cell>
          <cell r="E2319">
            <v>5</v>
          </cell>
          <cell r="F2319">
            <v>1</v>
          </cell>
          <cell r="G2319">
            <v>5000</v>
          </cell>
          <cell r="H2319">
            <v>5100</v>
          </cell>
          <cell r="I2319">
            <v>519</v>
          </cell>
          <cell r="J2319">
            <v>14</v>
          </cell>
          <cell r="K2319" t="str">
            <v>Tarja lavamanos y tres tinas</v>
          </cell>
          <cell r="L2319">
            <v>0</v>
          </cell>
          <cell r="M2319">
            <v>0</v>
          </cell>
          <cell r="N2319">
            <v>0</v>
          </cell>
          <cell r="O2319">
            <v>0</v>
          </cell>
          <cell r="P2319">
            <v>0</v>
          </cell>
          <cell r="Q2319">
            <v>0</v>
          </cell>
          <cell r="R2319">
            <v>0</v>
          </cell>
          <cell r="S2319" t="str">
            <v>Pieza</v>
          </cell>
          <cell r="V2319" t="str">
            <v>FC</v>
          </cell>
        </row>
        <row r="2320">
          <cell r="A2320">
            <v>176</v>
          </cell>
          <cell r="B2320">
            <v>2017</v>
          </cell>
          <cell r="C2320">
            <v>8300</v>
          </cell>
          <cell r="D2320">
            <v>3</v>
          </cell>
          <cell r="E2320">
            <v>5</v>
          </cell>
          <cell r="F2320">
            <v>1</v>
          </cell>
          <cell r="G2320">
            <v>5000</v>
          </cell>
          <cell r="H2320">
            <v>5100</v>
          </cell>
          <cell r="I2320">
            <v>519</v>
          </cell>
          <cell r="J2320">
            <v>15</v>
          </cell>
          <cell r="K2320" t="str">
            <v xml:space="preserve">Triturador de papel 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 t="str">
            <v>Pieza</v>
          </cell>
          <cell r="V2320" t="str">
            <v>FC</v>
          </cell>
        </row>
        <row r="2321">
          <cell r="A2321">
            <v>177</v>
          </cell>
          <cell r="B2321">
            <v>2017</v>
          </cell>
          <cell r="C2321">
            <v>8300</v>
          </cell>
          <cell r="D2321">
            <v>3</v>
          </cell>
          <cell r="E2321">
            <v>5</v>
          </cell>
          <cell r="F2321">
            <v>1</v>
          </cell>
          <cell r="G2321">
            <v>5000</v>
          </cell>
          <cell r="H2321">
            <v>5100</v>
          </cell>
          <cell r="I2321">
            <v>519</v>
          </cell>
          <cell r="J2321">
            <v>16</v>
          </cell>
          <cell r="K2321" t="str">
            <v xml:space="preserve">Ventilador 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 t="str">
            <v>Pieza</v>
          </cell>
          <cell r="V2321" t="str">
            <v>FC</v>
          </cell>
        </row>
        <row r="2322">
          <cell r="A2322">
            <v>178</v>
          </cell>
          <cell r="B2322">
            <v>2017</v>
          </cell>
          <cell r="C2322">
            <v>8300</v>
          </cell>
          <cell r="D2322">
            <v>3</v>
          </cell>
          <cell r="E2322">
            <v>5</v>
          </cell>
          <cell r="F2322">
            <v>1</v>
          </cell>
          <cell r="G2322">
            <v>5000</v>
          </cell>
          <cell r="H2322">
            <v>5200</v>
          </cell>
          <cell r="K2322" t="str">
            <v>Mobiliario y Equipo Educacional y Recreativo</v>
          </cell>
          <cell r="L2322">
            <v>239000</v>
          </cell>
          <cell r="M2322">
            <v>0</v>
          </cell>
          <cell r="N2322">
            <v>239000</v>
          </cell>
          <cell r="O2322">
            <v>0</v>
          </cell>
          <cell r="P2322">
            <v>0</v>
          </cell>
          <cell r="Q2322">
            <v>0</v>
          </cell>
          <cell r="R2322">
            <v>239000</v>
          </cell>
        </row>
        <row r="2323">
          <cell r="A2323">
            <v>179</v>
          </cell>
          <cell r="B2323">
            <v>2017</v>
          </cell>
          <cell r="C2323">
            <v>8300</v>
          </cell>
          <cell r="D2323">
            <v>3</v>
          </cell>
          <cell r="E2323">
            <v>5</v>
          </cell>
          <cell r="F2323">
            <v>1</v>
          </cell>
          <cell r="G2323">
            <v>5000</v>
          </cell>
          <cell r="H2323">
            <v>5200</v>
          </cell>
          <cell r="I2323">
            <v>521</v>
          </cell>
          <cell r="K2323" t="str">
            <v>Equipos y aparatos audiovisuales</v>
          </cell>
          <cell r="L2323">
            <v>0</v>
          </cell>
          <cell r="M2323">
            <v>0</v>
          </cell>
          <cell r="N2323">
            <v>0</v>
          </cell>
          <cell r="O2323">
            <v>0</v>
          </cell>
          <cell r="P2323">
            <v>0</v>
          </cell>
          <cell r="Q2323">
            <v>0</v>
          </cell>
          <cell r="R2323">
            <v>0</v>
          </cell>
        </row>
        <row r="2324">
          <cell r="A2324">
            <v>180</v>
          </cell>
          <cell r="B2324">
            <v>2017</v>
          </cell>
          <cell r="C2324">
            <v>8300</v>
          </cell>
          <cell r="D2324">
            <v>3</v>
          </cell>
          <cell r="E2324">
            <v>5</v>
          </cell>
          <cell r="F2324">
            <v>1</v>
          </cell>
          <cell r="G2324">
            <v>5000</v>
          </cell>
          <cell r="H2324">
            <v>5200</v>
          </cell>
          <cell r="I2324">
            <v>521</v>
          </cell>
          <cell r="J2324">
            <v>1</v>
          </cell>
          <cell r="K2324" t="str">
            <v>Amplificador</v>
          </cell>
          <cell r="L2324">
            <v>0</v>
          </cell>
          <cell r="M2324">
            <v>0</v>
          </cell>
          <cell r="N2324">
            <v>0</v>
          </cell>
          <cell r="O2324">
            <v>0</v>
          </cell>
          <cell r="P2324">
            <v>0</v>
          </cell>
          <cell r="Q2324">
            <v>0</v>
          </cell>
          <cell r="R2324">
            <v>0</v>
          </cell>
          <cell r="S2324" t="str">
            <v>Equipo/
Pieza</v>
          </cell>
          <cell r="V2324" t="str">
            <v>FC</v>
          </cell>
        </row>
        <row r="2325">
          <cell r="A2325">
            <v>181</v>
          </cell>
          <cell r="B2325">
            <v>2017</v>
          </cell>
          <cell r="C2325">
            <v>8300</v>
          </cell>
          <cell r="D2325">
            <v>3</v>
          </cell>
          <cell r="E2325">
            <v>5</v>
          </cell>
          <cell r="F2325">
            <v>1</v>
          </cell>
          <cell r="G2325">
            <v>5000</v>
          </cell>
          <cell r="H2325">
            <v>5200</v>
          </cell>
          <cell r="I2325">
            <v>521</v>
          </cell>
          <cell r="J2325">
            <v>2</v>
          </cell>
          <cell r="K2325" t="str">
            <v>Audífonos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0</v>
          </cell>
          <cell r="R2325">
            <v>0</v>
          </cell>
          <cell r="S2325" t="str">
            <v>Equipo/
Pieza</v>
          </cell>
          <cell r="V2325" t="str">
            <v>FC</v>
          </cell>
        </row>
        <row r="2326">
          <cell r="A2326">
            <v>182</v>
          </cell>
          <cell r="B2326">
            <v>2017</v>
          </cell>
          <cell r="C2326">
            <v>8300</v>
          </cell>
          <cell r="D2326">
            <v>3</v>
          </cell>
          <cell r="E2326">
            <v>5</v>
          </cell>
          <cell r="F2326">
            <v>1</v>
          </cell>
          <cell r="G2326">
            <v>5000</v>
          </cell>
          <cell r="H2326">
            <v>5200</v>
          </cell>
          <cell r="I2326">
            <v>521</v>
          </cell>
          <cell r="J2326">
            <v>3</v>
          </cell>
          <cell r="K2326" t="str">
            <v>Bocinas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 t="str">
            <v>Equipo/
Pieza</v>
          </cell>
          <cell r="V2326" t="str">
            <v>FC</v>
          </cell>
        </row>
        <row r="2327">
          <cell r="A2327">
            <v>183</v>
          </cell>
          <cell r="B2327">
            <v>2017</v>
          </cell>
          <cell r="C2327">
            <v>8300</v>
          </cell>
          <cell r="D2327">
            <v>3</v>
          </cell>
          <cell r="E2327">
            <v>5</v>
          </cell>
          <cell r="F2327">
            <v>1</v>
          </cell>
          <cell r="G2327">
            <v>5000</v>
          </cell>
          <cell r="H2327">
            <v>5200</v>
          </cell>
          <cell r="I2327">
            <v>521</v>
          </cell>
          <cell r="J2327">
            <v>4</v>
          </cell>
          <cell r="K2327" t="str">
            <v>DVD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 t="str">
            <v>Equipo/
Pieza</v>
          </cell>
          <cell r="V2327" t="str">
            <v>FC</v>
          </cell>
        </row>
        <row r="2328">
          <cell r="A2328">
            <v>184</v>
          </cell>
          <cell r="B2328">
            <v>2017</v>
          </cell>
          <cell r="C2328">
            <v>8300</v>
          </cell>
          <cell r="D2328">
            <v>3</v>
          </cell>
          <cell r="E2328">
            <v>5</v>
          </cell>
          <cell r="F2328">
            <v>1</v>
          </cell>
          <cell r="G2328">
            <v>5000</v>
          </cell>
          <cell r="H2328">
            <v>5200</v>
          </cell>
          <cell r="I2328">
            <v>521</v>
          </cell>
          <cell r="J2328">
            <v>5</v>
          </cell>
          <cell r="K2328" t="str">
            <v xml:space="preserve">Grabadora 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 t="str">
            <v>Equipo/
Pieza</v>
          </cell>
          <cell r="V2328" t="str">
            <v>FC</v>
          </cell>
        </row>
        <row r="2329">
          <cell r="A2329">
            <v>185</v>
          </cell>
          <cell r="B2329">
            <v>2017</v>
          </cell>
          <cell r="C2329">
            <v>8300</v>
          </cell>
          <cell r="D2329">
            <v>3</v>
          </cell>
          <cell r="E2329">
            <v>5</v>
          </cell>
          <cell r="F2329">
            <v>1</v>
          </cell>
          <cell r="G2329">
            <v>5000</v>
          </cell>
          <cell r="H2329">
            <v>5200</v>
          </cell>
          <cell r="I2329">
            <v>521</v>
          </cell>
          <cell r="J2329">
            <v>6</v>
          </cell>
          <cell r="K2329" t="str">
            <v>Mezcladores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 t="str">
            <v>Equipo/
Pieza</v>
          </cell>
          <cell r="V2329" t="str">
            <v>FC</v>
          </cell>
        </row>
        <row r="2330">
          <cell r="A2330">
            <v>186</v>
          </cell>
          <cell r="B2330">
            <v>2017</v>
          </cell>
          <cell r="C2330">
            <v>8300</v>
          </cell>
          <cell r="D2330">
            <v>3</v>
          </cell>
          <cell r="E2330">
            <v>5</v>
          </cell>
          <cell r="F2330">
            <v>1</v>
          </cell>
          <cell r="G2330">
            <v>5000</v>
          </cell>
          <cell r="H2330">
            <v>5200</v>
          </cell>
          <cell r="I2330">
            <v>521</v>
          </cell>
          <cell r="J2330">
            <v>7</v>
          </cell>
          <cell r="K2330" t="str">
            <v xml:space="preserve">Micrófono 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 t="str">
            <v>Equipo/
Pieza</v>
          </cell>
          <cell r="V2330" t="str">
            <v>FC</v>
          </cell>
        </row>
        <row r="2331">
          <cell r="A2331">
            <v>187</v>
          </cell>
          <cell r="B2331">
            <v>2017</v>
          </cell>
          <cell r="C2331">
            <v>8300</v>
          </cell>
          <cell r="D2331">
            <v>3</v>
          </cell>
          <cell r="E2331">
            <v>5</v>
          </cell>
          <cell r="F2331">
            <v>1</v>
          </cell>
          <cell r="G2331">
            <v>5000</v>
          </cell>
          <cell r="H2331">
            <v>5200</v>
          </cell>
          <cell r="I2331">
            <v>521</v>
          </cell>
          <cell r="J2331">
            <v>8</v>
          </cell>
          <cell r="K2331" t="str">
            <v xml:space="preserve">Pantalla </v>
          </cell>
          <cell r="L2331">
            <v>0</v>
          </cell>
          <cell r="M2331">
            <v>0</v>
          </cell>
          <cell r="N2331">
            <v>0</v>
          </cell>
          <cell r="O2331">
            <v>0</v>
          </cell>
          <cell r="P2331">
            <v>0</v>
          </cell>
          <cell r="Q2331">
            <v>0</v>
          </cell>
          <cell r="R2331">
            <v>0</v>
          </cell>
          <cell r="S2331" t="str">
            <v>Equipo/
Pieza</v>
          </cell>
          <cell r="V2331" t="str">
            <v>FC</v>
          </cell>
        </row>
        <row r="2332">
          <cell r="A2332">
            <v>188</v>
          </cell>
          <cell r="B2332">
            <v>2017</v>
          </cell>
          <cell r="C2332">
            <v>8300</v>
          </cell>
          <cell r="D2332">
            <v>3</v>
          </cell>
          <cell r="E2332">
            <v>5</v>
          </cell>
          <cell r="F2332">
            <v>1</v>
          </cell>
          <cell r="G2332">
            <v>5000</v>
          </cell>
          <cell r="H2332">
            <v>5200</v>
          </cell>
          <cell r="I2332">
            <v>521</v>
          </cell>
          <cell r="J2332">
            <v>9</v>
          </cell>
          <cell r="K2332" t="str">
            <v xml:space="preserve">Pedestal para micrófono 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 t="str">
            <v>Equipo/
Pieza</v>
          </cell>
          <cell r="V2332" t="str">
            <v>FC</v>
          </cell>
        </row>
        <row r="2333">
          <cell r="A2333">
            <v>189</v>
          </cell>
          <cell r="B2333">
            <v>2017</v>
          </cell>
          <cell r="C2333">
            <v>8300</v>
          </cell>
          <cell r="D2333">
            <v>3</v>
          </cell>
          <cell r="E2333">
            <v>5</v>
          </cell>
          <cell r="F2333">
            <v>1</v>
          </cell>
          <cell r="G2333">
            <v>5000</v>
          </cell>
          <cell r="H2333">
            <v>5200</v>
          </cell>
          <cell r="I2333">
            <v>521</v>
          </cell>
          <cell r="J2333">
            <v>10</v>
          </cell>
          <cell r="K2333" t="str">
            <v>Procesador de audio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 t="str">
            <v>Equipo/
Pieza</v>
          </cell>
          <cell r="V2333" t="str">
            <v>FC</v>
          </cell>
        </row>
        <row r="2334">
          <cell r="A2334">
            <v>190</v>
          </cell>
          <cell r="B2334">
            <v>2017</v>
          </cell>
          <cell r="C2334">
            <v>8300</v>
          </cell>
          <cell r="D2334">
            <v>3</v>
          </cell>
          <cell r="E2334">
            <v>5</v>
          </cell>
          <cell r="F2334">
            <v>1</v>
          </cell>
          <cell r="G2334">
            <v>5000</v>
          </cell>
          <cell r="H2334">
            <v>5200</v>
          </cell>
          <cell r="I2334">
            <v>523</v>
          </cell>
          <cell r="K2334" t="str">
            <v>Cámaras fotográficas y de video</v>
          </cell>
          <cell r="L2334">
            <v>239000</v>
          </cell>
          <cell r="M2334">
            <v>0</v>
          </cell>
          <cell r="N2334">
            <v>239000</v>
          </cell>
          <cell r="O2334">
            <v>0</v>
          </cell>
          <cell r="P2334">
            <v>0</v>
          </cell>
          <cell r="Q2334">
            <v>0</v>
          </cell>
          <cell r="R2334">
            <v>239000</v>
          </cell>
        </row>
        <row r="2335">
          <cell r="A2335">
            <v>191</v>
          </cell>
          <cell r="B2335">
            <v>2017</v>
          </cell>
          <cell r="C2335">
            <v>8300</v>
          </cell>
          <cell r="D2335">
            <v>3</v>
          </cell>
          <cell r="E2335">
            <v>5</v>
          </cell>
          <cell r="F2335">
            <v>1</v>
          </cell>
          <cell r="G2335">
            <v>5000</v>
          </cell>
          <cell r="H2335">
            <v>5200</v>
          </cell>
          <cell r="I2335">
            <v>523</v>
          </cell>
          <cell r="J2335">
            <v>1</v>
          </cell>
          <cell r="K2335" t="str">
            <v xml:space="preserve">Cámara </v>
          </cell>
          <cell r="L2335">
            <v>208000</v>
          </cell>
          <cell r="M2335">
            <v>0</v>
          </cell>
          <cell r="N2335">
            <v>208000</v>
          </cell>
          <cell r="P2335">
            <v>0</v>
          </cell>
          <cell r="Q2335">
            <v>0</v>
          </cell>
          <cell r="R2335">
            <v>208000</v>
          </cell>
          <cell r="S2335" t="str">
            <v>Pieza</v>
          </cell>
          <cell r="T2335">
            <v>20</v>
          </cell>
          <cell r="V2335" t="str">
            <v>FC</v>
          </cell>
        </row>
        <row r="2336">
          <cell r="A2336">
            <v>192</v>
          </cell>
          <cell r="B2336">
            <v>2017</v>
          </cell>
          <cell r="C2336">
            <v>8300</v>
          </cell>
          <cell r="D2336">
            <v>3</v>
          </cell>
          <cell r="E2336">
            <v>5</v>
          </cell>
          <cell r="F2336">
            <v>1</v>
          </cell>
          <cell r="G2336">
            <v>5000</v>
          </cell>
          <cell r="H2336">
            <v>5200</v>
          </cell>
          <cell r="I2336">
            <v>523</v>
          </cell>
          <cell r="J2336">
            <v>2</v>
          </cell>
          <cell r="K2336" t="str">
            <v xml:space="preserve">Cañón  </v>
          </cell>
          <cell r="M2336">
            <v>0</v>
          </cell>
          <cell r="N2336">
            <v>0</v>
          </cell>
          <cell r="P2336">
            <v>0</v>
          </cell>
          <cell r="Q2336">
            <v>0</v>
          </cell>
          <cell r="R2336">
            <v>0</v>
          </cell>
          <cell r="S2336" t="str">
            <v>Pieza</v>
          </cell>
          <cell r="V2336" t="str">
            <v>FC</v>
          </cell>
        </row>
        <row r="2337">
          <cell r="A2337">
            <v>193</v>
          </cell>
          <cell r="B2337">
            <v>2017</v>
          </cell>
          <cell r="C2337">
            <v>8300</v>
          </cell>
          <cell r="D2337">
            <v>3</v>
          </cell>
          <cell r="E2337">
            <v>5</v>
          </cell>
          <cell r="F2337">
            <v>1</v>
          </cell>
          <cell r="G2337">
            <v>5000</v>
          </cell>
          <cell r="H2337">
            <v>5200</v>
          </cell>
          <cell r="I2337">
            <v>523</v>
          </cell>
          <cell r="J2337">
            <v>3</v>
          </cell>
          <cell r="K2337" t="str">
            <v>Flash para cámara</v>
          </cell>
          <cell r="M2337">
            <v>0</v>
          </cell>
          <cell r="N2337">
            <v>0</v>
          </cell>
          <cell r="P2337">
            <v>0</v>
          </cell>
          <cell r="Q2337">
            <v>0</v>
          </cell>
          <cell r="R2337">
            <v>0</v>
          </cell>
          <cell r="S2337" t="str">
            <v>Pieza</v>
          </cell>
          <cell r="V2337" t="str">
            <v>FC</v>
          </cell>
        </row>
        <row r="2338">
          <cell r="A2338">
            <v>194</v>
          </cell>
          <cell r="B2338">
            <v>2017</v>
          </cell>
          <cell r="C2338">
            <v>8300</v>
          </cell>
          <cell r="D2338">
            <v>3</v>
          </cell>
          <cell r="E2338">
            <v>5</v>
          </cell>
          <cell r="F2338">
            <v>1</v>
          </cell>
          <cell r="G2338">
            <v>5000</v>
          </cell>
          <cell r="H2338">
            <v>5200</v>
          </cell>
          <cell r="I2338">
            <v>523</v>
          </cell>
          <cell r="J2338">
            <v>4</v>
          </cell>
          <cell r="K2338" t="str">
            <v xml:space="preserve">Tripié </v>
          </cell>
          <cell r="M2338">
            <v>0</v>
          </cell>
          <cell r="N2338">
            <v>0</v>
          </cell>
          <cell r="P2338">
            <v>0</v>
          </cell>
          <cell r="Q2338">
            <v>0</v>
          </cell>
          <cell r="R2338">
            <v>0</v>
          </cell>
          <cell r="S2338" t="str">
            <v>Equipo/
Pieza</v>
          </cell>
          <cell r="V2338" t="str">
            <v>FC</v>
          </cell>
        </row>
        <row r="2339">
          <cell r="A2339">
            <v>195</v>
          </cell>
          <cell r="B2339">
            <v>2017</v>
          </cell>
          <cell r="C2339">
            <v>8300</v>
          </cell>
          <cell r="D2339">
            <v>3</v>
          </cell>
          <cell r="E2339">
            <v>5</v>
          </cell>
          <cell r="F2339">
            <v>1</v>
          </cell>
          <cell r="G2339">
            <v>5000</v>
          </cell>
          <cell r="H2339">
            <v>5200</v>
          </cell>
          <cell r="I2339">
            <v>523</v>
          </cell>
          <cell r="J2339">
            <v>5</v>
          </cell>
          <cell r="K2339" t="str">
            <v>Videoproyector</v>
          </cell>
          <cell r="M2339">
            <v>0</v>
          </cell>
          <cell r="N2339">
            <v>0</v>
          </cell>
          <cell r="P2339">
            <v>0</v>
          </cell>
          <cell r="Q2339">
            <v>0</v>
          </cell>
          <cell r="R2339">
            <v>0</v>
          </cell>
          <cell r="S2339" t="str">
            <v>Pieza</v>
          </cell>
          <cell r="V2339" t="str">
            <v>FC</v>
          </cell>
        </row>
        <row r="2340">
          <cell r="A2340">
            <v>196</v>
          </cell>
          <cell r="B2340">
            <v>2017</v>
          </cell>
          <cell r="C2340">
            <v>8300</v>
          </cell>
          <cell r="D2340">
            <v>3</v>
          </cell>
          <cell r="E2340">
            <v>5</v>
          </cell>
          <cell r="F2340">
            <v>1</v>
          </cell>
          <cell r="G2340">
            <v>5000</v>
          </cell>
          <cell r="H2340">
            <v>5200</v>
          </cell>
          <cell r="I2340">
            <v>523</v>
          </cell>
          <cell r="K2340" t="str">
            <v>kit de iluminacion</v>
          </cell>
          <cell r="L2340">
            <v>31000</v>
          </cell>
          <cell r="M2340">
            <v>0</v>
          </cell>
          <cell r="N2340">
            <v>31000</v>
          </cell>
          <cell r="P2340">
            <v>0</v>
          </cell>
          <cell r="Q2340">
            <v>0</v>
          </cell>
          <cell r="R2340">
            <v>31000</v>
          </cell>
          <cell r="S2340" t="str">
            <v>Pieza</v>
          </cell>
          <cell r="T2340">
            <v>12</v>
          </cell>
          <cell r="V2340" t="str">
            <v>FC</v>
          </cell>
        </row>
        <row r="2341">
          <cell r="A2341">
            <v>197</v>
          </cell>
          <cell r="B2341">
            <v>2017</v>
          </cell>
          <cell r="C2341">
            <v>8300</v>
          </cell>
          <cell r="D2341">
            <v>3</v>
          </cell>
          <cell r="E2341">
            <v>5</v>
          </cell>
          <cell r="F2341">
            <v>1</v>
          </cell>
          <cell r="G2341">
            <v>5000</v>
          </cell>
          <cell r="H2341">
            <v>5200</v>
          </cell>
          <cell r="I2341">
            <v>529</v>
          </cell>
          <cell r="K2341" t="str">
            <v>Otro mobiliario y equipo educacional y recreativo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</row>
        <row r="2342">
          <cell r="A2342">
            <v>198</v>
          </cell>
          <cell r="B2342">
            <v>2017</v>
          </cell>
          <cell r="C2342">
            <v>8300</v>
          </cell>
          <cell r="D2342">
            <v>3</v>
          </cell>
          <cell r="E2342">
            <v>5</v>
          </cell>
          <cell r="F2342">
            <v>1</v>
          </cell>
          <cell r="G2342">
            <v>5000</v>
          </cell>
          <cell r="H2342">
            <v>5200</v>
          </cell>
          <cell r="I2342">
            <v>529</v>
          </cell>
          <cell r="J2342">
            <v>1</v>
          </cell>
          <cell r="K2342" t="str">
            <v>Batería</v>
          </cell>
          <cell r="L2342">
            <v>0</v>
          </cell>
          <cell r="M2342">
            <v>0</v>
          </cell>
          <cell r="N2342">
            <v>0</v>
          </cell>
          <cell r="O2342">
            <v>0</v>
          </cell>
          <cell r="P2342">
            <v>0</v>
          </cell>
          <cell r="Q2342">
            <v>0</v>
          </cell>
          <cell r="R2342">
            <v>0</v>
          </cell>
          <cell r="S2342" t="str">
            <v>Pieza</v>
          </cell>
          <cell r="V2342" t="str">
            <v>AE</v>
          </cell>
        </row>
        <row r="2343">
          <cell r="A2343">
            <v>199</v>
          </cell>
          <cell r="B2343">
            <v>2017</v>
          </cell>
          <cell r="C2343">
            <v>8300</v>
          </cell>
          <cell r="D2343">
            <v>3</v>
          </cell>
          <cell r="E2343">
            <v>5</v>
          </cell>
          <cell r="F2343">
            <v>1</v>
          </cell>
          <cell r="G2343">
            <v>5000</v>
          </cell>
          <cell r="H2343">
            <v>5200</v>
          </cell>
          <cell r="I2343">
            <v>529</v>
          </cell>
          <cell r="J2343">
            <v>2</v>
          </cell>
          <cell r="K2343" t="str">
            <v xml:space="preserve">Guitarra </v>
          </cell>
          <cell r="L2343">
            <v>0</v>
          </cell>
          <cell r="M2343">
            <v>0</v>
          </cell>
          <cell r="N2343">
            <v>0</v>
          </cell>
          <cell r="O2343">
            <v>0</v>
          </cell>
          <cell r="P2343">
            <v>0</v>
          </cell>
          <cell r="Q2343">
            <v>0</v>
          </cell>
          <cell r="R2343">
            <v>0</v>
          </cell>
          <cell r="S2343" t="str">
            <v>Pieza</v>
          </cell>
          <cell r="V2343" t="str">
            <v>AE</v>
          </cell>
        </row>
        <row r="2344">
          <cell r="A2344">
            <v>200</v>
          </cell>
          <cell r="B2344">
            <v>2017</v>
          </cell>
          <cell r="C2344">
            <v>8300</v>
          </cell>
          <cell r="D2344">
            <v>3</v>
          </cell>
          <cell r="E2344">
            <v>5</v>
          </cell>
          <cell r="F2344">
            <v>1</v>
          </cell>
          <cell r="G2344">
            <v>5000</v>
          </cell>
          <cell r="H2344">
            <v>5200</v>
          </cell>
          <cell r="I2344">
            <v>529</v>
          </cell>
          <cell r="J2344">
            <v>3</v>
          </cell>
          <cell r="K2344" t="str">
            <v xml:space="preserve">Teclado </v>
          </cell>
          <cell r="L2344">
            <v>0</v>
          </cell>
          <cell r="M2344">
            <v>0</v>
          </cell>
          <cell r="N2344">
            <v>0</v>
          </cell>
          <cell r="O2344">
            <v>0</v>
          </cell>
          <cell r="P2344">
            <v>0</v>
          </cell>
          <cell r="Q2344">
            <v>0</v>
          </cell>
          <cell r="R2344">
            <v>0</v>
          </cell>
          <cell r="S2344" t="str">
            <v>Pieza</v>
          </cell>
          <cell r="V2344" t="str">
            <v>AE</v>
          </cell>
        </row>
        <row r="2345">
          <cell r="A2345">
            <v>201</v>
          </cell>
          <cell r="B2345">
            <v>2017</v>
          </cell>
          <cell r="C2345">
            <v>8300</v>
          </cell>
          <cell r="D2345">
            <v>3</v>
          </cell>
          <cell r="E2345">
            <v>5</v>
          </cell>
          <cell r="F2345">
            <v>1</v>
          </cell>
          <cell r="G2345">
            <v>5000</v>
          </cell>
          <cell r="H2345">
            <v>5300</v>
          </cell>
          <cell r="K2345" t="str">
            <v>Equipo e Instrumental Médico y de Laboratorio</v>
          </cell>
          <cell r="L2345">
            <v>72000</v>
          </cell>
          <cell r="M2345">
            <v>0</v>
          </cell>
          <cell r="N2345">
            <v>72000</v>
          </cell>
          <cell r="O2345">
            <v>0</v>
          </cell>
          <cell r="P2345">
            <v>0</v>
          </cell>
          <cell r="Q2345">
            <v>0</v>
          </cell>
          <cell r="R2345">
            <v>72000</v>
          </cell>
        </row>
        <row r="2346">
          <cell r="A2346">
            <v>202</v>
          </cell>
          <cell r="B2346">
            <v>2017</v>
          </cell>
          <cell r="C2346">
            <v>8300</v>
          </cell>
          <cell r="D2346">
            <v>3</v>
          </cell>
          <cell r="E2346">
            <v>5</v>
          </cell>
          <cell r="F2346">
            <v>1</v>
          </cell>
          <cell r="G2346">
            <v>5000</v>
          </cell>
          <cell r="H2346">
            <v>5300</v>
          </cell>
          <cell r="I2346">
            <v>531</v>
          </cell>
          <cell r="K2346" t="str">
            <v>Equipo médico y de laboratorio</v>
          </cell>
          <cell r="L2346">
            <v>72000</v>
          </cell>
          <cell r="M2346">
            <v>0</v>
          </cell>
          <cell r="N2346">
            <v>72000</v>
          </cell>
          <cell r="O2346">
            <v>0</v>
          </cell>
          <cell r="P2346">
            <v>0</v>
          </cell>
          <cell r="Q2346">
            <v>0</v>
          </cell>
          <cell r="R2346">
            <v>72000</v>
          </cell>
        </row>
        <row r="2347">
          <cell r="A2347">
            <v>203</v>
          </cell>
          <cell r="B2347">
            <v>2017</v>
          </cell>
          <cell r="C2347">
            <v>8300</v>
          </cell>
          <cell r="D2347">
            <v>3</v>
          </cell>
          <cell r="E2347">
            <v>5</v>
          </cell>
          <cell r="F2347">
            <v>1</v>
          </cell>
          <cell r="G2347">
            <v>5000</v>
          </cell>
          <cell r="H2347">
            <v>5300</v>
          </cell>
          <cell r="I2347">
            <v>531</v>
          </cell>
          <cell r="J2347">
            <v>1</v>
          </cell>
          <cell r="K2347" t="str">
            <v>Autoclave vítale</v>
          </cell>
          <cell r="L2347">
            <v>0</v>
          </cell>
          <cell r="M2347">
            <v>0</v>
          </cell>
          <cell r="N2347">
            <v>0</v>
          </cell>
          <cell r="O2347">
            <v>0</v>
          </cell>
          <cell r="P2347">
            <v>0</v>
          </cell>
          <cell r="Q2347">
            <v>0</v>
          </cell>
          <cell r="R2347">
            <v>0</v>
          </cell>
          <cell r="S2347" t="str">
            <v>Pieza</v>
          </cell>
          <cell r="V2347" t="str">
            <v>FC</v>
          </cell>
        </row>
        <row r="2348">
          <cell r="A2348">
            <v>204</v>
          </cell>
          <cell r="B2348">
            <v>2017</v>
          </cell>
          <cell r="C2348">
            <v>8300</v>
          </cell>
          <cell r="D2348">
            <v>3</v>
          </cell>
          <cell r="E2348">
            <v>5</v>
          </cell>
          <cell r="F2348">
            <v>1</v>
          </cell>
          <cell r="G2348">
            <v>5000</v>
          </cell>
          <cell r="H2348">
            <v>5300</v>
          </cell>
          <cell r="I2348">
            <v>531</v>
          </cell>
          <cell r="J2348">
            <v>2</v>
          </cell>
          <cell r="K2348" t="str">
            <v>Banco de altura</v>
          </cell>
          <cell r="L2348">
            <v>0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 t="str">
            <v>Pieza</v>
          </cell>
          <cell r="V2348" t="str">
            <v>FC</v>
          </cell>
        </row>
        <row r="2349">
          <cell r="A2349">
            <v>205</v>
          </cell>
          <cell r="B2349">
            <v>2017</v>
          </cell>
          <cell r="C2349">
            <v>8300</v>
          </cell>
          <cell r="D2349">
            <v>3</v>
          </cell>
          <cell r="E2349">
            <v>5</v>
          </cell>
          <cell r="F2349">
            <v>1</v>
          </cell>
          <cell r="G2349">
            <v>5000</v>
          </cell>
          <cell r="H2349">
            <v>5300</v>
          </cell>
          <cell r="I2349">
            <v>531</v>
          </cell>
          <cell r="J2349">
            <v>3</v>
          </cell>
          <cell r="K2349" t="str">
            <v>Banco giratorio metálico</v>
          </cell>
          <cell r="L2349">
            <v>0</v>
          </cell>
          <cell r="M2349">
            <v>0</v>
          </cell>
          <cell r="N2349">
            <v>0</v>
          </cell>
          <cell r="O2349">
            <v>0</v>
          </cell>
          <cell r="P2349">
            <v>0</v>
          </cell>
          <cell r="Q2349">
            <v>0</v>
          </cell>
          <cell r="R2349">
            <v>0</v>
          </cell>
          <cell r="S2349" t="str">
            <v>Pieza</v>
          </cell>
          <cell r="V2349" t="str">
            <v>FC</v>
          </cell>
        </row>
        <row r="2350">
          <cell r="A2350">
            <v>206</v>
          </cell>
          <cell r="B2350">
            <v>2017</v>
          </cell>
          <cell r="C2350">
            <v>8300</v>
          </cell>
          <cell r="D2350">
            <v>3</v>
          </cell>
          <cell r="E2350">
            <v>5</v>
          </cell>
          <cell r="F2350">
            <v>1</v>
          </cell>
          <cell r="G2350">
            <v>5000</v>
          </cell>
          <cell r="H2350">
            <v>5300</v>
          </cell>
          <cell r="I2350">
            <v>531</v>
          </cell>
          <cell r="J2350">
            <v>4</v>
          </cell>
          <cell r="K2350" t="str">
            <v>Báscula con estadímetro</v>
          </cell>
          <cell r="L2350">
            <v>0</v>
          </cell>
          <cell r="M2350">
            <v>0</v>
          </cell>
          <cell r="N2350">
            <v>0</v>
          </cell>
          <cell r="O2350">
            <v>0</v>
          </cell>
          <cell r="P2350">
            <v>0</v>
          </cell>
          <cell r="Q2350">
            <v>0</v>
          </cell>
          <cell r="R2350">
            <v>0</v>
          </cell>
          <cell r="S2350" t="str">
            <v>Pieza</v>
          </cell>
          <cell r="V2350" t="str">
            <v>FC</v>
          </cell>
        </row>
        <row r="2351">
          <cell r="A2351">
            <v>207</v>
          </cell>
          <cell r="B2351">
            <v>2017</v>
          </cell>
          <cell r="C2351">
            <v>8300</v>
          </cell>
          <cell r="D2351">
            <v>3</v>
          </cell>
          <cell r="E2351">
            <v>5</v>
          </cell>
          <cell r="F2351">
            <v>1</v>
          </cell>
          <cell r="G2351">
            <v>5000</v>
          </cell>
          <cell r="H2351">
            <v>5300</v>
          </cell>
          <cell r="I2351">
            <v>531</v>
          </cell>
          <cell r="J2351">
            <v>5</v>
          </cell>
          <cell r="K2351" t="str">
            <v>Bote de patada</v>
          </cell>
          <cell r="L2351">
            <v>0</v>
          </cell>
          <cell r="M2351">
            <v>0</v>
          </cell>
          <cell r="N2351">
            <v>0</v>
          </cell>
          <cell r="O2351">
            <v>0</v>
          </cell>
          <cell r="P2351">
            <v>0</v>
          </cell>
          <cell r="Q2351">
            <v>0</v>
          </cell>
          <cell r="R2351">
            <v>0</v>
          </cell>
          <cell r="S2351" t="str">
            <v>Pieza</v>
          </cell>
          <cell r="V2351" t="str">
            <v>FC</v>
          </cell>
        </row>
        <row r="2352">
          <cell r="A2352">
            <v>208</v>
          </cell>
          <cell r="B2352">
            <v>2017</v>
          </cell>
          <cell r="C2352">
            <v>8300</v>
          </cell>
          <cell r="D2352">
            <v>3</v>
          </cell>
          <cell r="E2352">
            <v>5</v>
          </cell>
          <cell r="F2352">
            <v>1</v>
          </cell>
          <cell r="G2352">
            <v>5000</v>
          </cell>
          <cell r="H2352">
            <v>5300</v>
          </cell>
          <cell r="I2352">
            <v>531</v>
          </cell>
          <cell r="J2352">
            <v>6</v>
          </cell>
          <cell r="K2352" t="str">
            <v>Caja obscura para revelar placa de rayos X dental</v>
          </cell>
          <cell r="L2352">
            <v>0</v>
          </cell>
          <cell r="M2352">
            <v>0</v>
          </cell>
          <cell r="N2352">
            <v>0</v>
          </cell>
          <cell r="O2352">
            <v>0</v>
          </cell>
          <cell r="P2352">
            <v>0</v>
          </cell>
          <cell r="Q2352">
            <v>0</v>
          </cell>
          <cell r="R2352">
            <v>0</v>
          </cell>
          <cell r="S2352" t="str">
            <v>Pieza</v>
          </cell>
          <cell r="V2352" t="str">
            <v>FC</v>
          </cell>
        </row>
        <row r="2353">
          <cell r="A2353">
            <v>209</v>
          </cell>
          <cell r="B2353">
            <v>2017</v>
          </cell>
          <cell r="C2353">
            <v>8300</v>
          </cell>
          <cell r="D2353">
            <v>3</v>
          </cell>
          <cell r="E2353">
            <v>5</v>
          </cell>
          <cell r="F2353">
            <v>1</v>
          </cell>
          <cell r="G2353">
            <v>5000</v>
          </cell>
          <cell r="H2353">
            <v>5300</v>
          </cell>
          <cell r="I2353">
            <v>531</v>
          </cell>
          <cell r="J2353">
            <v>7</v>
          </cell>
          <cell r="K2353" t="str">
            <v>Cama hospitalaria de 2 manivelas Movimientos en la cabeza y los pies Pintada al horno Spring de malla articulada</v>
          </cell>
          <cell r="L2353">
            <v>72000</v>
          </cell>
          <cell r="M2353">
            <v>0</v>
          </cell>
          <cell r="N2353">
            <v>72000</v>
          </cell>
          <cell r="O2353">
            <v>0</v>
          </cell>
          <cell r="P2353">
            <v>0</v>
          </cell>
          <cell r="Q2353">
            <v>0</v>
          </cell>
          <cell r="R2353">
            <v>72000</v>
          </cell>
          <cell r="S2353" t="str">
            <v>Pieza</v>
          </cell>
          <cell r="T2353">
            <v>10</v>
          </cell>
          <cell r="V2353" t="str">
            <v>FC</v>
          </cell>
        </row>
        <row r="2354">
          <cell r="A2354">
            <v>210</v>
          </cell>
          <cell r="B2354">
            <v>2017</v>
          </cell>
          <cell r="C2354">
            <v>8300</v>
          </cell>
          <cell r="D2354">
            <v>3</v>
          </cell>
          <cell r="E2354">
            <v>5</v>
          </cell>
          <cell r="F2354">
            <v>1</v>
          </cell>
          <cell r="G2354">
            <v>5000</v>
          </cell>
          <cell r="H2354">
            <v>5300</v>
          </cell>
          <cell r="I2354">
            <v>531</v>
          </cell>
          <cell r="J2354">
            <v>8</v>
          </cell>
          <cell r="K2354" t="str">
            <v>Camilla</v>
          </cell>
          <cell r="L2354">
            <v>0</v>
          </cell>
          <cell r="M2354">
            <v>0</v>
          </cell>
          <cell r="N2354">
            <v>0</v>
          </cell>
          <cell r="O2354">
            <v>0</v>
          </cell>
          <cell r="P2354">
            <v>0</v>
          </cell>
          <cell r="Q2354">
            <v>0</v>
          </cell>
          <cell r="R2354">
            <v>0</v>
          </cell>
          <cell r="S2354" t="str">
            <v>Pieza</v>
          </cell>
          <cell r="V2354" t="str">
            <v>FC</v>
          </cell>
        </row>
        <row r="2355">
          <cell r="A2355">
            <v>211</v>
          </cell>
          <cell r="B2355">
            <v>2017</v>
          </cell>
          <cell r="C2355">
            <v>8300</v>
          </cell>
          <cell r="D2355">
            <v>3</v>
          </cell>
          <cell r="E2355">
            <v>5</v>
          </cell>
          <cell r="F2355">
            <v>1</v>
          </cell>
          <cell r="G2355">
            <v>5000</v>
          </cell>
          <cell r="H2355">
            <v>5300</v>
          </cell>
          <cell r="I2355">
            <v>531</v>
          </cell>
          <cell r="J2355">
            <v>9</v>
          </cell>
          <cell r="K2355" t="str">
            <v>Camilla tipo araña sistema de sujeción de 10 puntos</v>
          </cell>
          <cell r="L2355">
            <v>0</v>
          </cell>
          <cell r="M2355">
            <v>0</v>
          </cell>
          <cell r="N2355">
            <v>0</v>
          </cell>
          <cell r="O2355">
            <v>0</v>
          </cell>
          <cell r="P2355">
            <v>0</v>
          </cell>
          <cell r="Q2355">
            <v>0</v>
          </cell>
          <cell r="R2355">
            <v>0</v>
          </cell>
          <cell r="S2355" t="str">
            <v>Pieza</v>
          </cell>
          <cell r="V2355" t="str">
            <v>FC</v>
          </cell>
        </row>
        <row r="2356">
          <cell r="A2356">
            <v>212</v>
          </cell>
          <cell r="B2356">
            <v>2017</v>
          </cell>
          <cell r="C2356">
            <v>8300</v>
          </cell>
          <cell r="D2356">
            <v>3</v>
          </cell>
          <cell r="E2356">
            <v>5</v>
          </cell>
          <cell r="F2356">
            <v>1</v>
          </cell>
          <cell r="G2356">
            <v>5000</v>
          </cell>
          <cell r="H2356">
            <v>5300</v>
          </cell>
          <cell r="I2356">
            <v>531</v>
          </cell>
          <cell r="J2356">
            <v>10</v>
          </cell>
          <cell r="K2356" t="str">
            <v>Carro rojo de emergencia</v>
          </cell>
          <cell r="L2356">
            <v>0</v>
          </cell>
          <cell r="M2356">
            <v>0</v>
          </cell>
          <cell r="N2356">
            <v>0</v>
          </cell>
          <cell r="O2356">
            <v>0</v>
          </cell>
          <cell r="P2356">
            <v>0</v>
          </cell>
          <cell r="Q2356">
            <v>0</v>
          </cell>
          <cell r="R2356">
            <v>0</v>
          </cell>
          <cell r="S2356" t="str">
            <v>Pieza</v>
          </cell>
          <cell r="V2356" t="str">
            <v>FC</v>
          </cell>
        </row>
        <row r="2357">
          <cell r="A2357">
            <v>213</v>
          </cell>
          <cell r="B2357">
            <v>2017</v>
          </cell>
          <cell r="C2357">
            <v>8300</v>
          </cell>
          <cell r="D2357">
            <v>3</v>
          </cell>
          <cell r="E2357">
            <v>5</v>
          </cell>
          <cell r="F2357">
            <v>1</v>
          </cell>
          <cell r="G2357">
            <v>5000</v>
          </cell>
          <cell r="H2357">
            <v>5300</v>
          </cell>
          <cell r="I2357">
            <v>531</v>
          </cell>
          <cell r="J2357">
            <v>11</v>
          </cell>
          <cell r="K2357" t="str">
            <v>Cheslóng</v>
          </cell>
          <cell r="L2357">
            <v>0</v>
          </cell>
          <cell r="M2357">
            <v>0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>
            <v>0</v>
          </cell>
          <cell r="S2357" t="str">
            <v>Pieza</v>
          </cell>
          <cell r="V2357" t="str">
            <v>FC</v>
          </cell>
        </row>
        <row r="2358">
          <cell r="A2358">
            <v>214</v>
          </cell>
          <cell r="B2358">
            <v>2017</v>
          </cell>
          <cell r="C2358">
            <v>8300</v>
          </cell>
          <cell r="D2358">
            <v>3</v>
          </cell>
          <cell r="E2358">
            <v>5</v>
          </cell>
          <cell r="F2358">
            <v>1</v>
          </cell>
          <cell r="G2358">
            <v>5000</v>
          </cell>
          <cell r="H2358">
            <v>5300</v>
          </cell>
          <cell r="I2358">
            <v>531</v>
          </cell>
          <cell r="J2358">
            <v>12</v>
          </cell>
          <cell r="K2358" t="str">
            <v>Cortina antibacteriana</v>
          </cell>
          <cell r="L2358">
            <v>0</v>
          </cell>
          <cell r="M2358">
            <v>0</v>
          </cell>
          <cell r="N2358">
            <v>0</v>
          </cell>
          <cell r="O2358">
            <v>0</v>
          </cell>
          <cell r="P2358">
            <v>0</v>
          </cell>
          <cell r="Q2358">
            <v>0</v>
          </cell>
          <cell r="R2358">
            <v>0</v>
          </cell>
          <cell r="S2358" t="str">
            <v>Pieza</v>
          </cell>
          <cell r="V2358" t="str">
            <v>FC</v>
          </cell>
        </row>
        <row r="2359">
          <cell r="A2359">
            <v>215</v>
          </cell>
          <cell r="B2359">
            <v>2017</v>
          </cell>
          <cell r="C2359">
            <v>8300</v>
          </cell>
          <cell r="D2359">
            <v>3</v>
          </cell>
          <cell r="E2359">
            <v>5</v>
          </cell>
          <cell r="F2359">
            <v>1</v>
          </cell>
          <cell r="G2359">
            <v>5000</v>
          </cell>
          <cell r="H2359">
            <v>5300</v>
          </cell>
          <cell r="I2359">
            <v>531</v>
          </cell>
          <cell r="J2359">
            <v>13</v>
          </cell>
          <cell r="K2359" t="str">
            <v xml:space="preserve">Cuna de calor radiante </v>
          </cell>
          <cell r="L2359">
            <v>0</v>
          </cell>
          <cell r="M2359">
            <v>0</v>
          </cell>
          <cell r="N2359">
            <v>0</v>
          </cell>
          <cell r="O2359">
            <v>0</v>
          </cell>
          <cell r="P2359">
            <v>0</v>
          </cell>
          <cell r="Q2359">
            <v>0</v>
          </cell>
          <cell r="R2359">
            <v>0</v>
          </cell>
          <cell r="S2359" t="str">
            <v>Pieza</v>
          </cell>
          <cell r="V2359" t="str">
            <v>FC</v>
          </cell>
        </row>
        <row r="2360">
          <cell r="A2360">
            <v>216</v>
          </cell>
          <cell r="B2360">
            <v>2017</v>
          </cell>
          <cell r="C2360">
            <v>8300</v>
          </cell>
          <cell r="D2360">
            <v>3</v>
          </cell>
          <cell r="E2360">
            <v>5</v>
          </cell>
          <cell r="F2360">
            <v>1</v>
          </cell>
          <cell r="G2360">
            <v>5000</v>
          </cell>
          <cell r="H2360">
            <v>5300</v>
          </cell>
          <cell r="I2360">
            <v>531</v>
          </cell>
          <cell r="J2360">
            <v>14</v>
          </cell>
          <cell r="K2360" t="str">
            <v>Electrocardiógrafo</v>
          </cell>
          <cell r="L2360">
            <v>0</v>
          </cell>
          <cell r="M2360">
            <v>0</v>
          </cell>
          <cell r="N2360">
            <v>0</v>
          </cell>
          <cell r="O2360">
            <v>0</v>
          </cell>
          <cell r="P2360">
            <v>0</v>
          </cell>
          <cell r="Q2360">
            <v>0</v>
          </cell>
          <cell r="R2360">
            <v>0</v>
          </cell>
          <cell r="S2360" t="str">
            <v>Pieza</v>
          </cell>
          <cell r="V2360" t="str">
            <v>FC</v>
          </cell>
        </row>
        <row r="2361">
          <cell r="A2361">
            <v>217</v>
          </cell>
          <cell r="B2361">
            <v>2017</v>
          </cell>
          <cell r="C2361">
            <v>8300</v>
          </cell>
          <cell r="D2361">
            <v>3</v>
          </cell>
          <cell r="E2361">
            <v>5</v>
          </cell>
          <cell r="F2361">
            <v>1</v>
          </cell>
          <cell r="G2361">
            <v>5000</v>
          </cell>
          <cell r="H2361">
            <v>5300</v>
          </cell>
          <cell r="I2361">
            <v>531</v>
          </cell>
          <cell r="J2361">
            <v>15</v>
          </cell>
          <cell r="K2361" t="str">
            <v>Electrocauterio</v>
          </cell>
          <cell r="L2361">
            <v>0</v>
          </cell>
          <cell r="M2361">
            <v>0</v>
          </cell>
          <cell r="N2361">
            <v>0</v>
          </cell>
          <cell r="O2361">
            <v>0</v>
          </cell>
          <cell r="P2361">
            <v>0</v>
          </cell>
          <cell r="Q2361">
            <v>0</v>
          </cell>
          <cell r="R2361">
            <v>0</v>
          </cell>
          <cell r="S2361" t="str">
            <v>Pieza</v>
          </cell>
          <cell r="V2361" t="str">
            <v>FC</v>
          </cell>
        </row>
        <row r="2362">
          <cell r="A2362">
            <v>218</v>
          </cell>
          <cell r="B2362">
            <v>2017</v>
          </cell>
          <cell r="C2362">
            <v>8300</v>
          </cell>
          <cell r="D2362">
            <v>3</v>
          </cell>
          <cell r="E2362">
            <v>5</v>
          </cell>
          <cell r="F2362">
            <v>1</v>
          </cell>
          <cell r="G2362">
            <v>5000</v>
          </cell>
          <cell r="H2362">
            <v>5300</v>
          </cell>
          <cell r="I2362">
            <v>531</v>
          </cell>
          <cell r="J2362">
            <v>16</v>
          </cell>
          <cell r="K2362" t="str">
            <v>Equipo de química sanguínea</v>
          </cell>
          <cell r="L2362">
            <v>0</v>
          </cell>
          <cell r="M2362">
            <v>0</v>
          </cell>
          <cell r="N2362">
            <v>0</v>
          </cell>
          <cell r="O2362">
            <v>0</v>
          </cell>
          <cell r="P2362">
            <v>0</v>
          </cell>
          <cell r="Q2362">
            <v>0</v>
          </cell>
          <cell r="R2362">
            <v>0</v>
          </cell>
          <cell r="S2362" t="str">
            <v>Pieza</v>
          </cell>
          <cell r="V2362" t="str">
            <v>FC</v>
          </cell>
        </row>
        <row r="2363">
          <cell r="A2363">
            <v>219</v>
          </cell>
          <cell r="B2363">
            <v>2017</v>
          </cell>
          <cell r="C2363">
            <v>8300</v>
          </cell>
          <cell r="D2363">
            <v>3</v>
          </cell>
          <cell r="E2363">
            <v>5</v>
          </cell>
          <cell r="F2363">
            <v>1</v>
          </cell>
          <cell r="G2363">
            <v>5000</v>
          </cell>
          <cell r="H2363">
            <v>5300</v>
          </cell>
          <cell r="I2363">
            <v>531</v>
          </cell>
          <cell r="J2363">
            <v>17</v>
          </cell>
          <cell r="K2363" t="str">
            <v xml:space="preserve">Equipo de rayos x </v>
          </cell>
          <cell r="L2363">
            <v>0</v>
          </cell>
          <cell r="M2363">
            <v>0</v>
          </cell>
          <cell r="N2363">
            <v>0</v>
          </cell>
          <cell r="O2363">
            <v>0</v>
          </cell>
          <cell r="P2363">
            <v>0</v>
          </cell>
          <cell r="Q2363">
            <v>0</v>
          </cell>
          <cell r="R2363">
            <v>0</v>
          </cell>
          <cell r="S2363" t="str">
            <v>Pieza</v>
          </cell>
          <cell r="V2363" t="str">
            <v>FC</v>
          </cell>
        </row>
        <row r="2364">
          <cell r="A2364">
            <v>220</v>
          </cell>
          <cell r="B2364">
            <v>2017</v>
          </cell>
          <cell r="C2364">
            <v>8300</v>
          </cell>
          <cell r="D2364">
            <v>3</v>
          </cell>
          <cell r="E2364">
            <v>5</v>
          </cell>
          <cell r="F2364">
            <v>1</v>
          </cell>
          <cell r="G2364">
            <v>5000</v>
          </cell>
          <cell r="H2364">
            <v>5300</v>
          </cell>
          <cell r="I2364">
            <v>531</v>
          </cell>
          <cell r="J2364">
            <v>18</v>
          </cell>
          <cell r="K2364" t="str">
            <v>Equipo de ultrasonido</v>
          </cell>
          <cell r="L2364">
            <v>0</v>
          </cell>
          <cell r="M2364">
            <v>0</v>
          </cell>
          <cell r="N2364">
            <v>0</v>
          </cell>
          <cell r="O2364">
            <v>0</v>
          </cell>
          <cell r="P2364">
            <v>0</v>
          </cell>
          <cell r="Q2364">
            <v>0</v>
          </cell>
          <cell r="R2364">
            <v>0</v>
          </cell>
          <cell r="S2364" t="str">
            <v>Pieza</v>
          </cell>
          <cell r="V2364" t="str">
            <v>FC</v>
          </cell>
        </row>
        <row r="2365">
          <cell r="A2365">
            <v>221</v>
          </cell>
          <cell r="B2365">
            <v>2017</v>
          </cell>
          <cell r="C2365">
            <v>8300</v>
          </cell>
          <cell r="D2365">
            <v>3</v>
          </cell>
          <cell r="E2365">
            <v>5</v>
          </cell>
          <cell r="F2365">
            <v>1</v>
          </cell>
          <cell r="G2365">
            <v>5000</v>
          </cell>
          <cell r="H2365">
            <v>5300</v>
          </cell>
          <cell r="I2365">
            <v>531</v>
          </cell>
          <cell r="J2365">
            <v>19</v>
          </cell>
          <cell r="K2365" t="str">
            <v>Equipo médico</v>
          </cell>
          <cell r="L2365">
            <v>0</v>
          </cell>
          <cell r="M2365">
            <v>0</v>
          </cell>
          <cell r="N2365">
            <v>0</v>
          </cell>
          <cell r="O2365">
            <v>0</v>
          </cell>
          <cell r="P2365">
            <v>0</v>
          </cell>
          <cell r="Q2365">
            <v>0</v>
          </cell>
          <cell r="R2365">
            <v>0</v>
          </cell>
          <cell r="S2365" t="str">
            <v>Pieza</v>
          </cell>
          <cell r="V2365" t="str">
            <v>FC</v>
          </cell>
        </row>
        <row r="2366">
          <cell r="A2366">
            <v>222</v>
          </cell>
          <cell r="B2366">
            <v>2017</v>
          </cell>
          <cell r="C2366">
            <v>8300</v>
          </cell>
          <cell r="D2366">
            <v>3</v>
          </cell>
          <cell r="E2366">
            <v>5</v>
          </cell>
          <cell r="F2366">
            <v>1</v>
          </cell>
          <cell r="G2366">
            <v>5000</v>
          </cell>
          <cell r="H2366">
            <v>5300</v>
          </cell>
          <cell r="I2366">
            <v>531</v>
          </cell>
          <cell r="J2366">
            <v>20</v>
          </cell>
          <cell r="K2366" t="str">
            <v>Esfigmomanómetro mercurial</v>
          </cell>
          <cell r="L2366">
            <v>0</v>
          </cell>
          <cell r="M2366">
            <v>0</v>
          </cell>
          <cell r="N2366">
            <v>0</v>
          </cell>
          <cell r="O2366">
            <v>0</v>
          </cell>
          <cell r="P2366">
            <v>0</v>
          </cell>
          <cell r="Q2366">
            <v>0</v>
          </cell>
          <cell r="R2366">
            <v>0</v>
          </cell>
          <cell r="S2366" t="str">
            <v>Pieza</v>
          </cell>
          <cell r="V2366" t="str">
            <v>FC</v>
          </cell>
        </row>
        <row r="2367">
          <cell r="A2367">
            <v>223</v>
          </cell>
          <cell r="B2367">
            <v>2017</v>
          </cell>
          <cell r="C2367">
            <v>8300</v>
          </cell>
          <cell r="D2367">
            <v>3</v>
          </cell>
          <cell r="E2367">
            <v>5</v>
          </cell>
          <cell r="F2367">
            <v>1</v>
          </cell>
          <cell r="G2367">
            <v>5000</v>
          </cell>
          <cell r="H2367">
            <v>5300</v>
          </cell>
          <cell r="I2367">
            <v>531</v>
          </cell>
          <cell r="J2367">
            <v>21</v>
          </cell>
          <cell r="K2367" t="str">
            <v>Especímetro</v>
          </cell>
          <cell r="L2367">
            <v>0</v>
          </cell>
          <cell r="M2367">
            <v>0</v>
          </cell>
          <cell r="N2367">
            <v>0</v>
          </cell>
          <cell r="O2367">
            <v>0</v>
          </cell>
          <cell r="P2367">
            <v>0</v>
          </cell>
          <cell r="Q2367">
            <v>0</v>
          </cell>
          <cell r="R2367">
            <v>0</v>
          </cell>
          <cell r="S2367" t="str">
            <v>Pieza</v>
          </cell>
          <cell r="V2367" t="str">
            <v>FC</v>
          </cell>
        </row>
        <row r="2368">
          <cell r="A2368">
            <v>224</v>
          </cell>
          <cell r="B2368">
            <v>2017</v>
          </cell>
          <cell r="C2368">
            <v>8300</v>
          </cell>
          <cell r="D2368">
            <v>3</v>
          </cell>
          <cell r="E2368">
            <v>5</v>
          </cell>
          <cell r="F2368">
            <v>1</v>
          </cell>
          <cell r="G2368">
            <v>5000</v>
          </cell>
          <cell r="H2368">
            <v>5300</v>
          </cell>
          <cell r="I2368">
            <v>531</v>
          </cell>
          <cell r="J2368">
            <v>22</v>
          </cell>
          <cell r="K2368" t="str">
            <v>Espectrofotómetro</v>
          </cell>
          <cell r="L2368">
            <v>0</v>
          </cell>
          <cell r="M2368">
            <v>0</v>
          </cell>
          <cell r="N2368">
            <v>0</v>
          </cell>
          <cell r="O2368">
            <v>0</v>
          </cell>
          <cell r="P2368">
            <v>0</v>
          </cell>
          <cell r="Q2368">
            <v>0</v>
          </cell>
          <cell r="R2368">
            <v>0</v>
          </cell>
          <cell r="S2368" t="str">
            <v>Pieza</v>
          </cell>
          <cell r="V2368" t="str">
            <v>FC</v>
          </cell>
        </row>
        <row r="2369">
          <cell r="A2369">
            <v>225</v>
          </cell>
          <cell r="B2369">
            <v>2017</v>
          </cell>
          <cell r="C2369">
            <v>8300</v>
          </cell>
          <cell r="D2369">
            <v>3</v>
          </cell>
          <cell r="E2369">
            <v>5</v>
          </cell>
          <cell r="F2369">
            <v>1</v>
          </cell>
          <cell r="G2369">
            <v>5000</v>
          </cell>
          <cell r="H2369">
            <v>5300</v>
          </cell>
          <cell r="I2369">
            <v>531</v>
          </cell>
          <cell r="J2369">
            <v>23</v>
          </cell>
          <cell r="K2369" t="str">
            <v>Esterilizador</v>
          </cell>
          <cell r="L2369">
            <v>0</v>
          </cell>
          <cell r="M2369">
            <v>0</v>
          </cell>
          <cell r="N2369">
            <v>0</v>
          </cell>
          <cell r="O2369">
            <v>0</v>
          </cell>
          <cell r="P2369">
            <v>0</v>
          </cell>
          <cell r="Q2369">
            <v>0</v>
          </cell>
          <cell r="R2369">
            <v>0</v>
          </cell>
          <cell r="S2369" t="str">
            <v>Pieza</v>
          </cell>
          <cell r="V2369" t="str">
            <v>FC</v>
          </cell>
        </row>
        <row r="2370">
          <cell r="A2370">
            <v>226</v>
          </cell>
          <cell r="B2370">
            <v>2017</v>
          </cell>
          <cell r="C2370">
            <v>8300</v>
          </cell>
          <cell r="D2370">
            <v>3</v>
          </cell>
          <cell r="E2370">
            <v>5</v>
          </cell>
          <cell r="F2370">
            <v>1</v>
          </cell>
          <cell r="G2370">
            <v>5000</v>
          </cell>
          <cell r="H2370">
            <v>5300</v>
          </cell>
          <cell r="I2370">
            <v>531</v>
          </cell>
          <cell r="J2370">
            <v>24</v>
          </cell>
          <cell r="K2370" t="str">
            <v xml:space="preserve">Estetoscopio </v>
          </cell>
          <cell r="L2370">
            <v>0</v>
          </cell>
          <cell r="M2370">
            <v>0</v>
          </cell>
          <cell r="N2370">
            <v>0</v>
          </cell>
          <cell r="O2370">
            <v>0</v>
          </cell>
          <cell r="P2370">
            <v>0</v>
          </cell>
          <cell r="Q2370">
            <v>0</v>
          </cell>
          <cell r="R2370">
            <v>0</v>
          </cell>
          <cell r="S2370" t="str">
            <v>Pieza</v>
          </cell>
          <cell r="V2370" t="str">
            <v>FC</v>
          </cell>
        </row>
        <row r="2371">
          <cell r="A2371">
            <v>227</v>
          </cell>
          <cell r="B2371">
            <v>2017</v>
          </cell>
          <cell r="C2371">
            <v>8300</v>
          </cell>
          <cell r="D2371">
            <v>3</v>
          </cell>
          <cell r="E2371">
            <v>5</v>
          </cell>
          <cell r="F2371">
            <v>1</v>
          </cell>
          <cell r="G2371">
            <v>5000</v>
          </cell>
          <cell r="H2371">
            <v>5300</v>
          </cell>
          <cell r="I2371">
            <v>531</v>
          </cell>
          <cell r="J2371">
            <v>25</v>
          </cell>
          <cell r="K2371" t="str">
            <v>Estuche de diagnóstico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 t="str">
            <v>Pieza</v>
          </cell>
          <cell r="V2371" t="str">
            <v>FC</v>
          </cell>
        </row>
        <row r="2372">
          <cell r="A2372">
            <v>228</v>
          </cell>
          <cell r="B2372">
            <v>2017</v>
          </cell>
          <cell r="C2372">
            <v>8300</v>
          </cell>
          <cell r="D2372">
            <v>3</v>
          </cell>
          <cell r="E2372">
            <v>5</v>
          </cell>
          <cell r="F2372">
            <v>1</v>
          </cell>
          <cell r="G2372">
            <v>5000</v>
          </cell>
          <cell r="H2372">
            <v>5300</v>
          </cell>
          <cell r="I2372">
            <v>531</v>
          </cell>
          <cell r="J2372">
            <v>26</v>
          </cell>
          <cell r="K2372" t="str">
            <v>Generador radiológico</v>
          </cell>
          <cell r="L2372">
            <v>0</v>
          </cell>
          <cell r="M2372">
            <v>0</v>
          </cell>
          <cell r="N2372">
            <v>0</v>
          </cell>
          <cell r="O2372">
            <v>0</v>
          </cell>
          <cell r="P2372">
            <v>0</v>
          </cell>
          <cell r="Q2372">
            <v>0</v>
          </cell>
          <cell r="R2372">
            <v>0</v>
          </cell>
          <cell r="S2372" t="str">
            <v>Pieza</v>
          </cell>
          <cell r="V2372" t="str">
            <v>FC</v>
          </cell>
        </row>
        <row r="2373">
          <cell r="A2373">
            <v>229</v>
          </cell>
          <cell r="B2373">
            <v>2017</v>
          </cell>
          <cell r="C2373">
            <v>8300</v>
          </cell>
          <cell r="D2373">
            <v>3</v>
          </cell>
          <cell r="E2373">
            <v>5</v>
          </cell>
          <cell r="F2373">
            <v>1</v>
          </cell>
          <cell r="G2373">
            <v>5000</v>
          </cell>
          <cell r="H2373">
            <v>5300</v>
          </cell>
          <cell r="I2373">
            <v>531</v>
          </cell>
          <cell r="J2373">
            <v>27</v>
          </cell>
          <cell r="K2373" t="str">
            <v>Glucómetro</v>
          </cell>
          <cell r="L2373">
            <v>0</v>
          </cell>
          <cell r="M2373">
            <v>0</v>
          </cell>
          <cell r="N2373">
            <v>0</v>
          </cell>
          <cell r="O2373">
            <v>0</v>
          </cell>
          <cell r="P2373">
            <v>0</v>
          </cell>
          <cell r="Q2373">
            <v>0</v>
          </cell>
          <cell r="R2373">
            <v>0</v>
          </cell>
          <cell r="S2373" t="str">
            <v>Pieza</v>
          </cell>
          <cell r="V2373" t="str">
            <v>FC</v>
          </cell>
        </row>
        <row r="2374">
          <cell r="A2374">
            <v>230</v>
          </cell>
          <cell r="B2374">
            <v>2017</v>
          </cell>
          <cell r="C2374">
            <v>8300</v>
          </cell>
          <cell r="D2374">
            <v>3</v>
          </cell>
          <cell r="E2374">
            <v>5</v>
          </cell>
          <cell r="F2374">
            <v>1</v>
          </cell>
          <cell r="G2374">
            <v>5000</v>
          </cell>
          <cell r="H2374">
            <v>5300</v>
          </cell>
          <cell r="I2374">
            <v>531</v>
          </cell>
          <cell r="J2374">
            <v>28</v>
          </cell>
          <cell r="K2374" t="str">
            <v>Lámpara de exploración</v>
          </cell>
          <cell r="L2374">
            <v>0</v>
          </cell>
          <cell r="M2374">
            <v>0</v>
          </cell>
          <cell r="N2374">
            <v>0</v>
          </cell>
          <cell r="O2374">
            <v>0</v>
          </cell>
          <cell r="P2374">
            <v>0</v>
          </cell>
          <cell r="Q2374">
            <v>0</v>
          </cell>
          <cell r="R2374">
            <v>0</v>
          </cell>
          <cell r="S2374" t="str">
            <v>Pieza</v>
          </cell>
          <cell r="V2374" t="str">
            <v>FC</v>
          </cell>
        </row>
        <row r="2375">
          <cell r="A2375">
            <v>231</v>
          </cell>
          <cell r="B2375">
            <v>2017</v>
          </cell>
          <cell r="C2375">
            <v>8300</v>
          </cell>
          <cell r="D2375">
            <v>3</v>
          </cell>
          <cell r="E2375">
            <v>5</v>
          </cell>
          <cell r="F2375">
            <v>1</v>
          </cell>
          <cell r="G2375">
            <v>5000</v>
          </cell>
          <cell r="H2375">
            <v>5300</v>
          </cell>
          <cell r="I2375">
            <v>531</v>
          </cell>
          <cell r="J2375">
            <v>29</v>
          </cell>
          <cell r="K2375" t="str">
            <v>Lector de micro hematocrito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 t="str">
            <v>Pieza</v>
          </cell>
          <cell r="V2375" t="str">
            <v>FC</v>
          </cell>
        </row>
        <row r="2376">
          <cell r="A2376">
            <v>232</v>
          </cell>
          <cell r="B2376">
            <v>2017</v>
          </cell>
          <cell r="C2376">
            <v>8300</v>
          </cell>
          <cell r="D2376">
            <v>3</v>
          </cell>
          <cell r="E2376">
            <v>5</v>
          </cell>
          <cell r="F2376">
            <v>1</v>
          </cell>
          <cell r="G2376">
            <v>5000</v>
          </cell>
          <cell r="H2376">
            <v>5300</v>
          </cell>
          <cell r="I2376">
            <v>531</v>
          </cell>
          <cell r="J2376">
            <v>30</v>
          </cell>
          <cell r="K2376" t="str">
            <v>Mampara de protección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 t="str">
            <v>Pieza</v>
          </cell>
          <cell r="V2376" t="str">
            <v>FC</v>
          </cell>
        </row>
        <row r="2377">
          <cell r="A2377">
            <v>233</v>
          </cell>
          <cell r="B2377">
            <v>2017</v>
          </cell>
          <cell r="C2377">
            <v>8300</v>
          </cell>
          <cell r="D2377">
            <v>3</v>
          </cell>
          <cell r="E2377">
            <v>5</v>
          </cell>
          <cell r="F2377">
            <v>1</v>
          </cell>
          <cell r="G2377">
            <v>5000</v>
          </cell>
          <cell r="H2377">
            <v>5300</v>
          </cell>
          <cell r="I2377">
            <v>531</v>
          </cell>
          <cell r="J2377">
            <v>31</v>
          </cell>
          <cell r="K2377" t="str">
            <v>Marcador de intervalos</v>
          </cell>
          <cell r="L2377">
            <v>0</v>
          </cell>
          <cell r="M2377">
            <v>0</v>
          </cell>
          <cell r="N2377">
            <v>0</v>
          </cell>
          <cell r="O2377">
            <v>0</v>
          </cell>
          <cell r="P2377">
            <v>0</v>
          </cell>
          <cell r="Q2377">
            <v>0</v>
          </cell>
          <cell r="R2377">
            <v>0</v>
          </cell>
          <cell r="S2377" t="str">
            <v>Pieza</v>
          </cell>
          <cell r="V2377" t="str">
            <v>FC</v>
          </cell>
        </row>
        <row r="2378">
          <cell r="A2378">
            <v>234</v>
          </cell>
          <cell r="B2378">
            <v>2017</v>
          </cell>
          <cell r="C2378">
            <v>8300</v>
          </cell>
          <cell r="D2378">
            <v>3</v>
          </cell>
          <cell r="E2378">
            <v>5</v>
          </cell>
          <cell r="F2378">
            <v>1</v>
          </cell>
          <cell r="G2378">
            <v>5000</v>
          </cell>
          <cell r="H2378">
            <v>5300</v>
          </cell>
          <cell r="I2378">
            <v>531</v>
          </cell>
          <cell r="J2378">
            <v>32</v>
          </cell>
          <cell r="K2378" t="str">
            <v>Mesa de exploración</v>
          </cell>
          <cell r="L2378">
            <v>0</v>
          </cell>
          <cell r="M2378">
            <v>0</v>
          </cell>
          <cell r="N2378">
            <v>0</v>
          </cell>
          <cell r="O2378">
            <v>0</v>
          </cell>
          <cell r="P2378">
            <v>0</v>
          </cell>
          <cell r="Q2378">
            <v>0</v>
          </cell>
          <cell r="R2378">
            <v>0</v>
          </cell>
          <cell r="S2378" t="str">
            <v>Pieza</v>
          </cell>
          <cell r="V2378" t="str">
            <v>FC</v>
          </cell>
        </row>
        <row r="2379">
          <cell r="A2379">
            <v>235</v>
          </cell>
          <cell r="B2379">
            <v>2017</v>
          </cell>
          <cell r="C2379">
            <v>8300</v>
          </cell>
          <cell r="D2379">
            <v>3</v>
          </cell>
          <cell r="E2379">
            <v>5</v>
          </cell>
          <cell r="F2379">
            <v>1</v>
          </cell>
          <cell r="G2379">
            <v>5000</v>
          </cell>
          <cell r="H2379">
            <v>5300</v>
          </cell>
          <cell r="I2379">
            <v>531</v>
          </cell>
          <cell r="J2379">
            <v>33</v>
          </cell>
          <cell r="K2379" t="str">
            <v>Mesa de quirófano</v>
          </cell>
          <cell r="L2379">
            <v>0</v>
          </cell>
          <cell r="M2379">
            <v>0</v>
          </cell>
          <cell r="N2379">
            <v>0</v>
          </cell>
          <cell r="O2379">
            <v>0</v>
          </cell>
          <cell r="P2379">
            <v>0</v>
          </cell>
          <cell r="Q2379">
            <v>0</v>
          </cell>
          <cell r="R2379">
            <v>0</v>
          </cell>
          <cell r="S2379" t="str">
            <v>Pieza</v>
          </cell>
          <cell r="V2379" t="str">
            <v>FC</v>
          </cell>
        </row>
        <row r="2380">
          <cell r="A2380">
            <v>236</v>
          </cell>
          <cell r="B2380">
            <v>2017</v>
          </cell>
          <cell r="C2380">
            <v>8300</v>
          </cell>
          <cell r="D2380">
            <v>3</v>
          </cell>
          <cell r="E2380">
            <v>5</v>
          </cell>
          <cell r="F2380">
            <v>1</v>
          </cell>
          <cell r="G2380">
            <v>5000</v>
          </cell>
          <cell r="H2380">
            <v>5300</v>
          </cell>
          <cell r="I2380">
            <v>531</v>
          </cell>
          <cell r="J2380">
            <v>34</v>
          </cell>
          <cell r="K2380" t="str">
            <v>Mesa de riñón</v>
          </cell>
          <cell r="L2380">
            <v>0</v>
          </cell>
          <cell r="M2380">
            <v>0</v>
          </cell>
          <cell r="N2380">
            <v>0</v>
          </cell>
          <cell r="O2380">
            <v>0</v>
          </cell>
          <cell r="P2380">
            <v>0</v>
          </cell>
          <cell r="Q2380">
            <v>0</v>
          </cell>
          <cell r="R2380">
            <v>0</v>
          </cell>
          <cell r="S2380" t="str">
            <v>Pieza</v>
          </cell>
          <cell r="V2380" t="str">
            <v>FC</v>
          </cell>
        </row>
        <row r="2381">
          <cell r="A2381">
            <v>237</v>
          </cell>
          <cell r="B2381">
            <v>2017</v>
          </cell>
          <cell r="C2381">
            <v>8300</v>
          </cell>
          <cell r="D2381">
            <v>3</v>
          </cell>
          <cell r="E2381">
            <v>5</v>
          </cell>
          <cell r="F2381">
            <v>1</v>
          </cell>
          <cell r="G2381">
            <v>5000</v>
          </cell>
          <cell r="H2381">
            <v>5300</v>
          </cell>
          <cell r="I2381">
            <v>531</v>
          </cell>
          <cell r="J2381">
            <v>35</v>
          </cell>
          <cell r="K2381" t="str">
            <v>Mesa hospitalaria</v>
          </cell>
          <cell r="L2381">
            <v>0</v>
          </cell>
          <cell r="M2381">
            <v>0</v>
          </cell>
          <cell r="N2381">
            <v>0</v>
          </cell>
          <cell r="O2381">
            <v>0</v>
          </cell>
          <cell r="P2381">
            <v>0</v>
          </cell>
          <cell r="Q2381">
            <v>0</v>
          </cell>
          <cell r="R2381">
            <v>0</v>
          </cell>
          <cell r="S2381" t="str">
            <v>Pieza</v>
          </cell>
          <cell r="V2381" t="str">
            <v>FC</v>
          </cell>
        </row>
        <row r="2382">
          <cell r="A2382">
            <v>238</v>
          </cell>
          <cell r="B2382">
            <v>2017</v>
          </cell>
          <cell r="C2382">
            <v>8300</v>
          </cell>
          <cell r="D2382">
            <v>3</v>
          </cell>
          <cell r="E2382">
            <v>5</v>
          </cell>
          <cell r="F2382">
            <v>1</v>
          </cell>
          <cell r="G2382">
            <v>5000</v>
          </cell>
          <cell r="H2382">
            <v>5300</v>
          </cell>
          <cell r="I2382">
            <v>531</v>
          </cell>
          <cell r="J2382">
            <v>36</v>
          </cell>
          <cell r="K2382" t="str">
            <v>Microscopio</v>
          </cell>
          <cell r="L2382">
            <v>0</v>
          </cell>
          <cell r="M2382">
            <v>0</v>
          </cell>
          <cell r="N2382">
            <v>0</v>
          </cell>
          <cell r="O2382">
            <v>0</v>
          </cell>
          <cell r="P2382">
            <v>0</v>
          </cell>
          <cell r="Q2382">
            <v>0</v>
          </cell>
          <cell r="R2382">
            <v>0</v>
          </cell>
          <cell r="S2382" t="str">
            <v>Pieza</v>
          </cell>
          <cell r="V2382" t="str">
            <v>FC</v>
          </cell>
        </row>
        <row r="2383">
          <cell r="A2383">
            <v>239</v>
          </cell>
          <cell r="B2383">
            <v>2017</v>
          </cell>
          <cell r="C2383">
            <v>8300</v>
          </cell>
          <cell r="D2383">
            <v>3</v>
          </cell>
          <cell r="E2383">
            <v>5</v>
          </cell>
          <cell r="F2383">
            <v>1</v>
          </cell>
          <cell r="G2383">
            <v>5000</v>
          </cell>
          <cell r="H2383">
            <v>5300</v>
          </cell>
          <cell r="I2383">
            <v>531</v>
          </cell>
          <cell r="J2383">
            <v>37</v>
          </cell>
          <cell r="K2383" t="str">
            <v>Monitor</v>
          </cell>
          <cell r="L2383">
            <v>0</v>
          </cell>
          <cell r="M2383">
            <v>0</v>
          </cell>
          <cell r="N2383">
            <v>0</v>
          </cell>
          <cell r="O2383">
            <v>0</v>
          </cell>
          <cell r="P2383">
            <v>0</v>
          </cell>
          <cell r="Q2383">
            <v>0</v>
          </cell>
          <cell r="R2383">
            <v>0</v>
          </cell>
          <cell r="S2383" t="str">
            <v>Pieza</v>
          </cell>
          <cell r="V2383" t="str">
            <v>FC</v>
          </cell>
        </row>
        <row r="2384">
          <cell r="A2384">
            <v>240</v>
          </cell>
          <cell r="B2384">
            <v>2017</v>
          </cell>
          <cell r="C2384">
            <v>8300</v>
          </cell>
          <cell r="D2384">
            <v>3</v>
          </cell>
          <cell r="E2384">
            <v>5</v>
          </cell>
          <cell r="F2384">
            <v>1</v>
          </cell>
          <cell r="G2384">
            <v>5000</v>
          </cell>
          <cell r="H2384">
            <v>5300</v>
          </cell>
          <cell r="I2384">
            <v>531</v>
          </cell>
          <cell r="J2384">
            <v>38</v>
          </cell>
          <cell r="K2384" t="str">
            <v>Monitor de signos vitales</v>
          </cell>
          <cell r="L2384">
            <v>0</v>
          </cell>
          <cell r="M2384">
            <v>0</v>
          </cell>
          <cell r="N2384">
            <v>0</v>
          </cell>
          <cell r="O2384">
            <v>0</v>
          </cell>
          <cell r="P2384">
            <v>0</v>
          </cell>
          <cell r="Q2384">
            <v>0</v>
          </cell>
          <cell r="R2384">
            <v>0</v>
          </cell>
          <cell r="S2384" t="str">
            <v>Pieza</v>
          </cell>
          <cell r="V2384" t="str">
            <v>FC</v>
          </cell>
        </row>
        <row r="2385">
          <cell r="A2385">
            <v>241</v>
          </cell>
          <cell r="B2385">
            <v>2017</v>
          </cell>
          <cell r="C2385">
            <v>8300</v>
          </cell>
          <cell r="D2385">
            <v>3</v>
          </cell>
          <cell r="E2385">
            <v>5</v>
          </cell>
          <cell r="F2385">
            <v>1</v>
          </cell>
          <cell r="G2385">
            <v>5000</v>
          </cell>
          <cell r="H2385">
            <v>5300</v>
          </cell>
          <cell r="I2385">
            <v>531</v>
          </cell>
          <cell r="J2385">
            <v>39</v>
          </cell>
          <cell r="K2385" t="str">
            <v>Monitor para negatoscopio</v>
          </cell>
          <cell r="L2385">
            <v>0</v>
          </cell>
          <cell r="M2385">
            <v>0</v>
          </cell>
          <cell r="N2385">
            <v>0</v>
          </cell>
          <cell r="O2385">
            <v>0</v>
          </cell>
          <cell r="P2385">
            <v>0</v>
          </cell>
          <cell r="Q2385">
            <v>0</v>
          </cell>
          <cell r="R2385">
            <v>0</v>
          </cell>
          <cell r="S2385" t="str">
            <v>Pieza</v>
          </cell>
          <cell r="V2385" t="str">
            <v>FC</v>
          </cell>
        </row>
        <row r="2386">
          <cell r="A2386">
            <v>242</v>
          </cell>
          <cell r="B2386">
            <v>2017</v>
          </cell>
          <cell r="C2386">
            <v>8300</v>
          </cell>
          <cell r="D2386">
            <v>3</v>
          </cell>
          <cell r="E2386">
            <v>5</v>
          </cell>
          <cell r="F2386">
            <v>1</v>
          </cell>
          <cell r="G2386">
            <v>5000</v>
          </cell>
          <cell r="H2386">
            <v>5300</v>
          </cell>
          <cell r="I2386">
            <v>531</v>
          </cell>
          <cell r="J2386">
            <v>40</v>
          </cell>
          <cell r="K2386" t="str">
            <v>Mueble central de enfermeras</v>
          </cell>
          <cell r="L2386">
            <v>0</v>
          </cell>
          <cell r="M2386">
            <v>0</v>
          </cell>
          <cell r="N2386">
            <v>0</v>
          </cell>
          <cell r="O2386">
            <v>0</v>
          </cell>
          <cell r="P2386">
            <v>0</v>
          </cell>
          <cell r="Q2386">
            <v>0</v>
          </cell>
          <cell r="R2386">
            <v>0</v>
          </cell>
          <cell r="S2386" t="str">
            <v>Pieza</v>
          </cell>
          <cell r="V2386" t="str">
            <v>FC</v>
          </cell>
        </row>
        <row r="2387">
          <cell r="A2387">
            <v>243</v>
          </cell>
          <cell r="B2387">
            <v>2017</v>
          </cell>
          <cell r="C2387">
            <v>8300</v>
          </cell>
          <cell r="D2387">
            <v>3</v>
          </cell>
          <cell r="E2387">
            <v>5</v>
          </cell>
          <cell r="F2387">
            <v>1</v>
          </cell>
          <cell r="G2387">
            <v>5000</v>
          </cell>
          <cell r="H2387">
            <v>5300</v>
          </cell>
          <cell r="I2387">
            <v>531</v>
          </cell>
          <cell r="J2387">
            <v>41</v>
          </cell>
          <cell r="K2387" t="str">
            <v>Muletas</v>
          </cell>
          <cell r="L2387">
            <v>0</v>
          </cell>
          <cell r="M2387">
            <v>0</v>
          </cell>
          <cell r="N2387">
            <v>0</v>
          </cell>
          <cell r="O2387">
            <v>0</v>
          </cell>
          <cell r="P2387">
            <v>0</v>
          </cell>
          <cell r="Q2387">
            <v>0</v>
          </cell>
          <cell r="R2387">
            <v>0</v>
          </cell>
          <cell r="S2387" t="str">
            <v>Pieza</v>
          </cell>
          <cell r="V2387" t="str">
            <v>FC</v>
          </cell>
        </row>
        <row r="2388">
          <cell r="A2388">
            <v>244</v>
          </cell>
          <cell r="B2388">
            <v>2017</v>
          </cell>
          <cell r="C2388">
            <v>8300</v>
          </cell>
          <cell r="D2388">
            <v>3</v>
          </cell>
          <cell r="E2388">
            <v>5</v>
          </cell>
          <cell r="F2388">
            <v>1</v>
          </cell>
          <cell r="G2388">
            <v>5000</v>
          </cell>
          <cell r="H2388">
            <v>5300</v>
          </cell>
          <cell r="I2388">
            <v>531</v>
          </cell>
          <cell r="J2388">
            <v>42</v>
          </cell>
          <cell r="K2388" t="str">
            <v>Negatoscopio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 t="str">
            <v>Pieza</v>
          </cell>
          <cell r="V2388" t="str">
            <v>FC</v>
          </cell>
        </row>
        <row r="2389">
          <cell r="A2389">
            <v>245</v>
          </cell>
          <cell r="B2389">
            <v>2017</v>
          </cell>
          <cell r="C2389">
            <v>8300</v>
          </cell>
          <cell r="D2389">
            <v>3</v>
          </cell>
          <cell r="E2389">
            <v>5</v>
          </cell>
          <cell r="F2389">
            <v>1</v>
          </cell>
          <cell r="G2389">
            <v>5000</v>
          </cell>
          <cell r="H2389">
            <v>5300</v>
          </cell>
          <cell r="I2389">
            <v>531</v>
          </cell>
          <cell r="J2389">
            <v>43</v>
          </cell>
          <cell r="K2389" t="str">
            <v>Parrilla de placa</v>
          </cell>
          <cell r="L2389">
            <v>0</v>
          </cell>
          <cell r="M2389">
            <v>0</v>
          </cell>
          <cell r="N2389">
            <v>0</v>
          </cell>
          <cell r="O2389">
            <v>0</v>
          </cell>
          <cell r="P2389">
            <v>0</v>
          </cell>
          <cell r="Q2389">
            <v>0</v>
          </cell>
          <cell r="R2389">
            <v>0</v>
          </cell>
          <cell r="S2389" t="str">
            <v>Pieza</v>
          </cell>
          <cell r="V2389" t="str">
            <v>FC</v>
          </cell>
        </row>
        <row r="2390">
          <cell r="A2390">
            <v>246</v>
          </cell>
          <cell r="B2390">
            <v>2017</v>
          </cell>
          <cell r="C2390">
            <v>8300</v>
          </cell>
          <cell r="D2390">
            <v>3</v>
          </cell>
          <cell r="E2390">
            <v>5</v>
          </cell>
          <cell r="F2390">
            <v>1</v>
          </cell>
          <cell r="G2390">
            <v>5000</v>
          </cell>
          <cell r="H2390">
            <v>5300</v>
          </cell>
          <cell r="I2390">
            <v>531</v>
          </cell>
          <cell r="J2390">
            <v>44</v>
          </cell>
          <cell r="K2390" t="str">
            <v>Porta suero</v>
          </cell>
          <cell r="L2390">
            <v>0</v>
          </cell>
          <cell r="M2390">
            <v>0</v>
          </cell>
          <cell r="N2390">
            <v>0</v>
          </cell>
          <cell r="O2390">
            <v>0</v>
          </cell>
          <cell r="P2390">
            <v>0</v>
          </cell>
          <cell r="Q2390">
            <v>0</v>
          </cell>
          <cell r="R2390">
            <v>0</v>
          </cell>
          <cell r="S2390" t="str">
            <v>Pieza</v>
          </cell>
          <cell r="V2390" t="str">
            <v>FC</v>
          </cell>
        </row>
        <row r="2391">
          <cell r="A2391">
            <v>247</v>
          </cell>
          <cell r="B2391">
            <v>2017</v>
          </cell>
          <cell r="C2391">
            <v>8300</v>
          </cell>
          <cell r="D2391">
            <v>3</v>
          </cell>
          <cell r="E2391">
            <v>5</v>
          </cell>
          <cell r="F2391">
            <v>1</v>
          </cell>
          <cell r="G2391">
            <v>5000</v>
          </cell>
          <cell r="H2391">
            <v>5300</v>
          </cell>
          <cell r="I2391">
            <v>531</v>
          </cell>
          <cell r="J2391">
            <v>45</v>
          </cell>
          <cell r="K2391" t="str">
            <v xml:space="preserve">Refrigerador </v>
          </cell>
          <cell r="L2391">
            <v>0</v>
          </cell>
          <cell r="M2391">
            <v>0</v>
          </cell>
          <cell r="N2391">
            <v>0</v>
          </cell>
          <cell r="O2391">
            <v>0</v>
          </cell>
          <cell r="P2391">
            <v>0</v>
          </cell>
          <cell r="Q2391">
            <v>0</v>
          </cell>
          <cell r="R2391">
            <v>0</v>
          </cell>
          <cell r="S2391" t="str">
            <v>Pieza</v>
          </cell>
          <cell r="V2391" t="str">
            <v>FC</v>
          </cell>
        </row>
        <row r="2392">
          <cell r="A2392">
            <v>248</v>
          </cell>
          <cell r="B2392">
            <v>2017</v>
          </cell>
          <cell r="C2392">
            <v>8300</v>
          </cell>
          <cell r="D2392">
            <v>3</v>
          </cell>
          <cell r="E2392">
            <v>5</v>
          </cell>
          <cell r="F2392">
            <v>1</v>
          </cell>
          <cell r="G2392">
            <v>5000</v>
          </cell>
          <cell r="H2392">
            <v>5300</v>
          </cell>
          <cell r="I2392">
            <v>531</v>
          </cell>
          <cell r="J2392">
            <v>46</v>
          </cell>
          <cell r="K2392" t="str">
            <v>Silla de ruedas</v>
          </cell>
          <cell r="L2392">
            <v>0</v>
          </cell>
          <cell r="M2392">
            <v>0</v>
          </cell>
          <cell r="N2392">
            <v>0</v>
          </cell>
          <cell r="O2392">
            <v>0</v>
          </cell>
          <cell r="P2392">
            <v>0</v>
          </cell>
          <cell r="Q2392">
            <v>0</v>
          </cell>
          <cell r="R2392">
            <v>0</v>
          </cell>
          <cell r="S2392" t="str">
            <v>Pieza</v>
          </cell>
          <cell r="V2392" t="str">
            <v>FC</v>
          </cell>
        </row>
        <row r="2393">
          <cell r="A2393">
            <v>249</v>
          </cell>
          <cell r="B2393">
            <v>2017</v>
          </cell>
          <cell r="C2393">
            <v>8300</v>
          </cell>
          <cell r="D2393">
            <v>3</v>
          </cell>
          <cell r="E2393">
            <v>5</v>
          </cell>
          <cell r="F2393">
            <v>1</v>
          </cell>
          <cell r="G2393">
            <v>5000</v>
          </cell>
          <cell r="H2393">
            <v>5300</v>
          </cell>
          <cell r="I2393">
            <v>531</v>
          </cell>
          <cell r="J2393">
            <v>47</v>
          </cell>
          <cell r="K2393" t="str">
            <v>Sistema para inactivar o esterilizar los residuos peligrosos biológicos</v>
          </cell>
          <cell r="L2393">
            <v>0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 t="str">
            <v>Pieza</v>
          </cell>
          <cell r="V2393" t="str">
            <v>FC</v>
          </cell>
        </row>
        <row r="2394">
          <cell r="A2394">
            <v>250</v>
          </cell>
          <cell r="B2394">
            <v>2017</v>
          </cell>
          <cell r="C2394">
            <v>8300</v>
          </cell>
          <cell r="D2394">
            <v>3</v>
          </cell>
          <cell r="E2394">
            <v>5</v>
          </cell>
          <cell r="F2394">
            <v>1</v>
          </cell>
          <cell r="G2394">
            <v>5000</v>
          </cell>
          <cell r="H2394">
            <v>5300</v>
          </cell>
          <cell r="I2394">
            <v>531</v>
          </cell>
          <cell r="J2394">
            <v>48</v>
          </cell>
          <cell r="K2394" t="str">
            <v>Sistema para marcar placas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0</v>
          </cell>
          <cell r="Q2394">
            <v>0</v>
          </cell>
          <cell r="R2394">
            <v>0</v>
          </cell>
          <cell r="S2394" t="str">
            <v>Pieza</v>
          </cell>
          <cell r="V2394" t="str">
            <v>FC</v>
          </cell>
        </row>
        <row r="2395">
          <cell r="A2395">
            <v>251</v>
          </cell>
          <cell r="B2395">
            <v>2017</v>
          </cell>
          <cell r="C2395">
            <v>8300</v>
          </cell>
          <cell r="D2395">
            <v>3</v>
          </cell>
          <cell r="E2395">
            <v>5</v>
          </cell>
          <cell r="F2395">
            <v>1</v>
          </cell>
          <cell r="G2395">
            <v>5000</v>
          </cell>
          <cell r="H2395">
            <v>5300</v>
          </cell>
          <cell r="I2395">
            <v>531</v>
          </cell>
          <cell r="J2395">
            <v>49</v>
          </cell>
          <cell r="K2395" t="str">
            <v>Sistema para recolectar residuos peligrosos y para inactivar o esterilizar</v>
          </cell>
          <cell r="L2395">
            <v>0</v>
          </cell>
          <cell r="M2395">
            <v>0</v>
          </cell>
          <cell r="N2395">
            <v>0</v>
          </cell>
          <cell r="O2395">
            <v>0</v>
          </cell>
          <cell r="P2395">
            <v>0</v>
          </cell>
          <cell r="Q2395">
            <v>0</v>
          </cell>
          <cell r="R2395">
            <v>0</v>
          </cell>
          <cell r="S2395" t="str">
            <v>Pieza</v>
          </cell>
          <cell r="V2395" t="str">
            <v>FC</v>
          </cell>
        </row>
        <row r="2396">
          <cell r="A2396">
            <v>252</v>
          </cell>
          <cell r="B2396">
            <v>2017</v>
          </cell>
          <cell r="C2396">
            <v>8300</v>
          </cell>
          <cell r="D2396">
            <v>3</v>
          </cell>
          <cell r="E2396">
            <v>5</v>
          </cell>
          <cell r="F2396">
            <v>1</v>
          </cell>
          <cell r="G2396">
            <v>5000</v>
          </cell>
          <cell r="H2396">
            <v>5300</v>
          </cell>
          <cell r="I2396">
            <v>531</v>
          </cell>
          <cell r="J2396">
            <v>50</v>
          </cell>
          <cell r="K2396" t="str">
            <v>Tabla para reanimación cardiopulmonar</v>
          </cell>
          <cell r="L2396">
            <v>0</v>
          </cell>
          <cell r="M2396">
            <v>0</v>
          </cell>
          <cell r="N2396">
            <v>0</v>
          </cell>
          <cell r="O2396">
            <v>0</v>
          </cell>
          <cell r="P2396">
            <v>0</v>
          </cell>
          <cell r="Q2396">
            <v>0</v>
          </cell>
          <cell r="R2396">
            <v>0</v>
          </cell>
          <cell r="S2396" t="str">
            <v>Pieza</v>
          </cell>
          <cell r="V2396" t="str">
            <v>FC</v>
          </cell>
        </row>
        <row r="2397">
          <cell r="A2397">
            <v>253</v>
          </cell>
          <cell r="B2397">
            <v>2017</v>
          </cell>
          <cell r="C2397">
            <v>8300</v>
          </cell>
          <cell r="D2397">
            <v>3</v>
          </cell>
          <cell r="E2397">
            <v>5</v>
          </cell>
          <cell r="F2397">
            <v>1</v>
          </cell>
          <cell r="G2397">
            <v>5000</v>
          </cell>
          <cell r="H2397">
            <v>5300</v>
          </cell>
          <cell r="I2397">
            <v>531</v>
          </cell>
          <cell r="J2397">
            <v>51</v>
          </cell>
          <cell r="K2397" t="str">
            <v>Tablero espinal (camilla rígida)</v>
          </cell>
          <cell r="L2397">
            <v>0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 t="str">
            <v>Pieza</v>
          </cell>
          <cell r="V2397" t="str">
            <v>FC</v>
          </cell>
        </row>
        <row r="2398">
          <cell r="A2398">
            <v>254</v>
          </cell>
          <cell r="B2398">
            <v>2017</v>
          </cell>
          <cell r="C2398">
            <v>8300</v>
          </cell>
          <cell r="D2398">
            <v>3</v>
          </cell>
          <cell r="E2398">
            <v>5</v>
          </cell>
          <cell r="F2398">
            <v>1</v>
          </cell>
          <cell r="G2398">
            <v>5000</v>
          </cell>
          <cell r="H2398">
            <v>5300</v>
          </cell>
          <cell r="I2398">
            <v>531</v>
          </cell>
          <cell r="J2398">
            <v>52</v>
          </cell>
          <cell r="K2398" t="str">
            <v>Tanque compresor de oxígeno grado médico</v>
          </cell>
          <cell r="L2398">
            <v>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 t="str">
            <v>Pieza</v>
          </cell>
          <cell r="V2398" t="str">
            <v>FC</v>
          </cell>
        </row>
        <row r="2399">
          <cell r="A2399">
            <v>255</v>
          </cell>
          <cell r="B2399">
            <v>2017</v>
          </cell>
          <cell r="C2399">
            <v>8300</v>
          </cell>
          <cell r="D2399">
            <v>3</v>
          </cell>
          <cell r="E2399">
            <v>5</v>
          </cell>
          <cell r="F2399">
            <v>1</v>
          </cell>
          <cell r="G2399">
            <v>5000</v>
          </cell>
          <cell r="H2399">
            <v>5300</v>
          </cell>
          <cell r="I2399">
            <v>531</v>
          </cell>
          <cell r="J2399">
            <v>53</v>
          </cell>
          <cell r="K2399" t="str">
            <v>Tanque de oxígeno</v>
          </cell>
          <cell r="L2399">
            <v>0</v>
          </cell>
          <cell r="M2399">
            <v>0</v>
          </cell>
          <cell r="N2399">
            <v>0</v>
          </cell>
          <cell r="O2399">
            <v>0</v>
          </cell>
          <cell r="P2399">
            <v>0</v>
          </cell>
          <cell r="Q2399">
            <v>0</v>
          </cell>
          <cell r="R2399">
            <v>0</v>
          </cell>
          <cell r="S2399" t="str">
            <v>Pieza</v>
          </cell>
          <cell r="V2399" t="str">
            <v>FC</v>
          </cell>
        </row>
        <row r="2400">
          <cell r="A2400">
            <v>256</v>
          </cell>
          <cell r="B2400">
            <v>2017</v>
          </cell>
          <cell r="C2400">
            <v>8300</v>
          </cell>
          <cell r="D2400">
            <v>3</v>
          </cell>
          <cell r="E2400">
            <v>5</v>
          </cell>
          <cell r="F2400">
            <v>1</v>
          </cell>
          <cell r="G2400">
            <v>5000</v>
          </cell>
          <cell r="H2400">
            <v>5300</v>
          </cell>
          <cell r="I2400">
            <v>531</v>
          </cell>
          <cell r="J2400">
            <v>54</v>
          </cell>
          <cell r="K2400" t="str">
            <v>Termo para el transporte de vacunas</v>
          </cell>
          <cell r="L2400">
            <v>0</v>
          </cell>
          <cell r="M2400">
            <v>0</v>
          </cell>
          <cell r="N2400">
            <v>0</v>
          </cell>
          <cell r="O2400">
            <v>0</v>
          </cell>
          <cell r="P2400">
            <v>0</v>
          </cell>
          <cell r="Q2400">
            <v>0</v>
          </cell>
          <cell r="R2400">
            <v>0</v>
          </cell>
          <cell r="S2400" t="str">
            <v>Pieza</v>
          </cell>
          <cell r="V2400" t="str">
            <v>FC</v>
          </cell>
        </row>
        <row r="2401">
          <cell r="A2401">
            <v>257</v>
          </cell>
          <cell r="B2401">
            <v>2017</v>
          </cell>
          <cell r="C2401">
            <v>8300</v>
          </cell>
          <cell r="D2401">
            <v>3</v>
          </cell>
          <cell r="E2401">
            <v>5</v>
          </cell>
          <cell r="F2401">
            <v>1</v>
          </cell>
          <cell r="G2401">
            <v>5000</v>
          </cell>
          <cell r="H2401">
            <v>5300</v>
          </cell>
          <cell r="I2401">
            <v>531</v>
          </cell>
          <cell r="J2401">
            <v>55</v>
          </cell>
          <cell r="K2401" t="str">
            <v>Unidad dental</v>
          </cell>
          <cell r="L2401">
            <v>0</v>
          </cell>
          <cell r="M2401">
            <v>0</v>
          </cell>
          <cell r="N2401">
            <v>0</v>
          </cell>
          <cell r="O2401">
            <v>0</v>
          </cell>
          <cell r="P2401">
            <v>0</v>
          </cell>
          <cell r="Q2401">
            <v>0</v>
          </cell>
          <cell r="R2401">
            <v>0</v>
          </cell>
          <cell r="S2401" t="str">
            <v>Pieza</v>
          </cell>
          <cell r="V2401" t="str">
            <v>FC</v>
          </cell>
        </row>
        <row r="2402">
          <cell r="A2402">
            <v>258</v>
          </cell>
          <cell r="B2402">
            <v>2017</v>
          </cell>
          <cell r="C2402">
            <v>8300</v>
          </cell>
          <cell r="D2402">
            <v>3</v>
          </cell>
          <cell r="E2402">
            <v>5</v>
          </cell>
          <cell r="F2402">
            <v>1</v>
          </cell>
          <cell r="G2402">
            <v>5000</v>
          </cell>
          <cell r="H2402">
            <v>5300</v>
          </cell>
          <cell r="I2402">
            <v>532</v>
          </cell>
          <cell r="K2402" t="str">
            <v>Instrumental médico y de laboratorio</v>
          </cell>
          <cell r="L2402">
            <v>0</v>
          </cell>
          <cell r="M2402">
            <v>0</v>
          </cell>
          <cell r="N2402">
            <v>0</v>
          </cell>
          <cell r="O2402">
            <v>0</v>
          </cell>
          <cell r="P2402">
            <v>0</v>
          </cell>
          <cell r="Q2402">
            <v>0</v>
          </cell>
          <cell r="R2402">
            <v>0</v>
          </cell>
        </row>
        <row r="2403">
          <cell r="A2403">
            <v>259</v>
          </cell>
          <cell r="B2403">
            <v>2017</v>
          </cell>
          <cell r="C2403">
            <v>8300</v>
          </cell>
          <cell r="D2403">
            <v>3</v>
          </cell>
          <cell r="E2403">
            <v>5</v>
          </cell>
          <cell r="F2403">
            <v>1</v>
          </cell>
          <cell r="G2403">
            <v>5000</v>
          </cell>
          <cell r="H2403">
            <v>5300</v>
          </cell>
          <cell r="I2403">
            <v>532</v>
          </cell>
          <cell r="J2403">
            <v>1</v>
          </cell>
          <cell r="K2403" t="str">
            <v>Agitador metálico de placas</v>
          </cell>
          <cell r="L2403">
            <v>0</v>
          </cell>
          <cell r="M2403">
            <v>0</v>
          </cell>
          <cell r="N2403">
            <v>0</v>
          </cell>
          <cell r="O2403">
            <v>0</v>
          </cell>
          <cell r="P2403">
            <v>0</v>
          </cell>
          <cell r="Q2403">
            <v>0</v>
          </cell>
          <cell r="R2403">
            <v>0</v>
          </cell>
          <cell r="S2403" t="str">
            <v>Pieza</v>
          </cell>
          <cell r="V2403" t="str">
            <v>FC</v>
          </cell>
        </row>
        <row r="2404">
          <cell r="A2404">
            <v>260</v>
          </cell>
          <cell r="B2404">
            <v>2017</v>
          </cell>
          <cell r="C2404">
            <v>8300</v>
          </cell>
          <cell r="D2404">
            <v>3</v>
          </cell>
          <cell r="E2404">
            <v>5</v>
          </cell>
          <cell r="F2404">
            <v>1</v>
          </cell>
          <cell r="G2404">
            <v>5000</v>
          </cell>
          <cell r="H2404">
            <v>5300</v>
          </cell>
          <cell r="I2404">
            <v>532</v>
          </cell>
          <cell r="J2404">
            <v>2</v>
          </cell>
          <cell r="K2404" t="str">
            <v>Anteojos proyectores</v>
          </cell>
          <cell r="L2404">
            <v>0</v>
          </cell>
          <cell r="M2404">
            <v>0</v>
          </cell>
          <cell r="N2404">
            <v>0</v>
          </cell>
          <cell r="O2404">
            <v>0</v>
          </cell>
          <cell r="P2404">
            <v>0</v>
          </cell>
          <cell r="Q2404">
            <v>0</v>
          </cell>
          <cell r="R2404">
            <v>0</v>
          </cell>
          <cell r="S2404" t="str">
            <v>Pieza</v>
          </cell>
          <cell r="V2404" t="str">
            <v>FC</v>
          </cell>
        </row>
        <row r="2405">
          <cell r="A2405">
            <v>261</v>
          </cell>
          <cell r="B2405">
            <v>2017</v>
          </cell>
          <cell r="C2405">
            <v>8300</v>
          </cell>
          <cell r="D2405">
            <v>3</v>
          </cell>
          <cell r="E2405">
            <v>5</v>
          </cell>
          <cell r="F2405">
            <v>1</v>
          </cell>
          <cell r="G2405">
            <v>5000</v>
          </cell>
          <cell r="H2405">
            <v>5300</v>
          </cell>
          <cell r="I2405">
            <v>532</v>
          </cell>
          <cell r="J2405">
            <v>3</v>
          </cell>
          <cell r="K2405" t="str">
            <v>Aspirador quirúrgico</v>
          </cell>
          <cell r="L2405">
            <v>0</v>
          </cell>
          <cell r="M2405">
            <v>0</v>
          </cell>
          <cell r="N2405">
            <v>0</v>
          </cell>
          <cell r="O2405">
            <v>0</v>
          </cell>
          <cell r="P2405">
            <v>0</v>
          </cell>
          <cell r="Q2405">
            <v>0</v>
          </cell>
          <cell r="R2405">
            <v>0</v>
          </cell>
          <cell r="S2405" t="str">
            <v>Pieza</v>
          </cell>
          <cell r="V2405" t="str">
            <v>FC</v>
          </cell>
        </row>
        <row r="2406">
          <cell r="A2406">
            <v>262</v>
          </cell>
          <cell r="B2406">
            <v>2017</v>
          </cell>
          <cell r="C2406">
            <v>8300</v>
          </cell>
          <cell r="D2406">
            <v>3</v>
          </cell>
          <cell r="E2406">
            <v>5</v>
          </cell>
          <cell r="F2406">
            <v>1</v>
          </cell>
          <cell r="G2406">
            <v>5000</v>
          </cell>
          <cell r="H2406">
            <v>5300</v>
          </cell>
          <cell r="I2406">
            <v>532</v>
          </cell>
          <cell r="J2406">
            <v>4</v>
          </cell>
          <cell r="K2406" t="str">
            <v>Baumanómetro</v>
          </cell>
          <cell r="L2406">
            <v>0</v>
          </cell>
          <cell r="M2406">
            <v>0</v>
          </cell>
          <cell r="N2406">
            <v>0</v>
          </cell>
          <cell r="O2406">
            <v>0</v>
          </cell>
          <cell r="P2406">
            <v>0</v>
          </cell>
          <cell r="Q2406">
            <v>0</v>
          </cell>
          <cell r="R2406">
            <v>0</v>
          </cell>
          <cell r="S2406" t="str">
            <v>Pieza</v>
          </cell>
          <cell r="V2406" t="str">
            <v>FC</v>
          </cell>
        </row>
        <row r="2407">
          <cell r="A2407">
            <v>263</v>
          </cell>
          <cell r="B2407">
            <v>2017</v>
          </cell>
          <cell r="C2407">
            <v>8300</v>
          </cell>
          <cell r="D2407">
            <v>3</v>
          </cell>
          <cell r="E2407">
            <v>5</v>
          </cell>
          <cell r="F2407">
            <v>1</v>
          </cell>
          <cell r="G2407">
            <v>5000</v>
          </cell>
          <cell r="H2407">
            <v>5300</v>
          </cell>
          <cell r="I2407">
            <v>532</v>
          </cell>
          <cell r="J2407">
            <v>5</v>
          </cell>
          <cell r="K2407" t="str">
            <v>Bolsa, válvula, mascarilla auto inflable</v>
          </cell>
          <cell r="L2407">
            <v>0</v>
          </cell>
          <cell r="M2407">
            <v>0</v>
          </cell>
          <cell r="N2407">
            <v>0</v>
          </cell>
          <cell r="O2407">
            <v>0</v>
          </cell>
          <cell r="P2407">
            <v>0</v>
          </cell>
          <cell r="Q2407">
            <v>0</v>
          </cell>
          <cell r="R2407">
            <v>0</v>
          </cell>
          <cell r="S2407" t="str">
            <v>Pieza</v>
          </cell>
          <cell r="V2407" t="str">
            <v>FC</v>
          </cell>
        </row>
        <row r="2408">
          <cell r="A2408">
            <v>264</v>
          </cell>
          <cell r="B2408">
            <v>2017</v>
          </cell>
          <cell r="C2408">
            <v>8300</v>
          </cell>
          <cell r="D2408">
            <v>3</v>
          </cell>
          <cell r="E2408">
            <v>5</v>
          </cell>
          <cell r="F2408">
            <v>1</v>
          </cell>
          <cell r="G2408">
            <v>5000</v>
          </cell>
          <cell r="H2408">
            <v>5300</v>
          </cell>
          <cell r="I2408">
            <v>532</v>
          </cell>
          <cell r="J2408">
            <v>6</v>
          </cell>
          <cell r="K2408" t="str">
            <v>Bomba</v>
          </cell>
          <cell r="L2408">
            <v>0</v>
          </cell>
          <cell r="M2408">
            <v>0</v>
          </cell>
          <cell r="N2408">
            <v>0</v>
          </cell>
          <cell r="O2408">
            <v>0</v>
          </cell>
          <cell r="P2408">
            <v>0</v>
          </cell>
          <cell r="Q2408">
            <v>0</v>
          </cell>
          <cell r="R2408">
            <v>0</v>
          </cell>
          <cell r="S2408" t="str">
            <v>Pieza</v>
          </cell>
          <cell r="V2408" t="str">
            <v>FC</v>
          </cell>
        </row>
        <row r="2409">
          <cell r="A2409">
            <v>265</v>
          </cell>
          <cell r="B2409">
            <v>2017</v>
          </cell>
          <cell r="C2409">
            <v>8300</v>
          </cell>
          <cell r="D2409">
            <v>3</v>
          </cell>
          <cell r="E2409">
            <v>5</v>
          </cell>
          <cell r="F2409">
            <v>1</v>
          </cell>
          <cell r="G2409">
            <v>5000</v>
          </cell>
          <cell r="H2409">
            <v>5300</v>
          </cell>
          <cell r="I2409">
            <v>532</v>
          </cell>
          <cell r="J2409">
            <v>7</v>
          </cell>
          <cell r="K2409" t="str">
            <v xml:space="preserve">Borboteador  </v>
          </cell>
          <cell r="L2409">
            <v>0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</v>
          </cell>
          <cell r="R2409">
            <v>0</v>
          </cell>
          <cell r="S2409" t="str">
            <v>Pieza</v>
          </cell>
          <cell r="V2409" t="str">
            <v>FC</v>
          </cell>
        </row>
        <row r="2410">
          <cell r="A2410">
            <v>266</v>
          </cell>
          <cell r="B2410">
            <v>2017</v>
          </cell>
          <cell r="C2410">
            <v>8300</v>
          </cell>
          <cell r="D2410">
            <v>3</v>
          </cell>
          <cell r="E2410">
            <v>5</v>
          </cell>
          <cell r="F2410">
            <v>1</v>
          </cell>
          <cell r="G2410">
            <v>5000</v>
          </cell>
          <cell r="H2410">
            <v>5300</v>
          </cell>
          <cell r="I2410">
            <v>532</v>
          </cell>
          <cell r="J2410">
            <v>8</v>
          </cell>
          <cell r="K2410" t="str">
            <v>Bruñidor de bola</v>
          </cell>
          <cell r="L2410">
            <v>0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</v>
          </cell>
          <cell r="R2410">
            <v>0</v>
          </cell>
          <cell r="S2410" t="str">
            <v>Pieza</v>
          </cell>
          <cell r="V2410" t="str">
            <v>FC</v>
          </cell>
        </row>
        <row r="2411">
          <cell r="A2411">
            <v>267</v>
          </cell>
          <cell r="B2411">
            <v>2017</v>
          </cell>
          <cell r="C2411">
            <v>8300</v>
          </cell>
          <cell r="D2411">
            <v>3</v>
          </cell>
          <cell r="E2411">
            <v>5</v>
          </cell>
          <cell r="F2411">
            <v>1</v>
          </cell>
          <cell r="G2411">
            <v>5000</v>
          </cell>
          <cell r="H2411">
            <v>5300</v>
          </cell>
          <cell r="I2411">
            <v>532</v>
          </cell>
          <cell r="J2411">
            <v>9</v>
          </cell>
          <cell r="K2411" t="str">
            <v>Cámara de neubawer</v>
          </cell>
          <cell r="L2411">
            <v>0</v>
          </cell>
          <cell r="M2411">
            <v>0</v>
          </cell>
          <cell r="N2411">
            <v>0</v>
          </cell>
          <cell r="O2411">
            <v>0</v>
          </cell>
          <cell r="P2411">
            <v>0</v>
          </cell>
          <cell r="Q2411">
            <v>0</v>
          </cell>
          <cell r="R2411">
            <v>0</v>
          </cell>
          <cell r="S2411" t="str">
            <v>Pieza</v>
          </cell>
          <cell r="V2411" t="str">
            <v>FC</v>
          </cell>
        </row>
        <row r="2412">
          <cell r="A2412">
            <v>268</v>
          </cell>
          <cell r="B2412">
            <v>2017</v>
          </cell>
          <cell r="C2412">
            <v>8300</v>
          </cell>
          <cell r="D2412">
            <v>3</v>
          </cell>
          <cell r="E2412">
            <v>5</v>
          </cell>
          <cell r="F2412">
            <v>1</v>
          </cell>
          <cell r="G2412">
            <v>5000</v>
          </cell>
          <cell r="H2412">
            <v>5300</v>
          </cell>
          <cell r="I2412">
            <v>532</v>
          </cell>
          <cell r="J2412">
            <v>10</v>
          </cell>
          <cell r="K2412" t="str">
            <v>Campos estériles</v>
          </cell>
          <cell r="L2412">
            <v>0</v>
          </cell>
          <cell r="M2412">
            <v>0</v>
          </cell>
          <cell r="N2412">
            <v>0</v>
          </cell>
          <cell r="O2412">
            <v>0</v>
          </cell>
          <cell r="P2412">
            <v>0</v>
          </cell>
          <cell r="Q2412">
            <v>0</v>
          </cell>
          <cell r="R2412">
            <v>0</v>
          </cell>
          <cell r="S2412" t="str">
            <v>Pieza</v>
          </cell>
          <cell r="V2412" t="str">
            <v>FC</v>
          </cell>
        </row>
        <row r="2413">
          <cell r="A2413">
            <v>269</v>
          </cell>
          <cell r="B2413">
            <v>2017</v>
          </cell>
          <cell r="C2413">
            <v>8300</v>
          </cell>
          <cell r="D2413">
            <v>3</v>
          </cell>
          <cell r="E2413">
            <v>5</v>
          </cell>
          <cell r="F2413">
            <v>1</v>
          </cell>
          <cell r="G2413">
            <v>5000</v>
          </cell>
          <cell r="H2413">
            <v>5300</v>
          </cell>
          <cell r="I2413">
            <v>532</v>
          </cell>
          <cell r="J2413">
            <v>11</v>
          </cell>
          <cell r="K2413" t="str">
            <v>Cánulas rectas</v>
          </cell>
          <cell r="L2413">
            <v>0</v>
          </cell>
          <cell r="M2413">
            <v>0</v>
          </cell>
          <cell r="N2413">
            <v>0</v>
          </cell>
          <cell r="O2413">
            <v>0</v>
          </cell>
          <cell r="P2413">
            <v>0</v>
          </cell>
          <cell r="Q2413">
            <v>0</v>
          </cell>
          <cell r="R2413">
            <v>0</v>
          </cell>
          <cell r="S2413" t="str">
            <v>Pieza</v>
          </cell>
          <cell r="V2413" t="str">
            <v>FC</v>
          </cell>
        </row>
        <row r="2414">
          <cell r="A2414">
            <v>270</v>
          </cell>
          <cell r="B2414">
            <v>2017</v>
          </cell>
          <cell r="C2414">
            <v>8300</v>
          </cell>
          <cell r="D2414">
            <v>3</v>
          </cell>
          <cell r="E2414">
            <v>5</v>
          </cell>
          <cell r="F2414">
            <v>1</v>
          </cell>
          <cell r="G2414">
            <v>5000</v>
          </cell>
          <cell r="H2414">
            <v>5300</v>
          </cell>
          <cell r="I2414">
            <v>532</v>
          </cell>
          <cell r="J2414">
            <v>12</v>
          </cell>
          <cell r="K2414" t="str">
            <v>Carro de anestesia</v>
          </cell>
          <cell r="L2414">
            <v>0</v>
          </cell>
          <cell r="M2414">
            <v>0</v>
          </cell>
          <cell r="N2414">
            <v>0</v>
          </cell>
          <cell r="O2414">
            <v>0</v>
          </cell>
          <cell r="P2414">
            <v>0</v>
          </cell>
          <cell r="Q2414">
            <v>0</v>
          </cell>
          <cell r="R2414">
            <v>0</v>
          </cell>
          <cell r="S2414" t="str">
            <v>Pieza</v>
          </cell>
          <cell r="V2414" t="str">
            <v>FC</v>
          </cell>
        </row>
        <row r="2415">
          <cell r="A2415">
            <v>271</v>
          </cell>
          <cell r="B2415">
            <v>2017</v>
          </cell>
          <cell r="C2415">
            <v>8300</v>
          </cell>
          <cell r="D2415">
            <v>3</v>
          </cell>
          <cell r="E2415">
            <v>5</v>
          </cell>
          <cell r="F2415">
            <v>1</v>
          </cell>
          <cell r="G2415">
            <v>5000</v>
          </cell>
          <cell r="H2415">
            <v>5300</v>
          </cell>
          <cell r="I2415">
            <v>532</v>
          </cell>
          <cell r="J2415">
            <v>13</v>
          </cell>
          <cell r="K2415" t="str">
            <v>Carro de tanque con oxígeno</v>
          </cell>
          <cell r="L2415">
            <v>0</v>
          </cell>
          <cell r="M2415">
            <v>0</v>
          </cell>
          <cell r="N2415">
            <v>0</v>
          </cell>
          <cell r="O2415">
            <v>0</v>
          </cell>
          <cell r="P2415">
            <v>0</v>
          </cell>
          <cell r="Q2415">
            <v>0</v>
          </cell>
          <cell r="R2415">
            <v>0</v>
          </cell>
          <cell r="S2415" t="str">
            <v>Pieza</v>
          </cell>
          <cell r="V2415" t="str">
            <v>FC</v>
          </cell>
        </row>
        <row r="2416">
          <cell r="A2416">
            <v>272</v>
          </cell>
          <cell r="B2416">
            <v>2017</v>
          </cell>
          <cell r="C2416">
            <v>8300</v>
          </cell>
          <cell r="D2416">
            <v>3</v>
          </cell>
          <cell r="E2416">
            <v>5</v>
          </cell>
          <cell r="F2416">
            <v>1</v>
          </cell>
          <cell r="G2416">
            <v>5000</v>
          </cell>
          <cell r="H2416">
            <v>5300</v>
          </cell>
          <cell r="I2416">
            <v>532</v>
          </cell>
          <cell r="J2416">
            <v>14</v>
          </cell>
          <cell r="K2416" t="str">
            <v>Cavitrón</v>
          </cell>
          <cell r="L2416">
            <v>0</v>
          </cell>
          <cell r="M2416">
            <v>0</v>
          </cell>
          <cell r="N2416">
            <v>0</v>
          </cell>
          <cell r="O2416">
            <v>0</v>
          </cell>
          <cell r="P2416">
            <v>0</v>
          </cell>
          <cell r="Q2416">
            <v>0</v>
          </cell>
          <cell r="R2416">
            <v>0</v>
          </cell>
          <cell r="S2416" t="str">
            <v>Pieza</v>
          </cell>
          <cell r="V2416" t="str">
            <v>FC</v>
          </cell>
        </row>
        <row r="2417">
          <cell r="A2417">
            <v>273</v>
          </cell>
          <cell r="B2417">
            <v>2017</v>
          </cell>
          <cell r="C2417">
            <v>8300</v>
          </cell>
          <cell r="D2417">
            <v>3</v>
          </cell>
          <cell r="E2417">
            <v>5</v>
          </cell>
          <cell r="F2417">
            <v>1</v>
          </cell>
          <cell r="G2417">
            <v>5000</v>
          </cell>
          <cell r="H2417">
            <v>5300</v>
          </cell>
          <cell r="I2417">
            <v>532</v>
          </cell>
          <cell r="J2417">
            <v>15</v>
          </cell>
          <cell r="K2417" t="str">
            <v xml:space="preserve">Compresor  </v>
          </cell>
          <cell r="L2417">
            <v>0</v>
          </cell>
          <cell r="M2417">
            <v>0</v>
          </cell>
          <cell r="N2417">
            <v>0</v>
          </cell>
          <cell r="O2417">
            <v>0</v>
          </cell>
          <cell r="P2417">
            <v>0</v>
          </cell>
          <cell r="Q2417">
            <v>0</v>
          </cell>
          <cell r="R2417">
            <v>0</v>
          </cell>
          <cell r="S2417" t="str">
            <v>Pieza</v>
          </cell>
          <cell r="V2417" t="str">
            <v>FC</v>
          </cell>
        </row>
        <row r="2418">
          <cell r="A2418">
            <v>274</v>
          </cell>
          <cell r="B2418">
            <v>2017</v>
          </cell>
          <cell r="C2418">
            <v>8300</v>
          </cell>
          <cell r="D2418">
            <v>3</v>
          </cell>
          <cell r="E2418">
            <v>5</v>
          </cell>
          <cell r="F2418">
            <v>1</v>
          </cell>
          <cell r="G2418">
            <v>5000</v>
          </cell>
          <cell r="H2418">
            <v>5300</v>
          </cell>
          <cell r="I2418">
            <v>532</v>
          </cell>
          <cell r="J2418">
            <v>16</v>
          </cell>
          <cell r="K2418" t="str">
            <v>Equipo revelador</v>
          </cell>
          <cell r="L2418">
            <v>0</v>
          </cell>
          <cell r="M2418">
            <v>0</v>
          </cell>
          <cell r="N2418">
            <v>0</v>
          </cell>
          <cell r="O2418">
            <v>0</v>
          </cell>
          <cell r="P2418">
            <v>0</v>
          </cell>
          <cell r="Q2418">
            <v>0</v>
          </cell>
          <cell r="R2418">
            <v>0</v>
          </cell>
          <cell r="S2418" t="str">
            <v>Pieza</v>
          </cell>
          <cell r="V2418" t="str">
            <v>FC</v>
          </cell>
        </row>
        <row r="2419">
          <cell r="A2419">
            <v>275</v>
          </cell>
          <cell r="B2419">
            <v>2017</v>
          </cell>
          <cell r="C2419">
            <v>8300</v>
          </cell>
          <cell r="D2419">
            <v>3</v>
          </cell>
          <cell r="E2419">
            <v>5</v>
          </cell>
          <cell r="F2419">
            <v>1</v>
          </cell>
          <cell r="G2419">
            <v>5000</v>
          </cell>
          <cell r="H2419">
            <v>5300</v>
          </cell>
          <cell r="I2419">
            <v>532</v>
          </cell>
          <cell r="J2419">
            <v>17</v>
          </cell>
          <cell r="K2419" t="str">
            <v>Escalinata metálica</v>
          </cell>
          <cell r="L2419">
            <v>0</v>
          </cell>
          <cell r="M2419">
            <v>0</v>
          </cell>
          <cell r="N2419">
            <v>0</v>
          </cell>
          <cell r="O2419">
            <v>0</v>
          </cell>
          <cell r="P2419">
            <v>0</v>
          </cell>
          <cell r="Q2419">
            <v>0</v>
          </cell>
          <cell r="R2419">
            <v>0</v>
          </cell>
          <cell r="S2419" t="str">
            <v>Pieza</v>
          </cell>
          <cell r="V2419" t="str">
            <v>FC</v>
          </cell>
        </row>
        <row r="2420">
          <cell r="A2420">
            <v>276</v>
          </cell>
          <cell r="B2420">
            <v>2017</v>
          </cell>
          <cell r="C2420">
            <v>8300</v>
          </cell>
          <cell r="D2420">
            <v>3</v>
          </cell>
          <cell r="E2420">
            <v>5</v>
          </cell>
          <cell r="F2420">
            <v>1</v>
          </cell>
          <cell r="G2420">
            <v>5000</v>
          </cell>
          <cell r="H2420">
            <v>5300</v>
          </cell>
          <cell r="I2420">
            <v>532</v>
          </cell>
          <cell r="J2420">
            <v>18</v>
          </cell>
          <cell r="K2420" t="str">
            <v>Espátula</v>
          </cell>
          <cell r="L2420">
            <v>0</v>
          </cell>
          <cell r="M2420">
            <v>0</v>
          </cell>
          <cell r="N2420">
            <v>0</v>
          </cell>
          <cell r="O2420">
            <v>0</v>
          </cell>
          <cell r="P2420">
            <v>0</v>
          </cell>
          <cell r="Q2420">
            <v>0</v>
          </cell>
          <cell r="R2420">
            <v>0</v>
          </cell>
          <cell r="S2420" t="str">
            <v>Pieza</v>
          </cell>
          <cell r="V2420" t="str">
            <v>FC</v>
          </cell>
        </row>
        <row r="2421">
          <cell r="A2421">
            <v>277</v>
          </cell>
          <cell r="B2421">
            <v>2017</v>
          </cell>
          <cell r="C2421">
            <v>8300</v>
          </cell>
          <cell r="D2421">
            <v>3</v>
          </cell>
          <cell r="E2421">
            <v>5</v>
          </cell>
          <cell r="F2421">
            <v>1</v>
          </cell>
          <cell r="G2421">
            <v>5000</v>
          </cell>
          <cell r="H2421">
            <v>5300</v>
          </cell>
          <cell r="I2421">
            <v>532</v>
          </cell>
          <cell r="J2421">
            <v>19</v>
          </cell>
          <cell r="K2421" t="str">
            <v>Espejos graves</v>
          </cell>
          <cell r="L2421">
            <v>0</v>
          </cell>
          <cell r="M2421">
            <v>0</v>
          </cell>
          <cell r="N2421">
            <v>0</v>
          </cell>
          <cell r="O2421">
            <v>0</v>
          </cell>
          <cell r="P2421">
            <v>0</v>
          </cell>
          <cell r="Q2421">
            <v>0</v>
          </cell>
          <cell r="R2421">
            <v>0</v>
          </cell>
          <cell r="S2421" t="str">
            <v>Pieza</v>
          </cell>
          <cell r="V2421" t="str">
            <v>FC</v>
          </cell>
        </row>
        <row r="2422">
          <cell r="A2422">
            <v>278</v>
          </cell>
          <cell r="B2422">
            <v>2017</v>
          </cell>
          <cell r="C2422">
            <v>8300</v>
          </cell>
          <cell r="D2422">
            <v>3</v>
          </cell>
          <cell r="E2422">
            <v>5</v>
          </cell>
          <cell r="F2422">
            <v>1</v>
          </cell>
          <cell r="G2422">
            <v>5000</v>
          </cell>
          <cell r="H2422">
            <v>5300</v>
          </cell>
          <cell r="I2422">
            <v>532</v>
          </cell>
          <cell r="J2422">
            <v>20</v>
          </cell>
          <cell r="K2422" t="str">
            <v>Estantería de farmacia</v>
          </cell>
          <cell r="L2422">
            <v>0</v>
          </cell>
          <cell r="M2422">
            <v>0</v>
          </cell>
          <cell r="N2422">
            <v>0</v>
          </cell>
          <cell r="O2422">
            <v>0</v>
          </cell>
          <cell r="P2422">
            <v>0</v>
          </cell>
          <cell r="Q2422">
            <v>0</v>
          </cell>
          <cell r="R2422">
            <v>0</v>
          </cell>
          <cell r="S2422" t="str">
            <v>Pieza</v>
          </cell>
          <cell r="V2422" t="str">
            <v>FC</v>
          </cell>
        </row>
        <row r="2423">
          <cell r="A2423">
            <v>279</v>
          </cell>
          <cell r="B2423">
            <v>2017</v>
          </cell>
          <cell r="C2423">
            <v>8300</v>
          </cell>
          <cell r="D2423">
            <v>3</v>
          </cell>
          <cell r="E2423">
            <v>5</v>
          </cell>
          <cell r="F2423">
            <v>1</v>
          </cell>
          <cell r="G2423">
            <v>5000</v>
          </cell>
          <cell r="H2423">
            <v>5300</v>
          </cell>
          <cell r="I2423">
            <v>532</v>
          </cell>
          <cell r="J2423">
            <v>21</v>
          </cell>
          <cell r="K2423" t="str">
            <v>Esterilizador de vapor con cámara de acero</v>
          </cell>
          <cell r="L2423">
            <v>0</v>
          </cell>
          <cell r="M2423">
            <v>0</v>
          </cell>
          <cell r="N2423">
            <v>0</v>
          </cell>
          <cell r="O2423">
            <v>0</v>
          </cell>
          <cell r="P2423">
            <v>0</v>
          </cell>
          <cell r="Q2423">
            <v>0</v>
          </cell>
          <cell r="R2423">
            <v>0</v>
          </cell>
          <cell r="S2423" t="str">
            <v>Pieza</v>
          </cell>
          <cell r="V2423" t="str">
            <v>FC</v>
          </cell>
        </row>
        <row r="2424">
          <cell r="A2424">
            <v>280</v>
          </cell>
          <cell r="B2424">
            <v>2017</v>
          </cell>
          <cell r="C2424">
            <v>8300</v>
          </cell>
          <cell r="D2424">
            <v>3</v>
          </cell>
          <cell r="E2424">
            <v>5</v>
          </cell>
          <cell r="F2424">
            <v>1</v>
          </cell>
          <cell r="G2424">
            <v>5000</v>
          </cell>
          <cell r="H2424">
            <v>5300</v>
          </cell>
          <cell r="I2424">
            <v>532</v>
          </cell>
          <cell r="J2424">
            <v>22</v>
          </cell>
          <cell r="K2424" t="str">
            <v>Estetoscopio</v>
          </cell>
          <cell r="L2424">
            <v>0</v>
          </cell>
          <cell r="M2424">
            <v>0</v>
          </cell>
          <cell r="N2424">
            <v>0</v>
          </cell>
          <cell r="O2424">
            <v>0</v>
          </cell>
          <cell r="P2424">
            <v>0</v>
          </cell>
          <cell r="Q2424">
            <v>0</v>
          </cell>
          <cell r="R2424">
            <v>0</v>
          </cell>
          <cell r="S2424" t="str">
            <v>Pieza</v>
          </cell>
          <cell r="V2424" t="str">
            <v>FC</v>
          </cell>
        </row>
        <row r="2425">
          <cell r="A2425">
            <v>281</v>
          </cell>
          <cell r="B2425">
            <v>2017</v>
          </cell>
          <cell r="C2425">
            <v>8300</v>
          </cell>
          <cell r="D2425">
            <v>3</v>
          </cell>
          <cell r="E2425">
            <v>5</v>
          </cell>
          <cell r="F2425">
            <v>1</v>
          </cell>
          <cell r="G2425">
            <v>5000</v>
          </cell>
          <cell r="H2425">
            <v>5300</v>
          </cell>
          <cell r="I2425">
            <v>532</v>
          </cell>
          <cell r="J2425">
            <v>23</v>
          </cell>
          <cell r="K2425" t="str">
            <v>Estuche de Diagnóstico</v>
          </cell>
          <cell r="L2425">
            <v>0</v>
          </cell>
          <cell r="M2425">
            <v>0</v>
          </cell>
          <cell r="N2425">
            <v>0</v>
          </cell>
          <cell r="O2425">
            <v>0</v>
          </cell>
          <cell r="P2425">
            <v>0</v>
          </cell>
          <cell r="Q2425">
            <v>0</v>
          </cell>
          <cell r="R2425">
            <v>0</v>
          </cell>
          <cell r="S2425" t="str">
            <v>Pieza</v>
          </cell>
          <cell r="V2425" t="str">
            <v>FC</v>
          </cell>
        </row>
        <row r="2426">
          <cell r="A2426">
            <v>282</v>
          </cell>
          <cell r="B2426">
            <v>2017</v>
          </cell>
          <cell r="C2426">
            <v>8300</v>
          </cell>
          <cell r="D2426">
            <v>3</v>
          </cell>
          <cell r="E2426">
            <v>5</v>
          </cell>
          <cell r="F2426">
            <v>1</v>
          </cell>
          <cell r="G2426">
            <v>5000</v>
          </cell>
          <cell r="H2426">
            <v>5300</v>
          </cell>
          <cell r="I2426">
            <v>532</v>
          </cell>
          <cell r="J2426">
            <v>24</v>
          </cell>
          <cell r="K2426" t="str">
            <v>Estuche de profilaxis</v>
          </cell>
          <cell r="L2426">
            <v>0</v>
          </cell>
          <cell r="M2426">
            <v>0</v>
          </cell>
          <cell r="N2426">
            <v>0</v>
          </cell>
          <cell r="O2426">
            <v>0</v>
          </cell>
          <cell r="P2426">
            <v>0</v>
          </cell>
          <cell r="Q2426">
            <v>0</v>
          </cell>
          <cell r="R2426">
            <v>0</v>
          </cell>
          <cell r="S2426" t="str">
            <v>Pieza</v>
          </cell>
          <cell r="V2426" t="str">
            <v>FC</v>
          </cell>
        </row>
        <row r="2427">
          <cell r="A2427">
            <v>283</v>
          </cell>
          <cell r="B2427">
            <v>2017</v>
          </cell>
          <cell r="C2427">
            <v>8300</v>
          </cell>
          <cell r="D2427">
            <v>3</v>
          </cell>
          <cell r="E2427">
            <v>5</v>
          </cell>
          <cell r="F2427">
            <v>1</v>
          </cell>
          <cell r="G2427">
            <v>5000</v>
          </cell>
          <cell r="H2427">
            <v>5300</v>
          </cell>
          <cell r="I2427">
            <v>532</v>
          </cell>
          <cell r="J2427">
            <v>25</v>
          </cell>
          <cell r="K2427" t="str">
            <v>Exploradores dobles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 t="str">
            <v>Pieza</v>
          </cell>
          <cell r="V2427" t="str">
            <v>FC</v>
          </cell>
        </row>
        <row r="2428">
          <cell r="A2428">
            <v>284</v>
          </cell>
          <cell r="B2428">
            <v>2017</v>
          </cell>
          <cell r="C2428">
            <v>8300</v>
          </cell>
          <cell r="D2428">
            <v>3</v>
          </cell>
          <cell r="E2428">
            <v>5</v>
          </cell>
          <cell r="F2428">
            <v>1</v>
          </cell>
          <cell r="G2428">
            <v>5000</v>
          </cell>
          <cell r="H2428">
            <v>5300</v>
          </cell>
          <cell r="I2428">
            <v>532</v>
          </cell>
          <cell r="J2428">
            <v>26</v>
          </cell>
          <cell r="K2428" t="str">
            <v>Fórceps</v>
          </cell>
          <cell r="L2428">
            <v>0</v>
          </cell>
          <cell r="M2428">
            <v>0</v>
          </cell>
          <cell r="N2428">
            <v>0</v>
          </cell>
          <cell r="O2428">
            <v>0</v>
          </cell>
          <cell r="P2428">
            <v>0</v>
          </cell>
          <cell r="Q2428">
            <v>0</v>
          </cell>
          <cell r="R2428">
            <v>0</v>
          </cell>
          <cell r="S2428" t="str">
            <v>Pieza</v>
          </cell>
          <cell r="V2428" t="str">
            <v>FC</v>
          </cell>
        </row>
        <row r="2429">
          <cell r="A2429">
            <v>285</v>
          </cell>
          <cell r="B2429">
            <v>2017</v>
          </cell>
          <cell r="C2429">
            <v>8300</v>
          </cell>
          <cell r="D2429">
            <v>3</v>
          </cell>
          <cell r="E2429">
            <v>5</v>
          </cell>
          <cell r="F2429">
            <v>1</v>
          </cell>
          <cell r="G2429">
            <v>5000</v>
          </cell>
          <cell r="H2429">
            <v>5300</v>
          </cell>
          <cell r="I2429">
            <v>532</v>
          </cell>
          <cell r="J2429">
            <v>27</v>
          </cell>
          <cell r="K2429" t="str">
            <v>Incubadora</v>
          </cell>
          <cell r="L2429">
            <v>0</v>
          </cell>
          <cell r="M2429">
            <v>0</v>
          </cell>
          <cell r="N2429">
            <v>0</v>
          </cell>
          <cell r="O2429">
            <v>0</v>
          </cell>
          <cell r="P2429">
            <v>0</v>
          </cell>
          <cell r="Q2429">
            <v>0</v>
          </cell>
          <cell r="R2429">
            <v>0</v>
          </cell>
          <cell r="S2429" t="str">
            <v>Pieza</v>
          </cell>
          <cell r="V2429" t="str">
            <v>FC</v>
          </cell>
        </row>
        <row r="2430">
          <cell r="A2430">
            <v>286</v>
          </cell>
          <cell r="B2430">
            <v>2017</v>
          </cell>
          <cell r="C2430">
            <v>8300</v>
          </cell>
          <cell r="D2430">
            <v>3</v>
          </cell>
          <cell r="E2430">
            <v>5</v>
          </cell>
          <cell r="F2430">
            <v>1</v>
          </cell>
          <cell r="G2430">
            <v>5000</v>
          </cell>
          <cell r="H2430">
            <v>5300</v>
          </cell>
          <cell r="I2430">
            <v>532</v>
          </cell>
          <cell r="J2430">
            <v>28</v>
          </cell>
          <cell r="K2430" t="str">
            <v>Infantómetro</v>
          </cell>
          <cell r="L2430">
            <v>0</v>
          </cell>
          <cell r="M2430">
            <v>0</v>
          </cell>
          <cell r="N2430">
            <v>0</v>
          </cell>
          <cell r="O2430">
            <v>0</v>
          </cell>
          <cell r="P2430">
            <v>0</v>
          </cell>
          <cell r="Q2430">
            <v>0</v>
          </cell>
          <cell r="R2430">
            <v>0</v>
          </cell>
          <cell r="S2430" t="str">
            <v>Pieza</v>
          </cell>
          <cell r="V2430" t="str">
            <v>FC</v>
          </cell>
        </row>
        <row r="2431">
          <cell r="A2431">
            <v>287</v>
          </cell>
          <cell r="B2431">
            <v>2017</v>
          </cell>
          <cell r="C2431">
            <v>8300</v>
          </cell>
          <cell r="D2431">
            <v>3</v>
          </cell>
          <cell r="E2431">
            <v>5</v>
          </cell>
          <cell r="F2431">
            <v>1</v>
          </cell>
          <cell r="G2431">
            <v>5000</v>
          </cell>
          <cell r="H2431">
            <v>5300</v>
          </cell>
          <cell r="I2431">
            <v>532</v>
          </cell>
          <cell r="J2431">
            <v>29</v>
          </cell>
          <cell r="K2431" t="str">
            <v>Instrumental quirúrgico para cirugía ginecológica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0</v>
          </cell>
          <cell r="S2431" t="str">
            <v>Pieza</v>
          </cell>
          <cell r="V2431" t="str">
            <v>FC</v>
          </cell>
        </row>
        <row r="2432">
          <cell r="A2432">
            <v>288</v>
          </cell>
          <cell r="B2432">
            <v>2017</v>
          </cell>
          <cell r="C2432">
            <v>8300</v>
          </cell>
          <cell r="D2432">
            <v>3</v>
          </cell>
          <cell r="E2432">
            <v>5</v>
          </cell>
          <cell r="F2432">
            <v>1</v>
          </cell>
          <cell r="G2432">
            <v>5000</v>
          </cell>
          <cell r="H2432">
            <v>5300</v>
          </cell>
          <cell r="I2432">
            <v>532</v>
          </cell>
          <cell r="J2432">
            <v>30</v>
          </cell>
          <cell r="K2432" t="str">
            <v>Instrumental quirúrgico para cirugía mayor</v>
          </cell>
          <cell r="L2432">
            <v>0</v>
          </cell>
          <cell r="M2432">
            <v>0</v>
          </cell>
          <cell r="N2432">
            <v>0</v>
          </cell>
          <cell r="O2432">
            <v>0</v>
          </cell>
          <cell r="P2432">
            <v>0</v>
          </cell>
          <cell r="Q2432">
            <v>0</v>
          </cell>
          <cell r="R2432">
            <v>0</v>
          </cell>
          <cell r="S2432" t="str">
            <v>Pieza</v>
          </cell>
          <cell r="V2432" t="str">
            <v>FC</v>
          </cell>
        </row>
        <row r="2433">
          <cell r="A2433">
            <v>289</v>
          </cell>
          <cell r="B2433">
            <v>2017</v>
          </cell>
          <cell r="C2433">
            <v>8300</v>
          </cell>
          <cell r="D2433">
            <v>3</v>
          </cell>
          <cell r="E2433">
            <v>5</v>
          </cell>
          <cell r="F2433">
            <v>1</v>
          </cell>
          <cell r="G2433">
            <v>5000</v>
          </cell>
          <cell r="H2433">
            <v>5300</v>
          </cell>
          <cell r="I2433">
            <v>532</v>
          </cell>
          <cell r="J2433">
            <v>31</v>
          </cell>
          <cell r="K2433" t="str">
            <v>Instrumental servicios médicos</v>
          </cell>
          <cell r="L2433">
            <v>0</v>
          </cell>
          <cell r="M2433">
            <v>0</v>
          </cell>
          <cell r="N2433">
            <v>0</v>
          </cell>
          <cell r="O2433">
            <v>0</v>
          </cell>
          <cell r="P2433">
            <v>0</v>
          </cell>
          <cell r="Q2433">
            <v>0</v>
          </cell>
          <cell r="R2433">
            <v>0</v>
          </cell>
          <cell r="S2433" t="str">
            <v>Pieza</v>
          </cell>
          <cell r="V2433" t="str">
            <v>FC</v>
          </cell>
        </row>
        <row r="2434">
          <cell r="A2434">
            <v>290</v>
          </cell>
          <cell r="B2434">
            <v>2017</v>
          </cell>
          <cell r="C2434">
            <v>8300</v>
          </cell>
          <cell r="D2434">
            <v>3</v>
          </cell>
          <cell r="E2434">
            <v>5</v>
          </cell>
          <cell r="F2434">
            <v>1</v>
          </cell>
          <cell r="G2434">
            <v>5000</v>
          </cell>
          <cell r="H2434">
            <v>5300</v>
          </cell>
          <cell r="I2434">
            <v>532</v>
          </cell>
          <cell r="J2434">
            <v>32</v>
          </cell>
          <cell r="K2434" t="str">
            <v>Laringoscopio</v>
          </cell>
          <cell r="L2434">
            <v>0</v>
          </cell>
          <cell r="M2434">
            <v>0</v>
          </cell>
          <cell r="N2434">
            <v>0</v>
          </cell>
          <cell r="O2434">
            <v>0</v>
          </cell>
          <cell r="P2434">
            <v>0</v>
          </cell>
          <cell r="Q2434">
            <v>0</v>
          </cell>
          <cell r="R2434">
            <v>0</v>
          </cell>
          <cell r="S2434" t="str">
            <v>Pieza</v>
          </cell>
          <cell r="V2434" t="str">
            <v>FC</v>
          </cell>
        </row>
        <row r="2435">
          <cell r="A2435">
            <v>291</v>
          </cell>
          <cell r="B2435">
            <v>2017</v>
          </cell>
          <cell r="C2435">
            <v>8300</v>
          </cell>
          <cell r="D2435">
            <v>3</v>
          </cell>
          <cell r="E2435">
            <v>5</v>
          </cell>
          <cell r="F2435">
            <v>1</v>
          </cell>
          <cell r="G2435">
            <v>5000</v>
          </cell>
          <cell r="H2435">
            <v>5300</v>
          </cell>
          <cell r="I2435">
            <v>532</v>
          </cell>
          <cell r="J2435">
            <v>33</v>
          </cell>
          <cell r="K2435" t="str">
            <v>Mango para bisturí</v>
          </cell>
          <cell r="L2435">
            <v>0</v>
          </cell>
          <cell r="M2435">
            <v>0</v>
          </cell>
          <cell r="N2435">
            <v>0</v>
          </cell>
          <cell r="O2435">
            <v>0</v>
          </cell>
          <cell r="P2435">
            <v>0</v>
          </cell>
          <cell r="Q2435">
            <v>0</v>
          </cell>
          <cell r="R2435">
            <v>0</v>
          </cell>
          <cell r="S2435" t="str">
            <v>Pieza</v>
          </cell>
          <cell r="V2435" t="str">
            <v>FC</v>
          </cell>
        </row>
        <row r="2436">
          <cell r="A2436">
            <v>292</v>
          </cell>
          <cell r="B2436">
            <v>2017</v>
          </cell>
          <cell r="C2436">
            <v>8300</v>
          </cell>
          <cell r="D2436">
            <v>3</v>
          </cell>
          <cell r="E2436">
            <v>5</v>
          </cell>
          <cell r="F2436">
            <v>1</v>
          </cell>
          <cell r="G2436">
            <v>5000</v>
          </cell>
          <cell r="H2436">
            <v>5300</v>
          </cell>
          <cell r="I2436">
            <v>532</v>
          </cell>
          <cell r="J2436">
            <v>34</v>
          </cell>
          <cell r="K2436" t="str">
            <v>Nebulizador</v>
          </cell>
          <cell r="L2436">
            <v>0</v>
          </cell>
          <cell r="M2436">
            <v>0</v>
          </cell>
          <cell r="N2436">
            <v>0</v>
          </cell>
          <cell r="O2436">
            <v>0</v>
          </cell>
          <cell r="P2436">
            <v>0</v>
          </cell>
          <cell r="Q2436">
            <v>0</v>
          </cell>
          <cell r="R2436">
            <v>0</v>
          </cell>
          <cell r="S2436" t="str">
            <v>Pieza</v>
          </cell>
          <cell r="V2436" t="str">
            <v>FC</v>
          </cell>
        </row>
        <row r="2437">
          <cell r="A2437">
            <v>293</v>
          </cell>
          <cell r="B2437">
            <v>2017</v>
          </cell>
          <cell r="C2437">
            <v>8300</v>
          </cell>
          <cell r="D2437">
            <v>3</v>
          </cell>
          <cell r="E2437">
            <v>5</v>
          </cell>
          <cell r="F2437">
            <v>1</v>
          </cell>
          <cell r="G2437">
            <v>5000</v>
          </cell>
          <cell r="H2437">
            <v>5300</v>
          </cell>
          <cell r="I2437">
            <v>532</v>
          </cell>
          <cell r="J2437">
            <v>35</v>
          </cell>
          <cell r="K2437" t="str">
            <v>Oftalmoscopio</v>
          </cell>
          <cell r="L2437">
            <v>0</v>
          </cell>
          <cell r="M2437">
            <v>0</v>
          </cell>
          <cell r="N2437">
            <v>0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 t="str">
            <v>Pieza</v>
          </cell>
          <cell r="V2437" t="str">
            <v>FC</v>
          </cell>
        </row>
        <row r="2438">
          <cell r="A2438">
            <v>294</v>
          </cell>
          <cell r="B2438">
            <v>2017</v>
          </cell>
          <cell r="C2438">
            <v>8300</v>
          </cell>
          <cell r="D2438">
            <v>3</v>
          </cell>
          <cell r="E2438">
            <v>5</v>
          </cell>
          <cell r="F2438">
            <v>1</v>
          </cell>
          <cell r="G2438">
            <v>5000</v>
          </cell>
          <cell r="H2438">
            <v>5300</v>
          </cell>
          <cell r="I2438">
            <v>532</v>
          </cell>
          <cell r="J2438">
            <v>36</v>
          </cell>
          <cell r="K2438" t="str">
            <v>Otoscopio</v>
          </cell>
          <cell r="L2438">
            <v>0</v>
          </cell>
          <cell r="M2438">
            <v>0</v>
          </cell>
          <cell r="N2438">
            <v>0</v>
          </cell>
          <cell r="O2438">
            <v>0</v>
          </cell>
          <cell r="P2438">
            <v>0</v>
          </cell>
          <cell r="Q2438">
            <v>0</v>
          </cell>
          <cell r="R2438">
            <v>0</v>
          </cell>
          <cell r="S2438" t="str">
            <v>Pieza</v>
          </cell>
          <cell r="V2438" t="str">
            <v>FC</v>
          </cell>
        </row>
        <row r="2439">
          <cell r="A2439">
            <v>295</v>
          </cell>
          <cell r="B2439">
            <v>2017</v>
          </cell>
          <cell r="C2439">
            <v>8300</v>
          </cell>
          <cell r="D2439">
            <v>3</v>
          </cell>
          <cell r="E2439">
            <v>5</v>
          </cell>
          <cell r="F2439">
            <v>1</v>
          </cell>
          <cell r="G2439">
            <v>5000</v>
          </cell>
          <cell r="H2439">
            <v>5300</v>
          </cell>
          <cell r="I2439">
            <v>532</v>
          </cell>
          <cell r="J2439">
            <v>37</v>
          </cell>
          <cell r="K2439" t="str">
            <v>Pinzas</v>
          </cell>
          <cell r="L2439">
            <v>0</v>
          </cell>
          <cell r="M2439">
            <v>0</v>
          </cell>
          <cell r="N2439">
            <v>0</v>
          </cell>
          <cell r="O2439">
            <v>0</v>
          </cell>
          <cell r="P2439">
            <v>0</v>
          </cell>
          <cell r="Q2439">
            <v>0</v>
          </cell>
          <cell r="R2439">
            <v>0</v>
          </cell>
          <cell r="S2439" t="str">
            <v>Pieza</v>
          </cell>
          <cell r="V2439" t="str">
            <v>FC</v>
          </cell>
        </row>
        <row r="2440">
          <cell r="A2440">
            <v>296</v>
          </cell>
          <cell r="B2440">
            <v>2017</v>
          </cell>
          <cell r="C2440">
            <v>8300</v>
          </cell>
          <cell r="D2440">
            <v>3</v>
          </cell>
          <cell r="E2440">
            <v>5</v>
          </cell>
          <cell r="F2440">
            <v>1</v>
          </cell>
          <cell r="G2440">
            <v>5000</v>
          </cell>
          <cell r="H2440">
            <v>5300</v>
          </cell>
          <cell r="I2440">
            <v>532</v>
          </cell>
          <cell r="J2440">
            <v>38</v>
          </cell>
          <cell r="K2440" t="str">
            <v>Porta aguja</v>
          </cell>
          <cell r="L2440">
            <v>0</v>
          </cell>
          <cell r="M2440">
            <v>0</v>
          </cell>
          <cell r="N2440">
            <v>0</v>
          </cell>
          <cell r="O2440">
            <v>0</v>
          </cell>
          <cell r="P2440">
            <v>0</v>
          </cell>
          <cell r="Q2440">
            <v>0</v>
          </cell>
          <cell r="R2440">
            <v>0</v>
          </cell>
          <cell r="S2440" t="str">
            <v>Pieza</v>
          </cell>
          <cell r="V2440" t="str">
            <v>FC</v>
          </cell>
        </row>
        <row r="2441">
          <cell r="A2441">
            <v>297</v>
          </cell>
          <cell r="B2441">
            <v>2017</v>
          </cell>
          <cell r="C2441">
            <v>8300</v>
          </cell>
          <cell r="D2441">
            <v>3</v>
          </cell>
          <cell r="E2441">
            <v>5</v>
          </cell>
          <cell r="F2441">
            <v>1</v>
          </cell>
          <cell r="G2441">
            <v>5000</v>
          </cell>
          <cell r="H2441">
            <v>5300</v>
          </cell>
          <cell r="I2441">
            <v>532</v>
          </cell>
          <cell r="J2441">
            <v>39</v>
          </cell>
          <cell r="K2441" t="str">
            <v>Porta amalgama</v>
          </cell>
          <cell r="L2441">
            <v>0</v>
          </cell>
          <cell r="M2441">
            <v>0</v>
          </cell>
          <cell r="N2441">
            <v>0</v>
          </cell>
          <cell r="O2441">
            <v>0</v>
          </cell>
          <cell r="P2441">
            <v>0</v>
          </cell>
          <cell r="Q2441">
            <v>0</v>
          </cell>
          <cell r="R2441">
            <v>0</v>
          </cell>
          <cell r="S2441" t="str">
            <v>Pieza</v>
          </cell>
          <cell r="V2441" t="str">
            <v>FC</v>
          </cell>
        </row>
        <row r="2442">
          <cell r="A2442">
            <v>298</v>
          </cell>
          <cell r="B2442">
            <v>2017</v>
          </cell>
          <cell r="C2442">
            <v>8300</v>
          </cell>
          <cell r="D2442">
            <v>3</v>
          </cell>
          <cell r="E2442">
            <v>5</v>
          </cell>
          <cell r="F2442">
            <v>1</v>
          </cell>
          <cell r="G2442">
            <v>5000</v>
          </cell>
          <cell r="H2442">
            <v>5300</v>
          </cell>
          <cell r="I2442">
            <v>532</v>
          </cell>
          <cell r="J2442">
            <v>40</v>
          </cell>
          <cell r="K2442" t="str">
            <v>Porta suero fijo en sala</v>
          </cell>
          <cell r="L2442">
            <v>0</v>
          </cell>
          <cell r="M2442">
            <v>0</v>
          </cell>
          <cell r="N2442">
            <v>0</v>
          </cell>
          <cell r="O2442">
            <v>0</v>
          </cell>
          <cell r="P2442">
            <v>0</v>
          </cell>
          <cell r="Q2442">
            <v>0</v>
          </cell>
          <cell r="R2442">
            <v>0</v>
          </cell>
          <cell r="S2442" t="str">
            <v>Pieza</v>
          </cell>
          <cell r="V2442" t="str">
            <v>FC</v>
          </cell>
        </row>
        <row r="2443">
          <cell r="A2443">
            <v>299</v>
          </cell>
          <cell r="B2443">
            <v>2017</v>
          </cell>
          <cell r="C2443">
            <v>8300</v>
          </cell>
          <cell r="D2443">
            <v>3</v>
          </cell>
          <cell r="E2443">
            <v>5</v>
          </cell>
          <cell r="F2443">
            <v>1</v>
          </cell>
          <cell r="G2443">
            <v>5000</v>
          </cell>
          <cell r="H2443">
            <v>5300</v>
          </cell>
          <cell r="I2443">
            <v>532</v>
          </cell>
          <cell r="J2443">
            <v>41</v>
          </cell>
          <cell r="K2443" t="str">
            <v>Recipientes del aspirador</v>
          </cell>
          <cell r="L2443">
            <v>0</v>
          </cell>
          <cell r="M2443">
            <v>0</v>
          </cell>
          <cell r="N2443">
            <v>0</v>
          </cell>
          <cell r="O2443">
            <v>0</v>
          </cell>
          <cell r="P2443">
            <v>0</v>
          </cell>
          <cell r="Q2443">
            <v>0</v>
          </cell>
          <cell r="R2443">
            <v>0</v>
          </cell>
          <cell r="S2443" t="str">
            <v>Pieza</v>
          </cell>
          <cell r="V2443" t="str">
            <v>FC</v>
          </cell>
        </row>
        <row r="2444">
          <cell r="A2444">
            <v>300</v>
          </cell>
          <cell r="B2444">
            <v>2017</v>
          </cell>
          <cell r="C2444">
            <v>8300</v>
          </cell>
          <cell r="D2444">
            <v>3</v>
          </cell>
          <cell r="E2444">
            <v>5</v>
          </cell>
          <cell r="F2444">
            <v>1</v>
          </cell>
          <cell r="G2444">
            <v>5000</v>
          </cell>
          <cell r="H2444">
            <v>5300</v>
          </cell>
          <cell r="I2444">
            <v>532</v>
          </cell>
          <cell r="J2444">
            <v>42</v>
          </cell>
          <cell r="K2444" t="str">
            <v>Refractómetro de mano</v>
          </cell>
          <cell r="L2444">
            <v>0</v>
          </cell>
          <cell r="M2444">
            <v>0</v>
          </cell>
          <cell r="N2444">
            <v>0</v>
          </cell>
          <cell r="O2444">
            <v>0</v>
          </cell>
          <cell r="P2444">
            <v>0</v>
          </cell>
          <cell r="Q2444">
            <v>0</v>
          </cell>
          <cell r="R2444">
            <v>0</v>
          </cell>
          <cell r="S2444" t="str">
            <v>Pieza</v>
          </cell>
          <cell r="V2444" t="str">
            <v>FC</v>
          </cell>
        </row>
        <row r="2445">
          <cell r="A2445">
            <v>301</v>
          </cell>
          <cell r="B2445">
            <v>2017</v>
          </cell>
          <cell r="C2445">
            <v>8300</v>
          </cell>
          <cell r="D2445">
            <v>3</v>
          </cell>
          <cell r="E2445">
            <v>5</v>
          </cell>
          <cell r="F2445">
            <v>1</v>
          </cell>
          <cell r="G2445">
            <v>5000</v>
          </cell>
          <cell r="H2445">
            <v>5300</v>
          </cell>
          <cell r="I2445">
            <v>532</v>
          </cell>
          <cell r="J2445">
            <v>43</v>
          </cell>
          <cell r="K2445" t="str">
            <v>Riñón metálico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 t="str">
            <v>Pieza</v>
          </cell>
          <cell r="V2445" t="str">
            <v>FC</v>
          </cell>
        </row>
        <row r="2446">
          <cell r="A2446">
            <v>302</v>
          </cell>
          <cell r="B2446">
            <v>2017</v>
          </cell>
          <cell r="C2446">
            <v>8300</v>
          </cell>
          <cell r="D2446">
            <v>3</v>
          </cell>
          <cell r="E2446">
            <v>5</v>
          </cell>
          <cell r="F2446">
            <v>1</v>
          </cell>
          <cell r="G2446">
            <v>5000</v>
          </cell>
          <cell r="H2446">
            <v>5300</v>
          </cell>
          <cell r="I2446">
            <v>532</v>
          </cell>
          <cell r="J2446">
            <v>44</v>
          </cell>
          <cell r="K2446" t="str">
            <v>Set de cirugía</v>
          </cell>
          <cell r="L2446">
            <v>0</v>
          </cell>
          <cell r="M2446">
            <v>0</v>
          </cell>
          <cell r="N2446">
            <v>0</v>
          </cell>
          <cell r="O2446">
            <v>0</v>
          </cell>
          <cell r="P2446">
            <v>0</v>
          </cell>
          <cell r="Q2446">
            <v>0</v>
          </cell>
          <cell r="R2446">
            <v>0</v>
          </cell>
          <cell r="S2446" t="str">
            <v>Pieza</v>
          </cell>
          <cell r="V2446" t="str">
            <v>FC</v>
          </cell>
        </row>
        <row r="2447">
          <cell r="A2447">
            <v>303</v>
          </cell>
          <cell r="B2447">
            <v>2017</v>
          </cell>
          <cell r="C2447">
            <v>8300</v>
          </cell>
          <cell r="D2447">
            <v>3</v>
          </cell>
          <cell r="E2447">
            <v>5</v>
          </cell>
          <cell r="F2447">
            <v>1</v>
          </cell>
          <cell r="G2447">
            <v>5000</v>
          </cell>
          <cell r="H2447">
            <v>5300</v>
          </cell>
          <cell r="I2447">
            <v>532</v>
          </cell>
          <cell r="J2447">
            <v>45</v>
          </cell>
          <cell r="K2447" t="str">
            <v>Silla de ruedas</v>
          </cell>
          <cell r="L2447">
            <v>0</v>
          </cell>
          <cell r="M2447">
            <v>0</v>
          </cell>
          <cell r="N2447">
            <v>0</v>
          </cell>
          <cell r="O2447">
            <v>0</v>
          </cell>
          <cell r="P2447">
            <v>0</v>
          </cell>
          <cell r="Q2447">
            <v>0</v>
          </cell>
          <cell r="R2447">
            <v>0</v>
          </cell>
          <cell r="S2447" t="str">
            <v>Pieza</v>
          </cell>
          <cell r="V2447" t="str">
            <v>FC</v>
          </cell>
        </row>
        <row r="2448">
          <cell r="A2448">
            <v>304</v>
          </cell>
          <cell r="B2448">
            <v>2017</v>
          </cell>
          <cell r="C2448">
            <v>8300</v>
          </cell>
          <cell r="D2448">
            <v>3</v>
          </cell>
          <cell r="E2448">
            <v>5</v>
          </cell>
          <cell r="F2448">
            <v>1</v>
          </cell>
          <cell r="G2448">
            <v>5000</v>
          </cell>
          <cell r="H2448">
            <v>5300</v>
          </cell>
          <cell r="I2448">
            <v>532</v>
          </cell>
          <cell r="J2448">
            <v>46</v>
          </cell>
          <cell r="K2448" t="str">
            <v>Sillón oftalmológico</v>
          </cell>
          <cell r="L2448">
            <v>0</v>
          </cell>
          <cell r="M2448">
            <v>0</v>
          </cell>
          <cell r="N2448">
            <v>0</v>
          </cell>
          <cell r="O2448">
            <v>0</v>
          </cell>
          <cell r="P2448">
            <v>0</v>
          </cell>
          <cell r="Q2448">
            <v>0</v>
          </cell>
          <cell r="R2448">
            <v>0</v>
          </cell>
          <cell r="S2448" t="str">
            <v>Pieza</v>
          </cell>
          <cell r="V2448" t="str">
            <v>FC</v>
          </cell>
        </row>
        <row r="2449">
          <cell r="A2449">
            <v>305</v>
          </cell>
          <cell r="B2449">
            <v>2017</v>
          </cell>
          <cell r="C2449">
            <v>8300</v>
          </cell>
          <cell r="D2449">
            <v>3</v>
          </cell>
          <cell r="E2449">
            <v>5</v>
          </cell>
          <cell r="F2449">
            <v>1</v>
          </cell>
          <cell r="G2449">
            <v>5000</v>
          </cell>
          <cell r="H2449">
            <v>5300</v>
          </cell>
          <cell r="I2449">
            <v>532</v>
          </cell>
          <cell r="J2449">
            <v>47</v>
          </cell>
          <cell r="K2449" t="str">
            <v>Tensiómetro aneroide</v>
          </cell>
          <cell r="L2449">
            <v>0</v>
          </cell>
          <cell r="M2449">
            <v>0</v>
          </cell>
          <cell r="N2449">
            <v>0</v>
          </cell>
          <cell r="O2449">
            <v>0</v>
          </cell>
          <cell r="P2449">
            <v>0</v>
          </cell>
          <cell r="Q2449">
            <v>0</v>
          </cell>
          <cell r="R2449">
            <v>0</v>
          </cell>
          <cell r="S2449" t="str">
            <v>Pieza</v>
          </cell>
          <cell r="V2449" t="str">
            <v>FC</v>
          </cell>
        </row>
        <row r="2450">
          <cell r="A2450">
            <v>306</v>
          </cell>
          <cell r="B2450">
            <v>2017</v>
          </cell>
          <cell r="C2450">
            <v>8300</v>
          </cell>
          <cell r="D2450">
            <v>3</v>
          </cell>
          <cell r="E2450">
            <v>5</v>
          </cell>
          <cell r="F2450">
            <v>1</v>
          </cell>
          <cell r="G2450">
            <v>5000</v>
          </cell>
          <cell r="H2450">
            <v>5300</v>
          </cell>
          <cell r="I2450">
            <v>532</v>
          </cell>
          <cell r="J2450">
            <v>48</v>
          </cell>
          <cell r="K2450" t="str">
            <v xml:space="preserve">Tina para lavado </v>
          </cell>
          <cell r="L2450">
            <v>0</v>
          </cell>
          <cell r="M2450">
            <v>0</v>
          </cell>
          <cell r="N2450">
            <v>0</v>
          </cell>
          <cell r="O2450">
            <v>0</v>
          </cell>
          <cell r="P2450">
            <v>0</v>
          </cell>
          <cell r="Q2450">
            <v>0</v>
          </cell>
          <cell r="R2450">
            <v>0</v>
          </cell>
          <cell r="S2450" t="str">
            <v>Pieza</v>
          </cell>
          <cell r="V2450" t="str">
            <v>FC</v>
          </cell>
        </row>
        <row r="2451">
          <cell r="A2451">
            <v>307</v>
          </cell>
          <cell r="B2451">
            <v>2017</v>
          </cell>
          <cell r="C2451">
            <v>8300</v>
          </cell>
          <cell r="D2451">
            <v>3</v>
          </cell>
          <cell r="E2451">
            <v>5</v>
          </cell>
          <cell r="F2451">
            <v>1</v>
          </cell>
          <cell r="G2451">
            <v>5000</v>
          </cell>
          <cell r="H2451">
            <v>5300</v>
          </cell>
          <cell r="I2451">
            <v>532</v>
          </cell>
          <cell r="J2451">
            <v>49</v>
          </cell>
          <cell r="K2451" t="str">
            <v xml:space="preserve">Vitrina </v>
          </cell>
          <cell r="L2451">
            <v>0</v>
          </cell>
          <cell r="M2451">
            <v>0</v>
          </cell>
          <cell r="N2451">
            <v>0</v>
          </cell>
          <cell r="O2451">
            <v>0</v>
          </cell>
          <cell r="P2451">
            <v>0</v>
          </cell>
          <cell r="Q2451">
            <v>0</v>
          </cell>
          <cell r="R2451">
            <v>0</v>
          </cell>
          <cell r="S2451" t="str">
            <v>Pieza</v>
          </cell>
          <cell r="V2451" t="str">
            <v>FC</v>
          </cell>
        </row>
        <row r="2452">
          <cell r="A2452">
            <v>308</v>
          </cell>
          <cell r="B2452">
            <v>2017</v>
          </cell>
          <cell r="C2452">
            <v>8300</v>
          </cell>
          <cell r="D2452">
            <v>3</v>
          </cell>
          <cell r="E2452">
            <v>5</v>
          </cell>
          <cell r="F2452">
            <v>1</v>
          </cell>
          <cell r="G2452">
            <v>5000</v>
          </cell>
          <cell r="H2452">
            <v>5400</v>
          </cell>
          <cell r="K2452" t="str">
            <v>Vehículos y Equipo de Transporte</v>
          </cell>
          <cell r="L2452">
            <v>400000</v>
          </cell>
          <cell r="M2452">
            <v>0</v>
          </cell>
          <cell r="N2452">
            <v>400000</v>
          </cell>
          <cell r="O2452">
            <v>0</v>
          </cell>
          <cell r="P2452">
            <v>0</v>
          </cell>
          <cell r="Q2452">
            <v>0</v>
          </cell>
          <cell r="R2452">
            <v>400000</v>
          </cell>
        </row>
        <row r="2453">
          <cell r="A2453">
            <v>309</v>
          </cell>
          <cell r="B2453">
            <v>2017</v>
          </cell>
          <cell r="C2453">
            <v>8300</v>
          </cell>
          <cell r="D2453">
            <v>3</v>
          </cell>
          <cell r="E2453">
            <v>5</v>
          </cell>
          <cell r="F2453">
            <v>1</v>
          </cell>
          <cell r="G2453">
            <v>5000</v>
          </cell>
          <cell r="H2453">
            <v>5400</v>
          </cell>
          <cell r="I2453">
            <v>541</v>
          </cell>
          <cell r="K2453" t="str">
            <v>Vehículos y equipo terrestre</v>
          </cell>
          <cell r="L2453">
            <v>400000</v>
          </cell>
          <cell r="M2453">
            <v>0</v>
          </cell>
          <cell r="N2453">
            <v>400000</v>
          </cell>
          <cell r="O2453">
            <v>0</v>
          </cell>
          <cell r="P2453">
            <v>0</v>
          </cell>
          <cell r="Q2453">
            <v>0</v>
          </cell>
          <cell r="R2453">
            <v>400000</v>
          </cell>
        </row>
        <row r="2454">
          <cell r="A2454">
            <v>310</v>
          </cell>
          <cell r="B2454">
            <v>2017</v>
          </cell>
          <cell r="C2454">
            <v>8300</v>
          </cell>
          <cell r="D2454">
            <v>3</v>
          </cell>
          <cell r="E2454">
            <v>5</v>
          </cell>
          <cell r="F2454">
            <v>1</v>
          </cell>
          <cell r="G2454">
            <v>5000</v>
          </cell>
          <cell r="H2454">
            <v>5400</v>
          </cell>
          <cell r="I2454">
            <v>541</v>
          </cell>
          <cell r="J2454">
            <v>1</v>
          </cell>
          <cell r="K2454" t="str">
            <v xml:space="preserve">Ambulancia </v>
          </cell>
          <cell r="L2454">
            <v>0</v>
          </cell>
          <cell r="M2454">
            <v>0</v>
          </cell>
          <cell r="N2454">
            <v>0</v>
          </cell>
          <cell r="O2454">
            <v>0</v>
          </cell>
          <cell r="P2454">
            <v>0</v>
          </cell>
          <cell r="Q2454">
            <v>0</v>
          </cell>
          <cell r="R2454">
            <v>0</v>
          </cell>
          <cell r="S2454" t="str">
            <v>Pieza</v>
          </cell>
          <cell r="V2454" t="str">
            <v>AE</v>
          </cell>
        </row>
        <row r="2455">
          <cell r="A2455">
            <v>311</v>
          </cell>
          <cell r="B2455">
            <v>2017</v>
          </cell>
          <cell r="C2455">
            <v>8300</v>
          </cell>
          <cell r="D2455">
            <v>3</v>
          </cell>
          <cell r="E2455">
            <v>5</v>
          </cell>
          <cell r="F2455">
            <v>1</v>
          </cell>
          <cell r="G2455">
            <v>5000</v>
          </cell>
          <cell r="H2455">
            <v>5400</v>
          </cell>
          <cell r="I2455">
            <v>541</v>
          </cell>
          <cell r="J2455">
            <v>2</v>
          </cell>
          <cell r="K2455" t="str">
            <v>Camión para traslado de reos</v>
          </cell>
          <cell r="L2455">
            <v>0</v>
          </cell>
          <cell r="M2455">
            <v>0</v>
          </cell>
          <cell r="N2455">
            <v>0</v>
          </cell>
          <cell r="O2455">
            <v>0</v>
          </cell>
          <cell r="P2455">
            <v>0</v>
          </cell>
          <cell r="Q2455">
            <v>0</v>
          </cell>
          <cell r="R2455">
            <v>0</v>
          </cell>
          <cell r="S2455" t="str">
            <v>Pieza</v>
          </cell>
          <cell r="V2455" t="str">
            <v>FC</v>
          </cell>
        </row>
        <row r="2456">
          <cell r="A2456">
            <v>312</v>
          </cell>
          <cell r="B2456">
            <v>2017</v>
          </cell>
          <cell r="C2456">
            <v>8300</v>
          </cell>
          <cell r="D2456">
            <v>3</v>
          </cell>
          <cell r="E2456">
            <v>5</v>
          </cell>
          <cell r="F2456">
            <v>1</v>
          </cell>
          <cell r="G2456">
            <v>5000</v>
          </cell>
          <cell r="H2456">
            <v>5400</v>
          </cell>
          <cell r="I2456">
            <v>541</v>
          </cell>
          <cell r="J2456">
            <v>3</v>
          </cell>
          <cell r="K2456" t="str">
            <v>Camioneta</v>
          </cell>
          <cell r="L2456">
            <v>0</v>
          </cell>
          <cell r="M2456">
            <v>0</v>
          </cell>
          <cell r="N2456">
            <v>0</v>
          </cell>
          <cell r="O2456">
            <v>0</v>
          </cell>
          <cell r="P2456">
            <v>0</v>
          </cell>
          <cell r="Q2456">
            <v>0</v>
          </cell>
          <cell r="R2456">
            <v>0</v>
          </cell>
          <cell r="S2456" t="str">
            <v>Pieza</v>
          </cell>
          <cell r="V2456" t="str">
            <v>FC</v>
          </cell>
        </row>
        <row r="2457">
          <cell r="A2457">
            <v>313</v>
          </cell>
          <cell r="B2457">
            <v>2017</v>
          </cell>
          <cell r="C2457">
            <v>8300</v>
          </cell>
          <cell r="D2457">
            <v>3</v>
          </cell>
          <cell r="E2457">
            <v>5</v>
          </cell>
          <cell r="F2457">
            <v>1</v>
          </cell>
          <cell r="G2457">
            <v>5000</v>
          </cell>
          <cell r="H2457">
            <v>5400</v>
          </cell>
          <cell r="I2457">
            <v>541</v>
          </cell>
          <cell r="J2457">
            <v>4</v>
          </cell>
          <cell r="K2457" t="str">
            <v xml:space="preserve">Cuatrimoto </v>
          </cell>
          <cell r="L2457">
            <v>0</v>
          </cell>
          <cell r="M2457">
            <v>0</v>
          </cell>
          <cell r="N2457">
            <v>0</v>
          </cell>
          <cell r="O2457">
            <v>0</v>
          </cell>
          <cell r="P2457">
            <v>0</v>
          </cell>
          <cell r="Q2457">
            <v>0</v>
          </cell>
          <cell r="R2457">
            <v>0</v>
          </cell>
          <cell r="S2457" t="str">
            <v>Pieza</v>
          </cell>
          <cell r="V2457" t="str">
            <v>AE</v>
          </cell>
        </row>
        <row r="2458">
          <cell r="A2458">
            <v>314</v>
          </cell>
          <cell r="B2458">
            <v>2017</v>
          </cell>
          <cell r="C2458">
            <v>8300</v>
          </cell>
          <cell r="D2458">
            <v>3</v>
          </cell>
          <cell r="E2458">
            <v>5</v>
          </cell>
          <cell r="F2458">
            <v>1</v>
          </cell>
          <cell r="G2458">
            <v>5000</v>
          </cell>
          <cell r="H2458">
            <v>5400</v>
          </cell>
          <cell r="I2458">
            <v>541</v>
          </cell>
          <cell r="J2458">
            <v>5</v>
          </cell>
          <cell r="K2458" t="str">
            <v xml:space="preserve">Motocicleta </v>
          </cell>
          <cell r="L2458">
            <v>0</v>
          </cell>
          <cell r="M2458">
            <v>0</v>
          </cell>
          <cell r="N2458">
            <v>0</v>
          </cell>
          <cell r="O2458">
            <v>0</v>
          </cell>
          <cell r="P2458">
            <v>0</v>
          </cell>
          <cell r="Q2458">
            <v>0</v>
          </cell>
          <cell r="R2458">
            <v>0</v>
          </cell>
          <cell r="S2458" t="str">
            <v>Pieza</v>
          </cell>
          <cell r="V2458" t="str">
            <v>AE</v>
          </cell>
        </row>
        <row r="2459">
          <cell r="A2459">
            <v>315</v>
          </cell>
          <cell r="B2459">
            <v>2017</v>
          </cell>
          <cell r="C2459">
            <v>8300</v>
          </cell>
          <cell r="D2459">
            <v>3</v>
          </cell>
          <cell r="E2459">
            <v>5</v>
          </cell>
          <cell r="F2459">
            <v>1</v>
          </cell>
          <cell r="G2459">
            <v>5000</v>
          </cell>
          <cell r="H2459">
            <v>5400</v>
          </cell>
          <cell r="I2459">
            <v>541</v>
          </cell>
          <cell r="J2459">
            <v>6</v>
          </cell>
          <cell r="K2459" t="str">
            <v>Vehículo</v>
          </cell>
          <cell r="L2459">
            <v>400000</v>
          </cell>
          <cell r="M2459">
            <v>0</v>
          </cell>
          <cell r="N2459">
            <v>400000</v>
          </cell>
          <cell r="O2459">
            <v>0</v>
          </cell>
          <cell r="P2459">
            <v>0</v>
          </cell>
          <cell r="Q2459">
            <v>0</v>
          </cell>
          <cell r="R2459">
            <v>400000</v>
          </cell>
          <cell r="S2459" t="str">
            <v>Pieza</v>
          </cell>
          <cell r="T2459">
            <v>2</v>
          </cell>
          <cell r="V2459" t="str">
            <v>FC</v>
          </cell>
        </row>
        <row r="2460">
          <cell r="A2460">
            <v>316</v>
          </cell>
          <cell r="B2460">
            <v>2017</v>
          </cell>
          <cell r="C2460">
            <v>8300</v>
          </cell>
          <cell r="D2460">
            <v>3</v>
          </cell>
          <cell r="E2460">
            <v>5</v>
          </cell>
          <cell r="F2460">
            <v>1</v>
          </cell>
          <cell r="G2460">
            <v>5000</v>
          </cell>
          <cell r="H2460">
            <v>5400</v>
          </cell>
          <cell r="I2460">
            <v>542</v>
          </cell>
          <cell r="K2460" t="str">
            <v>Carrocerías y remolques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</row>
        <row r="2461">
          <cell r="A2461">
            <v>317</v>
          </cell>
          <cell r="B2461">
            <v>2017</v>
          </cell>
          <cell r="C2461">
            <v>8300</v>
          </cell>
          <cell r="D2461">
            <v>3</v>
          </cell>
          <cell r="E2461">
            <v>5</v>
          </cell>
          <cell r="F2461">
            <v>1</v>
          </cell>
          <cell r="G2461">
            <v>5000</v>
          </cell>
          <cell r="H2461">
            <v>5400</v>
          </cell>
          <cell r="I2461">
            <v>542</v>
          </cell>
          <cell r="J2461">
            <v>1</v>
          </cell>
          <cell r="K2461" t="str">
            <v>Remolque para traslado de equipo antimotín</v>
          </cell>
          <cell r="L2461">
            <v>0</v>
          </cell>
          <cell r="M2461">
            <v>0</v>
          </cell>
          <cell r="N2461">
            <v>0</v>
          </cell>
          <cell r="O2461">
            <v>0</v>
          </cell>
          <cell r="P2461">
            <v>0</v>
          </cell>
          <cell r="Q2461">
            <v>0</v>
          </cell>
          <cell r="R2461">
            <v>0</v>
          </cell>
          <cell r="S2461" t="str">
            <v>Pieza</v>
          </cell>
          <cell r="V2461" t="str">
            <v>AE</v>
          </cell>
        </row>
        <row r="2462">
          <cell r="A2462">
            <v>318</v>
          </cell>
          <cell r="B2462">
            <v>2017</v>
          </cell>
          <cell r="C2462">
            <v>8300</v>
          </cell>
          <cell r="D2462">
            <v>3</v>
          </cell>
          <cell r="E2462">
            <v>5</v>
          </cell>
          <cell r="F2462">
            <v>1</v>
          </cell>
          <cell r="G2462">
            <v>5000</v>
          </cell>
          <cell r="H2462">
            <v>5500</v>
          </cell>
          <cell r="K2462" t="str">
            <v>Equipo de Defensa y Seguridad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0</v>
          </cell>
          <cell r="R2462">
            <v>0</v>
          </cell>
        </row>
        <row r="2463">
          <cell r="A2463">
            <v>319</v>
          </cell>
          <cell r="B2463">
            <v>2017</v>
          </cell>
          <cell r="C2463">
            <v>8300</v>
          </cell>
          <cell r="D2463">
            <v>3</v>
          </cell>
          <cell r="E2463">
            <v>5</v>
          </cell>
          <cell r="F2463">
            <v>1</v>
          </cell>
          <cell r="G2463">
            <v>5000</v>
          </cell>
          <cell r="H2463">
            <v>5500</v>
          </cell>
          <cell r="I2463">
            <v>551</v>
          </cell>
          <cell r="K2463" t="str">
            <v>Equipo de defensa y seguridad</v>
          </cell>
          <cell r="L2463">
            <v>0</v>
          </cell>
          <cell r="M2463">
            <v>0</v>
          </cell>
          <cell r="N2463">
            <v>0</v>
          </cell>
          <cell r="O2463">
            <v>0</v>
          </cell>
          <cell r="P2463">
            <v>0</v>
          </cell>
          <cell r="Q2463">
            <v>0</v>
          </cell>
          <cell r="R2463">
            <v>0</v>
          </cell>
        </row>
        <row r="2464">
          <cell r="A2464">
            <v>320</v>
          </cell>
          <cell r="B2464">
            <v>2017</v>
          </cell>
          <cell r="C2464">
            <v>8300</v>
          </cell>
          <cell r="D2464">
            <v>3</v>
          </cell>
          <cell r="E2464">
            <v>5</v>
          </cell>
          <cell r="F2464">
            <v>1</v>
          </cell>
          <cell r="G2464">
            <v>5000</v>
          </cell>
          <cell r="H2464">
            <v>5500</v>
          </cell>
          <cell r="I2464">
            <v>551</v>
          </cell>
          <cell r="J2464">
            <v>1</v>
          </cell>
          <cell r="K2464" t="str">
            <v xml:space="preserve">Armas 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 t="str">
            <v>Pieza</v>
          </cell>
          <cell r="V2464" t="str">
            <v>FC</v>
          </cell>
        </row>
        <row r="2465">
          <cell r="A2465">
            <v>321</v>
          </cell>
          <cell r="B2465">
            <v>2017</v>
          </cell>
          <cell r="C2465">
            <v>8300</v>
          </cell>
          <cell r="D2465">
            <v>3</v>
          </cell>
          <cell r="E2465">
            <v>5</v>
          </cell>
          <cell r="F2465">
            <v>1</v>
          </cell>
          <cell r="G2465">
            <v>5000</v>
          </cell>
          <cell r="H2465">
            <v>5500</v>
          </cell>
          <cell r="I2465">
            <v>551</v>
          </cell>
          <cell r="J2465">
            <v>2</v>
          </cell>
          <cell r="K2465" t="str">
            <v xml:space="preserve">Cabina portátil insonorizada </v>
          </cell>
          <cell r="L2465">
            <v>0</v>
          </cell>
          <cell r="M2465">
            <v>0</v>
          </cell>
          <cell r="N2465">
            <v>0</v>
          </cell>
          <cell r="O2465">
            <v>0</v>
          </cell>
          <cell r="P2465">
            <v>0</v>
          </cell>
          <cell r="Q2465">
            <v>0</v>
          </cell>
          <cell r="R2465">
            <v>0</v>
          </cell>
          <cell r="S2465" t="str">
            <v>Pieza</v>
          </cell>
          <cell r="V2465" t="str">
            <v>FC</v>
          </cell>
        </row>
        <row r="2466">
          <cell r="A2466">
            <v>322</v>
          </cell>
          <cell r="B2466">
            <v>2017</v>
          </cell>
          <cell r="C2466">
            <v>8300</v>
          </cell>
          <cell r="D2466">
            <v>3</v>
          </cell>
          <cell r="E2466">
            <v>5</v>
          </cell>
          <cell r="F2466">
            <v>1</v>
          </cell>
          <cell r="G2466">
            <v>5000</v>
          </cell>
          <cell r="H2466">
            <v>5500</v>
          </cell>
          <cell r="I2466">
            <v>551</v>
          </cell>
          <cell r="J2466">
            <v>3</v>
          </cell>
          <cell r="K2466" t="str">
            <v>Cañón Sónico (acústico de largo alcance de 150 decibelios)</v>
          </cell>
          <cell r="L2466">
            <v>0</v>
          </cell>
          <cell r="M2466">
            <v>0</v>
          </cell>
          <cell r="N2466">
            <v>0</v>
          </cell>
          <cell r="O2466">
            <v>0</v>
          </cell>
          <cell r="P2466">
            <v>0</v>
          </cell>
          <cell r="Q2466">
            <v>0</v>
          </cell>
          <cell r="R2466">
            <v>0</v>
          </cell>
          <cell r="S2466" t="str">
            <v>Pieza</v>
          </cell>
          <cell r="V2466" t="str">
            <v>FC</v>
          </cell>
        </row>
        <row r="2467">
          <cell r="A2467">
            <v>323</v>
          </cell>
          <cell r="B2467">
            <v>2017</v>
          </cell>
          <cell r="C2467">
            <v>8300</v>
          </cell>
          <cell r="D2467">
            <v>3</v>
          </cell>
          <cell r="E2467">
            <v>5</v>
          </cell>
          <cell r="F2467">
            <v>1</v>
          </cell>
          <cell r="G2467">
            <v>5000</v>
          </cell>
          <cell r="H2467">
            <v>5500</v>
          </cell>
          <cell r="I2467">
            <v>551</v>
          </cell>
          <cell r="J2467">
            <v>4</v>
          </cell>
          <cell r="K2467" t="str">
            <v xml:space="preserve">Inhibidores de señal de espectro radioeléctrico </v>
          </cell>
          <cell r="L2467">
            <v>0</v>
          </cell>
          <cell r="M2467">
            <v>0</v>
          </cell>
          <cell r="N2467">
            <v>0</v>
          </cell>
          <cell r="O2467">
            <v>0</v>
          </cell>
          <cell r="P2467">
            <v>0</v>
          </cell>
          <cell r="Q2467">
            <v>0</v>
          </cell>
          <cell r="R2467">
            <v>0</v>
          </cell>
          <cell r="S2467" t="str">
            <v>Pieza</v>
          </cell>
          <cell r="V2467" t="str">
            <v>FC</v>
          </cell>
        </row>
        <row r="2468">
          <cell r="A2468">
            <v>324</v>
          </cell>
          <cell r="B2468">
            <v>2017</v>
          </cell>
          <cell r="C2468">
            <v>8300</v>
          </cell>
          <cell r="D2468">
            <v>3</v>
          </cell>
          <cell r="E2468">
            <v>5</v>
          </cell>
          <cell r="F2468">
            <v>1</v>
          </cell>
          <cell r="G2468">
            <v>5000</v>
          </cell>
          <cell r="H2468">
            <v>5500</v>
          </cell>
          <cell r="I2468">
            <v>551</v>
          </cell>
          <cell r="J2468">
            <v>5</v>
          </cell>
          <cell r="K2468" t="str">
            <v>Mira Telescópica</v>
          </cell>
          <cell r="L2468">
            <v>0</v>
          </cell>
          <cell r="M2468">
            <v>0</v>
          </cell>
          <cell r="N2468">
            <v>0</v>
          </cell>
          <cell r="O2468">
            <v>0</v>
          </cell>
          <cell r="P2468">
            <v>0</v>
          </cell>
          <cell r="Q2468">
            <v>0</v>
          </cell>
          <cell r="R2468">
            <v>0</v>
          </cell>
          <cell r="S2468" t="str">
            <v>Pieza</v>
          </cell>
          <cell r="V2468" t="str">
            <v>FC</v>
          </cell>
        </row>
        <row r="2469">
          <cell r="A2469">
            <v>325</v>
          </cell>
          <cell r="B2469">
            <v>2017</v>
          </cell>
          <cell r="C2469">
            <v>8300</v>
          </cell>
          <cell r="D2469">
            <v>3</v>
          </cell>
          <cell r="E2469">
            <v>5</v>
          </cell>
          <cell r="F2469">
            <v>1</v>
          </cell>
          <cell r="G2469">
            <v>5000</v>
          </cell>
          <cell r="H2469">
            <v>5500</v>
          </cell>
          <cell r="I2469">
            <v>551</v>
          </cell>
          <cell r="J2469">
            <v>6</v>
          </cell>
          <cell r="K2469" t="str">
            <v xml:space="preserve">Sistema de detección de sustancias prohibidas en cavidades </v>
          </cell>
          <cell r="L2469">
            <v>0</v>
          </cell>
          <cell r="M2469">
            <v>0</v>
          </cell>
          <cell r="N2469">
            <v>0</v>
          </cell>
          <cell r="O2469">
            <v>0</v>
          </cell>
          <cell r="P2469">
            <v>0</v>
          </cell>
          <cell r="Q2469">
            <v>0</v>
          </cell>
          <cell r="R2469">
            <v>0</v>
          </cell>
          <cell r="S2469" t="str">
            <v>Pieza</v>
          </cell>
          <cell r="V2469" t="str">
            <v>FC</v>
          </cell>
        </row>
        <row r="2470">
          <cell r="A2470">
            <v>326</v>
          </cell>
          <cell r="B2470">
            <v>2017</v>
          </cell>
          <cell r="C2470">
            <v>8300</v>
          </cell>
          <cell r="D2470">
            <v>3</v>
          </cell>
          <cell r="E2470">
            <v>5</v>
          </cell>
          <cell r="F2470">
            <v>1</v>
          </cell>
          <cell r="G2470">
            <v>5000</v>
          </cell>
          <cell r="H2470">
            <v>5600</v>
          </cell>
          <cell r="K2470" t="str">
            <v>Maquinaria, otros equipos y herramientas</v>
          </cell>
          <cell r="L2470">
            <v>2829876.75</v>
          </cell>
          <cell r="M2470">
            <v>0</v>
          </cell>
          <cell r="N2470">
            <v>2829876.75</v>
          </cell>
          <cell r="O2470">
            <v>0</v>
          </cell>
          <cell r="P2470">
            <v>0</v>
          </cell>
          <cell r="Q2470">
            <v>0</v>
          </cell>
          <cell r="R2470">
            <v>2829876.75</v>
          </cell>
        </row>
        <row r="2471">
          <cell r="A2471">
            <v>327</v>
          </cell>
          <cell r="B2471">
            <v>2017</v>
          </cell>
          <cell r="C2471">
            <v>8300</v>
          </cell>
          <cell r="D2471">
            <v>3</v>
          </cell>
          <cell r="E2471">
            <v>5</v>
          </cell>
          <cell r="F2471">
            <v>1</v>
          </cell>
          <cell r="G2471">
            <v>5000</v>
          </cell>
          <cell r="H2471">
            <v>5600</v>
          </cell>
          <cell r="I2471">
            <v>562</v>
          </cell>
          <cell r="K2471" t="str">
            <v>Maquinaria y equipo industrial</v>
          </cell>
          <cell r="L2471">
            <v>516984</v>
          </cell>
          <cell r="M2471">
            <v>0</v>
          </cell>
          <cell r="N2471">
            <v>516984</v>
          </cell>
          <cell r="O2471">
            <v>0</v>
          </cell>
          <cell r="P2471">
            <v>0</v>
          </cell>
          <cell r="Q2471">
            <v>0</v>
          </cell>
          <cell r="R2471">
            <v>516984</v>
          </cell>
        </row>
        <row r="2472">
          <cell r="A2472">
            <v>328</v>
          </cell>
          <cell r="B2472">
            <v>2017</v>
          </cell>
          <cell r="C2472">
            <v>8300</v>
          </cell>
          <cell r="D2472">
            <v>3</v>
          </cell>
          <cell r="E2472">
            <v>5</v>
          </cell>
          <cell r="F2472">
            <v>1</v>
          </cell>
          <cell r="G2472">
            <v>5000</v>
          </cell>
          <cell r="H2472">
            <v>5600</v>
          </cell>
          <cell r="I2472">
            <v>562</v>
          </cell>
          <cell r="J2472">
            <v>1</v>
          </cell>
          <cell r="K2472" t="str">
            <v>Aparato mata insectos eléctrico</v>
          </cell>
          <cell r="L2472">
            <v>0</v>
          </cell>
          <cell r="M2472">
            <v>0</v>
          </cell>
          <cell r="N2472">
            <v>0</v>
          </cell>
          <cell r="O2472">
            <v>0</v>
          </cell>
          <cell r="P2472">
            <v>0</v>
          </cell>
          <cell r="Q2472">
            <v>0</v>
          </cell>
          <cell r="R2472">
            <v>0</v>
          </cell>
          <cell r="S2472" t="str">
            <v xml:space="preserve">Equipo  </v>
          </cell>
          <cell r="V2472" t="str">
            <v>FC</v>
          </cell>
        </row>
        <row r="2473">
          <cell r="A2473">
            <v>329</v>
          </cell>
          <cell r="B2473">
            <v>2017</v>
          </cell>
          <cell r="C2473">
            <v>8300</v>
          </cell>
          <cell r="D2473">
            <v>3</v>
          </cell>
          <cell r="E2473">
            <v>5</v>
          </cell>
          <cell r="F2473">
            <v>1</v>
          </cell>
          <cell r="G2473">
            <v>5000</v>
          </cell>
          <cell r="H2473">
            <v>5600</v>
          </cell>
          <cell r="I2473">
            <v>562</v>
          </cell>
          <cell r="J2473">
            <v>2</v>
          </cell>
          <cell r="K2473" t="str">
            <v>Batidora industrial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 t="str">
            <v>Pieza</v>
          </cell>
          <cell r="V2473" t="str">
            <v>FC</v>
          </cell>
        </row>
        <row r="2474">
          <cell r="A2474">
            <v>330</v>
          </cell>
          <cell r="B2474">
            <v>2017</v>
          </cell>
          <cell r="C2474">
            <v>8300</v>
          </cell>
          <cell r="D2474">
            <v>3</v>
          </cell>
          <cell r="E2474">
            <v>5</v>
          </cell>
          <cell r="F2474">
            <v>1</v>
          </cell>
          <cell r="G2474">
            <v>5000</v>
          </cell>
          <cell r="H2474">
            <v>5600</v>
          </cell>
          <cell r="I2474">
            <v>562</v>
          </cell>
          <cell r="J2474">
            <v>3</v>
          </cell>
          <cell r="K2474" t="str">
            <v>Bomba (sumergible)</v>
          </cell>
          <cell r="L2474">
            <v>150000</v>
          </cell>
          <cell r="M2474">
            <v>0</v>
          </cell>
          <cell r="N2474">
            <v>150000</v>
          </cell>
          <cell r="O2474">
            <v>0</v>
          </cell>
          <cell r="P2474">
            <v>0</v>
          </cell>
          <cell r="Q2474">
            <v>0</v>
          </cell>
          <cell r="R2474">
            <v>150000</v>
          </cell>
          <cell r="S2474" t="str">
            <v>Pieza</v>
          </cell>
          <cell r="T2474">
            <v>1</v>
          </cell>
          <cell r="V2474" t="str">
            <v>FC</v>
          </cell>
        </row>
        <row r="2475">
          <cell r="A2475">
            <v>331</v>
          </cell>
          <cell r="B2475">
            <v>2017</v>
          </cell>
          <cell r="C2475">
            <v>8300</v>
          </cell>
          <cell r="D2475">
            <v>3</v>
          </cell>
          <cell r="E2475">
            <v>5</v>
          </cell>
          <cell r="F2475">
            <v>1</v>
          </cell>
          <cell r="G2475">
            <v>5000</v>
          </cell>
          <cell r="H2475">
            <v>5600</v>
          </cell>
          <cell r="I2475">
            <v>562</v>
          </cell>
          <cell r="J2475">
            <v>4</v>
          </cell>
          <cell r="K2475" t="str">
            <v xml:space="preserve">Campana 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0</v>
          </cell>
          <cell r="S2475" t="str">
            <v>Pieza</v>
          </cell>
          <cell r="V2475" t="str">
            <v>FC</v>
          </cell>
        </row>
        <row r="2476">
          <cell r="A2476">
            <v>332</v>
          </cell>
          <cell r="B2476">
            <v>2017</v>
          </cell>
          <cell r="C2476">
            <v>8300</v>
          </cell>
          <cell r="D2476">
            <v>3</v>
          </cell>
          <cell r="E2476">
            <v>5</v>
          </cell>
          <cell r="F2476">
            <v>1</v>
          </cell>
          <cell r="G2476">
            <v>5000</v>
          </cell>
          <cell r="H2476">
            <v>5600</v>
          </cell>
          <cell r="I2476">
            <v>562</v>
          </cell>
          <cell r="J2476">
            <v>5</v>
          </cell>
          <cell r="K2476" t="str">
            <v>Congelador</v>
          </cell>
          <cell r="L2476">
            <v>56400</v>
          </cell>
          <cell r="M2476">
            <v>0</v>
          </cell>
          <cell r="N2476">
            <v>56400</v>
          </cell>
          <cell r="P2476">
            <v>0</v>
          </cell>
          <cell r="Q2476">
            <v>0</v>
          </cell>
          <cell r="R2476">
            <v>56400</v>
          </cell>
          <cell r="S2476" t="str">
            <v>Pieza</v>
          </cell>
          <cell r="T2476">
            <v>6</v>
          </cell>
          <cell r="V2476" t="str">
            <v>FC</v>
          </cell>
        </row>
        <row r="2477">
          <cell r="A2477">
            <v>333</v>
          </cell>
          <cell r="B2477">
            <v>2017</v>
          </cell>
          <cell r="C2477">
            <v>8300</v>
          </cell>
          <cell r="D2477">
            <v>3</v>
          </cell>
          <cell r="E2477">
            <v>5</v>
          </cell>
          <cell r="F2477">
            <v>1</v>
          </cell>
          <cell r="G2477">
            <v>5000</v>
          </cell>
          <cell r="H2477">
            <v>5600</v>
          </cell>
          <cell r="I2477">
            <v>562</v>
          </cell>
          <cell r="J2477">
            <v>6</v>
          </cell>
          <cell r="K2477" t="str">
            <v>Detector de metales</v>
          </cell>
          <cell r="M2477">
            <v>0</v>
          </cell>
          <cell r="N2477">
            <v>0</v>
          </cell>
          <cell r="P2477">
            <v>0</v>
          </cell>
          <cell r="Q2477">
            <v>0</v>
          </cell>
          <cell r="R2477">
            <v>0</v>
          </cell>
          <cell r="S2477" t="str">
            <v>Pieza</v>
          </cell>
          <cell r="V2477" t="str">
            <v>FC</v>
          </cell>
        </row>
        <row r="2478">
          <cell r="A2478">
            <v>334</v>
          </cell>
          <cell r="B2478">
            <v>2017</v>
          </cell>
          <cell r="C2478">
            <v>8300</v>
          </cell>
          <cell r="D2478">
            <v>3</v>
          </cell>
          <cell r="E2478">
            <v>5</v>
          </cell>
          <cell r="F2478">
            <v>1</v>
          </cell>
          <cell r="G2478">
            <v>5000</v>
          </cell>
          <cell r="H2478">
            <v>5600</v>
          </cell>
          <cell r="I2478">
            <v>562</v>
          </cell>
          <cell r="J2478">
            <v>7</v>
          </cell>
          <cell r="K2478" t="str">
            <v>Equipo de pintado</v>
          </cell>
          <cell r="M2478">
            <v>0</v>
          </cell>
          <cell r="N2478">
            <v>0</v>
          </cell>
          <cell r="P2478">
            <v>0</v>
          </cell>
          <cell r="Q2478">
            <v>0</v>
          </cell>
          <cell r="R2478">
            <v>0</v>
          </cell>
          <cell r="S2478" t="str">
            <v>Pieza</v>
          </cell>
          <cell r="V2478" t="str">
            <v>FC</v>
          </cell>
        </row>
        <row r="2479">
          <cell r="A2479">
            <v>335</v>
          </cell>
          <cell r="B2479">
            <v>2017</v>
          </cell>
          <cell r="C2479">
            <v>8300</v>
          </cell>
          <cell r="D2479">
            <v>3</v>
          </cell>
          <cell r="E2479">
            <v>5</v>
          </cell>
          <cell r="F2479">
            <v>1</v>
          </cell>
          <cell r="G2479">
            <v>5000</v>
          </cell>
          <cell r="H2479">
            <v>5600</v>
          </cell>
          <cell r="I2479">
            <v>562</v>
          </cell>
          <cell r="J2479">
            <v>8</v>
          </cell>
          <cell r="K2479" t="str">
            <v xml:space="preserve">Equipo de rayos x </v>
          </cell>
          <cell r="M2479">
            <v>0</v>
          </cell>
          <cell r="N2479">
            <v>0</v>
          </cell>
          <cell r="P2479">
            <v>0</v>
          </cell>
          <cell r="Q2479">
            <v>0</v>
          </cell>
          <cell r="R2479">
            <v>0</v>
          </cell>
          <cell r="S2479" t="str">
            <v>Pieza</v>
          </cell>
          <cell r="V2479" t="str">
            <v>FC</v>
          </cell>
        </row>
        <row r="2480">
          <cell r="A2480">
            <v>336</v>
          </cell>
          <cell r="B2480">
            <v>2017</v>
          </cell>
          <cell r="C2480">
            <v>8300</v>
          </cell>
          <cell r="D2480">
            <v>3</v>
          </cell>
          <cell r="E2480">
            <v>5</v>
          </cell>
          <cell r="F2480">
            <v>1</v>
          </cell>
          <cell r="G2480">
            <v>5000</v>
          </cell>
          <cell r="H2480">
            <v>5600</v>
          </cell>
          <cell r="I2480">
            <v>562</v>
          </cell>
          <cell r="J2480">
            <v>9</v>
          </cell>
          <cell r="K2480" t="str">
            <v>Espiguero para 18 charolas</v>
          </cell>
          <cell r="M2480">
            <v>0</v>
          </cell>
          <cell r="N2480">
            <v>0</v>
          </cell>
          <cell r="P2480">
            <v>0</v>
          </cell>
          <cell r="Q2480">
            <v>0</v>
          </cell>
          <cell r="R2480">
            <v>0</v>
          </cell>
          <cell r="S2480" t="str">
            <v>Pieza</v>
          </cell>
          <cell r="V2480" t="str">
            <v>FC</v>
          </cell>
        </row>
        <row r="2481">
          <cell r="A2481">
            <v>337</v>
          </cell>
          <cell r="B2481">
            <v>2017</v>
          </cell>
          <cell r="C2481">
            <v>8300</v>
          </cell>
          <cell r="D2481">
            <v>3</v>
          </cell>
          <cell r="E2481">
            <v>5</v>
          </cell>
          <cell r="F2481">
            <v>1</v>
          </cell>
          <cell r="G2481">
            <v>5000</v>
          </cell>
          <cell r="H2481">
            <v>5600</v>
          </cell>
          <cell r="I2481">
            <v>562</v>
          </cell>
          <cell r="J2481">
            <v>10</v>
          </cell>
          <cell r="K2481" t="str">
            <v>Estofón de gas</v>
          </cell>
          <cell r="L2481">
            <v>58500</v>
          </cell>
          <cell r="M2481">
            <v>0</v>
          </cell>
          <cell r="N2481">
            <v>58500</v>
          </cell>
          <cell r="P2481">
            <v>0</v>
          </cell>
          <cell r="Q2481">
            <v>0</v>
          </cell>
          <cell r="R2481">
            <v>58500</v>
          </cell>
          <cell r="S2481" t="str">
            <v>Pieza</v>
          </cell>
          <cell r="T2481">
            <v>6</v>
          </cell>
          <cell r="V2481" t="str">
            <v>FC</v>
          </cell>
        </row>
        <row r="2482">
          <cell r="A2482">
            <v>338</v>
          </cell>
          <cell r="B2482">
            <v>2017</v>
          </cell>
          <cell r="C2482">
            <v>8300</v>
          </cell>
          <cell r="D2482">
            <v>3</v>
          </cell>
          <cell r="E2482">
            <v>5</v>
          </cell>
          <cell r="F2482">
            <v>1</v>
          </cell>
          <cell r="G2482">
            <v>5000</v>
          </cell>
          <cell r="H2482">
            <v>5600</v>
          </cell>
          <cell r="I2482">
            <v>562</v>
          </cell>
          <cell r="J2482">
            <v>11</v>
          </cell>
          <cell r="K2482" t="str">
            <v xml:space="preserve">Exprimidor de jugos </v>
          </cell>
          <cell r="M2482">
            <v>0</v>
          </cell>
          <cell r="N2482">
            <v>0</v>
          </cell>
          <cell r="P2482">
            <v>0</v>
          </cell>
          <cell r="Q2482">
            <v>0</v>
          </cell>
          <cell r="R2482">
            <v>0</v>
          </cell>
          <cell r="S2482" t="str">
            <v>Pieza</v>
          </cell>
          <cell r="V2482" t="str">
            <v>FC</v>
          </cell>
        </row>
        <row r="2483">
          <cell r="A2483">
            <v>339</v>
          </cell>
          <cell r="B2483">
            <v>2017</v>
          </cell>
          <cell r="C2483">
            <v>8300</v>
          </cell>
          <cell r="D2483">
            <v>3</v>
          </cell>
          <cell r="E2483">
            <v>5</v>
          </cell>
          <cell r="F2483">
            <v>1</v>
          </cell>
          <cell r="G2483">
            <v>5000</v>
          </cell>
          <cell r="H2483">
            <v>5600</v>
          </cell>
          <cell r="I2483">
            <v>562</v>
          </cell>
          <cell r="J2483">
            <v>12</v>
          </cell>
          <cell r="K2483" t="str">
            <v>Fogón</v>
          </cell>
          <cell r="M2483">
            <v>0</v>
          </cell>
          <cell r="N2483">
            <v>0</v>
          </cell>
          <cell r="P2483">
            <v>0</v>
          </cell>
          <cell r="Q2483">
            <v>0</v>
          </cell>
          <cell r="R2483">
            <v>0</v>
          </cell>
          <cell r="S2483" t="str">
            <v>Pieza</v>
          </cell>
          <cell r="V2483" t="str">
            <v>FC</v>
          </cell>
        </row>
        <row r="2484">
          <cell r="A2484">
            <v>340</v>
          </cell>
          <cell r="B2484">
            <v>2017</v>
          </cell>
          <cell r="C2484">
            <v>8300</v>
          </cell>
          <cell r="D2484">
            <v>3</v>
          </cell>
          <cell r="E2484">
            <v>5</v>
          </cell>
          <cell r="F2484">
            <v>1</v>
          </cell>
          <cell r="G2484">
            <v>5000</v>
          </cell>
          <cell r="H2484">
            <v>5600</v>
          </cell>
          <cell r="I2484">
            <v>562</v>
          </cell>
          <cell r="J2484">
            <v>13</v>
          </cell>
          <cell r="K2484" t="str">
            <v>Freidora</v>
          </cell>
          <cell r="M2484">
            <v>0</v>
          </cell>
          <cell r="N2484">
            <v>0</v>
          </cell>
          <cell r="P2484">
            <v>0</v>
          </cell>
          <cell r="Q2484">
            <v>0</v>
          </cell>
          <cell r="R2484">
            <v>0</v>
          </cell>
          <cell r="S2484" t="str">
            <v>Pieza</v>
          </cell>
          <cell r="V2484" t="str">
            <v>FC</v>
          </cell>
        </row>
        <row r="2485">
          <cell r="A2485">
            <v>341</v>
          </cell>
          <cell r="B2485">
            <v>2017</v>
          </cell>
          <cell r="C2485">
            <v>8300</v>
          </cell>
          <cell r="D2485">
            <v>3</v>
          </cell>
          <cell r="E2485">
            <v>5</v>
          </cell>
          <cell r="F2485">
            <v>1</v>
          </cell>
          <cell r="G2485">
            <v>5000</v>
          </cell>
          <cell r="H2485">
            <v>5600</v>
          </cell>
          <cell r="I2485">
            <v>562</v>
          </cell>
          <cell r="J2485">
            <v>14</v>
          </cell>
          <cell r="K2485" t="str">
            <v>Horno</v>
          </cell>
          <cell r="M2485">
            <v>0</v>
          </cell>
          <cell r="N2485">
            <v>0</v>
          </cell>
          <cell r="P2485">
            <v>0</v>
          </cell>
          <cell r="Q2485">
            <v>0</v>
          </cell>
          <cell r="R2485">
            <v>0</v>
          </cell>
          <cell r="S2485" t="str">
            <v>Pieza</v>
          </cell>
          <cell r="V2485" t="str">
            <v>FC</v>
          </cell>
        </row>
        <row r="2486">
          <cell r="A2486">
            <v>342</v>
          </cell>
          <cell r="B2486">
            <v>2017</v>
          </cell>
          <cell r="C2486">
            <v>8300</v>
          </cell>
          <cell r="D2486">
            <v>3</v>
          </cell>
          <cell r="E2486">
            <v>5</v>
          </cell>
          <cell r="F2486">
            <v>1</v>
          </cell>
          <cell r="G2486">
            <v>5000</v>
          </cell>
          <cell r="H2486">
            <v>5600</v>
          </cell>
          <cell r="I2486">
            <v>562</v>
          </cell>
          <cell r="J2486">
            <v>15</v>
          </cell>
          <cell r="K2486" t="str">
            <v>Hornos de pan</v>
          </cell>
          <cell r="M2486">
            <v>0</v>
          </cell>
          <cell r="N2486">
            <v>0</v>
          </cell>
          <cell r="P2486">
            <v>0</v>
          </cell>
          <cell r="Q2486">
            <v>0</v>
          </cell>
          <cell r="R2486">
            <v>0</v>
          </cell>
          <cell r="S2486" t="str">
            <v>Pieza</v>
          </cell>
          <cell r="V2486" t="str">
            <v>FC</v>
          </cell>
        </row>
        <row r="2487">
          <cell r="A2487">
            <v>343</v>
          </cell>
          <cell r="B2487">
            <v>2017</v>
          </cell>
          <cell r="C2487">
            <v>8300</v>
          </cell>
          <cell r="D2487">
            <v>3</v>
          </cell>
          <cell r="E2487">
            <v>5</v>
          </cell>
          <cell r="F2487">
            <v>1</v>
          </cell>
          <cell r="G2487">
            <v>5000</v>
          </cell>
          <cell r="H2487">
            <v>5600</v>
          </cell>
          <cell r="I2487">
            <v>562</v>
          </cell>
          <cell r="J2487">
            <v>16</v>
          </cell>
          <cell r="K2487" t="str">
            <v xml:space="preserve">Lavadora </v>
          </cell>
          <cell r="M2487">
            <v>0</v>
          </cell>
          <cell r="N2487">
            <v>0</v>
          </cell>
          <cell r="P2487">
            <v>0</v>
          </cell>
          <cell r="Q2487">
            <v>0</v>
          </cell>
          <cell r="R2487">
            <v>0</v>
          </cell>
          <cell r="S2487" t="str">
            <v>Pieza</v>
          </cell>
          <cell r="V2487" t="str">
            <v>FC</v>
          </cell>
        </row>
        <row r="2488">
          <cell r="A2488">
            <v>344</v>
          </cell>
          <cell r="B2488">
            <v>2017</v>
          </cell>
          <cell r="C2488">
            <v>8300</v>
          </cell>
          <cell r="D2488">
            <v>3</v>
          </cell>
          <cell r="E2488">
            <v>5</v>
          </cell>
          <cell r="F2488">
            <v>1</v>
          </cell>
          <cell r="G2488">
            <v>5000</v>
          </cell>
          <cell r="H2488">
            <v>5600</v>
          </cell>
          <cell r="I2488">
            <v>562</v>
          </cell>
          <cell r="J2488">
            <v>17</v>
          </cell>
          <cell r="K2488" t="str">
            <v xml:space="preserve">Licuadora </v>
          </cell>
          <cell r="L2488">
            <v>58500</v>
          </cell>
          <cell r="M2488">
            <v>0</v>
          </cell>
          <cell r="N2488">
            <v>58500</v>
          </cell>
          <cell r="P2488">
            <v>0</v>
          </cell>
          <cell r="Q2488">
            <v>0</v>
          </cell>
          <cell r="R2488">
            <v>58500</v>
          </cell>
          <cell r="S2488" t="str">
            <v>Pieza</v>
          </cell>
          <cell r="T2488">
            <v>6</v>
          </cell>
          <cell r="V2488" t="str">
            <v>FC</v>
          </cell>
        </row>
        <row r="2489">
          <cell r="A2489">
            <v>345</v>
          </cell>
          <cell r="B2489">
            <v>2017</v>
          </cell>
          <cell r="C2489">
            <v>8300</v>
          </cell>
          <cell r="D2489">
            <v>3</v>
          </cell>
          <cell r="E2489">
            <v>5</v>
          </cell>
          <cell r="F2489">
            <v>1</v>
          </cell>
          <cell r="G2489">
            <v>5000</v>
          </cell>
          <cell r="H2489">
            <v>5600</v>
          </cell>
          <cell r="I2489">
            <v>562</v>
          </cell>
          <cell r="J2489">
            <v>18</v>
          </cell>
          <cell r="K2489" t="str">
            <v xml:space="preserve">Máquina tortilladora </v>
          </cell>
          <cell r="M2489">
            <v>0</v>
          </cell>
          <cell r="N2489">
            <v>0</v>
          </cell>
          <cell r="P2489">
            <v>0</v>
          </cell>
          <cell r="Q2489">
            <v>0</v>
          </cell>
          <cell r="R2489">
            <v>0</v>
          </cell>
          <cell r="S2489" t="str">
            <v>Pieza</v>
          </cell>
          <cell r="V2489" t="str">
            <v>FC</v>
          </cell>
        </row>
        <row r="2490">
          <cell r="A2490">
            <v>346</v>
          </cell>
          <cell r="B2490">
            <v>2017</v>
          </cell>
          <cell r="C2490">
            <v>8300</v>
          </cell>
          <cell r="D2490">
            <v>3</v>
          </cell>
          <cell r="E2490">
            <v>5</v>
          </cell>
          <cell r="F2490">
            <v>1</v>
          </cell>
          <cell r="G2490">
            <v>5000</v>
          </cell>
          <cell r="H2490">
            <v>5600</v>
          </cell>
          <cell r="I2490">
            <v>562</v>
          </cell>
          <cell r="J2490">
            <v>19</v>
          </cell>
          <cell r="K2490" t="str">
            <v>Marmita de acero inoxidable</v>
          </cell>
          <cell r="M2490">
            <v>0</v>
          </cell>
          <cell r="N2490">
            <v>0</v>
          </cell>
          <cell r="P2490">
            <v>0</v>
          </cell>
          <cell r="Q2490">
            <v>0</v>
          </cell>
          <cell r="R2490">
            <v>0</v>
          </cell>
          <cell r="S2490" t="str">
            <v>Pieza</v>
          </cell>
          <cell r="V2490" t="str">
            <v>FC</v>
          </cell>
        </row>
        <row r="2491">
          <cell r="A2491">
            <v>347</v>
          </cell>
          <cell r="B2491">
            <v>2017</v>
          </cell>
          <cell r="C2491">
            <v>8300</v>
          </cell>
          <cell r="D2491">
            <v>3</v>
          </cell>
          <cell r="E2491">
            <v>5</v>
          </cell>
          <cell r="F2491">
            <v>1</v>
          </cell>
          <cell r="G2491">
            <v>5000</v>
          </cell>
          <cell r="H2491">
            <v>5600</v>
          </cell>
          <cell r="I2491">
            <v>562</v>
          </cell>
          <cell r="J2491">
            <v>20</v>
          </cell>
          <cell r="K2491" t="str">
            <v>Mesa</v>
          </cell>
          <cell r="M2491">
            <v>0</v>
          </cell>
          <cell r="N2491">
            <v>0</v>
          </cell>
          <cell r="P2491">
            <v>0</v>
          </cell>
          <cell r="Q2491">
            <v>0</v>
          </cell>
          <cell r="R2491">
            <v>0</v>
          </cell>
          <cell r="S2491" t="str">
            <v>Pieza</v>
          </cell>
          <cell r="V2491" t="str">
            <v>FC</v>
          </cell>
        </row>
        <row r="2492">
          <cell r="A2492">
            <v>348</v>
          </cell>
          <cell r="B2492">
            <v>2017</v>
          </cell>
          <cell r="C2492">
            <v>8300</v>
          </cell>
          <cell r="D2492">
            <v>3</v>
          </cell>
          <cell r="E2492">
            <v>5</v>
          </cell>
          <cell r="F2492">
            <v>1</v>
          </cell>
          <cell r="G2492">
            <v>5000</v>
          </cell>
          <cell r="H2492">
            <v>5600</v>
          </cell>
          <cell r="I2492">
            <v>562</v>
          </cell>
          <cell r="J2492">
            <v>21</v>
          </cell>
          <cell r="K2492" t="str">
            <v>Motobomba centrifuga industrial</v>
          </cell>
          <cell r="M2492">
            <v>0</v>
          </cell>
          <cell r="N2492">
            <v>0</v>
          </cell>
          <cell r="P2492">
            <v>0</v>
          </cell>
          <cell r="Q2492">
            <v>0</v>
          </cell>
          <cell r="R2492">
            <v>0</v>
          </cell>
          <cell r="S2492" t="str">
            <v>Pieza</v>
          </cell>
          <cell r="V2492" t="str">
            <v>FC</v>
          </cell>
        </row>
        <row r="2493">
          <cell r="A2493">
            <v>349</v>
          </cell>
          <cell r="B2493">
            <v>2017</v>
          </cell>
          <cell r="C2493">
            <v>8300</v>
          </cell>
          <cell r="D2493">
            <v>3</v>
          </cell>
          <cell r="E2493">
            <v>5</v>
          </cell>
          <cell r="F2493">
            <v>1</v>
          </cell>
          <cell r="G2493">
            <v>5000</v>
          </cell>
          <cell r="H2493">
            <v>5600</v>
          </cell>
          <cell r="I2493">
            <v>562</v>
          </cell>
          <cell r="J2493">
            <v>22</v>
          </cell>
          <cell r="K2493" t="str">
            <v>Plancha para cocinar</v>
          </cell>
          <cell r="M2493">
            <v>0</v>
          </cell>
          <cell r="N2493">
            <v>0</v>
          </cell>
          <cell r="P2493">
            <v>0</v>
          </cell>
          <cell r="Q2493">
            <v>0</v>
          </cell>
          <cell r="R2493">
            <v>0</v>
          </cell>
          <cell r="S2493" t="str">
            <v>Pieza</v>
          </cell>
          <cell r="V2493" t="str">
            <v>FC</v>
          </cell>
        </row>
        <row r="2494">
          <cell r="A2494">
            <v>350</v>
          </cell>
          <cell r="B2494">
            <v>2017</v>
          </cell>
          <cell r="C2494">
            <v>8300</v>
          </cell>
          <cell r="D2494">
            <v>3</v>
          </cell>
          <cell r="E2494">
            <v>5</v>
          </cell>
          <cell r="F2494">
            <v>1</v>
          </cell>
          <cell r="G2494">
            <v>5000</v>
          </cell>
          <cell r="H2494">
            <v>5600</v>
          </cell>
          <cell r="I2494">
            <v>562</v>
          </cell>
          <cell r="J2494">
            <v>23</v>
          </cell>
          <cell r="K2494" t="str">
            <v xml:space="preserve">Planta de agua </v>
          </cell>
          <cell r="M2494">
            <v>0</v>
          </cell>
          <cell r="N2494">
            <v>0</v>
          </cell>
          <cell r="P2494">
            <v>0</v>
          </cell>
          <cell r="Q2494">
            <v>0</v>
          </cell>
          <cell r="R2494">
            <v>0</v>
          </cell>
          <cell r="S2494" t="str">
            <v>Pieza</v>
          </cell>
          <cell r="V2494" t="str">
            <v>FC</v>
          </cell>
        </row>
        <row r="2495">
          <cell r="A2495">
            <v>351</v>
          </cell>
          <cell r="B2495">
            <v>2017</v>
          </cell>
          <cell r="C2495">
            <v>8300</v>
          </cell>
          <cell r="D2495">
            <v>3</v>
          </cell>
          <cell r="E2495">
            <v>5</v>
          </cell>
          <cell r="F2495">
            <v>1</v>
          </cell>
          <cell r="G2495">
            <v>5000</v>
          </cell>
          <cell r="H2495">
            <v>5600</v>
          </cell>
          <cell r="I2495">
            <v>562</v>
          </cell>
          <cell r="J2495">
            <v>24</v>
          </cell>
          <cell r="K2495" t="str">
            <v>Procesadora de alimentos</v>
          </cell>
          <cell r="L2495">
            <v>193584</v>
          </cell>
          <cell r="M2495">
            <v>0</v>
          </cell>
          <cell r="N2495">
            <v>193584</v>
          </cell>
          <cell r="P2495">
            <v>0</v>
          </cell>
          <cell r="Q2495">
            <v>0</v>
          </cell>
          <cell r="R2495">
            <v>193584</v>
          </cell>
          <cell r="S2495" t="str">
            <v>Pieza</v>
          </cell>
          <cell r="T2495">
            <v>40</v>
          </cell>
          <cell r="V2495" t="str">
            <v>FC</v>
          </cell>
        </row>
        <row r="2496">
          <cell r="A2496">
            <v>352</v>
          </cell>
          <cell r="B2496">
            <v>2017</v>
          </cell>
          <cell r="C2496">
            <v>8300</v>
          </cell>
          <cell r="D2496">
            <v>3</v>
          </cell>
          <cell r="E2496">
            <v>5</v>
          </cell>
          <cell r="F2496">
            <v>1</v>
          </cell>
          <cell r="G2496">
            <v>5000</v>
          </cell>
          <cell r="H2496">
            <v>5600</v>
          </cell>
          <cell r="I2496">
            <v>562</v>
          </cell>
          <cell r="J2496">
            <v>25</v>
          </cell>
          <cell r="K2496" t="str">
            <v>Revolvedora</v>
          </cell>
          <cell r="M2496">
            <v>0</v>
          </cell>
          <cell r="N2496">
            <v>0</v>
          </cell>
          <cell r="P2496">
            <v>0</v>
          </cell>
          <cell r="Q2496">
            <v>0</v>
          </cell>
          <cell r="R2496">
            <v>0</v>
          </cell>
          <cell r="S2496" t="str">
            <v>Pieza</v>
          </cell>
          <cell r="V2496" t="str">
            <v>FC</v>
          </cell>
        </row>
        <row r="2497">
          <cell r="A2497">
            <v>353</v>
          </cell>
          <cell r="B2497">
            <v>2017</v>
          </cell>
          <cell r="C2497">
            <v>8300</v>
          </cell>
          <cell r="D2497">
            <v>3</v>
          </cell>
          <cell r="E2497">
            <v>5</v>
          </cell>
          <cell r="F2497">
            <v>1</v>
          </cell>
          <cell r="G2497">
            <v>5000</v>
          </cell>
          <cell r="H2497">
            <v>5600</v>
          </cell>
          <cell r="I2497">
            <v>562</v>
          </cell>
          <cell r="J2497">
            <v>26</v>
          </cell>
          <cell r="K2497" t="str">
            <v xml:space="preserve">Secadora </v>
          </cell>
          <cell r="M2497">
            <v>0</v>
          </cell>
          <cell r="N2497">
            <v>0</v>
          </cell>
          <cell r="P2497">
            <v>0</v>
          </cell>
          <cell r="Q2497">
            <v>0</v>
          </cell>
          <cell r="R2497">
            <v>0</v>
          </cell>
          <cell r="S2497" t="str">
            <v>Pieza</v>
          </cell>
          <cell r="V2497" t="str">
            <v>FC</v>
          </cell>
        </row>
        <row r="2498">
          <cell r="A2498">
            <v>354</v>
          </cell>
          <cell r="B2498">
            <v>2017</v>
          </cell>
          <cell r="C2498">
            <v>8300</v>
          </cell>
          <cell r="D2498">
            <v>3</v>
          </cell>
          <cell r="E2498">
            <v>5</v>
          </cell>
          <cell r="F2498">
            <v>1</v>
          </cell>
          <cell r="G2498">
            <v>5000</v>
          </cell>
          <cell r="H2498">
            <v>5600</v>
          </cell>
          <cell r="I2498">
            <v>562</v>
          </cell>
          <cell r="J2498">
            <v>27</v>
          </cell>
          <cell r="K2498" t="str">
            <v xml:space="preserve">Sierra para carnicería </v>
          </cell>
          <cell r="M2498">
            <v>0</v>
          </cell>
          <cell r="N2498">
            <v>0</v>
          </cell>
          <cell r="P2498">
            <v>0</v>
          </cell>
          <cell r="Q2498">
            <v>0</v>
          </cell>
          <cell r="R2498">
            <v>0</v>
          </cell>
          <cell r="S2498" t="str">
            <v>Pieza</v>
          </cell>
          <cell r="V2498" t="str">
            <v>FC</v>
          </cell>
        </row>
        <row r="2499">
          <cell r="A2499">
            <v>355</v>
          </cell>
          <cell r="B2499">
            <v>2017</v>
          </cell>
          <cell r="C2499">
            <v>8300</v>
          </cell>
          <cell r="D2499">
            <v>3</v>
          </cell>
          <cell r="E2499">
            <v>5</v>
          </cell>
          <cell r="F2499">
            <v>1</v>
          </cell>
          <cell r="G2499">
            <v>5000</v>
          </cell>
          <cell r="H2499">
            <v>5600</v>
          </cell>
          <cell r="I2499">
            <v>562</v>
          </cell>
          <cell r="J2499">
            <v>28</v>
          </cell>
          <cell r="K2499" t="str">
            <v>Unidad generadora de vapor (caldera)</v>
          </cell>
          <cell r="M2499">
            <v>0</v>
          </cell>
          <cell r="N2499">
            <v>0</v>
          </cell>
          <cell r="P2499">
            <v>0</v>
          </cell>
          <cell r="Q2499">
            <v>0</v>
          </cell>
          <cell r="R2499">
            <v>0</v>
          </cell>
          <cell r="S2499" t="str">
            <v>Pieza</v>
          </cell>
          <cell r="V2499" t="str">
            <v>FC</v>
          </cell>
        </row>
        <row r="2500">
          <cell r="A2500">
            <v>356</v>
          </cell>
          <cell r="B2500">
            <v>2017</v>
          </cell>
          <cell r="C2500">
            <v>8300</v>
          </cell>
          <cell r="D2500">
            <v>3</v>
          </cell>
          <cell r="E2500">
            <v>5</v>
          </cell>
          <cell r="F2500">
            <v>1</v>
          </cell>
          <cell r="G2500">
            <v>5000</v>
          </cell>
          <cell r="H2500">
            <v>5600</v>
          </cell>
          <cell r="I2500">
            <v>564</v>
          </cell>
          <cell r="K2500" t="str">
            <v>Sistemas de aire acondicionado, calefacción y de refrigeración industrial y comercial</v>
          </cell>
          <cell r="L2500">
            <v>195000</v>
          </cell>
          <cell r="M2500">
            <v>0</v>
          </cell>
          <cell r="N2500">
            <v>195000</v>
          </cell>
          <cell r="O2500">
            <v>0</v>
          </cell>
          <cell r="P2500">
            <v>0</v>
          </cell>
          <cell r="Q2500">
            <v>0</v>
          </cell>
          <cell r="R2500">
            <v>195000</v>
          </cell>
        </row>
        <row r="2501">
          <cell r="A2501">
            <v>357</v>
          </cell>
          <cell r="B2501">
            <v>2017</v>
          </cell>
          <cell r="C2501">
            <v>8300</v>
          </cell>
          <cell r="D2501">
            <v>3</v>
          </cell>
          <cell r="E2501">
            <v>5</v>
          </cell>
          <cell r="F2501">
            <v>1</v>
          </cell>
          <cell r="G2501">
            <v>5000</v>
          </cell>
          <cell r="H2501">
            <v>5600</v>
          </cell>
          <cell r="I2501">
            <v>564</v>
          </cell>
          <cell r="J2501">
            <v>1</v>
          </cell>
          <cell r="K2501" t="str">
            <v xml:space="preserve">Aire acondicionado </v>
          </cell>
          <cell r="L2501">
            <v>195000</v>
          </cell>
          <cell r="M2501">
            <v>0</v>
          </cell>
          <cell r="N2501">
            <v>195000</v>
          </cell>
          <cell r="P2501">
            <v>0</v>
          </cell>
          <cell r="Q2501">
            <v>0</v>
          </cell>
          <cell r="R2501">
            <v>195000</v>
          </cell>
          <cell r="S2501" t="str">
            <v>Pieza</v>
          </cell>
          <cell r="T2501">
            <v>15</v>
          </cell>
          <cell r="V2501" t="str">
            <v>FC</v>
          </cell>
        </row>
        <row r="2502">
          <cell r="A2502">
            <v>358</v>
          </cell>
          <cell r="B2502">
            <v>2017</v>
          </cell>
          <cell r="C2502">
            <v>8300</v>
          </cell>
          <cell r="D2502">
            <v>3</v>
          </cell>
          <cell r="E2502">
            <v>5</v>
          </cell>
          <cell r="F2502">
            <v>1</v>
          </cell>
          <cell r="G2502">
            <v>5000</v>
          </cell>
          <cell r="H2502">
            <v>5600</v>
          </cell>
          <cell r="I2502">
            <v>564</v>
          </cell>
          <cell r="J2502">
            <v>2</v>
          </cell>
          <cell r="K2502" t="str">
            <v>Condensador para cuarto frío</v>
          </cell>
          <cell r="M2502">
            <v>0</v>
          </cell>
          <cell r="N2502">
            <v>0</v>
          </cell>
          <cell r="P2502">
            <v>0</v>
          </cell>
          <cell r="Q2502">
            <v>0</v>
          </cell>
          <cell r="R2502">
            <v>0</v>
          </cell>
          <cell r="S2502" t="str">
            <v>Pieza</v>
          </cell>
          <cell r="V2502" t="str">
            <v>FC</v>
          </cell>
        </row>
        <row r="2503">
          <cell r="A2503">
            <v>359</v>
          </cell>
          <cell r="B2503">
            <v>2017</v>
          </cell>
          <cell r="C2503">
            <v>8300</v>
          </cell>
          <cell r="D2503">
            <v>3</v>
          </cell>
          <cell r="E2503">
            <v>5</v>
          </cell>
          <cell r="F2503">
            <v>1</v>
          </cell>
          <cell r="G2503">
            <v>5000</v>
          </cell>
          <cell r="H2503">
            <v>5600</v>
          </cell>
          <cell r="I2503">
            <v>564</v>
          </cell>
          <cell r="J2503">
            <v>3</v>
          </cell>
          <cell r="K2503" t="str">
            <v xml:space="preserve">Refrigerador  </v>
          </cell>
          <cell r="M2503">
            <v>0</v>
          </cell>
          <cell r="N2503">
            <v>0</v>
          </cell>
          <cell r="P2503">
            <v>0</v>
          </cell>
          <cell r="Q2503">
            <v>0</v>
          </cell>
          <cell r="R2503">
            <v>0</v>
          </cell>
          <cell r="S2503" t="str">
            <v>Pieza</v>
          </cell>
          <cell r="V2503" t="str">
            <v>FC</v>
          </cell>
        </row>
        <row r="2504">
          <cell r="A2504">
            <v>360</v>
          </cell>
          <cell r="B2504">
            <v>2017</v>
          </cell>
          <cell r="C2504">
            <v>8300</v>
          </cell>
          <cell r="D2504">
            <v>3</v>
          </cell>
          <cell r="E2504">
            <v>5</v>
          </cell>
          <cell r="F2504">
            <v>1</v>
          </cell>
          <cell r="G2504">
            <v>5000</v>
          </cell>
          <cell r="H2504">
            <v>5600</v>
          </cell>
          <cell r="I2504">
            <v>564</v>
          </cell>
          <cell r="J2504">
            <v>4</v>
          </cell>
          <cell r="K2504" t="str">
            <v>Ventilador</v>
          </cell>
          <cell r="M2504">
            <v>0</v>
          </cell>
          <cell r="N2504">
            <v>0</v>
          </cell>
          <cell r="P2504">
            <v>0</v>
          </cell>
          <cell r="Q2504">
            <v>0</v>
          </cell>
          <cell r="R2504">
            <v>0</v>
          </cell>
          <cell r="S2504" t="str">
            <v>Pieza</v>
          </cell>
          <cell r="V2504" t="str">
            <v>FC</v>
          </cell>
        </row>
        <row r="2505">
          <cell r="A2505">
            <v>361</v>
          </cell>
          <cell r="B2505">
            <v>2017</v>
          </cell>
          <cell r="C2505">
            <v>8300</v>
          </cell>
          <cell r="D2505">
            <v>3</v>
          </cell>
          <cell r="E2505">
            <v>5</v>
          </cell>
          <cell r="F2505">
            <v>1</v>
          </cell>
          <cell r="G2505">
            <v>5000</v>
          </cell>
          <cell r="H2505">
            <v>5600</v>
          </cell>
          <cell r="I2505">
            <v>564</v>
          </cell>
          <cell r="J2505">
            <v>5</v>
          </cell>
          <cell r="K2505" t="str">
            <v>Cuarto frío</v>
          </cell>
          <cell r="M2505">
            <v>0</v>
          </cell>
          <cell r="N2505">
            <v>0</v>
          </cell>
          <cell r="P2505">
            <v>0</v>
          </cell>
          <cell r="Q2505">
            <v>0</v>
          </cell>
          <cell r="R2505">
            <v>0</v>
          </cell>
          <cell r="S2505" t="str">
            <v>Pieza</v>
          </cell>
          <cell r="V2505" t="str">
            <v>FC</v>
          </cell>
        </row>
        <row r="2506">
          <cell r="A2506">
            <v>362</v>
          </cell>
          <cell r="B2506">
            <v>2017</v>
          </cell>
          <cell r="C2506">
            <v>8300</v>
          </cell>
          <cell r="D2506">
            <v>3</v>
          </cell>
          <cell r="E2506">
            <v>5</v>
          </cell>
          <cell r="F2506">
            <v>1</v>
          </cell>
          <cell r="G2506">
            <v>5000</v>
          </cell>
          <cell r="H2506">
            <v>5600</v>
          </cell>
          <cell r="I2506">
            <v>565</v>
          </cell>
          <cell r="K2506" t="str">
            <v>Equipo de comunicación y telecomunicación</v>
          </cell>
          <cell r="L2506">
            <v>1751000</v>
          </cell>
          <cell r="M2506">
            <v>0</v>
          </cell>
          <cell r="N2506">
            <v>1751000</v>
          </cell>
          <cell r="O2506">
            <v>0</v>
          </cell>
          <cell r="P2506">
            <v>0</v>
          </cell>
          <cell r="Q2506">
            <v>0</v>
          </cell>
          <cell r="R2506">
            <v>1751000</v>
          </cell>
        </row>
        <row r="2507">
          <cell r="A2507">
            <v>363</v>
          </cell>
          <cell r="B2507">
            <v>2017</v>
          </cell>
          <cell r="C2507">
            <v>8300</v>
          </cell>
          <cell r="D2507">
            <v>3</v>
          </cell>
          <cell r="E2507">
            <v>5</v>
          </cell>
          <cell r="F2507">
            <v>1</v>
          </cell>
          <cell r="G2507">
            <v>5000</v>
          </cell>
          <cell r="H2507">
            <v>5600</v>
          </cell>
          <cell r="I2507">
            <v>565</v>
          </cell>
          <cell r="J2507">
            <v>1</v>
          </cell>
          <cell r="K2507" t="str">
            <v>Antenas externas</v>
          </cell>
          <cell r="M2507">
            <v>0</v>
          </cell>
          <cell r="N2507">
            <v>0</v>
          </cell>
          <cell r="P2507">
            <v>0</v>
          </cell>
          <cell r="Q2507">
            <v>0</v>
          </cell>
          <cell r="R2507">
            <v>0</v>
          </cell>
          <cell r="S2507" t="str">
            <v>Pieza</v>
          </cell>
          <cell r="V2507" t="str">
            <v>FC</v>
          </cell>
        </row>
        <row r="2508">
          <cell r="A2508">
            <v>364</v>
          </cell>
          <cell r="B2508">
            <v>2017</v>
          </cell>
          <cell r="C2508">
            <v>8300</v>
          </cell>
          <cell r="D2508">
            <v>3</v>
          </cell>
          <cell r="E2508">
            <v>5</v>
          </cell>
          <cell r="F2508">
            <v>1</v>
          </cell>
          <cell r="G2508">
            <v>5000</v>
          </cell>
          <cell r="H2508">
            <v>5600</v>
          </cell>
          <cell r="I2508">
            <v>565</v>
          </cell>
          <cell r="J2508">
            <v>2</v>
          </cell>
          <cell r="K2508" t="str">
            <v>Accesorios para radiocomunicación</v>
          </cell>
          <cell r="M2508">
            <v>0</v>
          </cell>
          <cell r="N2508">
            <v>0</v>
          </cell>
          <cell r="P2508">
            <v>0</v>
          </cell>
          <cell r="Q2508">
            <v>0</v>
          </cell>
          <cell r="R2508">
            <v>0</v>
          </cell>
          <cell r="S2508" t="str">
            <v>Pieza</v>
          </cell>
          <cell r="V2508" t="str">
            <v>FC</v>
          </cell>
        </row>
        <row r="2509">
          <cell r="A2509">
            <v>365</v>
          </cell>
          <cell r="B2509">
            <v>2017</v>
          </cell>
          <cell r="C2509">
            <v>8300</v>
          </cell>
          <cell r="D2509">
            <v>3</v>
          </cell>
          <cell r="E2509">
            <v>5</v>
          </cell>
          <cell r="F2509">
            <v>1</v>
          </cell>
          <cell r="G2509">
            <v>5000</v>
          </cell>
          <cell r="H2509">
            <v>5600</v>
          </cell>
          <cell r="I2509">
            <v>565</v>
          </cell>
          <cell r="J2509">
            <v>3</v>
          </cell>
          <cell r="K2509" t="str">
            <v xml:space="preserve">Domo anti vandalismo </v>
          </cell>
          <cell r="M2509">
            <v>0</v>
          </cell>
          <cell r="N2509">
            <v>0</v>
          </cell>
          <cell r="P2509">
            <v>0</v>
          </cell>
          <cell r="Q2509">
            <v>0</v>
          </cell>
          <cell r="R2509">
            <v>0</v>
          </cell>
          <cell r="S2509" t="str">
            <v>Pieza</v>
          </cell>
          <cell r="V2509" t="str">
            <v>FC</v>
          </cell>
        </row>
        <row r="2510">
          <cell r="A2510">
            <v>366</v>
          </cell>
          <cell r="B2510">
            <v>2017</v>
          </cell>
          <cell r="C2510">
            <v>8300</v>
          </cell>
          <cell r="D2510">
            <v>3</v>
          </cell>
          <cell r="E2510">
            <v>5</v>
          </cell>
          <cell r="F2510">
            <v>1</v>
          </cell>
          <cell r="G2510">
            <v>5000</v>
          </cell>
          <cell r="H2510">
            <v>5600</v>
          </cell>
          <cell r="I2510">
            <v>565</v>
          </cell>
          <cell r="J2510">
            <v>4</v>
          </cell>
          <cell r="K2510" t="str">
            <v xml:space="preserve">Equipo de comunicación interna </v>
          </cell>
          <cell r="M2510">
            <v>0</v>
          </cell>
          <cell r="N2510">
            <v>0</v>
          </cell>
          <cell r="P2510">
            <v>0</v>
          </cell>
          <cell r="Q2510">
            <v>0</v>
          </cell>
          <cell r="R2510">
            <v>0</v>
          </cell>
          <cell r="S2510" t="str">
            <v>Pieza</v>
          </cell>
          <cell r="V2510" t="str">
            <v>FC</v>
          </cell>
        </row>
        <row r="2511">
          <cell r="A2511">
            <v>367</v>
          </cell>
          <cell r="B2511">
            <v>2017</v>
          </cell>
          <cell r="C2511">
            <v>8300</v>
          </cell>
          <cell r="D2511">
            <v>3</v>
          </cell>
          <cell r="E2511">
            <v>5</v>
          </cell>
          <cell r="F2511">
            <v>1</v>
          </cell>
          <cell r="G2511">
            <v>5000</v>
          </cell>
          <cell r="H2511">
            <v>5600</v>
          </cell>
          <cell r="I2511">
            <v>565</v>
          </cell>
          <cell r="J2511">
            <v>5</v>
          </cell>
          <cell r="K2511" t="str">
            <v>Equipo de radio base</v>
          </cell>
          <cell r="L2511">
            <v>85000</v>
          </cell>
          <cell r="M2511">
            <v>0</v>
          </cell>
          <cell r="N2511">
            <v>85000</v>
          </cell>
          <cell r="P2511">
            <v>0</v>
          </cell>
          <cell r="Q2511">
            <v>0</v>
          </cell>
          <cell r="R2511">
            <v>85000</v>
          </cell>
          <cell r="S2511" t="str">
            <v>Pieza</v>
          </cell>
          <cell r="T2511">
            <v>1</v>
          </cell>
          <cell r="V2511" t="str">
            <v>FC</v>
          </cell>
        </row>
        <row r="2512">
          <cell r="A2512">
            <v>368</v>
          </cell>
          <cell r="B2512">
            <v>2017</v>
          </cell>
          <cell r="C2512">
            <v>8300</v>
          </cell>
          <cell r="D2512">
            <v>3</v>
          </cell>
          <cell r="E2512">
            <v>5</v>
          </cell>
          <cell r="F2512">
            <v>1</v>
          </cell>
          <cell r="G2512">
            <v>5000</v>
          </cell>
          <cell r="H2512">
            <v>5600</v>
          </cell>
          <cell r="I2512">
            <v>565</v>
          </cell>
          <cell r="J2512">
            <v>6</v>
          </cell>
          <cell r="K2512" t="str">
            <v xml:space="preserve">Equipo para enlace de transmisión de datos </v>
          </cell>
          <cell r="M2512">
            <v>0</v>
          </cell>
          <cell r="N2512">
            <v>0</v>
          </cell>
          <cell r="P2512">
            <v>0</v>
          </cell>
          <cell r="Q2512">
            <v>0</v>
          </cell>
          <cell r="R2512">
            <v>0</v>
          </cell>
          <cell r="S2512" t="str">
            <v>Pieza</v>
          </cell>
          <cell r="V2512" t="str">
            <v>FC</v>
          </cell>
        </row>
        <row r="2513">
          <cell r="A2513">
            <v>369</v>
          </cell>
          <cell r="B2513">
            <v>2017</v>
          </cell>
          <cell r="C2513">
            <v>8300</v>
          </cell>
          <cell r="D2513">
            <v>3</v>
          </cell>
          <cell r="E2513">
            <v>5</v>
          </cell>
          <cell r="F2513">
            <v>1</v>
          </cell>
          <cell r="G2513">
            <v>5000</v>
          </cell>
          <cell r="H2513">
            <v>5600</v>
          </cell>
          <cell r="I2513">
            <v>565</v>
          </cell>
          <cell r="J2513">
            <v>7</v>
          </cell>
          <cell r="K2513" t="str">
            <v xml:space="preserve">Equipo perimetral de seguridad </v>
          </cell>
          <cell r="M2513">
            <v>0</v>
          </cell>
          <cell r="N2513">
            <v>0</v>
          </cell>
          <cell r="P2513">
            <v>0</v>
          </cell>
          <cell r="Q2513">
            <v>0</v>
          </cell>
          <cell r="R2513">
            <v>0</v>
          </cell>
          <cell r="S2513" t="str">
            <v>Pieza</v>
          </cell>
          <cell r="V2513" t="str">
            <v>FC</v>
          </cell>
        </row>
        <row r="2514">
          <cell r="A2514">
            <v>370</v>
          </cell>
          <cell r="B2514">
            <v>2017</v>
          </cell>
          <cell r="C2514">
            <v>8300</v>
          </cell>
          <cell r="D2514">
            <v>3</v>
          </cell>
          <cell r="E2514">
            <v>5</v>
          </cell>
          <cell r="F2514">
            <v>1</v>
          </cell>
          <cell r="G2514">
            <v>5000</v>
          </cell>
          <cell r="H2514">
            <v>5600</v>
          </cell>
          <cell r="I2514">
            <v>565</v>
          </cell>
          <cell r="J2514">
            <v>8</v>
          </cell>
          <cell r="K2514" t="str">
            <v>Infraestructura y software para monitoreo remoto</v>
          </cell>
          <cell r="M2514">
            <v>0</v>
          </cell>
          <cell r="N2514">
            <v>0</v>
          </cell>
          <cell r="P2514">
            <v>0</v>
          </cell>
          <cell r="Q2514">
            <v>0</v>
          </cell>
          <cell r="R2514">
            <v>0</v>
          </cell>
          <cell r="S2514" t="str">
            <v>Pieza</v>
          </cell>
          <cell r="V2514" t="str">
            <v>FC</v>
          </cell>
        </row>
        <row r="2515">
          <cell r="A2515">
            <v>371</v>
          </cell>
          <cell r="B2515">
            <v>2017</v>
          </cell>
          <cell r="C2515">
            <v>8300</v>
          </cell>
          <cell r="D2515">
            <v>3</v>
          </cell>
          <cell r="E2515">
            <v>5</v>
          </cell>
          <cell r="F2515">
            <v>1</v>
          </cell>
          <cell r="G2515">
            <v>5000</v>
          </cell>
          <cell r="H2515">
            <v>5600</v>
          </cell>
          <cell r="I2515">
            <v>565</v>
          </cell>
          <cell r="J2515">
            <v>9</v>
          </cell>
          <cell r="K2515" t="str">
            <v xml:space="preserve">Kits de Monitoreo Remoto </v>
          </cell>
          <cell r="M2515">
            <v>0</v>
          </cell>
          <cell r="N2515">
            <v>0</v>
          </cell>
          <cell r="P2515">
            <v>0</v>
          </cell>
          <cell r="Q2515">
            <v>0</v>
          </cell>
          <cell r="R2515">
            <v>0</v>
          </cell>
          <cell r="S2515" t="str">
            <v>Pieza</v>
          </cell>
          <cell r="V2515" t="str">
            <v>AE</v>
          </cell>
        </row>
        <row r="2516">
          <cell r="A2516">
            <v>372</v>
          </cell>
          <cell r="B2516">
            <v>2017</v>
          </cell>
          <cell r="C2516">
            <v>8300</v>
          </cell>
          <cell r="D2516">
            <v>3</v>
          </cell>
          <cell r="E2516">
            <v>5</v>
          </cell>
          <cell r="F2516">
            <v>1</v>
          </cell>
          <cell r="G2516">
            <v>5000</v>
          </cell>
          <cell r="H2516">
            <v>5600</v>
          </cell>
          <cell r="I2516">
            <v>565</v>
          </cell>
          <cell r="J2516">
            <v>10</v>
          </cell>
          <cell r="K2516" t="str">
            <v>Módulo de Amplificación de Frecuencia</v>
          </cell>
          <cell r="M2516">
            <v>0</v>
          </cell>
          <cell r="N2516">
            <v>0</v>
          </cell>
          <cell r="P2516">
            <v>0</v>
          </cell>
          <cell r="Q2516">
            <v>0</v>
          </cell>
          <cell r="R2516">
            <v>0</v>
          </cell>
          <cell r="S2516" t="str">
            <v>Equipo/
Pieza</v>
          </cell>
          <cell r="V2516" t="str">
            <v>FC</v>
          </cell>
        </row>
        <row r="2517">
          <cell r="A2517">
            <v>373</v>
          </cell>
          <cell r="B2517">
            <v>2017</v>
          </cell>
          <cell r="C2517">
            <v>8300</v>
          </cell>
          <cell r="D2517">
            <v>3</v>
          </cell>
          <cell r="E2517">
            <v>5</v>
          </cell>
          <cell r="F2517">
            <v>1</v>
          </cell>
          <cell r="G2517">
            <v>5000</v>
          </cell>
          <cell r="H2517">
            <v>5600</v>
          </cell>
          <cell r="I2517">
            <v>565</v>
          </cell>
          <cell r="J2517">
            <v>11</v>
          </cell>
          <cell r="K2517" t="str">
            <v>Repetidor para cobertura de radiocomunicación</v>
          </cell>
          <cell r="M2517">
            <v>0</v>
          </cell>
          <cell r="N2517">
            <v>0</v>
          </cell>
          <cell r="P2517">
            <v>0</v>
          </cell>
          <cell r="Q2517">
            <v>0</v>
          </cell>
          <cell r="R2517">
            <v>0</v>
          </cell>
          <cell r="S2517" t="str">
            <v>Equipo/
Pieza</v>
          </cell>
          <cell r="V2517" t="str">
            <v>FC</v>
          </cell>
        </row>
        <row r="2518">
          <cell r="A2518">
            <v>374</v>
          </cell>
          <cell r="B2518">
            <v>2017</v>
          </cell>
          <cell r="C2518">
            <v>8300</v>
          </cell>
          <cell r="D2518">
            <v>3</v>
          </cell>
          <cell r="E2518">
            <v>5</v>
          </cell>
          <cell r="F2518">
            <v>1</v>
          </cell>
          <cell r="G2518">
            <v>5000</v>
          </cell>
          <cell r="H2518">
            <v>5600</v>
          </cell>
          <cell r="I2518">
            <v>565</v>
          </cell>
          <cell r="J2518">
            <v>12</v>
          </cell>
          <cell r="K2518" t="str">
            <v>Terminal digital móvil</v>
          </cell>
          <cell r="M2518">
            <v>0</v>
          </cell>
          <cell r="N2518">
            <v>0</v>
          </cell>
          <cell r="P2518">
            <v>0</v>
          </cell>
          <cell r="Q2518">
            <v>0</v>
          </cell>
          <cell r="R2518">
            <v>0</v>
          </cell>
          <cell r="S2518" t="str">
            <v>Pieza</v>
          </cell>
          <cell r="V2518" t="str">
            <v>FC</v>
          </cell>
        </row>
        <row r="2519">
          <cell r="A2519">
            <v>375</v>
          </cell>
          <cell r="B2519">
            <v>2017</v>
          </cell>
          <cell r="C2519">
            <v>8300</v>
          </cell>
          <cell r="D2519">
            <v>3</v>
          </cell>
          <cell r="E2519">
            <v>5</v>
          </cell>
          <cell r="F2519">
            <v>1</v>
          </cell>
          <cell r="G2519">
            <v>5000</v>
          </cell>
          <cell r="H2519">
            <v>5600</v>
          </cell>
          <cell r="I2519">
            <v>565</v>
          </cell>
          <cell r="J2519">
            <v>13</v>
          </cell>
          <cell r="K2519" t="str">
            <v>Terminal digital portátil</v>
          </cell>
          <cell r="L2519">
            <v>1666000</v>
          </cell>
          <cell r="M2519">
            <v>0</v>
          </cell>
          <cell r="N2519">
            <v>1666000</v>
          </cell>
          <cell r="P2519">
            <v>0</v>
          </cell>
          <cell r="Q2519">
            <v>0</v>
          </cell>
          <cell r="R2519">
            <v>1666000</v>
          </cell>
          <cell r="S2519" t="str">
            <v>Pieza</v>
          </cell>
          <cell r="T2519">
            <v>68</v>
          </cell>
          <cell r="V2519" t="str">
            <v>FC</v>
          </cell>
        </row>
        <row r="2520">
          <cell r="A2520">
            <v>376</v>
          </cell>
          <cell r="B2520">
            <v>2017</v>
          </cell>
          <cell r="C2520">
            <v>8300</v>
          </cell>
          <cell r="D2520">
            <v>3</v>
          </cell>
          <cell r="E2520">
            <v>5</v>
          </cell>
          <cell r="F2520">
            <v>1</v>
          </cell>
          <cell r="G2520">
            <v>5000</v>
          </cell>
          <cell r="H2520">
            <v>5600</v>
          </cell>
          <cell r="I2520">
            <v>565</v>
          </cell>
          <cell r="J2520">
            <v>14</v>
          </cell>
          <cell r="K2520" t="str">
            <v>Torre para radiocomunicación</v>
          </cell>
          <cell r="M2520">
            <v>0</v>
          </cell>
          <cell r="N2520">
            <v>0</v>
          </cell>
          <cell r="P2520">
            <v>0</v>
          </cell>
          <cell r="Q2520">
            <v>0</v>
          </cell>
          <cell r="R2520">
            <v>0</v>
          </cell>
          <cell r="S2520" t="str">
            <v>Pieza</v>
          </cell>
          <cell r="V2520" t="str">
            <v>FC</v>
          </cell>
        </row>
        <row r="2521">
          <cell r="A2521">
            <v>377</v>
          </cell>
          <cell r="B2521">
            <v>2017</v>
          </cell>
          <cell r="C2521">
            <v>8300</v>
          </cell>
          <cell r="D2521">
            <v>3</v>
          </cell>
          <cell r="E2521">
            <v>5</v>
          </cell>
          <cell r="F2521">
            <v>1</v>
          </cell>
          <cell r="G2521">
            <v>5000</v>
          </cell>
          <cell r="H2521">
            <v>5600</v>
          </cell>
          <cell r="I2521">
            <v>566</v>
          </cell>
          <cell r="K2521" t="str">
            <v>Equipos de generación eléctrica, aparatos y accesorios eléctricos</v>
          </cell>
          <cell r="L2521">
            <v>366892.75</v>
          </cell>
          <cell r="M2521">
            <v>0</v>
          </cell>
          <cell r="N2521">
            <v>366892.75</v>
          </cell>
          <cell r="O2521">
            <v>0</v>
          </cell>
          <cell r="P2521">
            <v>0</v>
          </cell>
          <cell r="Q2521">
            <v>0</v>
          </cell>
          <cell r="R2521">
            <v>366892.75</v>
          </cell>
        </row>
        <row r="2522">
          <cell r="A2522">
            <v>378</v>
          </cell>
          <cell r="B2522">
            <v>2017</v>
          </cell>
          <cell r="C2522">
            <v>8300</v>
          </cell>
          <cell r="D2522">
            <v>3</v>
          </cell>
          <cell r="E2522">
            <v>5</v>
          </cell>
          <cell r="F2522">
            <v>1</v>
          </cell>
          <cell r="G2522">
            <v>5000</v>
          </cell>
          <cell r="H2522">
            <v>5600</v>
          </cell>
          <cell r="I2522">
            <v>566</v>
          </cell>
          <cell r="J2522">
            <v>1</v>
          </cell>
          <cell r="K2522" t="str">
            <v xml:space="preserve">Faro </v>
          </cell>
          <cell r="L2522">
            <v>0</v>
          </cell>
          <cell r="M2522">
            <v>0</v>
          </cell>
          <cell r="N2522">
            <v>0</v>
          </cell>
          <cell r="O2522">
            <v>0</v>
          </cell>
          <cell r="P2522">
            <v>0</v>
          </cell>
          <cell r="Q2522">
            <v>0</v>
          </cell>
          <cell r="R2522">
            <v>0</v>
          </cell>
          <cell r="S2522" t="str">
            <v>Pieza</v>
          </cell>
          <cell r="V2522" t="str">
            <v>FC</v>
          </cell>
        </row>
        <row r="2523">
          <cell r="A2523">
            <v>379</v>
          </cell>
          <cell r="B2523">
            <v>2017</v>
          </cell>
          <cell r="C2523">
            <v>8300</v>
          </cell>
          <cell r="D2523">
            <v>3</v>
          </cell>
          <cell r="E2523">
            <v>5</v>
          </cell>
          <cell r="F2523">
            <v>1</v>
          </cell>
          <cell r="G2523">
            <v>5000</v>
          </cell>
          <cell r="H2523">
            <v>5600</v>
          </cell>
          <cell r="I2523">
            <v>566</v>
          </cell>
          <cell r="J2523">
            <v>2</v>
          </cell>
          <cell r="K2523" t="str">
            <v>Homologación de tierras físicas</v>
          </cell>
          <cell r="L2523">
            <v>0</v>
          </cell>
          <cell r="M2523">
            <v>0</v>
          </cell>
          <cell r="N2523">
            <v>0</v>
          </cell>
          <cell r="O2523">
            <v>0</v>
          </cell>
          <cell r="P2523">
            <v>0</v>
          </cell>
          <cell r="Q2523">
            <v>0</v>
          </cell>
          <cell r="R2523">
            <v>0</v>
          </cell>
          <cell r="S2523" t="str">
            <v>Pieza</v>
          </cell>
          <cell r="V2523" t="str">
            <v>FC</v>
          </cell>
        </row>
        <row r="2524">
          <cell r="A2524">
            <v>380</v>
          </cell>
          <cell r="B2524">
            <v>2017</v>
          </cell>
          <cell r="C2524">
            <v>8300</v>
          </cell>
          <cell r="D2524">
            <v>3</v>
          </cell>
          <cell r="E2524">
            <v>5</v>
          </cell>
          <cell r="F2524">
            <v>1</v>
          </cell>
          <cell r="G2524">
            <v>5000</v>
          </cell>
          <cell r="H2524">
            <v>5600</v>
          </cell>
          <cell r="I2524">
            <v>566</v>
          </cell>
          <cell r="J2524">
            <v>3</v>
          </cell>
          <cell r="K2524" t="str">
            <v xml:space="preserve">Planta de energía eléctrica  </v>
          </cell>
          <cell r="L2524">
            <v>0</v>
          </cell>
          <cell r="M2524">
            <v>0</v>
          </cell>
          <cell r="N2524">
            <v>0</v>
          </cell>
          <cell r="O2524">
            <v>0</v>
          </cell>
          <cell r="P2524">
            <v>0</v>
          </cell>
          <cell r="Q2524">
            <v>0</v>
          </cell>
          <cell r="R2524">
            <v>0</v>
          </cell>
          <cell r="S2524" t="str">
            <v>Pieza</v>
          </cell>
          <cell r="V2524" t="str">
            <v>FC</v>
          </cell>
        </row>
        <row r="2525">
          <cell r="A2525">
            <v>381</v>
          </cell>
          <cell r="B2525">
            <v>2017</v>
          </cell>
          <cell r="C2525">
            <v>8300</v>
          </cell>
          <cell r="D2525">
            <v>3</v>
          </cell>
          <cell r="E2525">
            <v>5</v>
          </cell>
          <cell r="F2525">
            <v>1</v>
          </cell>
          <cell r="G2525">
            <v>5000</v>
          </cell>
          <cell r="H2525">
            <v>5600</v>
          </cell>
          <cell r="I2525">
            <v>566</v>
          </cell>
          <cell r="J2525">
            <v>4</v>
          </cell>
          <cell r="K2525" t="str">
            <v>Plantas para soldar</v>
          </cell>
          <cell r="L2525">
            <v>0</v>
          </cell>
          <cell r="M2525">
            <v>0</v>
          </cell>
          <cell r="N2525">
            <v>0</v>
          </cell>
          <cell r="O2525">
            <v>0</v>
          </cell>
          <cell r="P2525">
            <v>0</v>
          </cell>
          <cell r="Q2525">
            <v>0</v>
          </cell>
          <cell r="R2525">
            <v>0</v>
          </cell>
          <cell r="S2525" t="str">
            <v>Pieza</v>
          </cell>
          <cell r="V2525" t="str">
            <v>FC</v>
          </cell>
        </row>
        <row r="2526">
          <cell r="A2526">
            <v>382</v>
          </cell>
          <cell r="B2526">
            <v>2017</v>
          </cell>
          <cell r="C2526">
            <v>8300</v>
          </cell>
          <cell r="D2526">
            <v>3</v>
          </cell>
          <cell r="E2526">
            <v>5</v>
          </cell>
          <cell r="F2526">
            <v>1</v>
          </cell>
          <cell r="G2526">
            <v>5000</v>
          </cell>
          <cell r="H2526">
            <v>5600</v>
          </cell>
          <cell r="I2526">
            <v>566</v>
          </cell>
          <cell r="J2526">
            <v>5</v>
          </cell>
          <cell r="K2526" t="str">
            <v xml:space="preserve">Reflector de luz </v>
          </cell>
          <cell r="L2526">
            <v>366892.75</v>
          </cell>
          <cell r="M2526">
            <v>0</v>
          </cell>
          <cell r="N2526">
            <v>366892.75</v>
          </cell>
          <cell r="O2526">
            <v>0</v>
          </cell>
          <cell r="P2526">
            <v>0</v>
          </cell>
          <cell r="Q2526">
            <v>0</v>
          </cell>
          <cell r="R2526">
            <v>366892.75</v>
          </cell>
          <cell r="S2526" t="str">
            <v>Pieza</v>
          </cell>
          <cell r="T2526">
            <v>75</v>
          </cell>
          <cell r="V2526" t="str">
            <v>FC</v>
          </cell>
        </row>
        <row r="2527">
          <cell r="A2527">
            <v>383</v>
          </cell>
          <cell r="B2527">
            <v>2017</v>
          </cell>
          <cell r="C2527">
            <v>8300</v>
          </cell>
          <cell r="D2527">
            <v>3</v>
          </cell>
          <cell r="E2527">
            <v>5</v>
          </cell>
          <cell r="F2527">
            <v>1</v>
          </cell>
          <cell r="G2527">
            <v>5000</v>
          </cell>
          <cell r="H2527">
            <v>5600</v>
          </cell>
          <cell r="I2527">
            <v>566</v>
          </cell>
          <cell r="J2527">
            <v>6</v>
          </cell>
          <cell r="K2527" t="str">
            <v>Sistema hidroneumático</v>
          </cell>
          <cell r="L2527">
            <v>0</v>
          </cell>
          <cell r="M2527">
            <v>0</v>
          </cell>
          <cell r="N2527">
            <v>0</v>
          </cell>
          <cell r="O2527">
            <v>0</v>
          </cell>
          <cell r="P2527">
            <v>0</v>
          </cell>
          <cell r="Q2527">
            <v>0</v>
          </cell>
          <cell r="R2527">
            <v>0</v>
          </cell>
          <cell r="S2527" t="str">
            <v>Pieza</v>
          </cell>
          <cell r="V2527" t="str">
            <v>FC</v>
          </cell>
        </row>
        <row r="2528">
          <cell r="A2528">
            <v>384</v>
          </cell>
          <cell r="B2528">
            <v>2017</v>
          </cell>
          <cell r="C2528">
            <v>8300</v>
          </cell>
          <cell r="D2528">
            <v>3</v>
          </cell>
          <cell r="E2528">
            <v>5</v>
          </cell>
          <cell r="F2528">
            <v>1</v>
          </cell>
          <cell r="G2528">
            <v>5000</v>
          </cell>
          <cell r="H2528">
            <v>5600</v>
          </cell>
          <cell r="I2528">
            <v>566</v>
          </cell>
          <cell r="J2528">
            <v>7</v>
          </cell>
          <cell r="K2528" t="str">
            <v>Subestación eléctrica</v>
          </cell>
          <cell r="L2528">
            <v>0</v>
          </cell>
          <cell r="M2528">
            <v>0</v>
          </cell>
          <cell r="N2528">
            <v>0</v>
          </cell>
          <cell r="O2528">
            <v>0</v>
          </cell>
          <cell r="P2528">
            <v>0</v>
          </cell>
          <cell r="Q2528">
            <v>0</v>
          </cell>
          <cell r="R2528">
            <v>0</v>
          </cell>
          <cell r="S2528" t="str">
            <v>Pieza</v>
          </cell>
          <cell r="V2528" t="str">
            <v>FC</v>
          </cell>
        </row>
        <row r="2529">
          <cell r="A2529">
            <v>385</v>
          </cell>
          <cell r="B2529">
            <v>2017</v>
          </cell>
          <cell r="C2529">
            <v>8300</v>
          </cell>
          <cell r="D2529">
            <v>3</v>
          </cell>
          <cell r="E2529">
            <v>5</v>
          </cell>
          <cell r="F2529">
            <v>1</v>
          </cell>
          <cell r="G2529">
            <v>5000</v>
          </cell>
          <cell r="H2529">
            <v>5600</v>
          </cell>
          <cell r="I2529">
            <v>566</v>
          </cell>
          <cell r="J2529">
            <v>8</v>
          </cell>
          <cell r="K2529" t="str">
            <v>Transformador</v>
          </cell>
          <cell r="L2529">
            <v>0</v>
          </cell>
          <cell r="M2529">
            <v>0</v>
          </cell>
          <cell r="N2529">
            <v>0</v>
          </cell>
          <cell r="O2529">
            <v>0</v>
          </cell>
          <cell r="P2529">
            <v>0</v>
          </cell>
          <cell r="Q2529">
            <v>0</v>
          </cell>
          <cell r="R2529">
            <v>0</v>
          </cell>
          <cell r="S2529" t="str">
            <v>Pieza</v>
          </cell>
          <cell r="V2529" t="str">
            <v>FC</v>
          </cell>
        </row>
        <row r="2530">
          <cell r="A2530">
            <v>386</v>
          </cell>
          <cell r="B2530">
            <v>2017</v>
          </cell>
          <cell r="C2530">
            <v>8300</v>
          </cell>
          <cell r="D2530">
            <v>3</v>
          </cell>
          <cell r="E2530">
            <v>5</v>
          </cell>
          <cell r="F2530">
            <v>1</v>
          </cell>
          <cell r="G2530">
            <v>5000</v>
          </cell>
          <cell r="H2530">
            <v>5600</v>
          </cell>
          <cell r="I2530">
            <v>569</v>
          </cell>
          <cell r="K2530" t="str">
            <v>Otros equipos</v>
          </cell>
          <cell r="L2530">
            <v>0</v>
          </cell>
          <cell r="M2530">
            <v>0</v>
          </cell>
          <cell r="N2530">
            <v>0</v>
          </cell>
          <cell r="O2530">
            <v>0</v>
          </cell>
          <cell r="P2530">
            <v>0</v>
          </cell>
          <cell r="Q2530">
            <v>0</v>
          </cell>
          <cell r="R2530">
            <v>0</v>
          </cell>
        </row>
        <row r="2531">
          <cell r="A2531">
            <v>387</v>
          </cell>
          <cell r="B2531">
            <v>2017</v>
          </cell>
          <cell r="C2531">
            <v>8300</v>
          </cell>
          <cell r="D2531">
            <v>3</v>
          </cell>
          <cell r="E2531">
            <v>5</v>
          </cell>
          <cell r="F2531">
            <v>1</v>
          </cell>
          <cell r="G2531">
            <v>5000</v>
          </cell>
          <cell r="H2531">
            <v>5600</v>
          </cell>
          <cell r="I2531">
            <v>569</v>
          </cell>
          <cell r="J2531">
            <v>1</v>
          </cell>
          <cell r="K2531" t="str">
            <v xml:space="preserve">Aduana inteligente </v>
          </cell>
          <cell r="L2531">
            <v>0</v>
          </cell>
          <cell r="M2531">
            <v>0</v>
          </cell>
          <cell r="N2531">
            <v>0</v>
          </cell>
          <cell r="O2531">
            <v>0</v>
          </cell>
          <cell r="P2531">
            <v>0</v>
          </cell>
          <cell r="Q2531">
            <v>0</v>
          </cell>
          <cell r="R2531">
            <v>0</v>
          </cell>
          <cell r="S2531" t="str">
            <v>Pieza</v>
          </cell>
          <cell r="V2531" t="str">
            <v>FC</v>
          </cell>
        </row>
        <row r="2532">
          <cell r="A2532">
            <v>388</v>
          </cell>
          <cell r="B2532">
            <v>2017</v>
          </cell>
          <cell r="C2532">
            <v>8300</v>
          </cell>
          <cell r="D2532">
            <v>3</v>
          </cell>
          <cell r="E2532">
            <v>5</v>
          </cell>
          <cell r="F2532">
            <v>1</v>
          </cell>
          <cell r="G2532">
            <v>5000</v>
          </cell>
          <cell r="H2532">
            <v>5600</v>
          </cell>
          <cell r="I2532">
            <v>569</v>
          </cell>
          <cell r="J2532">
            <v>2</v>
          </cell>
          <cell r="K2532" t="str">
            <v xml:space="preserve">Cabina para grabación de voz </v>
          </cell>
          <cell r="L2532">
            <v>0</v>
          </cell>
          <cell r="M2532">
            <v>0</v>
          </cell>
          <cell r="N2532">
            <v>0</v>
          </cell>
          <cell r="O2532">
            <v>0</v>
          </cell>
          <cell r="P2532">
            <v>0</v>
          </cell>
          <cell r="Q2532">
            <v>0</v>
          </cell>
          <cell r="R2532">
            <v>0</v>
          </cell>
          <cell r="S2532" t="str">
            <v>Pieza</v>
          </cell>
          <cell r="V2532" t="str">
            <v>FC</v>
          </cell>
        </row>
        <row r="2533">
          <cell r="A2533">
            <v>389</v>
          </cell>
          <cell r="B2533">
            <v>2017</v>
          </cell>
          <cell r="C2533">
            <v>8300</v>
          </cell>
          <cell r="D2533">
            <v>3</v>
          </cell>
          <cell r="E2533">
            <v>5</v>
          </cell>
          <cell r="F2533">
            <v>1</v>
          </cell>
          <cell r="G2533">
            <v>5000</v>
          </cell>
          <cell r="H2533">
            <v>5600</v>
          </cell>
          <cell r="I2533">
            <v>569</v>
          </cell>
          <cell r="J2533">
            <v>3</v>
          </cell>
          <cell r="K2533" t="str">
            <v>Calentadores solares</v>
          </cell>
          <cell r="L2533">
            <v>0</v>
          </cell>
          <cell r="M2533">
            <v>0</v>
          </cell>
          <cell r="N2533">
            <v>0</v>
          </cell>
          <cell r="O2533">
            <v>0</v>
          </cell>
          <cell r="P2533">
            <v>0</v>
          </cell>
          <cell r="Q2533">
            <v>0</v>
          </cell>
          <cell r="R2533">
            <v>0</v>
          </cell>
          <cell r="S2533" t="str">
            <v>Pieza</v>
          </cell>
          <cell r="V2533" t="str">
            <v>FC</v>
          </cell>
        </row>
        <row r="2534">
          <cell r="A2534">
            <v>390</v>
          </cell>
          <cell r="B2534">
            <v>2017</v>
          </cell>
          <cell r="C2534">
            <v>8300</v>
          </cell>
          <cell r="D2534">
            <v>3</v>
          </cell>
          <cell r="E2534">
            <v>5</v>
          </cell>
          <cell r="F2534">
            <v>1</v>
          </cell>
          <cell r="G2534">
            <v>5000</v>
          </cell>
          <cell r="H2534">
            <v>5600</v>
          </cell>
          <cell r="I2534">
            <v>569</v>
          </cell>
          <cell r="J2534">
            <v>4</v>
          </cell>
          <cell r="K2534" t="str">
            <v>Extintor</v>
          </cell>
          <cell r="L2534">
            <v>0</v>
          </cell>
          <cell r="M2534">
            <v>0</v>
          </cell>
          <cell r="N2534">
            <v>0</v>
          </cell>
          <cell r="O2534">
            <v>0</v>
          </cell>
          <cell r="P2534">
            <v>0</v>
          </cell>
          <cell r="Q2534">
            <v>0</v>
          </cell>
          <cell r="R2534">
            <v>0</v>
          </cell>
          <cell r="S2534" t="str">
            <v>Pieza</v>
          </cell>
          <cell r="V2534" t="str">
            <v>FC</v>
          </cell>
        </row>
        <row r="2535">
          <cell r="A2535">
            <v>391</v>
          </cell>
          <cell r="B2535">
            <v>2017</v>
          </cell>
          <cell r="C2535">
            <v>8300</v>
          </cell>
          <cell r="D2535">
            <v>3</v>
          </cell>
          <cell r="E2535">
            <v>5</v>
          </cell>
          <cell r="F2535">
            <v>1</v>
          </cell>
          <cell r="G2535">
            <v>5000</v>
          </cell>
          <cell r="H2535">
            <v>5600</v>
          </cell>
          <cell r="I2535">
            <v>569</v>
          </cell>
          <cell r="J2535">
            <v>5</v>
          </cell>
          <cell r="K2535" t="str">
            <v>Sauna</v>
          </cell>
          <cell r="L2535">
            <v>0</v>
          </cell>
          <cell r="M2535">
            <v>0</v>
          </cell>
          <cell r="N2535">
            <v>0</v>
          </cell>
          <cell r="O2535">
            <v>0</v>
          </cell>
          <cell r="P2535">
            <v>0</v>
          </cell>
          <cell r="Q2535">
            <v>0</v>
          </cell>
          <cell r="R2535">
            <v>0</v>
          </cell>
          <cell r="S2535" t="str">
            <v>Pieza</v>
          </cell>
          <cell r="V2535" t="str">
            <v>AE</v>
          </cell>
        </row>
        <row r="2536">
          <cell r="A2536">
            <v>392</v>
          </cell>
          <cell r="B2536">
            <v>2017</v>
          </cell>
          <cell r="C2536">
            <v>8300</v>
          </cell>
          <cell r="D2536">
            <v>3</v>
          </cell>
          <cell r="E2536">
            <v>5</v>
          </cell>
          <cell r="F2536">
            <v>1</v>
          </cell>
          <cell r="G2536">
            <v>5000</v>
          </cell>
          <cell r="H2536">
            <v>5900</v>
          </cell>
          <cell r="K2536" t="str">
            <v>Activos Intangibles</v>
          </cell>
          <cell r="L2536">
            <v>0</v>
          </cell>
          <cell r="M2536">
            <v>0</v>
          </cell>
          <cell r="N2536">
            <v>0</v>
          </cell>
          <cell r="O2536">
            <v>0</v>
          </cell>
          <cell r="P2536">
            <v>0</v>
          </cell>
          <cell r="Q2536">
            <v>0</v>
          </cell>
          <cell r="R2536">
            <v>0</v>
          </cell>
        </row>
        <row r="2537">
          <cell r="A2537">
            <v>393</v>
          </cell>
          <cell r="B2537">
            <v>2017</v>
          </cell>
          <cell r="C2537">
            <v>8300</v>
          </cell>
          <cell r="D2537">
            <v>3</v>
          </cell>
          <cell r="E2537">
            <v>5</v>
          </cell>
          <cell r="F2537">
            <v>1</v>
          </cell>
          <cell r="G2537">
            <v>5000</v>
          </cell>
          <cell r="H2537">
            <v>5900</v>
          </cell>
          <cell r="I2537">
            <v>591</v>
          </cell>
          <cell r="K2537" t="str">
            <v>Software</v>
          </cell>
          <cell r="L2537">
            <v>0</v>
          </cell>
          <cell r="M2537">
            <v>0</v>
          </cell>
          <cell r="N2537">
            <v>0</v>
          </cell>
          <cell r="O2537">
            <v>0</v>
          </cell>
          <cell r="P2537">
            <v>0</v>
          </cell>
          <cell r="Q2537">
            <v>0</v>
          </cell>
          <cell r="R2537">
            <v>0</v>
          </cell>
        </row>
        <row r="2538">
          <cell r="A2538">
            <v>394</v>
          </cell>
          <cell r="B2538">
            <v>2017</v>
          </cell>
          <cell r="C2538">
            <v>8300</v>
          </cell>
          <cell r="D2538">
            <v>3</v>
          </cell>
          <cell r="E2538">
            <v>5</v>
          </cell>
          <cell r="F2538">
            <v>1</v>
          </cell>
          <cell r="G2538">
            <v>5000</v>
          </cell>
          <cell r="H2538">
            <v>5900</v>
          </cell>
          <cell r="I2538">
            <v>591</v>
          </cell>
          <cell r="J2538">
            <v>1</v>
          </cell>
          <cell r="K2538" t="str">
            <v>Software</v>
          </cell>
          <cell r="L2538">
            <v>0</v>
          </cell>
          <cell r="M2538">
            <v>0</v>
          </cell>
          <cell r="N2538">
            <v>0</v>
          </cell>
          <cell r="O2538">
            <v>0</v>
          </cell>
          <cell r="P2538">
            <v>0</v>
          </cell>
          <cell r="Q2538">
            <v>0</v>
          </cell>
          <cell r="R2538">
            <v>0</v>
          </cell>
          <cell r="S2538" t="str">
            <v>Licencia</v>
          </cell>
          <cell r="V2538" t="str">
            <v>FC</v>
          </cell>
        </row>
        <row r="2539">
          <cell r="A2539">
            <v>395</v>
          </cell>
          <cell r="B2539">
            <v>2017</v>
          </cell>
          <cell r="C2539">
            <v>8300</v>
          </cell>
          <cell r="D2539">
            <v>3</v>
          </cell>
          <cell r="E2539">
            <v>5</v>
          </cell>
          <cell r="F2539">
            <v>1</v>
          </cell>
          <cell r="G2539">
            <v>5000</v>
          </cell>
          <cell r="H2539">
            <v>5900</v>
          </cell>
          <cell r="I2539">
            <v>597</v>
          </cell>
          <cell r="K2539" t="str">
            <v>Licencias</v>
          </cell>
          <cell r="L2539">
            <v>0</v>
          </cell>
          <cell r="M2539">
            <v>0</v>
          </cell>
          <cell r="N2539">
            <v>0</v>
          </cell>
          <cell r="O2539">
            <v>0</v>
          </cell>
          <cell r="P2539">
            <v>0</v>
          </cell>
          <cell r="Q2539">
            <v>0</v>
          </cell>
          <cell r="R2539">
            <v>0</v>
          </cell>
        </row>
        <row r="2540">
          <cell r="A2540">
            <v>396</v>
          </cell>
          <cell r="B2540">
            <v>2017</v>
          </cell>
          <cell r="C2540">
            <v>8300</v>
          </cell>
          <cell r="D2540">
            <v>3</v>
          </cell>
          <cell r="E2540">
            <v>5</v>
          </cell>
          <cell r="F2540">
            <v>1</v>
          </cell>
          <cell r="G2540">
            <v>5000</v>
          </cell>
          <cell r="H2540">
            <v>5900</v>
          </cell>
          <cell r="I2540">
            <v>597</v>
          </cell>
          <cell r="J2540">
            <v>1</v>
          </cell>
          <cell r="K2540" t="str">
            <v xml:space="preserve">Licencias </v>
          </cell>
          <cell r="L2540">
            <v>0</v>
          </cell>
          <cell r="M2540">
            <v>0</v>
          </cell>
          <cell r="N2540">
            <v>0</v>
          </cell>
          <cell r="O2540">
            <v>0</v>
          </cell>
          <cell r="P2540">
            <v>0</v>
          </cell>
          <cell r="Q2540">
            <v>0</v>
          </cell>
          <cell r="R2540">
            <v>0</v>
          </cell>
          <cell r="S2540" t="str">
            <v>Licencia</v>
          </cell>
          <cell r="V2540" t="str">
            <v>FC</v>
          </cell>
        </row>
        <row r="2541">
          <cell r="A2541">
            <v>397</v>
          </cell>
          <cell r="B2541">
            <v>2017</v>
          </cell>
          <cell r="C2541">
            <v>8300</v>
          </cell>
          <cell r="D2541">
            <v>3</v>
          </cell>
          <cell r="E2541">
            <v>5</v>
          </cell>
          <cell r="F2541">
            <v>1</v>
          </cell>
          <cell r="G2541">
            <v>6000</v>
          </cell>
          <cell r="K2541" t="str">
            <v>INVERSIÓN PÚBLICA</v>
          </cell>
          <cell r="L2541">
            <v>0</v>
          </cell>
          <cell r="M2541">
            <v>0</v>
          </cell>
          <cell r="N2541">
            <v>0</v>
          </cell>
          <cell r="O2541">
            <v>0</v>
          </cell>
          <cell r="P2541">
            <v>0</v>
          </cell>
          <cell r="Q2541">
            <v>0</v>
          </cell>
          <cell r="R2541">
            <v>0</v>
          </cell>
        </row>
        <row r="2542">
          <cell r="A2542">
            <v>398</v>
          </cell>
          <cell r="B2542">
            <v>2017</v>
          </cell>
          <cell r="C2542">
            <v>8300</v>
          </cell>
          <cell r="D2542">
            <v>3</v>
          </cell>
          <cell r="E2542">
            <v>5</v>
          </cell>
          <cell r="F2542">
            <v>1</v>
          </cell>
          <cell r="G2542">
            <v>6000</v>
          </cell>
          <cell r="H2542">
            <v>6200</v>
          </cell>
          <cell r="K2542" t="str">
            <v>Obra Pública en Bienes Propios</v>
          </cell>
          <cell r="L2542">
            <v>0</v>
          </cell>
          <cell r="M2542">
            <v>0</v>
          </cell>
          <cell r="N2542">
            <v>0</v>
          </cell>
          <cell r="O2542">
            <v>0</v>
          </cell>
          <cell r="P2542">
            <v>0</v>
          </cell>
          <cell r="Q2542">
            <v>0</v>
          </cell>
          <cell r="R2542">
            <v>0</v>
          </cell>
        </row>
        <row r="2543">
          <cell r="A2543">
            <v>399</v>
          </cell>
          <cell r="B2543">
            <v>2017</v>
          </cell>
          <cell r="C2543">
            <v>8300</v>
          </cell>
          <cell r="D2543">
            <v>3</v>
          </cell>
          <cell r="E2543">
            <v>5</v>
          </cell>
          <cell r="F2543">
            <v>1</v>
          </cell>
          <cell r="G2543">
            <v>6000</v>
          </cell>
          <cell r="H2543">
            <v>6200</v>
          </cell>
          <cell r="I2543">
            <v>622</v>
          </cell>
          <cell r="K2543" t="str">
            <v>Edificación no habitacional</v>
          </cell>
          <cell r="L2543">
            <v>0</v>
          </cell>
          <cell r="M2543">
            <v>0</v>
          </cell>
          <cell r="N2543">
            <v>0</v>
          </cell>
          <cell r="O2543">
            <v>0</v>
          </cell>
          <cell r="P2543">
            <v>0</v>
          </cell>
          <cell r="Q2543">
            <v>0</v>
          </cell>
          <cell r="R2543">
            <v>0</v>
          </cell>
        </row>
        <row r="2544">
          <cell r="A2544">
            <v>400</v>
          </cell>
          <cell r="B2544">
            <v>2017</v>
          </cell>
          <cell r="C2544">
            <v>8300</v>
          </cell>
          <cell r="D2544">
            <v>3</v>
          </cell>
          <cell r="E2544">
            <v>5</v>
          </cell>
          <cell r="F2544">
            <v>1</v>
          </cell>
          <cell r="G2544">
            <v>6000</v>
          </cell>
          <cell r="H2544">
            <v>6200</v>
          </cell>
          <cell r="I2544">
            <v>622</v>
          </cell>
          <cell r="J2544">
            <v>1</v>
          </cell>
          <cell r="K2544" t="str">
            <v>Construcción</v>
          </cell>
          <cell r="L2544">
            <v>0</v>
          </cell>
          <cell r="M2544">
            <v>0</v>
          </cell>
          <cell r="N2544">
            <v>0</v>
          </cell>
          <cell r="O2544">
            <v>0</v>
          </cell>
          <cell r="P2544">
            <v>0</v>
          </cell>
          <cell r="Q2544">
            <v>0</v>
          </cell>
          <cell r="R2544">
            <v>0</v>
          </cell>
          <cell r="S2544" t="str">
            <v xml:space="preserve"> </v>
          </cell>
          <cell r="V2544" t="str">
            <v>FC</v>
          </cell>
        </row>
        <row r="2545">
          <cell r="A2545">
            <v>401</v>
          </cell>
          <cell r="B2545">
            <v>2017</v>
          </cell>
          <cell r="C2545">
            <v>8300</v>
          </cell>
          <cell r="D2545">
            <v>3</v>
          </cell>
          <cell r="E2545">
            <v>5</v>
          </cell>
          <cell r="F2545">
            <v>1</v>
          </cell>
          <cell r="G2545">
            <v>6000</v>
          </cell>
          <cell r="H2545">
            <v>6200</v>
          </cell>
          <cell r="I2545">
            <v>622</v>
          </cell>
          <cell r="J2545">
            <v>1</v>
          </cell>
          <cell r="K2545" t="str">
            <v xml:space="preserve">Dependencia:
Nombre:
Domicilio: 
Meta: 
Etapa: </v>
          </cell>
          <cell r="L2545">
            <v>0</v>
          </cell>
          <cell r="M2545">
            <v>0</v>
          </cell>
          <cell r="N2545">
            <v>0</v>
          </cell>
          <cell r="O2545">
            <v>0</v>
          </cell>
          <cell r="P2545">
            <v>0</v>
          </cell>
          <cell r="Q2545">
            <v>0</v>
          </cell>
          <cell r="R2545">
            <v>0</v>
          </cell>
          <cell r="S2545" t="str">
            <v>Obra</v>
          </cell>
          <cell r="V2545" t="str">
            <v>FC</v>
          </cell>
        </row>
        <row r="2546">
          <cell r="A2546">
            <v>402</v>
          </cell>
          <cell r="B2546">
            <v>2017</v>
          </cell>
          <cell r="C2546">
            <v>8300</v>
          </cell>
          <cell r="D2546">
            <v>3</v>
          </cell>
          <cell r="E2546">
            <v>5</v>
          </cell>
          <cell r="F2546">
            <v>1</v>
          </cell>
          <cell r="G2546">
            <v>6000</v>
          </cell>
          <cell r="H2546">
            <v>6200</v>
          </cell>
          <cell r="I2546">
            <v>622</v>
          </cell>
          <cell r="J2546">
            <v>2</v>
          </cell>
          <cell r="K2546" t="str">
            <v>Mejoramiento y/o ampliación</v>
          </cell>
          <cell r="L2546">
            <v>0</v>
          </cell>
          <cell r="M2546">
            <v>0</v>
          </cell>
          <cell r="N2546">
            <v>0</v>
          </cell>
          <cell r="O2546">
            <v>0</v>
          </cell>
          <cell r="P2546">
            <v>0</v>
          </cell>
          <cell r="Q2546">
            <v>0</v>
          </cell>
          <cell r="R2546">
            <v>0</v>
          </cell>
          <cell r="S2546" t="str">
            <v xml:space="preserve"> </v>
          </cell>
          <cell r="V2546" t="str">
            <v>FC</v>
          </cell>
        </row>
        <row r="2547">
          <cell r="A2547">
            <v>403</v>
          </cell>
          <cell r="B2547">
            <v>2017</v>
          </cell>
          <cell r="C2547">
            <v>8300</v>
          </cell>
          <cell r="D2547">
            <v>3</v>
          </cell>
          <cell r="E2547">
            <v>5</v>
          </cell>
          <cell r="F2547">
            <v>1</v>
          </cell>
          <cell r="G2547">
            <v>6000</v>
          </cell>
          <cell r="H2547">
            <v>6200</v>
          </cell>
          <cell r="I2547">
            <v>622</v>
          </cell>
          <cell r="J2547">
            <v>2</v>
          </cell>
          <cell r="K2547" t="str">
            <v xml:space="preserve">Dependencia:
Nombre:
Domicilio: 
Meta: 
Etapa: </v>
          </cell>
          <cell r="L2547">
            <v>0</v>
          </cell>
          <cell r="M2547">
            <v>0</v>
          </cell>
          <cell r="N2547">
            <v>0</v>
          </cell>
          <cell r="O2547">
            <v>0</v>
          </cell>
          <cell r="P2547">
            <v>0</v>
          </cell>
          <cell r="Q2547">
            <v>0</v>
          </cell>
          <cell r="R2547">
            <v>0</v>
          </cell>
          <cell r="S2547" t="str">
            <v>Obra</v>
          </cell>
          <cell r="V2547" t="str">
            <v>FC</v>
          </cell>
        </row>
        <row r="2548">
          <cell r="B2548">
            <v>2017</v>
          </cell>
          <cell r="C2548">
            <v>8300</v>
          </cell>
          <cell r="D2548">
            <v>3</v>
          </cell>
          <cell r="E2548">
            <v>5</v>
          </cell>
          <cell r="F2548">
            <v>2</v>
          </cell>
          <cell r="K2548" t="str">
            <v>Fortalecimiento de la Autoridad Administrativa Especializada del Sistema de Justicia Penal para Adolescentes</v>
          </cell>
          <cell r="L2548">
            <v>210000</v>
          </cell>
          <cell r="M2548">
            <v>0</v>
          </cell>
          <cell r="N2548">
            <v>210000</v>
          </cell>
          <cell r="O2548">
            <v>0</v>
          </cell>
          <cell r="P2548">
            <v>0</v>
          </cell>
          <cell r="Q2548">
            <v>0</v>
          </cell>
          <cell r="R2548">
            <v>210000</v>
          </cell>
        </row>
        <row r="2549">
          <cell r="B2549">
            <v>2017</v>
          </cell>
          <cell r="C2549">
            <v>8300</v>
          </cell>
          <cell r="D2549">
            <v>3</v>
          </cell>
          <cell r="E2549">
            <v>5</v>
          </cell>
          <cell r="F2549">
            <v>2</v>
          </cell>
          <cell r="G2549">
            <v>2000</v>
          </cell>
          <cell r="K2549" t="str">
            <v>MATERIALES Y SUMINISTROS</v>
          </cell>
          <cell r="L2549">
            <v>0</v>
          </cell>
          <cell r="M2549">
            <v>0</v>
          </cell>
          <cell r="N2549">
            <v>0</v>
          </cell>
          <cell r="O2549">
            <v>0</v>
          </cell>
          <cell r="P2549">
            <v>0</v>
          </cell>
          <cell r="Q2549">
            <v>0</v>
          </cell>
          <cell r="R2549">
            <v>0</v>
          </cell>
        </row>
        <row r="2550">
          <cell r="B2550">
            <v>2017</v>
          </cell>
          <cell r="C2550">
            <v>8300</v>
          </cell>
          <cell r="D2550">
            <v>3</v>
          </cell>
          <cell r="E2550">
            <v>5</v>
          </cell>
          <cell r="F2550">
            <v>2</v>
          </cell>
          <cell r="G2550">
            <v>2000</v>
          </cell>
          <cell r="H2550">
            <v>2700</v>
          </cell>
          <cell r="K2550" t="str">
            <v>Vestuario, Blancos, Prendas de Protección y Artículos Deportivos</v>
          </cell>
          <cell r="L2550">
            <v>0</v>
          </cell>
          <cell r="M2550">
            <v>0</v>
          </cell>
          <cell r="N2550">
            <v>0</v>
          </cell>
          <cell r="O2550">
            <v>0</v>
          </cell>
          <cell r="P2550">
            <v>0</v>
          </cell>
          <cell r="Q2550">
            <v>0</v>
          </cell>
          <cell r="R2550">
            <v>0</v>
          </cell>
        </row>
        <row r="2551">
          <cell r="B2551">
            <v>2017</v>
          </cell>
          <cell r="C2551">
            <v>8300</v>
          </cell>
          <cell r="D2551">
            <v>3</v>
          </cell>
          <cell r="E2551">
            <v>5</v>
          </cell>
          <cell r="F2551">
            <v>2</v>
          </cell>
          <cell r="G2551">
            <v>2000</v>
          </cell>
          <cell r="H2551">
            <v>2700</v>
          </cell>
          <cell r="I2551">
            <v>271</v>
          </cell>
          <cell r="K2551" t="str">
            <v>Vestuario y uniformes</v>
          </cell>
          <cell r="L2551">
            <v>0</v>
          </cell>
          <cell r="M2551">
            <v>0</v>
          </cell>
          <cell r="N2551">
            <v>0</v>
          </cell>
          <cell r="O2551">
            <v>0</v>
          </cell>
          <cell r="P2551">
            <v>0</v>
          </cell>
          <cell r="Q2551">
            <v>0</v>
          </cell>
          <cell r="R2551">
            <v>0</v>
          </cell>
        </row>
        <row r="2552">
          <cell r="B2552">
            <v>2017</v>
          </cell>
          <cell r="C2552">
            <v>8300</v>
          </cell>
          <cell r="D2552">
            <v>3</v>
          </cell>
          <cell r="E2552">
            <v>5</v>
          </cell>
          <cell r="F2552">
            <v>2</v>
          </cell>
          <cell r="G2552">
            <v>2000</v>
          </cell>
          <cell r="H2552">
            <v>2700</v>
          </cell>
          <cell r="I2552">
            <v>271</v>
          </cell>
          <cell r="J2552">
            <v>1</v>
          </cell>
          <cell r="K2552" t="str">
            <v>Vestuario y uniformes</v>
          </cell>
          <cell r="L2552">
            <v>0</v>
          </cell>
          <cell r="M2552">
            <v>0</v>
          </cell>
          <cell r="N2552">
            <v>0</v>
          </cell>
          <cell r="O2552">
            <v>0</v>
          </cell>
          <cell r="P2552">
            <v>0</v>
          </cell>
          <cell r="Q2552">
            <v>0</v>
          </cell>
          <cell r="R2552">
            <v>0</v>
          </cell>
          <cell r="S2552" t="str">
            <v>Par
Pieza</v>
          </cell>
          <cell r="V2552" t="str">
            <v>FC</v>
          </cell>
        </row>
        <row r="2553">
          <cell r="B2553">
            <v>2017</v>
          </cell>
          <cell r="C2553">
            <v>8300</v>
          </cell>
          <cell r="D2553">
            <v>3</v>
          </cell>
          <cell r="E2553">
            <v>5</v>
          </cell>
          <cell r="F2553">
            <v>2</v>
          </cell>
          <cell r="G2553">
            <v>2000</v>
          </cell>
          <cell r="H2553">
            <v>2700</v>
          </cell>
          <cell r="I2553">
            <v>273</v>
          </cell>
          <cell r="K2553" t="str">
            <v>Artículos deportivos</v>
          </cell>
          <cell r="L2553">
            <v>0</v>
          </cell>
          <cell r="M2553">
            <v>0</v>
          </cell>
          <cell r="N2553">
            <v>0</v>
          </cell>
          <cell r="O2553">
            <v>0</v>
          </cell>
          <cell r="P2553">
            <v>0</v>
          </cell>
          <cell r="Q2553">
            <v>0</v>
          </cell>
          <cell r="R2553">
            <v>0</v>
          </cell>
        </row>
        <row r="2554">
          <cell r="B2554">
            <v>2017</v>
          </cell>
          <cell r="C2554">
            <v>8300</v>
          </cell>
          <cell r="D2554">
            <v>3</v>
          </cell>
          <cell r="E2554">
            <v>5</v>
          </cell>
          <cell r="F2554">
            <v>2</v>
          </cell>
          <cell r="G2554">
            <v>2000</v>
          </cell>
          <cell r="H2554">
            <v>2700</v>
          </cell>
          <cell r="I2554">
            <v>273</v>
          </cell>
          <cell r="J2554">
            <v>1</v>
          </cell>
          <cell r="K2554" t="str">
            <v xml:space="preserve"> Artículos deportivos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 t="str">
            <v>Pieza</v>
          </cell>
          <cell r="V2554" t="str">
            <v>AE</v>
          </cell>
        </row>
        <row r="2555">
          <cell r="B2555">
            <v>2017</v>
          </cell>
          <cell r="C2555">
            <v>8300</v>
          </cell>
          <cell r="D2555">
            <v>3</v>
          </cell>
          <cell r="E2555">
            <v>5</v>
          </cell>
          <cell r="F2555">
            <v>2</v>
          </cell>
          <cell r="G2555">
            <v>2000</v>
          </cell>
          <cell r="H2555">
            <v>2700</v>
          </cell>
          <cell r="I2555">
            <v>275</v>
          </cell>
          <cell r="K2555" t="str">
            <v>Blancos y otros productos textiles, excepto prendas de vestir</v>
          </cell>
          <cell r="L2555">
            <v>0</v>
          </cell>
          <cell r="M2555">
            <v>0</v>
          </cell>
          <cell r="N2555">
            <v>0</v>
          </cell>
          <cell r="O2555">
            <v>0</v>
          </cell>
          <cell r="P2555">
            <v>0</v>
          </cell>
          <cell r="Q2555">
            <v>0</v>
          </cell>
          <cell r="R2555">
            <v>0</v>
          </cell>
        </row>
        <row r="2556">
          <cell r="B2556">
            <v>2017</v>
          </cell>
          <cell r="C2556">
            <v>8300</v>
          </cell>
          <cell r="D2556">
            <v>3</v>
          </cell>
          <cell r="E2556">
            <v>5</v>
          </cell>
          <cell r="F2556">
            <v>2</v>
          </cell>
          <cell r="G2556">
            <v>2000</v>
          </cell>
          <cell r="H2556">
            <v>2700</v>
          </cell>
          <cell r="I2556">
            <v>275</v>
          </cell>
          <cell r="J2556">
            <v>1</v>
          </cell>
          <cell r="K2556" t="str">
            <v>Blancos</v>
          </cell>
          <cell r="L2556">
            <v>0</v>
          </cell>
          <cell r="M2556">
            <v>0</v>
          </cell>
          <cell r="N2556">
            <v>0</v>
          </cell>
          <cell r="O2556">
            <v>0</v>
          </cell>
          <cell r="P2556">
            <v>0</v>
          </cell>
          <cell r="Q2556">
            <v>0</v>
          </cell>
          <cell r="R2556">
            <v>0</v>
          </cell>
          <cell r="S2556" t="str">
            <v xml:space="preserve">Pieza
Juego
</v>
          </cell>
          <cell r="V2556" t="str">
            <v>FC</v>
          </cell>
        </row>
        <row r="2557">
          <cell r="B2557">
            <v>2017</v>
          </cell>
          <cell r="C2557">
            <v>8300</v>
          </cell>
          <cell r="D2557">
            <v>3</v>
          </cell>
          <cell r="E2557">
            <v>5</v>
          </cell>
          <cell r="F2557">
            <v>2</v>
          </cell>
          <cell r="G2557">
            <v>2000</v>
          </cell>
          <cell r="H2557">
            <v>2900</v>
          </cell>
          <cell r="K2557" t="str">
            <v>Herramientas, Refacciones y Accesorios Menores</v>
          </cell>
          <cell r="L2557">
            <v>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</row>
        <row r="2558">
          <cell r="B2558">
            <v>2017</v>
          </cell>
          <cell r="C2558">
            <v>8300</v>
          </cell>
          <cell r="D2558">
            <v>3</v>
          </cell>
          <cell r="E2558">
            <v>5</v>
          </cell>
          <cell r="F2558">
            <v>2</v>
          </cell>
          <cell r="G2558">
            <v>2000</v>
          </cell>
          <cell r="H2558">
            <v>2900</v>
          </cell>
          <cell r="I2558">
            <v>291</v>
          </cell>
          <cell r="K2558" t="str">
            <v>Herramientas menores</v>
          </cell>
          <cell r="L2558">
            <v>0</v>
          </cell>
          <cell r="M2558">
            <v>0</v>
          </cell>
          <cell r="N2558">
            <v>0</v>
          </cell>
          <cell r="O2558">
            <v>0</v>
          </cell>
          <cell r="P2558">
            <v>0</v>
          </cell>
          <cell r="Q2558">
            <v>0</v>
          </cell>
          <cell r="R2558">
            <v>0</v>
          </cell>
        </row>
        <row r="2559">
          <cell r="B2559">
            <v>2017</v>
          </cell>
          <cell r="C2559">
            <v>8300</v>
          </cell>
          <cell r="D2559">
            <v>3</v>
          </cell>
          <cell r="E2559">
            <v>5</v>
          </cell>
          <cell r="F2559">
            <v>2</v>
          </cell>
          <cell r="G2559">
            <v>2000</v>
          </cell>
          <cell r="H2559">
            <v>2900</v>
          </cell>
          <cell r="I2559">
            <v>291</v>
          </cell>
          <cell r="J2559">
            <v>1</v>
          </cell>
          <cell r="K2559" t="str">
            <v>Herramientas menores</v>
          </cell>
          <cell r="L2559">
            <v>0</v>
          </cell>
          <cell r="M2559">
            <v>0</v>
          </cell>
          <cell r="N2559">
            <v>0</v>
          </cell>
          <cell r="O2559">
            <v>0</v>
          </cell>
          <cell r="P2559">
            <v>0</v>
          </cell>
          <cell r="Q2559">
            <v>0</v>
          </cell>
          <cell r="R2559">
            <v>0</v>
          </cell>
          <cell r="S2559" t="str">
            <v>Pieza</v>
          </cell>
          <cell r="V2559" t="str">
            <v>AE</v>
          </cell>
        </row>
        <row r="2560">
          <cell r="B2560">
            <v>2017</v>
          </cell>
          <cell r="C2560">
            <v>8300</v>
          </cell>
          <cell r="D2560">
            <v>3</v>
          </cell>
          <cell r="E2560">
            <v>5</v>
          </cell>
          <cell r="F2560">
            <v>2</v>
          </cell>
          <cell r="G2560">
            <v>2000</v>
          </cell>
          <cell r="H2560">
            <v>2900</v>
          </cell>
          <cell r="I2560">
            <v>292</v>
          </cell>
          <cell r="K2560" t="str">
            <v>Refacciones y accesorios menores de edificios</v>
          </cell>
          <cell r="L2560">
            <v>0</v>
          </cell>
          <cell r="M2560">
            <v>0</v>
          </cell>
          <cell r="N2560">
            <v>0</v>
          </cell>
          <cell r="O2560">
            <v>0</v>
          </cell>
          <cell r="P2560">
            <v>0</v>
          </cell>
          <cell r="Q2560">
            <v>0</v>
          </cell>
          <cell r="R2560">
            <v>0</v>
          </cell>
        </row>
        <row r="2561">
          <cell r="B2561">
            <v>2017</v>
          </cell>
          <cell r="C2561">
            <v>8300</v>
          </cell>
          <cell r="D2561">
            <v>3</v>
          </cell>
          <cell r="E2561">
            <v>5</v>
          </cell>
          <cell r="F2561">
            <v>2</v>
          </cell>
          <cell r="G2561">
            <v>2000</v>
          </cell>
          <cell r="H2561">
            <v>2900</v>
          </cell>
          <cell r="I2561">
            <v>292</v>
          </cell>
          <cell r="J2561">
            <v>1</v>
          </cell>
          <cell r="K2561" t="str">
            <v>Refacciones y accesorios menores de edificios</v>
          </cell>
          <cell r="L2561">
            <v>0</v>
          </cell>
          <cell r="M2561">
            <v>0</v>
          </cell>
          <cell r="N2561">
            <v>0</v>
          </cell>
          <cell r="O2561">
            <v>0</v>
          </cell>
          <cell r="P2561">
            <v>0</v>
          </cell>
          <cell r="Q2561">
            <v>0</v>
          </cell>
          <cell r="R2561">
            <v>0</v>
          </cell>
          <cell r="S2561" t="str">
            <v>Pieza</v>
          </cell>
          <cell r="V2561" t="str">
            <v>AE</v>
          </cell>
        </row>
        <row r="2562">
          <cell r="B2562">
            <v>2017</v>
          </cell>
          <cell r="C2562">
            <v>8300</v>
          </cell>
          <cell r="D2562">
            <v>3</v>
          </cell>
          <cell r="E2562">
            <v>5</v>
          </cell>
          <cell r="F2562">
            <v>2</v>
          </cell>
          <cell r="G2562">
            <v>3000</v>
          </cell>
          <cell r="K2562" t="str">
            <v>SERVICIOS GENERALES</v>
          </cell>
          <cell r="L2562">
            <v>0</v>
          </cell>
          <cell r="M2562">
            <v>0</v>
          </cell>
          <cell r="N2562">
            <v>0</v>
          </cell>
          <cell r="O2562">
            <v>0</v>
          </cell>
          <cell r="P2562">
            <v>0</v>
          </cell>
          <cell r="Q2562">
            <v>0</v>
          </cell>
          <cell r="R2562">
            <v>0</v>
          </cell>
        </row>
        <row r="2563">
          <cell r="B2563">
            <v>2017</v>
          </cell>
          <cell r="C2563">
            <v>8300</v>
          </cell>
          <cell r="D2563">
            <v>3</v>
          </cell>
          <cell r="E2563">
            <v>5</v>
          </cell>
          <cell r="F2563">
            <v>2</v>
          </cell>
          <cell r="G2563">
            <v>3000</v>
          </cell>
          <cell r="H2563">
            <v>3100</v>
          </cell>
          <cell r="K2563" t="str">
            <v>Servicios básicos</v>
          </cell>
          <cell r="L2563">
            <v>0</v>
          </cell>
          <cell r="M2563">
            <v>0</v>
          </cell>
          <cell r="N2563">
            <v>0</v>
          </cell>
          <cell r="O2563">
            <v>0</v>
          </cell>
          <cell r="P2563">
            <v>0</v>
          </cell>
          <cell r="Q2563">
            <v>0</v>
          </cell>
          <cell r="R2563">
            <v>0</v>
          </cell>
        </row>
        <row r="2564">
          <cell r="B2564">
            <v>2017</v>
          </cell>
          <cell r="C2564">
            <v>8300</v>
          </cell>
          <cell r="D2564">
            <v>3</v>
          </cell>
          <cell r="E2564">
            <v>5</v>
          </cell>
          <cell r="F2564">
            <v>2</v>
          </cell>
          <cell r="G2564">
            <v>3000</v>
          </cell>
          <cell r="H2564">
            <v>3100</v>
          </cell>
          <cell r="I2564">
            <v>316</v>
          </cell>
          <cell r="K2564" t="str">
            <v>Servicios de telecomunicaciones y satélites</v>
          </cell>
          <cell r="L2564">
            <v>0</v>
          </cell>
          <cell r="M2564">
            <v>0</v>
          </cell>
          <cell r="N2564">
            <v>0</v>
          </cell>
          <cell r="O2564">
            <v>0</v>
          </cell>
          <cell r="P2564">
            <v>0</v>
          </cell>
          <cell r="Q2564">
            <v>0</v>
          </cell>
          <cell r="R2564">
            <v>0</v>
          </cell>
        </row>
        <row r="2565">
          <cell r="B2565">
            <v>2017</v>
          </cell>
          <cell r="C2565">
            <v>8300</v>
          </cell>
          <cell r="D2565">
            <v>3</v>
          </cell>
          <cell r="E2565">
            <v>5</v>
          </cell>
          <cell r="F2565">
            <v>2</v>
          </cell>
          <cell r="G2565">
            <v>3000</v>
          </cell>
          <cell r="H2565">
            <v>3100</v>
          </cell>
          <cell r="I2565">
            <v>316</v>
          </cell>
          <cell r="J2565">
            <v>1</v>
          </cell>
          <cell r="K2565" t="str">
            <v xml:space="preserve">Red de telecomunicaciones </v>
          </cell>
          <cell r="L2565">
            <v>0</v>
          </cell>
          <cell r="M2565">
            <v>0</v>
          </cell>
          <cell r="N2565">
            <v>0</v>
          </cell>
          <cell r="O2565">
            <v>0</v>
          </cell>
          <cell r="P2565">
            <v>0</v>
          </cell>
          <cell r="Q2565">
            <v>0</v>
          </cell>
          <cell r="R2565">
            <v>0</v>
          </cell>
          <cell r="S2565" t="str">
            <v>Servicio</v>
          </cell>
          <cell r="V2565" t="str">
            <v>AE</v>
          </cell>
        </row>
        <row r="2566">
          <cell r="B2566">
            <v>2017</v>
          </cell>
          <cell r="C2566">
            <v>8300</v>
          </cell>
          <cell r="D2566">
            <v>3</v>
          </cell>
          <cell r="E2566">
            <v>5</v>
          </cell>
          <cell r="F2566">
            <v>2</v>
          </cell>
          <cell r="G2566">
            <v>3000</v>
          </cell>
          <cell r="H2566">
            <v>3100</v>
          </cell>
          <cell r="I2566">
            <v>317</v>
          </cell>
          <cell r="K2566" t="str">
            <v>Servicios de acceso de Internet, redes y procesamiento de información</v>
          </cell>
          <cell r="L2566">
            <v>0</v>
          </cell>
          <cell r="M2566">
            <v>0</v>
          </cell>
          <cell r="N2566">
            <v>0</v>
          </cell>
          <cell r="O2566">
            <v>0</v>
          </cell>
          <cell r="P2566">
            <v>0</v>
          </cell>
          <cell r="Q2566">
            <v>0</v>
          </cell>
          <cell r="R2566">
            <v>0</v>
          </cell>
        </row>
        <row r="2567">
          <cell r="B2567">
            <v>2017</v>
          </cell>
          <cell r="C2567">
            <v>8300</v>
          </cell>
          <cell r="D2567">
            <v>3</v>
          </cell>
          <cell r="E2567">
            <v>5</v>
          </cell>
          <cell r="F2567">
            <v>2</v>
          </cell>
          <cell r="G2567">
            <v>3000</v>
          </cell>
          <cell r="H2567">
            <v>3100</v>
          </cell>
          <cell r="I2567">
            <v>317</v>
          </cell>
          <cell r="J2567">
            <v>1</v>
          </cell>
          <cell r="K2567" t="str">
            <v>Servicios de conducción de señales analógicas y digitales</v>
          </cell>
          <cell r="L2567">
            <v>0</v>
          </cell>
          <cell r="M2567">
            <v>0</v>
          </cell>
          <cell r="N2567">
            <v>0</v>
          </cell>
          <cell r="O2567">
            <v>0</v>
          </cell>
          <cell r="P2567">
            <v>0</v>
          </cell>
          <cell r="Q2567">
            <v>0</v>
          </cell>
          <cell r="R2567">
            <v>0</v>
          </cell>
          <cell r="S2567" t="str">
            <v>Servicio</v>
          </cell>
          <cell r="V2567" t="str">
            <v>AE</v>
          </cell>
        </row>
        <row r="2568">
          <cell r="B2568">
            <v>2017</v>
          </cell>
          <cell r="C2568">
            <v>8300</v>
          </cell>
          <cell r="D2568">
            <v>3</v>
          </cell>
          <cell r="E2568">
            <v>5</v>
          </cell>
          <cell r="F2568">
            <v>2</v>
          </cell>
          <cell r="G2568">
            <v>3000</v>
          </cell>
          <cell r="H2568">
            <v>3300</v>
          </cell>
          <cell r="K2568" t="str">
            <v>Servicios Profesionales, Científicos, Técnicos y Otros Servicios</v>
          </cell>
          <cell r="L2568">
            <v>0</v>
          </cell>
          <cell r="M2568">
            <v>0</v>
          </cell>
          <cell r="N2568">
            <v>0</v>
          </cell>
          <cell r="O2568">
            <v>0</v>
          </cell>
          <cell r="P2568">
            <v>0</v>
          </cell>
          <cell r="Q2568">
            <v>0</v>
          </cell>
          <cell r="R2568">
            <v>0</v>
          </cell>
        </row>
        <row r="2569">
          <cell r="B2569">
            <v>2017</v>
          </cell>
          <cell r="C2569">
            <v>8300</v>
          </cell>
          <cell r="D2569">
            <v>3</v>
          </cell>
          <cell r="E2569">
            <v>5</v>
          </cell>
          <cell r="F2569">
            <v>2</v>
          </cell>
          <cell r="G2569">
            <v>3000</v>
          </cell>
          <cell r="H2569">
            <v>3300</v>
          </cell>
          <cell r="I2569">
            <v>333</v>
          </cell>
          <cell r="K2569" t="str">
            <v>Servicios de consultoría administrativa, procesos, técnica y en tecnologías de la información</v>
          </cell>
          <cell r="L2569">
            <v>0</v>
          </cell>
          <cell r="M2569">
            <v>0</v>
          </cell>
          <cell r="N2569">
            <v>0</v>
          </cell>
          <cell r="O2569">
            <v>0</v>
          </cell>
          <cell r="P2569">
            <v>0</v>
          </cell>
          <cell r="Q2569">
            <v>0</v>
          </cell>
          <cell r="R2569">
            <v>0</v>
          </cell>
        </row>
        <row r="2570">
          <cell r="B2570">
            <v>2017</v>
          </cell>
          <cell r="C2570">
            <v>8300</v>
          </cell>
          <cell r="D2570">
            <v>3</v>
          </cell>
          <cell r="E2570">
            <v>5</v>
          </cell>
          <cell r="F2570">
            <v>2</v>
          </cell>
          <cell r="G2570">
            <v>3000</v>
          </cell>
          <cell r="H2570">
            <v>3300</v>
          </cell>
          <cell r="I2570">
            <v>333</v>
          </cell>
          <cell r="J2570">
            <v>1</v>
          </cell>
          <cell r="K2570" t="str">
            <v>Servicios de informática</v>
          </cell>
          <cell r="L2570">
            <v>0</v>
          </cell>
          <cell r="M2570">
            <v>0</v>
          </cell>
          <cell r="N2570">
            <v>0</v>
          </cell>
          <cell r="O2570">
            <v>0</v>
          </cell>
          <cell r="P2570">
            <v>0</v>
          </cell>
          <cell r="Q2570">
            <v>0</v>
          </cell>
          <cell r="R2570">
            <v>0</v>
          </cell>
          <cell r="S2570" t="str">
            <v>Servicio</v>
          </cell>
          <cell r="V2570" t="str">
            <v>AE</v>
          </cell>
        </row>
        <row r="2571">
          <cell r="B2571">
            <v>2017</v>
          </cell>
          <cell r="C2571">
            <v>8300</v>
          </cell>
          <cell r="D2571">
            <v>3</v>
          </cell>
          <cell r="E2571">
            <v>5</v>
          </cell>
          <cell r="F2571">
            <v>2</v>
          </cell>
          <cell r="G2571">
            <v>5000</v>
          </cell>
          <cell r="K2571" t="str">
            <v>BIENES MUEBLES, INMUEBLES E INTANGIBLES</v>
          </cell>
          <cell r="L2571">
            <v>210000</v>
          </cell>
          <cell r="M2571">
            <v>0</v>
          </cell>
          <cell r="N2571">
            <v>210000</v>
          </cell>
          <cell r="O2571">
            <v>0</v>
          </cell>
          <cell r="P2571">
            <v>0</v>
          </cell>
          <cell r="Q2571">
            <v>0</v>
          </cell>
          <cell r="R2571">
            <v>210000</v>
          </cell>
        </row>
        <row r="2572">
          <cell r="B2572">
            <v>2017</v>
          </cell>
          <cell r="C2572">
            <v>8300</v>
          </cell>
          <cell r="D2572">
            <v>3</v>
          </cell>
          <cell r="E2572">
            <v>5</v>
          </cell>
          <cell r="F2572">
            <v>2</v>
          </cell>
          <cell r="G2572">
            <v>5000</v>
          </cell>
          <cell r="H2572">
            <v>5100</v>
          </cell>
          <cell r="K2572" t="str">
            <v>Mobiliario y Equipo de Administración</v>
          </cell>
          <cell r="L2572">
            <v>0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0</v>
          </cell>
        </row>
        <row r="2573">
          <cell r="B2573">
            <v>2017</v>
          </cell>
          <cell r="C2573">
            <v>8300</v>
          </cell>
          <cell r="D2573">
            <v>3</v>
          </cell>
          <cell r="E2573">
            <v>5</v>
          </cell>
          <cell r="F2573">
            <v>2</v>
          </cell>
          <cell r="G2573">
            <v>5000</v>
          </cell>
          <cell r="H2573">
            <v>5100</v>
          </cell>
          <cell r="I2573">
            <v>511</v>
          </cell>
          <cell r="K2573" t="str">
            <v>Muebles de oficina y estantería</v>
          </cell>
          <cell r="L2573">
            <v>0</v>
          </cell>
          <cell r="M2573">
            <v>0</v>
          </cell>
          <cell r="N2573">
            <v>0</v>
          </cell>
          <cell r="O2573">
            <v>0</v>
          </cell>
          <cell r="P2573">
            <v>0</v>
          </cell>
          <cell r="Q2573">
            <v>0</v>
          </cell>
          <cell r="R2573">
            <v>0</v>
          </cell>
        </row>
        <row r="2574">
          <cell r="B2574">
            <v>2017</v>
          </cell>
          <cell r="C2574">
            <v>8300</v>
          </cell>
          <cell r="D2574">
            <v>3</v>
          </cell>
          <cell r="E2574">
            <v>5</v>
          </cell>
          <cell r="F2574">
            <v>2</v>
          </cell>
          <cell r="G2574">
            <v>5000</v>
          </cell>
          <cell r="H2574">
            <v>5100</v>
          </cell>
          <cell r="I2574">
            <v>511</v>
          </cell>
          <cell r="J2574">
            <v>1</v>
          </cell>
          <cell r="K2574" t="str">
            <v xml:space="preserve">Anaquel </v>
          </cell>
          <cell r="L2574">
            <v>0</v>
          </cell>
          <cell r="M2574">
            <v>0</v>
          </cell>
          <cell r="N2574">
            <v>0</v>
          </cell>
          <cell r="O2574">
            <v>0</v>
          </cell>
          <cell r="P2574">
            <v>0</v>
          </cell>
          <cell r="Q2574">
            <v>0</v>
          </cell>
          <cell r="R2574">
            <v>0</v>
          </cell>
          <cell r="S2574" t="str">
            <v>Pieza</v>
          </cell>
          <cell r="V2574" t="str">
            <v>FC</v>
          </cell>
        </row>
        <row r="2575">
          <cell r="B2575">
            <v>2017</v>
          </cell>
          <cell r="C2575">
            <v>8300</v>
          </cell>
          <cell r="D2575">
            <v>3</v>
          </cell>
          <cell r="E2575">
            <v>5</v>
          </cell>
          <cell r="F2575">
            <v>2</v>
          </cell>
          <cell r="G2575">
            <v>5000</v>
          </cell>
          <cell r="H2575">
            <v>5100</v>
          </cell>
          <cell r="I2575">
            <v>511</v>
          </cell>
          <cell r="J2575">
            <v>2</v>
          </cell>
          <cell r="K2575" t="str">
            <v xml:space="preserve">Archivero </v>
          </cell>
          <cell r="L2575">
            <v>0</v>
          </cell>
          <cell r="M2575">
            <v>0</v>
          </cell>
          <cell r="N2575">
            <v>0</v>
          </cell>
          <cell r="O2575">
            <v>0</v>
          </cell>
          <cell r="P2575">
            <v>0</v>
          </cell>
          <cell r="Q2575">
            <v>0</v>
          </cell>
          <cell r="R2575">
            <v>0</v>
          </cell>
          <cell r="S2575" t="str">
            <v>Pieza</v>
          </cell>
          <cell r="V2575" t="str">
            <v>FC</v>
          </cell>
        </row>
        <row r="2576">
          <cell r="B2576">
            <v>2017</v>
          </cell>
          <cell r="C2576">
            <v>8300</v>
          </cell>
          <cell r="D2576">
            <v>3</v>
          </cell>
          <cell r="E2576">
            <v>5</v>
          </cell>
          <cell r="F2576">
            <v>2</v>
          </cell>
          <cell r="G2576">
            <v>5000</v>
          </cell>
          <cell r="H2576">
            <v>5100</v>
          </cell>
          <cell r="I2576">
            <v>511</v>
          </cell>
          <cell r="J2576">
            <v>3</v>
          </cell>
          <cell r="K2576" t="str">
            <v xml:space="preserve">Banca </v>
          </cell>
          <cell r="L2576">
            <v>0</v>
          </cell>
          <cell r="M2576">
            <v>0</v>
          </cell>
          <cell r="N2576">
            <v>0</v>
          </cell>
          <cell r="O2576">
            <v>0</v>
          </cell>
          <cell r="P2576">
            <v>0</v>
          </cell>
          <cell r="Q2576">
            <v>0</v>
          </cell>
          <cell r="R2576">
            <v>0</v>
          </cell>
          <cell r="S2576" t="str">
            <v>Pieza</v>
          </cell>
          <cell r="V2576" t="str">
            <v>FC</v>
          </cell>
        </row>
        <row r="2577">
          <cell r="B2577">
            <v>2017</v>
          </cell>
          <cell r="C2577">
            <v>8300</v>
          </cell>
          <cell r="D2577">
            <v>3</v>
          </cell>
          <cell r="E2577">
            <v>5</v>
          </cell>
          <cell r="F2577">
            <v>2</v>
          </cell>
          <cell r="G2577">
            <v>5000</v>
          </cell>
          <cell r="H2577">
            <v>5100</v>
          </cell>
          <cell r="I2577">
            <v>511</v>
          </cell>
          <cell r="J2577">
            <v>4</v>
          </cell>
          <cell r="K2577" t="str">
            <v xml:space="preserve">Banco </v>
          </cell>
          <cell r="L2577">
            <v>0</v>
          </cell>
          <cell r="M2577">
            <v>0</v>
          </cell>
          <cell r="N2577">
            <v>0</v>
          </cell>
          <cell r="O2577">
            <v>0</v>
          </cell>
          <cell r="P2577">
            <v>0</v>
          </cell>
          <cell r="Q2577">
            <v>0</v>
          </cell>
          <cell r="R2577">
            <v>0</v>
          </cell>
          <cell r="S2577" t="str">
            <v>Pieza</v>
          </cell>
          <cell r="V2577" t="str">
            <v>FC</v>
          </cell>
        </row>
        <row r="2578">
          <cell r="B2578">
            <v>2017</v>
          </cell>
          <cell r="C2578">
            <v>8300</v>
          </cell>
          <cell r="D2578">
            <v>3</v>
          </cell>
          <cell r="E2578">
            <v>5</v>
          </cell>
          <cell r="F2578">
            <v>2</v>
          </cell>
          <cell r="G2578">
            <v>5000</v>
          </cell>
          <cell r="H2578">
            <v>5100</v>
          </cell>
          <cell r="I2578">
            <v>511</v>
          </cell>
          <cell r="J2578">
            <v>5</v>
          </cell>
          <cell r="K2578" t="str">
            <v xml:space="preserve">Butaca </v>
          </cell>
          <cell r="L2578">
            <v>0</v>
          </cell>
          <cell r="M2578">
            <v>0</v>
          </cell>
          <cell r="N2578">
            <v>0</v>
          </cell>
          <cell r="O2578">
            <v>0</v>
          </cell>
          <cell r="P2578">
            <v>0</v>
          </cell>
          <cell r="Q2578">
            <v>0</v>
          </cell>
          <cell r="R2578">
            <v>0</v>
          </cell>
          <cell r="S2578" t="str">
            <v>Pieza</v>
          </cell>
          <cell r="V2578" t="str">
            <v>FC</v>
          </cell>
        </row>
        <row r="2579">
          <cell r="B2579">
            <v>2017</v>
          </cell>
          <cell r="C2579">
            <v>8300</v>
          </cell>
          <cell r="D2579">
            <v>3</v>
          </cell>
          <cell r="E2579">
            <v>5</v>
          </cell>
          <cell r="F2579">
            <v>2</v>
          </cell>
          <cell r="G2579">
            <v>5000</v>
          </cell>
          <cell r="H2579">
            <v>5100</v>
          </cell>
          <cell r="I2579">
            <v>511</v>
          </cell>
          <cell r="J2579">
            <v>6</v>
          </cell>
          <cell r="K2579" t="str">
            <v xml:space="preserve">Cajonera </v>
          </cell>
          <cell r="L2579">
            <v>0</v>
          </cell>
          <cell r="M2579">
            <v>0</v>
          </cell>
          <cell r="N2579">
            <v>0</v>
          </cell>
          <cell r="O2579">
            <v>0</v>
          </cell>
          <cell r="P2579">
            <v>0</v>
          </cell>
          <cell r="Q2579">
            <v>0</v>
          </cell>
          <cell r="R2579">
            <v>0</v>
          </cell>
          <cell r="S2579" t="str">
            <v>Pieza</v>
          </cell>
          <cell r="V2579" t="str">
            <v>FC</v>
          </cell>
        </row>
        <row r="2580">
          <cell r="B2580">
            <v>2017</v>
          </cell>
          <cell r="C2580">
            <v>8300</v>
          </cell>
          <cell r="D2580">
            <v>3</v>
          </cell>
          <cell r="E2580">
            <v>5</v>
          </cell>
          <cell r="F2580">
            <v>2</v>
          </cell>
          <cell r="G2580">
            <v>5000</v>
          </cell>
          <cell r="H2580">
            <v>5100</v>
          </cell>
          <cell r="I2580">
            <v>511</v>
          </cell>
          <cell r="J2580">
            <v>7</v>
          </cell>
          <cell r="K2580" t="str">
            <v xml:space="preserve">Credenza </v>
          </cell>
          <cell r="L2580">
            <v>0</v>
          </cell>
          <cell r="M2580">
            <v>0</v>
          </cell>
          <cell r="N2580">
            <v>0</v>
          </cell>
          <cell r="O2580">
            <v>0</v>
          </cell>
          <cell r="P2580">
            <v>0</v>
          </cell>
          <cell r="Q2580">
            <v>0</v>
          </cell>
          <cell r="R2580">
            <v>0</v>
          </cell>
          <cell r="S2580" t="str">
            <v>Pieza</v>
          </cell>
          <cell r="V2580" t="str">
            <v>FC</v>
          </cell>
        </row>
        <row r="2581">
          <cell r="B2581">
            <v>2017</v>
          </cell>
          <cell r="C2581">
            <v>8300</v>
          </cell>
          <cell r="D2581">
            <v>3</v>
          </cell>
          <cell r="E2581">
            <v>5</v>
          </cell>
          <cell r="F2581">
            <v>2</v>
          </cell>
          <cell r="G2581">
            <v>5000</v>
          </cell>
          <cell r="H2581">
            <v>5100</v>
          </cell>
          <cell r="I2581">
            <v>511</v>
          </cell>
          <cell r="J2581">
            <v>8</v>
          </cell>
          <cell r="K2581" t="str">
            <v xml:space="preserve">Escritorio </v>
          </cell>
          <cell r="L2581">
            <v>0</v>
          </cell>
          <cell r="M2581">
            <v>0</v>
          </cell>
          <cell r="N2581">
            <v>0</v>
          </cell>
          <cell r="O2581">
            <v>0</v>
          </cell>
          <cell r="P2581">
            <v>0</v>
          </cell>
          <cell r="Q2581">
            <v>0</v>
          </cell>
          <cell r="R2581">
            <v>0</v>
          </cell>
          <cell r="S2581" t="str">
            <v>Pieza</v>
          </cell>
          <cell r="V2581" t="str">
            <v>FC</v>
          </cell>
        </row>
        <row r="2582">
          <cell r="B2582">
            <v>2017</v>
          </cell>
          <cell r="C2582">
            <v>8300</v>
          </cell>
          <cell r="D2582">
            <v>3</v>
          </cell>
          <cell r="E2582">
            <v>5</v>
          </cell>
          <cell r="F2582">
            <v>2</v>
          </cell>
          <cell r="G2582">
            <v>5000</v>
          </cell>
          <cell r="H2582">
            <v>5100</v>
          </cell>
          <cell r="I2582">
            <v>511</v>
          </cell>
          <cell r="J2582">
            <v>9</v>
          </cell>
          <cell r="K2582" t="str">
            <v>Escritorio Ejecutivo</v>
          </cell>
          <cell r="L2582">
            <v>0</v>
          </cell>
          <cell r="M2582">
            <v>0</v>
          </cell>
          <cell r="N2582">
            <v>0</v>
          </cell>
          <cell r="O2582">
            <v>0</v>
          </cell>
          <cell r="P2582">
            <v>0</v>
          </cell>
          <cell r="Q2582">
            <v>0</v>
          </cell>
          <cell r="R2582">
            <v>0</v>
          </cell>
          <cell r="S2582" t="str">
            <v>Pieza</v>
          </cell>
          <cell r="V2582" t="str">
            <v>FC</v>
          </cell>
        </row>
        <row r="2583">
          <cell r="B2583">
            <v>2017</v>
          </cell>
          <cell r="C2583">
            <v>8300</v>
          </cell>
          <cell r="D2583">
            <v>3</v>
          </cell>
          <cell r="E2583">
            <v>5</v>
          </cell>
          <cell r="F2583">
            <v>2</v>
          </cell>
          <cell r="G2583">
            <v>5000</v>
          </cell>
          <cell r="H2583">
            <v>5100</v>
          </cell>
          <cell r="I2583">
            <v>511</v>
          </cell>
          <cell r="J2583">
            <v>11</v>
          </cell>
          <cell r="K2583" t="str">
            <v xml:space="preserve">Estante </v>
          </cell>
          <cell r="L2583">
            <v>0</v>
          </cell>
          <cell r="M2583">
            <v>0</v>
          </cell>
          <cell r="N2583">
            <v>0</v>
          </cell>
          <cell r="O2583">
            <v>0</v>
          </cell>
          <cell r="P2583">
            <v>0</v>
          </cell>
          <cell r="Q2583">
            <v>0</v>
          </cell>
          <cell r="R2583">
            <v>0</v>
          </cell>
          <cell r="S2583" t="str">
            <v>Pieza</v>
          </cell>
          <cell r="V2583" t="str">
            <v>FC</v>
          </cell>
        </row>
        <row r="2584">
          <cell r="B2584">
            <v>2017</v>
          </cell>
          <cell r="C2584">
            <v>8300</v>
          </cell>
          <cell r="D2584">
            <v>3</v>
          </cell>
          <cell r="E2584">
            <v>5</v>
          </cell>
          <cell r="F2584">
            <v>2</v>
          </cell>
          <cell r="G2584">
            <v>5000</v>
          </cell>
          <cell r="H2584">
            <v>5100</v>
          </cell>
          <cell r="I2584">
            <v>511</v>
          </cell>
          <cell r="J2584">
            <v>12</v>
          </cell>
          <cell r="K2584" t="str">
            <v>Gabinete</v>
          </cell>
          <cell r="L2584">
            <v>0</v>
          </cell>
          <cell r="M2584">
            <v>0</v>
          </cell>
          <cell r="N2584">
            <v>0</v>
          </cell>
          <cell r="O2584">
            <v>0</v>
          </cell>
          <cell r="P2584">
            <v>0</v>
          </cell>
          <cell r="Q2584">
            <v>0</v>
          </cell>
          <cell r="R2584">
            <v>0</v>
          </cell>
          <cell r="S2584" t="str">
            <v>Pieza</v>
          </cell>
          <cell r="V2584" t="str">
            <v>FC</v>
          </cell>
        </row>
        <row r="2585">
          <cell r="B2585">
            <v>2017</v>
          </cell>
          <cell r="C2585">
            <v>8300</v>
          </cell>
          <cell r="D2585">
            <v>3</v>
          </cell>
          <cell r="E2585">
            <v>5</v>
          </cell>
          <cell r="F2585">
            <v>2</v>
          </cell>
          <cell r="G2585">
            <v>5000</v>
          </cell>
          <cell r="H2585">
            <v>5100</v>
          </cell>
          <cell r="I2585">
            <v>511</v>
          </cell>
          <cell r="J2585">
            <v>13</v>
          </cell>
          <cell r="K2585" t="str">
            <v>Lámpara</v>
          </cell>
          <cell r="L2585">
            <v>0</v>
          </cell>
          <cell r="M2585">
            <v>0</v>
          </cell>
          <cell r="N2585">
            <v>0</v>
          </cell>
          <cell r="O2585">
            <v>0</v>
          </cell>
          <cell r="P2585">
            <v>0</v>
          </cell>
          <cell r="Q2585">
            <v>0</v>
          </cell>
          <cell r="R2585">
            <v>0</v>
          </cell>
          <cell r="S2585" t="str">
            <v>Pieza</v>
          </cell>
          <cell r="V2585" t="str">
            <v>FC</v>
          </cell>
        </row>
        <row r="2586">
          <cell r="B2586">
            <v>2017</v>
          </cell>
          <cell r="C2586">
            <v>8300</v>
          </cell>
          <cell r="D2586">
            <v>3</v>
          </cell>
          <cell r="E2586">
            <v>5</v>
          </cell>
          <cell r="F2586">
            <v>2</v>
          </cell>
          <cell r="G2586">
            <v>5000</v>
          </cell>
          <cell r="H2586">
            <v>5100</v>
          </cell>
          <cell r="I2586">
            <v>511</v>
          </cell>
          <cell r="J2586">
            <v>14</v>
          </cell>
          <cell r="K2586" t="str">
            <v xml:space="preserve">Librero </v>
          </cell>
          <cell r="L2586">
            <v>0</v>
          </cell>
          <cell r="M2586">
            <v>0</v>
          </cell>
          <cell r="N2586">
            <v>0</v>
          </cell>
          <cell r="O2586">
            <v>0</v>
          </cell>
          <cell r="P2586">
            <v>0</v>
          </cell>
          <cell r="Q2586">
            <v>0</v>
          </cell>
          <cell r="R2586">
            <v>0</v>
          </cell>
          <cell r="S2586" t="str">
            <v>Pieza</v>
          </cell>
          <cell r="V2586" t="str">
            <v>FC</v>
          </cell>
        </row>
        <row r="2587">
          <cell r="B2587">
            <v>2017</v>
          </cell>
          <cell r="C2587">
            <v>8300</v>
          </cell>
          <cell r="D2587">
            <v>3</v>
          </cell>
          <cell r="E2587">
            <v>5</v>
          </cell>
          <cell r="F2587">
            <v>2</v>
          </cell>
          <cell r="G2587">
            <v>5000</v>
          </cell>
          <cell r="H2587">
            <v>5100</v>
          </cell>
          <cell r="I2587">
            <v>511</v>
          </cell>
          <cell r="J2587">
            <v>15</v>
          </cell>
          <cell r="K2587" t="str">
            <v>Locker</v>
          </cell>
          <cell r="L2587">
            <v>0</v>
          </cell>
          <cell r="M2587">
            <v>0</v>
          </cell>
          <cell r="N2587">
            <v>0</v>
          </cell>
          <cell r="O2587">
            <v>0</v>
          </cell>
          <cell r="P2587">
            <v>0</v>
          </cell>
          <cell r="Q2587">
            <v>0</v>
          </cell>
          <cell r="R2587">
            <v>0</v>
          </cell>
          <cell r="S2587" t="str">
            <v>Pieza</v>
          </cell>
          <cell r="V2587" t="str">
            <v>FC</v>
          </cell>
        </row>
        <row r="2588">
          <cell r="B2588">
            <v>2017</v>
          </cell>
          <cell r="C2588">
            <v>8300</v>
          </cell>
          <cell r="D2588">
            <v>3</v>
          </cell>
          <cell r="E2588">
            <v>5</v>
          </cell>
          <cell r="F2588">
            <v>2</v>
          </cell>
          <cell r="G2588">
            <v>5000</v>
          </cell>
          <cell r="H2588">
            <v>5100</v>
          </cell>
          <cell r="I2588">
            <v>511</v>
          </cell>
          <cell r="J2588">
            <v>16</v>
          </cell>
          <cell r="K2588" t="str">
            <v>Mesa</v>
          </cell>
          <cell r="L2588">
            <v>0</v>
          </cell>
          <cell r="M2588">
            <v>0</v>
          </cell>
          <cell r="N2588">
            <v>0</v>
          </cell>
          <cell r="O2588">
            <v>0</v>
          </cell>
          <cell r="P2588">
            <v>0</v>
          </cell>
          <cell r="Q2588">
            <v>0</v>
          </cell>
          <cell r="R2588">
            <v>0</v>
          </cell>
          <cell r="S2588" t="str">
            <v>Pieza</v>
          </cell>
          <cell r="V2588" t="str">
            <v>FC</v>
          </cell>
        </row>
        <row r="2589">
          <cell r="B2589">
            <v>2017</v>
          </cell>
          <cell r="C2589">
            <v>8300</v>
          </cell>
          <cell r="D2589">
            <v>3</v>
          </cell>
          <cell r="E2589">
            <v>5</v>
          </cell>
          <cell r="F2589">
            <v>2</v>
          </cell>
          <cell r="G2589">
            <v>5000</v>
          </cell>
          <cell r="H2589">
            <v>5100</v>
          </cell>
          <cell r="I2589">
            <v>511</v>
          </cell>
          <cell r="J2589">
            <v>17</v>
          </cell>
          <cell r="K2589" t="str">
            <v xml:space="preserve">Módulo </v>
          </cell>
          <cell r="L2589">
            <v>0</v>
          </cell>
          <cell r="M2589">
            <v>0</v>
          </cell>
          <cell r="N2589">
            <v>0</v>
          </cell>
          <cell r="O2589">
            <v>0</v>
          </cell>
          <cell r="P2589">
            <v>0</v>
          </cell>
          <cell r="Q2589">
            <v>0</v>
          </cell>
          <cell r="R2589">
            <v>0</v>
          </cell>
          <cell r="S2589" t="str">
            <v>Pieza</v>
          </cell>
          <cell r="V2589" t="str">
            <v>FC</v>
          </cell>
        </row>
        <row r="2590">
          <cell r="B2590">
            <v>2017</v>
          </cell>
          <cell r="C2590">
            <v>8300</v>
          </cell>
          <cell r="D2590">
            <v>3</v>
          </cell>
          <cell r="E2590">
            <v>5</v>
          </cell>
          <cell r="F2590">
            <v>2</v>
          </cell>
          <cell r="G2590">
            <v>5000</v>
          </cell>
          <cell r="H2590">
            <v>5100</v>
          </cell>
          <cell r="I2590">
            <v>511</v>
          </cell>
          <cell r="J2590">
            <v>18</v>
          </cell>
          <cell r="K2590" t="str">
            <v xml:space="preserve">Mueble para computadora   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0</v>
          </cell>
          <cell r="S2590" t="str">
            <v>Pieza</v>
          </cell>
          <cell r="V2590" t="str">
            <v>FC</v>
          </cell>
        </row>
        <row r="2591">
          <cell r="B2591">
            <v>2017</v>
          </cell>
          <cell r="C2591">
            <v>8300</v>
          </cell>
          <cell r="D2591">
            <v>3</v>
          </cell>
          <cell r="E2591">
            <v>5</v>
          </cell>
          <cell r="F2591">
            <v>2</v>
          </cell>
          <cell r="G2591">
            <v>5000</v>
          </cell>
          <cell r="H2591">
            <v>5100</v>
          </cell>
          <cell r="I2591">
            <v>511</v>
          </cell>
          <cell r="J2591">
            <v>19</v>
          </cell>
          <cell r="K2591" t="str">
            <v>Sala</v>
          </cell>
          <cell r="L2591">
            <v>0</v>
          </cell>
          <cell r="M2591">
            <v>0</v>
          </cell>
          <cell r="N2591">
            <v>0</v>
          </cell>
          <cell r="O2591">
            <v>0</v>
          </cell>
          <cell r="P2591">
            <v>0</v>
          </cell>
          <cell r="Q2591">
            <v>0</v>
          </cell>
          <cell r="R2591">
            <v>0</v>
          </cell>
          <cell r="S2591" t="str">
            <v>Pieza</v>
          </cell>
          <cell r="V2591" t="str">
            <v>FC</v>
          </cell>
        </row>
        <row r="2592">
          <cell r="B2592">
            <v>2017</v>
          </cell>
          <cell r="C2592">
            <v>8300</v>
          </cell>
          <cell r="D2592">
            <v>3</v>
          </cell>
          <cell r="E2592">
            <v>5</v>
          </cell>
          <cell r="F2592">
            <v>2</v>
          </cell>
          <cell r="G2592">
            <v>5000</v>
          </cell>
          <cell r="H2592">
            <v>5100</v>
          </cell>
          <cell r="I2592">
            <v>511</v>
          </cell>
          <cell r="J2592">
            <v>20</v>
          </cell>
          <cell r="K2592" t="str">
            <v xml:space="preserve">Silla </v>
          </cell>
          <cell r="L2592">
            <v>0</v>
          </cell>
          <cell r="M2592">
            <v>0</v>
          </cell>
          <cell r="N2592">
            <v>0</v>
          </cell>
          <cell r="O2592">
            <v>0</v>
          </cell>
          <cell r="P2592">
            <v>0</v>
          </cell>
          <cell r="Q2592">
            <v>0</v>
          </cell>
          <cell r="R2592">
            <v>0</v>
          </cell>
          <cell r="S2592" t="str">
            <v>Pieza</v>
          </cell>
          <cell r="V2592" t="str">
            <v>FC</v>
          </cell>
        </row>
        <row r="2593">
          <cell r="B2593">
            <v>2017</v>
          </cell>
          <cell r="C2593">
            <v>8300</v>
          </cell>
          <cell r="D2593">
            <v>3</v>
          </cell>
          <cell r="E2593">
            <v>5</v>
          </cell>
          <cell r="F2593">
            <v>2</v>
          </cell>
          <cell r="G2593">
            <v>5000</v>
          </cell>
          <cell r="H2593">
            <v>5100</v>
          </cell>
          <cell r="I2593">
            <v>511</v>
          </cell>
          <cell r="J2593">
            <v>21</v>
          </cell>
          <cell r="K2593" t="str">
            <v>Silla con paleta de madera</v>
          </cell>
          <cell r="L2593">
            <v>0</v>
          </cell>
          <cell r="M2593">
            <v>0</v>
          </cell>
          <cell r="N2593">
            <v>0</v>
          </cell>
          <cell r="O2593">
            <v>0</v>
          </cell>
          <cell r="P2593">
            <v>0</v>
          </cell>
          <cell r="Q2593">
            <v>0</v>
          </cell>
          <cell r="R2593">
            <v>0</v>
          </cell>
          <cell r="S2593" t="str">
            <v>Pieza</v>
          </cell>
          <cell r="V2593" t="str">
            <v>FC</v>
          </cell>
        </row>
        <row r="2594">
          <cell r="B2594">
            <v>2017</v>
          </cell>
          <cell r="C2594">
            <v>8300</v>
          </cell>
          <cell r="D2594">
            <v>3</v>
          </cell>
          <cell r="E2594">
            <v>5</v>
          </cell>
          <cell r="F2594">
            <v>2</v>
          </cell>
          <cell r="G2594">
            <v>5000</v>
          </cell>
          <cell r="H2594">
            <v>5100</v>
          </cell>
          <cell r="I2594">
            <v>511</v>
          </cell>
          <cell r="J2594">
            <v>22</v>
          </cell>
          <cell r="K2594" t="str">
            <v>Sillón ejecutivo</v>
          </cell>
          <cell r="L2594">
            <v>0</v>
          </cell>
          <cell r="M2594">
            <v>0</v>
          </cell>
          <cell r="N2594">
            <v>0</v>
          </cell>
          <cell r="O2594">
            <v>0</v>
          </cell>
          <cell r="P2594">
            <v>0</v>
          </cell>
          <cell r="Q2594">
            <v>0</v>
          </cell>
          <cell r="R2594">
            <v>0</v>
          </cell>
          <cell r="S2594" t="str">
            <v>Pieza</v>
          </cell>
          <cell r="V2594" t="str">
            <v>FC</v>
          </cell>
        </row>
        <row r="2595">
          <cell r="B2595">
            <v>2017</v>
          </cell>
          <cell r="C2595">
            <v>8300</v>
          </cell>
          <cell r="D2595">
            <v>3</v>
          </cell>
          <cell r="E2595">
            <v>5</v>
          </cell>
          <cell r="F2595">
            <v>2</v>
          </cell>
          <cell r="G2595">
            <v>5000</v>
          </cell>
          <cell r="H2595">
            <v>5100</v>
          </cell>
          <cell r="I2595">
            <v>511</v>
          </cell>
          <cell r="J2595">
            <v>23</v>
          </cell>
          <cell r="K2595" t="str">
            <v>Sillón semiejecutivo</v>
          </cell>
          <cell r="L2595">
            <v>0</v>
          </cell>
          <cell r="M2595">
            <v>0</v>
          </cell>
          <cell r="N2595">
            <v>0</v>
          </cell>
          <cell r="O2595">
            <v>0</v>
          </cell>
          <cell r="P2595">
            <v>0</v>
          </cell>
          <cell r="Q2595">
            <v>0</v>
          </cell>
          <cell r="R2595">
            <v>0</v>
          </cell>
          <cell r="S2595" t="str">
            <v>Pieza</v>
          </cell>
          <cell r="V2595" t="str">
            <v>FC</v>
          </cell>
        </row>
        <row r="2596">
          <cell r="B2596">
            <v>2017</v>
          </cell>
          <cell r="C2596">
            <v>8300</v>
          </cell>
          <cell r="D2596">
            <v>3</v>
          </cell>
          <cell r="E2596">
            <v>5</v>
          </cell>
          <cell r="F2596">
            <v>2</v>
          </cell>
          <cell r="G2596">
            <v>5000</v>
          </cell>
          <cell r="H2596">
            <v>5100</v>
          </cell>
          <cell r="I2596">
            <v>511</v>
          </cell>
          <cell r="J2596">
            <v>24</v>
          </cell>
          <cell r="K2596" t="str">
            <v>Sofá</v>
          </cell>
          <cell r="L2596">
            <v>0</v>
          </cell>
          <cell r="M2596">
            <v>0</v>
          </cell>
          <cell r="N2596">
            <v>0</v>
          </cell>
          <cell r="O2596">
            <v>0</v>
          </cell>
          <cell r="P2596">
            <v>0</v>
          </cell>
          <cell r="Q2596">
            <v>0</v>
          </cell>
          <cell r="R2596">
            <v>0</v>
          </cell>
          <cell r="S2596" t="str">
            <v>Pieza</v>
          </cell>
          <cell r="V2596" t="str">
            <v>FC</v>
          </cell>
        </row>
        <row r="2597">
          <cell r="B2597">
            <v>2017</v>
          </cell>
          <cell r="C2597">
            <v>8300</v>
          </cell>
          <cell r="D2597">
            <v>3</v>
          </cell>
          <cell r="E2597">
            <v>5</v>
          </cell>
          <cell r="F2597">
            <v>2</v>
          </cell>
          <cell r="G2597">
            <v>5000</v>
          </cell>
          <cell r="H2597">
            <v>5100</v>
          </cell>
          <cell r="I2597">
            <v>511</v>
          </cell>
          <cell r="J2597">
            <v>25</v>
          </cell>
          <cell r="K2597" t="str">
            <v xml:space="preserve">Vitrina </v>
          </cell>
          <cell r="L2597">
            <v>0</v>
          </cell>
          <cell r="M2597">
            <v>0</v>
          </cell>
          <cell r="N2597">
            <v>0</v>
          </cell>
          <cell r="O2597">
            <v>0</v>
          </cell>
          <cell r="P2597">
            <v>0</v>
          </cell>
          <cell r="Q2597">
            <v>0</v>
          </cell>
          <cell r="R2597">
            <v>0</v>
          </cell>
          <cell r="S2597" t="str">
            <v>Pieza</v>
          </cell>
          <cell r="V2597" t="str">
            <v>FC</v>
          </cell>
        </row>
      </sheetData>
      <sheetData sheetId="5" refreshError="1"/>
      <sheetData sheetId="6">
        <row r="146">
          <cell r="A146">
            <v>1</v>
          </cell>
          <cell r="B146">
            <v>2017</v>
          </cell>
          <cell r="C146">
            <v>8300</v>
          </cell>
          <cell r="D146">
            <v>1</v>
          </cell>
          <cell r="E146">
            <v>1</v>
          </cell>
          <cell r="F146">
            <v>2</v>
          </cell>
          <cell r="K146" t="str">
            <v>Acceso a la Justicia para las Mujeres</v>
          </cell>
          <cell r="L146">
            <v>740287</v>
          </cell>
          <cell r="M146">
            <v>0</v>
          </cell>
          <cell r="N146">
            <v>740287</v>
          </cell>
          <cell r="O146">
            <v>0</v>
          </cell>
          <cell r="P146">
            <v>0</v>
          </cell>
          <cell r="Q146">
            <v>0</v>
          </cell>
          <cell r="R146">
            <v>740287</v>
          </cell>
        </row>
        <row r="147">
          <cell r="A147">
            <v>2</v>
          </cell>
          <cell r="B147">
            <v>2017</v>
          </cell>
          <cell r="C147">
            <v>8300</v>
          </cell>
          <cell r="D147">
            <v>1</v>
          </cell>
          <cell r="E147">
            <v>1</v>
          </cell>
          <cell r="F147">
            <v>2</v>
          </cell>
          <cell r="G147">
            <v>1000</v>
          </cell>
          <cell r="K147" t="str">
            <v>SERVICIOS PERSONALES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</row>
        <row r="148">
          <cell r="A148">
            <v>3</v>
          </cell>
          <cell r="B148">
            <v>2017</v>
          </cell>
          <cell r="C148">
            <v>8300</v>
          </cell>
          <cell r="D148">
            <v>1</v>
          </cell>
          <cell r="E148">
            <v>1</v>
          </cell>
          <cell r="F148">
            <v>2</v>
          </cell>
          <cell r="G148">
            <v>1000</v>
          </cell>
          <cell r="H148">
            <v>1200</v>
          </cell>
          <cell r="K148" t="str">
            <v>Remuneraciones al personal de carácter transitorio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</row>
        <row r="149">
          <cell r="A149">
            <v>4</v>
          </cell>
          <cell r="B149">
            <v>2017</v>
          </cell>
          <cell r="C149">
            <v>8300</v>
          </cell>
          <cell r="D149">
            <v>1</v>
          </cell>
          <cell r="E149">
            <v>1</v>
          </cell>
          <cell r="F149">
            <v>2</v>
          </cell>
          <cell r="G149">
            <v>1000</v>
          </cell>
          <cell r="H149">
            <v>1200</v>
          </cell>
          <cell r="I149">
            <v>121</v>
          </cell>
          <cell r="K149" t="str">
            <v>Honorarios asimilables a salarios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</row>
        <row r="150">
          <cell r="A150">
            <v>5</v>
          </cell>
          <cell r="B150">
            <v>2017</v>
          </cell>
          <cell r="C150">
            <v>8300</v>
          </cell>
          <cell r="D150">
            <v>1</v>
          </cell>
          <cell r="E150">
            <v>1</v>
          </cell>
          <cell r="F150">
            <v>2</v>
          </cell>
          <cell r="G150">
            <v>1000</v>
          </cell>
          <cell r="H150">
            <v>1200</v>
          </cell>
          <cell r="I150">
            <v>121</v>
          </cell>
          <cell r="J150">
            <v>1</v>
          </cell>
          <cell r="K150" t="str">
            <v>Honorarios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 t="str">
            <v>Persona</v>
          </cell>
          <cell r="V150" t="str">
            <v>AE</v>
          </cell>
        </row>
        <row r="151">
          <cell r="A151">
            <v>6</v>
          </cell>
          <cell r="B151">
            <v>2017</v>
          </cell>
          <cell r="C151">
            <v>8300</v>
          </cell>
          <cell r="D151">
            <v>1</v>
          </cell>
          <cell r="E151">
            <v>1</v>
          </cell>
          <cell r="F151">
            <v>2</v>
          </cell>
          <cell r="G151">
            <v>2000</v>
          </cell>
          <cell r="K151" t="str">
            <v>MATERIALES Y SUMINISTROS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</row>
        <row r="152">
          <cell r="A152">
            <v>7</v>
          </cell>
          <cell r="B152">
            <v>2017</v>
          </cell>
          <cell r="C152">
            <v>8300</v>
          </cell>
          <cell r="D152">
            <v>1</v>
          </cell>
          <cell r="E152">
            <v>1</v>
          </cell>
          <cell r="F152">
            <v>2</v>
          </cell>
          <cell r="G152">
            <v>2000</v>
          </cell>
          <cell r="H152">
            <v>2100</v>
          </cell>
          <cell r="K152" t="str">
            <v>Materiales de Administración, Emisión de Documentos y Artículos Oficiales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</row>
        <row r="153">
          <cell r="A153">
            <v>8</v>
          </cell>
          <cell r="B153">
            <v>2017</v>
          </cell>
          <cell r="C153">
            <v>8300</v>
          </cell>
          <cell r="D153">
            <v>1</v>
          </cell>
          <cell r="E153">
            <v>1</v>
          </cell>
          <cell r="F153">
            <v>2</v>
          </cell>
          <cell r="G153">
            <v>2000</v>
          </cell>
          <cell r="H153">
            <v>2100</v>
          </cell>
          <cell r="I153">
            <v>211</v>
          </cell>
          <cell r="K153" t="str">
            <v>Materiales, útiles y equipos menores de oficina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</row>
        <row r="154">
          <cell r="A154">
            <v>9</v>
          </cell>
          <cell r="B154">
            <v>2017</v>
          </cell>
          <cell r="C154">
            <v>8300</v>
          </cell>
          <cell r="D154">
            <v>1</v>
          </cell>
          <cell r="E154">
            <v>1</v>
          </cell>
          <cell r="F154">
            <v>2</v>
          </cell>
          <cell r="G154">
            <v>2000</v>
          </cell>
          <cell r="H154">
            <v>2100</v>
          </cell>
          <cell r="I154">
            <v>211</v>
          </cell>
          <cell r="J154">
            <v>1</v>
          </cell>
          <cell r="K154" t="str">
            <v>Materialesy útiles de oficina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 t="str">
            <v>Pieza</v>
          </cell>
          <cell r="V154" t="str">
            <v>AE</v>
          </cell>
        </row>
        <row r="155">
          <cell r="A155">
            <v>10</v>
          </cell>
          <cell r="B155">
            <v>2017</v>
          </cell>
          <cell r="C155">
            <v>8300</v>
          </cell>
          <cell r="D155">
            <v>1</v>
          </cell>
          <cell r="E155">
            <v>1</v>
          </cell>
          <cell r="F155">
            <v>2</v>
          </cell>
          <cell r="G155">
            <v>2000</v>
          </cell>
          <cell r="H155">
            <v>2100</v>
          </cell>
          <cell r="I155">
            <v>215</v>
          </cell>
          <cell r="K155" t="str">
            <v>Material impreso e información digital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</row>
        <row r="156">
          <cell r="A156">
            <v>11</v>
          </cell>
          <cell r="B156">
            <v>2017</v>
          </cell>
          <cell r="C156">
            <v>8300</v>
          </cell>
          <cell r="D156">
            <v>1</v>
          </cell>
          <cell r="E156">
            <v>1</v>
          </cell>
          <cell r="F156">
            <v>2</v>
          </cell>
          <cell r="G156">
            <v>2000</v>
          </cell>
          <cell r="H156">
            <v>2100</v>
          </cell>
          <cell r="I156">
            <v>215</v>
          </cell>
          <cell r="J156">
            <v>1</v>
          </cell>
          <cell r="K156" t="str">
            <v>Material de apoyo informativo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 t="str">
            <v>Pieza</v>
          </cell>
          <cell r="V156" t="str">
            <v>AE</v>
          </cell>
        </row>
        <row r="157">
          <cell r="A157">
            <v>12</v>
          </cell>
          <cell r="B157">
            <v>2017</v>
          </cell>
          <cell r="C157">
            <v>8300</v>
          </cell>
          <cell r="D157">
            <v>1</v>
          </cell>
          <cell r="E157">
            <v>1</v>
          </cell>
          <cell r="F157">
            <v>2</v>
          </cell>
          <cell r="G157">
            <v>2000</v>
          </cell>
          <cell r="H157">
            <v>2100</v>
          </cell>
          <cell r="I157">
            <v>217</v>
          </cell>
          <cell r="K157" t="str">
            <v>Materiales y útiles de enseñanza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</row>
        <row r="158">
          <cell r="A158">
            <v>13</v>
          </cell>
          <cell r="B158">
            <v>2017</v>
          </cell>
          <cell r="C158">
            <v>8300</v>
          </cell>
          <cell r="D158">
            <v>1</v>
          </cell>
          <cell r="E158">
            <v>1</v>
          </cell>
          <cell r="F158">
            <v>2</v>
          </cell>
          <cell r="G158">
            <v>2000</v>
          </cell>
          <cell r="H158">
            <v>2100</v>
          </cell>
          <cell r="I158">
            <v>217</v>
          </cell>
          <cell r="J158">
            <v>1</v>
          </cell>
          <cell r="K158" t="str">
            <v>Materiales y útiles de enseñanza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 t="str">
            <v>Pieza</v>
          </cell>
          <cell r="V158" t="str">
            <v>AE</v>
          </cell>
        </row>
        <row r="159">
          <cell r="A159">
            <v>14</v>
          </cell>
          <cell r="B159">
            <v>2017</v>
          </cell>
          <cell r="C159">
            <v>8300</v>
          </cell>
          <cell r="D159">
            <v>1</v>
          </cell>
          <cell r="E159">
            <v>1</v>
          </cell>
          <cell r="F159">
            <v>2</v>
          </cell>
          <cell r="G159">
            <v>2000</v>
          </cell>
          <cell r="H159">
            <v>2200</v>
          </cell>
          <cell r="K159" t="str">
            <v>Alimentos y Utensilios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</row>
        <row r="160">
          <cell r="A160">
            <v>15</v>
          </cell>
          <cell r="B160">
            <v>2017</v>
          </cell>
          <cell r="C160">
            <v>8300</v>
          </cell>
          <cell r="D160">
            <v>1</v>
          </cell>
          <cell r="E160">
            <v>1</v>
          </cell>
          <cell r="F160">
            <v>2</v>
          </cell>
          <cell r="G160">
            <v>2000</v>
          </cell>
          <cell r="H160">
            <v>2200</v>
          </cell>
          <cell r="I160">
            <v>221</v>
          </cell>
          <cell r="K160" t="str">
            <v>Productos alimenticios para personas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</row>
        <row r="161">
          <cell r="A161">
            <v>16</v>
          </cell>
          <cell r="B161">
            <v>2017</v>
          </cell>
          <cell r="C161">
            <v>8300</v>
          </cell>
          <cell r="D161">
            <v>1</v>
          </cell>
          <cell r="E161">
            <v>1</v>
          </cell>
          <cell r="F161">
            <v>2</v>
          </cell>
          <cell r="G161">
            <v>2000</v>
          </cell>
          <cell r="H161">
            <v>2200</v>
          </cell>
          <cell r="I161">
            <v>221</v>
          </cell>
          <cell r="J161">
            <v>1</v>
          </cell>
          <cell r="K161" t="str">
            <v>Productos alimenticios para los efectivos que participen en programas de seguridad pública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 t="str">
            <v>Pieza</v>
          </cell>
          <cell r="V161" t="str">
            <v>AE</v>
          </cell>
        </row>
        <row r="162">
          <cell r="A162">
            <v>17</v>
          </cell>
          <cell r="B162">
            <v>2017</v>
          </cell>
          <cell r="C162">
            <v>8300</v>
          </cell>
          <cell r="D162">
            <v>1</v>
          </cell>
          <cell r="E162">
            <v>1</v>
          </cell>
          <cell r="F162">
            <v>2</v>
          </cell>
          <cell r="G162">
            <v>2000</v>
          </cell>
          <cell r="H162">
            <v>2200</v>
          </cell>
          <cell r="I162">
            <v>223</v>
          </cell>
          <cell r="K162" t="str">
            <v>Utensilios para el servicio de alimentación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</row>
        <row r="163">
          <cell r="A163">
            <v>18</v>
          </cell>
          <cell r="B163">
            <v>2017</v>
          </cell>
          <cell r="C163">
            <v>8300</v>
          </cell>
          <cell r="D163">
            <v>1</v>
          </cell>
          <cell r="E163">
            <v>1</v>
          </cell>
          <cell r="F163">
            <v>2</v>
          </cell>
          <cell r="G163">
            <v>2000</v>
          </cell>
          <cell r="H163">
            <v>2200</v>
          </cell>
          <cell r="I163">
            <v>223</v>
          </cell>
          <cell r="J163">
            <v>1</v>
          </cell>
          <cell r="K163" t="str">
            <v xml:space="preserve">Utensilios 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 t="str">
            <v>Pieza</v>
          </cell>
          <cell r="V163" t="str">
            <v>AE</v>
          </cell>
        </row>
        <row r="164">
          <cell r="A164">
            <v>19</v>
          </cell>
          <cell r="B164">
            <v>2017</v>
          </cell>
          <cell r="C164">
            <v>8300</v>
          </cell>
          <cell r="D164">
            <v>1</v>
          </cell>
          <cell r="E164">
            <v>1</v>
          </cell>
          <cell r="F164">
            <v>2</v>
          </cell>
          <cell r="G164">
            <v>2000</v>
          </cell>
          <cell r="H164">
            <v>2400</v>
          </cell>
          <cell r="K164" t="str">
            <v>Materiales y artículos de construcción y de reparación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</row>
        <row r="165">
          <cell r="A165">
            <v>20</v>
          </cell>
          <cell r="B165">
            <v>2017</v>
          </cell>
          <cell r="C165">
            <v>8300</v>
          </cell>
          <cell r="D165">
            <v>1</v>
          </cell>
          <cell r="E165">
            <v>1</v>
          </cell>
          <cell r="F165">
            <v>2</v>
          </cell>
          <cell r="G165">
            <v>2000</v>
          </cell>
          <cell r="H165">
            <v>2400</v>
          </cell>
          <cell r="I165">
            <v>246</v>
          </cell>
          <cell r="K165" t="str">
            <v>Material eléctrico y electrónico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</row>
        <row r="166">
          <cell r="A166">
            <v>21</v>
          </cell>
          <cell r="B166">
            <v>2017</v>
          </cell>
          <cell r="C166">
            <v>8300</v>
          </cell>
          <cell r="D166">
            <v>1</v>
          </cell>
          <cell r="E166">
            <v>1</v>
          </cell>
          <cell r="F166">
            <v>2</v>
          </cell>
          <cell r="G166">
            <v>2000</v>
          </cell>
          <cell r="H166">
            <v>2400</v>
          </cell>
          <cell r="I166">
            <v>246</v>
          </cell>
          <cell r="J166">
            <v>1</v>
          </cell>
          <cell r="K166" t="str">
            <v>Material eléctrico y electrónico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 t="str">
            <v>Pieza</v>
          </cell>
          <cell r="V166" t="str">
            <v>AE</v>
          </cell>
        </row>
        <row r="167">
          <cell r="A167">
            <v>22</v>
          </cell>
          <cell r="B167">
            <v>2017</v>
          </cell>
          <cell r="C167">
            <v>8300</v>
          </cell>
          <cell r="D167">
            <v>1</v>
          </cell>
          <cell r="E167">
            <v>1</v>
          </cell>
          <cell r="F167">
            <v>2</v>
          </cell>
          <cell r="G167">
            <v>2000</v>
          </cell>
          <cell r="H167">
            <v>2400</v>
          </cell>
          <cell r="I167">
            <v>248</v>
          </cell>
          <cell r="K167" t="str">
            <v>Materiales complementarios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</row>
        <row r="168">
          <cell r="A168">
            <v>23</v>
          </cell>
          <cell r="B168">
            <v>2017</v>
          </cell>
          <cell r="C168">
            <v>8300</v>
          </cell>
          <cell r="D168">
            <v>1</v>
          </cell>
          <cell r="E168">
            <v>1</v>
          </cell>
          <cell r="F168">
            <v>2</v>
          </cell>
          <cell r="G168">
            <v>2000</v>
          </cell>
          <cell r="H168">
            <v>2400</v>
          </cell>
          <cell r="I168">
            <v>248</v>
          </cell>
          <cell r="J168">
            <v>1</v>
          </cell>
          <cell r="K168" t="str">
            <v>Materiales complementarios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 t="str">
            <v>Pieza</v>
          </cell>
          <cell r="V168" t="str">
            <v>AE</v>
          </cell>
        </row>
        <row r="169">
          <cell r="A169">
            <v>24</v>
          </cell>
          <cell r="B169">
            <v>2017</v>
          </cell>
          <cell r="C169">
            <v>8300</v>
          </cell>
          <cell r="D169">
            <v>1</v>
          </cell>
          <cell r="E169">
            <v>1</v>
          </cell>
          <cell r="F169">
            <v>2</v>
          </cell>
          <cell r="G169">
            <v>2000</v>
          </cell>
          <cell r="H169">
            <v>2500</v>
          </cell>
          <cell r="K169" t="str">
            <v>Productos Químicos, Farmacéuticos y de Laboratorio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</row>
        <row r="170">
          <cell r="A170">
            <v>25</v>
          </cell>
          <cell r="B170">
            <v>2017</v>
          </cell>
          <cell r="C170">
            <v>8300</v>
          </cell>
          <cell r="D170">
            <v>1</v>
          </cell>
          <cell r="E170">
            <v>1</v>
          </cell>
          <cell r="F170">
            <v>2</v>
          </cell>
          <cell r="G170">
            <v>2000</v>
          </cell>
          <cell r="H170">
            <v>2500</v>
          </cell>
          <cell r="I170">
            <v>254</v>
          </cell>
          <cell r="K170" t="str">
            <v>Materiales, accesorios y suministros médicos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</row>
        <row r="171">
          <cell r="A171">
            <v>26</v>
          </cell>
          <cell r="B171">
            <v>2017</v>
          </cell>
          <cell r="C171">
            <v>8300</v>
          </cell>
          <cell r="D171">
            <v>1</v>
          </cell>
          <cell r="E171">
            <v>1</v>
          </cell>
          <cell r="F171">
            <v>2</v>
          </cell>
          <cell r="G171">
            <v>2000</v>
          </cell>
          <cell r="H171">
            <v>2500</v>
          </cell>
          <cell r="I171">
            <v>254</v>
          </cell>
          <cell r="J171">
            <v>1</v>
          </cell>
          <cell r="K171" t="str">
            <v>Materiales, accesorios y suministros médicos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 t="str">
            <v>Pieza</v>
          </cell>
          <cell r="V171" t="str">
            <v>AE</v>
          </cell>
        </row>
        <row r="172">
          <cell r="A172">
            <v>27</v>
          </cell>
          <cell r="B172">
            <v>2017</v>
          </cell>
          <cell r="C172">
            <v>8300</v>
          </cell>
          <cell r="D172">
            <v>1</v>
          </cell>
          <cell r="E172">
            <v>1</v>
          </cell>
          <cell r="F172">
            <v>2</v>
          </cell>
          <cell r="G172">
            <v>2000</v>
          </cell>
          <cell r="H172">
            <v>2500</v>
          </cell>
          <cell r="I172">
            <v>255</v>
          </cell>
          <cell r="K172" t="str">
            <v>Materiales, accesorios y suministros de laboratorio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</row>
        <row r="173">
          <cell r="A173">
            <v>28</v>
          </cell>
          <cell r="B173">
            <v>2017</v>
          </cell>
          <cell r="C173">
            <v>8300</v>
          </cell>
          <cell r="D173">
            <v>1</v>
          </cell>
          <cell r="E173">
            <v>1</v>
          </cell>
          <cell r="F173">
            <v>2</v>
          </cell>
          <cell r="G173">
            <v>2000</v>
          </cell>
          <cell r="H173">
            <v>2500</v>
          </cell>
          <cell r="I173">
            <v>255</v>
          </cell>
          <cell r="J173">
            <v>1</v>
          </cell>
          <cell r="K173" t="str">
            <v>Materiales, accesorios y suministros de laboratorio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 t="str">
            <v>Pieza</v>
          </cell>
          <cell r="V173" t="str">
            <v>AE</v>
          </cell>
        </row>
        <row r="174">
          <cell r="A174">
            <v>29</v>
          </cell>
          <cell r="B174">
            <v>2017</v>
          </cell>
          <cell r="C174">
            <v>8300</v>
          </cell>
          <cell r="D174">
            <v>1</v>
          </cell>
          <cell r="E174">
            <v>1</v>
          </cell>
          <cell r="F174">
            <v>2</v>
          </cell>
          <cell r="G174">
            <v>2000</v>
          </cell>
          <cell r="H174">
            <v>2600</v>
          </cell>
          <cell r="K174" t="str">
            <v>Combustibles, lubricantes y aditivos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</row>
        <row r="175">
          <cell r="A175">
            <v>30</v>
          </cell>
          <cell r="B175">
            <v>2017</v>
          </cell>
          <cell r="C175">
            <v>8300</v>
          </cell>
          <cell r="D175">
            <v>1</v>
          </cell>
          <cell r="E175">
            <v>1</v>
          </cell>
          <cell r="F175">
            <v>2</v>
          </cell>
          <cell r="G175">
            <v>2000</v>
          </cell>
          <cell r="H175">
            <v>2600</v>
          </cell>
          <cell r="I175">
            <v>261</v>
          </cell>
          <cell r="K175" t="str">
            <v>Combustibles, lubricantes y aditivos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</row>
        <row r="176">
          <cell r="A176">
            <v>31</v>
          </cell>
          <cell r="B176">
            <v>2017</v>
          </cell>
          <cell r="C176">
            <v>8300</v>
          </cell>
          <cell r="D176">
            <v>1</v>
          </cell>
          <cell r="E176">
            <v>1</v>
          </cell>
          <cell r="F176">
            <v>2</v>
          </cell>
          <cell r="G176">
            <v>2000</v>
          </cell>
          <cell r="H176">
            <v>2600</v>
          </cell>
          <cell r="I176">
            <v>261</v>
          </cell>
          <cell r="J176">
            <v>1</v>
          </cell>
          <cell r="K176" t="str">
            <v>Gasolina y diésel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 t="str">
            <v>Litros</v>
          </cell>
          <cell r="V176" t="str">
            <v>AE</v>
          </cell>
        </row>
        <row r="177">
          <cell r="A177">
            <v>32</v>
          </cell>
          <cell r="B177">
            <v>2017</v>
          </cell>
          <cell r="C177">
            <v>8300</v>
          </cell>
          <cell r="D177">
            <v>1</v>
          </cell>
          <cell r="E177">
            <v>1</v>
          </cell>
          <cell r="F177">
            <v>2</v>
          </cell>
          <cell r="G177">
            <v>2000</v>
          </cell>
          <cell r="H177">
            <v>2700</v>
          </cell>
          <cell r="K177" t="str">
            <v>Vestuario, Blancos, Prendas de Protección y Artículos Deportivos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</row>
        <row r="178">
          <cell r="A178">
            <v>33</v>
          </cell>
          <cell r="B178">
            <v>2017</v>
          </cell>
          <cell r="C178">
            <v>8300</v>
          </cell>
          <cell r="D178">
            <v>1</v>
          </cell>
          <cell r="E178">
            <v>1</v>
          </cell>
          <cell r="F178">
            <v>2</v>
          </cell>
          <cell r="G178">
            <v>2000</v>
          </cell>
          <cell r="H178">
            <v>2700</v>
          </cell>
          <cell r="I178">
            <v>271</v>
          </cell>
          <cell r="K178" t="str">
            <v>Vestuario y uniformes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</row>
        <row r="179">
          <cell r="A179">
            <v>34</v>
          </cell>
          <cell r="B179">
            <v>2017</v>
          </cell>
          <cell r="C179">
            <v>8300</v>
          </cell>
          <cell r="D179">
            <v>1</v>
          </cell>
          <cell r="E179">
            <v>1</v>
          </cell>
          <cell r="F179">
            <v>2</v>
          </cell>
          <cell r="G179">
            <v>2000</v>
          </cell>
          <cell r="H179">
            <v>2700</v>
          </cell>
          <cell r="I179">
            <v>271</v>
          </cell>
          <cell r="J179">
            <v>1</v>
          </cell>
          <cell r="K179" t="str">
            <v>Vestuario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 t="str">
            <v>Par
Pieza</v>
          </cell>
          <cell r="V179" t="str">
            <v>AE</v>
          </cell>
        </row>
        <row r="180">
          <cell r="A180">
            <v>35</v>
          </cell>
          <cell r="B180">
            <v>2017</v>
          </cell>
          <cell r="C180">
            <v>8300</v>
          </cell>
          <cell r="D180">
            <v>1</v>
          </cell>
          <cell r="E180">
            <v>1</v>
          </cell>
          <cell r="F180">
            <v>2</v>
          </cell>
          <cell r="G180">
            <v>2000</v>
          </cell>
          <cell r="H180">
            <v>2700</v>
          </cell>
          <cell r="I180">
            <v>273</v>
          </cell>
          <cell r="K180" t="str">
            <v>Artículos deportivos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</row>
        <row r="181">
          <cell r="A181">
            <v>36</v>
          </cell>
          <cell r="B181">
            <v>2017</v>
          </cell>
          <cell r="C181">
            <v>8300</v>
          </cell>
          <cell r="D181">
            <v>1</v>
          </cell>
          <cell r="E181">
            <v>1</v>
          </cell>
          <cell r="F181">
            <v>2</v>
          </cell>
          <cell r="G181">
            <v>2000</v>
          </cell>
          <cell r="H181">
            <v>2700</v>
          </cell>
          <cell r="I181">
            <v>273</v>
          </cell>
          <cell r="J181">
            <v>1</v>
          </cell>
          <cell r="K181" t="str">
            <v>Artículos deportivos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 t="str">
            <v>Pieza</v>
          </cell>
          <cell r="V181" t="str">
            <v>AE</v>
          </cell>
        </row>
        <row r="182">
          <cell r="A182">
            <v>37</v>
          </cell>
          <cell r="B182">
            <v>2017</v>
          </cell>
          <cell r="C182">
            <v>8300</v>
          </cell>
          <cell r="D182">
            <v>1</v>
          </cell>
          <cell r="E182">
            <v>1</v>
          </cell>
          <cell r="F182">
            <v>2</v>
          </cell>
          <cell r="G182">
            <v>2000</v>
          </cell>
          <cell r="H182">
            <v>2700</v>
          </cell>
          <cell r="I182">
            <v>275</v>
          </cell>
          <cell r="K182" t="str">
            <v>Blancos y otros productos textiles, excepto prendas de vestir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</row>
        <row r="183">
          <cell r="A183">
            <v>38</v>
          </cell>
          <cell r="B183">
            <v>2017</v>
          </cell>
          <cell r="C183">
            <v>8300</v>
          </cell>
          <cell r="D183">
            <v>1</v>
          </cell>
          <cell r="E183">
            <v>1</v>
          </cell>
          <cell r="F183">
            <v>2</v>
          </cell>
          <cell r="G183">
            <v>2000</v>
          </cell>
          <cell r="H183">
            <v>2700</v>
          </cell>
          <cell r="I183">
            <v>275</v>
          </cell>
          <cell r="J183">
            <v>1</v>
          </cell>
          <cell r="K183" t="str">
            <v xml:space="preserve">Blancos 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 t="str">
            <v>Pieza</v>
          </cell>
          <cell r="V183" t="str">
            <v>AE</v>
          </cell>
        </row>
        <row r="184">
          <cell r="A184">
            <v>39</v>
          </cell>
          <cell r="B184">
            <v>2017</v>
          </cell>
          <cell r="C184">
            <v>8300</v>
          </cell>
          <cell r="D184">
            <v>1</v>
          </cell>
          <cell r="E184">
            <v>1</v>
          </cell>
          <cell r="F184">
            <v>2</v>
          </cell>
          <cell r="G184">
            <v>3000</v>
          </cell>
          <cell r="K184" t="str">
            <v>SERVICIOS GENERALES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</row>
        <row r="185">
          <cell r="A185">
            <v>40</v>
          </cell>
          <cell r="B185">
            <v>2017</v>
          </cell>
          <cell r="C185">
            <v>8300</v>
          </cell>
          <cell r="D185">
            <v>1</v>
          </cell>
          <cell r="E185">
            <v>1</v>
          </cell>
          <cell r="F185">
            <v>2</v>
          </cell>
          <cell r="G185">
            <v>3000</v>
          </cell>
          <cell r="H185">
            <v>3100</v>
          </cell>
          <cell r="K185" t="str">
            <v>Servicios básicos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</row>
        <row r="186">
          <cell r="A186">
            <v>41</v>
          </cell>
          <cell r="B186">
            <v>2017</v>
          </cell>
          <cell r="C186">
            <v>8300</v>
          </cell>
          <cell r="D186">
            <v>1</v>
          </cell>
          <cell r="E186">
            <v>1</v>
          </cell>
          <cell r="F186">
            <v>2</v>
          </cell>
          <cell r="G186">
            <v>3000</v>
          </cell>
          <cell r="H186">
            <v>3100</v>
          </cell>
          <cell r="I186">
            <v>317</v>
          </cell>
          <cell r="K186" t="str">
            <v>Servicios de acceso de Internet, redes y procesamiento de información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</row>
        <row r="187">
          <cell r="A187">
            <v>42</v>
          </cell>
          <cell r="B187">
            <v>2017</v>
          </cell>
          <cell r="C187">
            <v>8300</v>
          </cell>
          <cell r="D187">
            <v>1</v>
          </cell>
          <cell r="E187">
            <v>1</v>
          </cell>
          <cell r="F187">
            <v>2</v>
          </cell>
          <cell r="G187">
            <v>3000</v>
          </cell>
          <cell r="H187">
            <v>3100</v>
          </cell>
          <cell r="I187">
            <v>317</v>
          </cell>
          <cell r="J187">
            <v>1</v>
          </cell>
          <cell r="K187" t="str">
            <v>Servicios de conducción de señales analógicas y digitales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 t="str">
            <v>Servicio</v>
          </cell>
          <cell r="V187" t="str">
            <v>AE</v>
          </cell>
        </row>
        <row r="188">
          <cell r="A188">
            <v>43</v>
          </cell>
          <cell r="B188">
            <v>2017</v>
          </cell>
          <cell r="C188">
            <v>8300</v>
          </cell>
          <cell r="D188">
            <v>1</v>
          </cell>
          <cell r="E188">
            <v>1</v>
          </cell>
          <cell r="F188">
            <v>2</v>
          </cell>
          <cell r="G188">
            <v>3000</v>
          </cell>
          <cell r="H188">
            <v>3300</v>
          </cell>
          <cell r="K188" t="str">
            <v>Servicios Profesionales, Científicos, Técnicos y Otros Servicios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</row>
        <row r="189">
          <cell r="A189">
            <v>44</v>
          </cell>
          <cell r="B189">
            <v>2017</v>
          </cell>
          <cell r="C189">
            <v>8300</v>
          </cell>
          <cell r="D189">
            <v>1</v>
          </cell>
          <cell r="E189">
            <v>1</v>
          </cell>
          <cell r="F189">
            <v>2</v>
          </cell>
          <cell r="G189">
            <v>3000</v>
          </cell>
          <cell r="H189">
            <v>3300</v>
          </cell>
          <cell r="I189">
            <v>335</v>
          </cell>
          <cell r="K189" t="str">
            <v>Servicios de investigación científica y de desarrollo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</row>
        <row r="190">
          <cell r="A190">
            <v>45</v>
          </cell>
          <cell r="B190">
            <v>2017</v>
          </cell>
          <cell r="C190">
            <v>8300</v>
          </cell>
          <cell r="D190">
            <v>1</v>
          </cell>
          <cell r="E190">
            <v>1</v>
          </cell>
          <cell r="F190">
            <v>2</v>
          </cell>
          <cell r="G190">
            <v>3000</v>
          </cell>
          <cell r="H190">
            <v>3300</v>
          </cell>
          <cell r="I190">
            <v>335</v>
          </cell>
          <cell r="J190">
            <v>1</v>
          </cell>
          <cell r="K190" t="str">
            <v>Elaboración de manuales de procedimientos, protocolos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 t="str">
            <v>Servicio</v>
          </cell>
          <cell r="V190" t="str">
            <v>AE</v>
          </cell>
        </row>
        <row r="191">
          <cell r="A191">
            <v>46</v>
          </cell>
          <cell r="B191">
            <v>2017</v>
          </cell>
          <cell r="C191">
            <v>8300</v>
          </cell>
          <cell r="D191">
            <v>1</v>
          </cell>
          <cell r="E191">
            <v>1</v>
          </cell>
          <cell r="F191">
            <v>2</v>
          </cell>
          <cell r="G191">
            <v>3000</v>
          </cell>
          <cell r="H191">
            <v>3600</v>
          </cell>
          <cell r="K191" t="str">
            <v>Servicios de Comunicación Social y Publicidad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</row>
        <row r="192">
          <cell r="A192">
            <v>47</v>
          </cell>
          <cell r="B192">
            <v>2017</v>
          </cell>
          <cell r="C192">
            <v>8300</v>
          </cell>
          <cell r="D192">
            <v>1</v>
          </cell>
          <cell r="E192">
            <v>1</v>
          </cell>
          <cell r="F192">
            <v>2</v>
          </cell>
          <cell r="G192">
            <v>3000</v>
          </cell>
          <cell r="H192">
            <v>3600</v>
          </cell>
          <cell r="I192">
            <v>361</v>
          </cell>
          <cell r="K192" t="str">
            <v>Difusión por radio, televisión y otros medios de mensajes sobre programas y actividades gubernamentales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</row>
        <row r="193">
          <cell r="A193">
            <v>48</v>
          </cell>
          <cell r="B193">
            <v>2017</v>
          </cell>
          <cell r="C193">
            <v>8300</v>
          </cell>
          <cell r="D193">
            <v>1</v>
          </cell>
          <cell r="E193">
            <v>1</v>
          </cell>
          <cell r="F193">
            <v>2</v>
          </cell>
          <cell r="G193">
            <v>3000</v>
          </cell>
          <cell r="H193">
            <v>3600</v>
          </cell>
          <cell r="I193">
            <v>361</v>
          </cell>
          <cell r="J193">
            <v>1</v>
          </cell>
          <cell r="K193" t="str">
            <v>Difusión de mensajes sobre programas y actividades gubernamentales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 t="str">
            <v>Servicio</v>
          </cell>
          <cell r="V193" t="str">
            <v>AE</v>
          </cell>
        </row>
        <row r="194">
          <cell r="A194">
            <v>49</v>
          </cell>
          <cell r="B194">
            <v>2017</v>
          </cell>
          <cell r="C194">
            <v>8300</v>
          </cell>
          <cell r="D194">
            <v>1</v>
          </cell>
          <cell r="E194">
            <v>1</v>
          </cell>
          <cell r="F194">
            <v>2</v>
          </cell>
          <cell r="G194">
            <v>3000</v>
          </cell>
          <cell r="H194">
            <v>3700</v>
          </cell>
          <cell r="K194" t="str">
            <v xml:space="preserve"> Servicios de Traslado y Viáticos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</row>
        <row r="195">
          <cell r="A195">
            <v>50</v>
          </cell>
          <cell r="B195">
            <v>2017</v>
          </cell>
          <cell r="C195">
            <v>8300</v>
          </cell>
          <cell r="D195">
            <v>1</v>
          </cell>
          <cell r="E195">
            <v>1</v>
          </cell>
          <cell r="F195">
            <v>2</v>
          </cell>
          <cell r="G195">
            <v>3000</v>
          </cell>
          <cell r="H195">
            <v>3700</v>
          </cell>
          <cell r="I195">
            <v>371</v>
          </cell>
          <cell r="K195" t="str">
            <v xml:space="preserve"> Pasajes aéreos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</row>
        <row r="196">
          <cell r="A196">
            <v>51</v>
          </cell>
          <cell r="B196">
            <v>2017</v>
          </cell>
          <cell r="C196">
            <v>8300</v>
          </cell>
          <cell r="D196">
            <v>1</v>
          </cell>
          <cell r="E196">
            <v>1</v>
          </cell>
          <cell r="F196">
            <v>2</v>
          </cell>
          <cell r="G196">
            <v>3000</v>
          </cell>
          <cell r="H196">
            <v>3700</v>
          </cell>
          <cell r="I196">
            <v>371</v>
          </cell>
          <cell r="J196">
            <v>1</v>
          </cell>
          <cell r="K196" t="str">
            <v xml:space="preserve">Pasajes aéreos nacionales 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 t="str">
            <v>Traslado</v>
          </cell>
          <cell r="V196" t="str">
            <v>AE</v>
          </cell>
        </row>
        <row r="197">
          <cell r="A197">
            <v>52</v>
          </cell>
          <cell r="B197">
            <v>2017</v>
          </cell>
          <cell r="C197">
            <v>8300</v>
          </cell>
          <cell r="D197">
            <v>1</v>
          </cell>
          <cell r="E197">
            <v>1</v>
          </cell>
          <cell r="F197">
            <v>2</v>
          </cell>
          <cell r="G197">
            <v>3000</v>
          </cell>
          <cell r="H197">
            <v>3700</v>
          </cell>
          <cell r="I197">
            <v>372</v>
          </cell>
          <cell r="K197" t="str">
            <v>Pasajes terrestres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</row>
        <row r="198">
          <cell r="A198">
            <v>53</v>
          </cell>
          <cell r="B198">
            <v>2017</v>
          </cell>
          <cell r="C198">
            <v>8300</v>
          </cell>
          <cell r="D198">
            <v>1</v>
          </cell>
          <cell r="E198">
            <v>1</v>
          </cell>
          <cell r="F198">
            <v>2</v>
          </cell>
          <cell r="G198">
            <v>3000</v>
          </cell>
          <cell r="H198">
            <v>3700</v>
          </cell>
          <cell r="I198">
            <v>372</v>
          </cell>
          <cell r="J198">
            <v>1</v>
          </cell>
          <cell r="K198" t="str">
            <v xml:space="preserve">Pasajes terrestres nacionales 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 t="str">
            <v>Traslado</v>
          </cell>
          <cell r="V198" t="str">
            <v>AE</v>
          </cell>
        </row>
        <row r="199">
          <cell r="A199">
            <v>54</v>
          </cell>
          <cell r="B199">
            <v>2017</v>
          </cell>
          <cell r="C199">
            <v>8300</v>
          </cell>
          <cell r="D199">
            <v>1</v>
          </cell>
          <cell r="E199">
            <v>1</v>
          </cell>
          <cell r="F199">
            <v>2</v>
          </cell>
          <cell r="G199">
            <v>3000</v>
          </cell>
          <cell r="H199">
            <v>3700</v>
          </cell>
          <cell r="I199">
            <v>375</v>
          </cell>
          <cell r="K199" t="str">
            <v>Viáticos en el país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</row>
        <row r="200">
          <cell r="A200">
            <v>55</v>
          </cell>
          <cell r="B200">
            <v>2017</v>
          </cell>
          <cell r="C200">
            <v>8300</v>
          </cell>
          <cell r="D200">
            <v>1</v>
          </cell>
          <cell r="E200">
            <v>1</v>
          </cell>
          <cell r="F200">
            <v>2</v>
          </cell>
          <cell r="G200">
            <v>3000</v>
          </cell>
          <cell r="H200">
            <v>3700</v>
          </cell>
          <cell r="I200">
            <v>375</v>
          </cell>
          <cell r="J200">
            <v>1</v>
          </cell>
          <cell r="K200" t="str">
            <v xml:space="preserve">Viáticos nacionales 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 t="str">
            <v>Traslado</v>
          </cell>
          <cell r="V200" t="str">
            <v>AE</v>
          </cell>
        </row>
        <row r="201">
          <cell r="A201">
            <v>56</v>
          </cell>
          <cell r="B201">
            <v>2017</v>
          </cell>
          <cell r="C201">
            <v>8300</v>
          </cell>
          <cell r="D201">
            <v>1</v>
          </cell>
          <cell r="E201">
            <v>1</v>
          </cell>
          <cell r="F201">
            <v>2</v>
          </cell>
          <cell r="G201">
            <v>5000</v>
          </cell>
          <cell r="K201" t="str">
            <v>BIENES MUEBLES, INMUEBLES E INTANGIBLES</v>
          </cell>
          <cell r="L201">
            <v>740287</v>
          </cell>
          <cell r="M201">
            <v>0</v>
          </cell>
          <cell r="N201">
            <v>740287</v>
          </cell>
          <cell r="O201">
            <v>0</v>
          </cell>
          <cell r="P201">
            <v>0</v>
          </cell>
          <cell r="Q201">
            <v>0</v>
          </cell>
          <cell r="R201">
            <v>740287</v>
          </cell>
        </row>
        <row r="202">
          <cell r="A202">
            <v>57</v>
          </cell>
          <cell r="B202">
            <v>2017</v>
          </cell>
          <cell r="C202">
            <v>8300</v>
          </cell>
          <cell r="D202">
            <v>1</v>
          </cell>
          <cell r="E202">
            <v>1</v>
          </cell>
          <cell r="F202">
            <v>2</v>
          </cell>
          <cell r="G202">
            <v>5000</v>
          </cell>
          <cell r="H202">
            <v>5100</v>
          </cell>
          <cell r="K202" t="str">
            <v>Mobiliario y Equipo de Administración</v>
          </cell>
          <cell r="L202">
            <v>738287</v>
          </cell>
          <cell r="M202">
            <v>0</v>
          </cell>
          <cell r="N202">
            <v>738287</v>
          </cell>
          <cell r="O202">
            <v>0</v>
          </cell>
          <cell r="P202">
            <v>0</v>
          </cell>
          <cell r="Q202">
            <v>0</v>
          </cell>
          <cell r="R202">
            <v>738287</v>
          </cell>
        </row>
        <row r="203">
          <cell r="A203">
            <v>58</v>
          </cell>
          <cell r="B203">
            <v>2017</v>
          </cell>
          <cell r="C203">
            <v>8300</v>
          </cell>
          <cell r="D203">
            <v>1</v>
          </cell>
          <cell r="E203">
            <v>1</v>
          </cell>
          <cell r="F203">
            <v>2</v>
          </cell>
          <cell r="G203">
            <v>5000</v>
          </cell>
          <cell r="H203">
            <v>5100</v>
          </cell>
          <cell r="I203">
            <v>511</v>
          </cell>
          <cell r="K203" t="str">
            <v>Muebles de oficina y estantería</v>
          </cell>
          <cell r="L203">
            <v>220787</v>
          </cell>
          <cell r="M203">
            <v>0</v>
          </cell>
          <cell r="N203">
            <v>220787</v>
          </cell>
          <cell r="O203">
            <v>0</v>
          </cell>
          <cell r="P203">
            <v>0</v>
          </cell>
          <cell r="Q203">
            <v>0</v>
          </cell>
          <cell r="R203">
            <v>220787</v>
          </cell>
        </row>
        <row r="204">
          <cell r="A204">
            <v>59</v>
          </cell>
          <cell r="B204">
            <v>2017</v>
          </cell>
          <cell r="C204">
            <v>8300</v>
          </cell>
          <cell r="D204">
            <v>1</v>
          </cell>
          <cell r="E204">
            <v>1</v>
          </cell>
          <cell r="F204">
            <v>2</v>
          </cell>
          <cell r="G204">
            <v>5000</v>
          </cell>
          <cell r="H204">
            <v>5100</v>
          </cell>
          <cell r="I204">
            <v>511</v>
          </cell>
          <cell r="J204">
            <v>1</v>
          </cell>
          <cell r="K204" t="str">
            <v xml:space="preserve">Anaquel   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 t="str">
            <v>Pieza</v>
          </cell>
          <cell r="V204" t="str">
            <v>FC</v>
          </cell>
        </row>
        <row r="205">
          <cell r="A205">
            <v>60</v>
          </cell>
          <cell r="B205">
            <v>2017</v>
          </cell>
          <cell r="C205">
            <v>8300</v>
          </cell>
          <cell r="D205">
            <v>1</v>
          </cell>
          <cell r="E205">
            <v>1</v>
          </cell>
          <cell r="F205">
            <v>2</v>
          </cell>
          <cell r="G205">
            <v>5000</v>
          </cell>
          <cell r="H205">
            <v>5100</v>
          </cell>
          <cell r="I205">
            <v>511</v>
          </cell>
          <cell r="J205">
            <v>2</v>
          </cell>
          <cell r="K205" t="str">
            <v>Archivero</v>
          </cell>
          <cell r="L205">
            <v>52499</v>
          </cell>
          <cell r="M205">
            <v>0</v>
          </cell>
          <cell r="N205">
            <v>52499</v>
          </cell>
          <cell r="O205">
            <v>0</v>
          </cell>
          <cell r="P205">
            <v>0</v>
          </cell>
          <cell r="Q205">
            <v>0</v>
          </cell>
          <cell r="R205">
            <v>52499</v>
          </cell>
          <cell r="S205" t="str">
            <v>Pieza</v>
          </cell>
          <cell r="T205">
            <v>8</v>
          </cell>
          <cell r="V205" t="str">
            <v>FC</v>
          </cell>
        </row>
        <row r="206">
          <cell r="A206">
            <v>61</v>
          </cell>
          <cell r="B206">
            <v>2017</v>
          </cell>
          <cell r="C206">
            <v>8300</v>
          </cell>
          <cell r="D206">
            <v>1</v>
          </cell>
          <cell r="E206">
            <v>1</v>
          </cell>
          <cell r="F206">
            <v>2</v>
          </cell>
          <cell r="G206">
            <v>5000</v>
          </cell>
          <cell r="H206">
            <v>5100</v>
          </cell>
          <cell r="I206">
            <v>511</v>
          </cell>
          <cell r="J206">
            <v>3</v>
          </cell>
          <cell r="K206" t="str">
            <v>Armario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 t="str">
            <v>Pieza</v>
          </cell>
          <cell r="V206" t="str">
            <v>FC</v>
          </cell>
        </row>
        <row r="207">
          <cell r="A207">
            <v>62</v>
          </cell>
          <cell r="B207">
            <v>2017</v>
          </cell>
          <cell r="C207">
            <v>8300</v>
          </cell>
          <cell r="D207">
            <v>1</v>
          </cell>
          <cell r="E207">
            <v>1</v>
          </cell>
          <cell r="F207">
            <v>2</v>
          </cell>
          <cell r="G207">
            <v>5000</v>
          </cell>
          <cell r="H207">
            <v>5100</v>
          </cell>
          <cell r="I207">
            <v>511</v>
          </cell>
          <cell r="J207">
            <v>4</v>
          </cell>
          <cell r="K207" t="str">
            <v>Banco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 t="str">
            <v>Pieza</v>
          </cell>
          <cell r="V207" t="str">
            <v>FC</v>
          </cell>
        </row>
        <row r="208">
          <cell r="A208">
            <v>63</v>
          </cell>
          <cell r="B208">
            <v>2017</v>
          </cell>
          <cell r="C208">
            <v>8300</v>
          </cell>
          <cell r="D208">
            <v>1</v>
          </cell>
          <cell r="E208">
            <v>1</v>
          </cell>
          <cell r="F208">
            <v>2</v>
          </cell>
          <cell r="G208">
            <v>5000</v>
          </cell>
          <cell r="H208">
            <v>5100</v>
          </cell>
          <cell r="I208">
            <v>511</v>
          </cell>
          <cell r="J208">
            <v>5</v>
          </cell>
          <cell r="K208" t="str">
            <v xml:space="preserve">Cajonera   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 t="str">
            <v>Pieza</v>
          </cell>
          <cell r="V208" t="str">
            <v>FC</v>
          </cell>
        </row>
        <row r="209">
          <cell r="A209">
            <v>64</v>
          </cell>
          <cell r="B209">
            <v>2017</v>
          </cell>
          <cell r="C209">
            <v>8300</v>
          </cell>
          <cell r="D209">
            <v>1</v>
          </cell>
          <cell r="E209">
            <v>1</v>
          </cell>
          <cell r="F209">
            <v>2</v>
          </cell>
          <cell r="G209">
            <v>5000</v>
          </cell>
          <cell r="H209">
            <v>5100</v>
          </cell>
          <cell r="I209">
            <v>511</v>
          </cell>
          <cell r="J209">
            <v>6</v>
          </cell>
          <cell r="K209" t="str">
            <v>Credenza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 t="str">
            <v>Pieza</v>
          </cell>
          <cell r="V209" t="str">
            <v>FC</v>
          </cell>
        </row>
        <row r="210">
          <cell r="A210">
            <v>65</v>
          </cell>
          <cell r="B210">
            <v>2017</v>
          </cell>
          <cell r="C210">
            <v>8300</v>
          </cell>
          <cell r="D210">
            <v>1</v>
          </cell>
          <cell r="E210">
            <v>1</v>
          </cell>
          <cell r="F210">
            <v>2</v>
          </cell>
          <cell r="G210">
            <v>5000</v>
          </cell>
          <cell r="H210">
            <v>5100</v>
          </cell>
          <cell r="I210">
            <v>511</v>
          </cell>
          <cell r="J210">
            <v>7</v>
          </cell>
          <cell r="K210" t="str">
            <v xml:space="preserve">Escritorio </v>
          </cell>
          <cell r="L210">
            <v>52479</v>
          </cell>
          <cell r="M210">
            <v>0</v>
          </cell>
          <cell r="N210">
            <v>52479</v>
          </cell>
          <cell r="P210">
            <v>0</v>
          </cell>
          <cell r="Q210">
            <v>0</v>
          </cell>
          <cell r="R210">
            <v>52479</v>
          </cell>
          <cell r="S210" t="str">
            <v>Pieza</v>
          </cell>
          <cell r="T210">
            <v>10</v>
          </cell>
          <cell r="V210" t="str">
            <v>FC</v>
          </cell>
        </row>
        <row r="211">
          <cell r="A211">
            <v>66</v>
          </cell>
          <cell r="B211">
            <v>2017</v>
          </cell>
          <cell r="C211">
            <v>8300</v>
          </cell>
          <cell r="D211">
            <v>1</v>
          </cell>
          <cell r="E211">
            <v>1</v>
          </cell>
          <cell r="F211">
            <v>2</v>
          </cell>
          <cell r="G211">
            <v>5000</v>
          </cell>
          <cell r="H211">
            <v>5100</v>
          </cell>
          <cell r="I211">
            <v>511</v>
          </cell>
          <cell r="J211">
            <v>8</v>
          </cell>
          <cell r="K211" t="str">
            <v>Estación de trabajo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 t="str">
            <v>Pieza</v>
          </cell>
          <cell r="V211" t="str">
            <v>FC</v>
          </cell>
        </row>
        <row r="212">
          <cell r="A212">
            <v>67</v>
          </cell>
          <cell r="B212">
            <v>2017</v>
          </cell>
          <cell r="C212">
            <v>8300</v>
          </cell>
          <cell r="D212">
            <v>1</v>
          </cell>
          <cell r="E212">
            <v>1</v>
          </cell>
          <cell r="F212">
            <v>2</v>
          </cell>
          <cell r="G212">
            <v>5000</v>
          </cell>
          <cell r="H212">
            <v>5100</v>
          </cell>
          <cell r="I212">
            <v>511</v>
          </cell>
          <cell r="J212">
            <v>9</v>
          </cell>
          <cell r="K212" t="str">
            <v>Estante</v>
          </cell>
          <cell r="L212">
            <v>0</v>
          </cell>
          <cell r="M212">
            <v>0</v>
          </cell>
          <cell r="N212">
            <v>0</v>
          </cell>
          <cell r="P212">
            <v>0</v>
          </cell>
          <cell r="Q212">
            <v>0</v>
          </cell>
          <cell r="R212">
            <v>0</v>
          </cell>
          <cell r="S212" t="str">
            <v>Pieza</v>
          </cell>
          <cell r="V212" t="str">
            <v>FC</v>
          </cell>
        </row>
        <row r="213">
          <cell r="A213">
            <v>68</v>
          </cell>
          <cell r="B213">
            <v>2017</v>
          </cell>
          <cell r="C213">
            <v>8300</v>
          </cell>
          <cell r="D213">
            <v>1</v>
          </cell>
          <cell r="E213">
            <v>1</v>
          </cell>
          <cell r="F213">
            <v>2</v>
          </cell>
          <cell r="G213">
            <v>5000</v>
          </cell>
          <cell r="H213">
            <v>5100</v>
          </cell>
          <cell r="I213">
            <v>511</v>
          </cell>
          <cell r="J213">
            <v>10</v>
          </cell>
          <cell r="K213" t="str">
            <v>Gaveta</v>
          </cell>
          <cell r="L213">
            <v>0</v>
          </cell>
          <cell r="M213">
            <v>0</v>
          </cell>
          <cell r="N213">
            <v>0</v>
          </cell>
          <cell r="P213">
            <v>0</v>
          </cell>
          <cell r="Q213">
            <v>0</v>
          </cell>
          <cell r="R213">
            <v>0</v>
          </cell>
          <cell r="S213" t="str">
            <v>Pieza</v>
          </cell>
          <cell r="V213" t="str">
            <v>FC</v>
          </cell>
        </row>
        <row r="214">
          <cell r="A214">
            <v>69</v>
          </cell>
          <cell r="B214">
            <v>2017</v>
          </cell>
          <cell r="C214">
            <v>8300</v>
          </cell>
          <cell r="D214">
            <v>1</v>
          </cell>
          <cell r="E214">
            <v>1</v>
          </cell>
          <cell r="F214">
            <v>2</v>
          </cell>
          <cell r="G214">
            <v>5000</v>
          </cell>
          <cell r="H214">
            <v>5100</v>
          </cell>
          <cell r="I214">
            <v>511</v>
          </cell>
          <cell r="J214">
            <v>11</v>
          </cell>
          <cell r="K214" t="str">
            <v xml:space="preserve">Librero   </v>
          </cell>
          <cell r="L214">
            <v>0</v>
          </cell>
          <cell r="M214">
            <v>0</v>
          </cell>
          <cell r="N214">
            <v>0</v>
          </cell>
          <cell r="P214">
            <v>0</v>
          </cell>
          <cell r="Q214">
            <v>0</v>
          </cell>
          <cell r="R214">
            <v>0</v>
          </cell>
          <cell r="S214" t="str">
            <v>Pieza</v>
          </cell>
          <cell r="V214" t="str">
            <v>FC</v>
          </cell>
        </row>
        <row r="215">
          <cell r="A215">
            <v>70</v>
          </cell>
          <cell r="B215">
            <v>2017</v>
          </cell>
          <cell r="C215">
            <v>8300</v>
          </cell>
          <cell r="D215">
            <v>1</v>
          </cell>
          <cell r="E215">
            <v>1</v>
          </cell>
          <cell r="F215">
            <v>2</v>
          </cell>
          <cell r="G215">
            <v>5000</v>
          </cell>
          <cell r="H215">
            <v>5100</v>
          </cell>
          <cell r="I215">
            <v>511</v>
          </cell>
          <cell r="J215">
            <v>12</v>
          </cell>
          <cell r="K215" t="str">
            <v>Locker</v>
          </cell>
          <cell r="L215">
            <v>0</v>
          </cell>
          <cell r="M215">
            <v>0</v>
          </cell>
          <cell r="N215">
            <v>0</v>
          </cell>
          <cell r="P215">
            <v>0</v>
          </cell>
          <cell r="Q215">
            <v>0</v>
          </cell>
          <cell r="R215">
            <v>0</v>
          </cell>
          <cell r="S215" t="str">
            <v>Pieza</v>
          </cell>
          <cell r="V215" t="str">
            <v>FC</v>
          </cell>
        </row>
        <row r="216">
          <cell r="A216">
            <v>71</v>
          </cell>
          <cell r="B216">
            <v>2017</v>
          </cell>
          <cell r="C216">
            <v>8300</v>
          </cell>
          <cell r="D216">
            <v>1</v>
          </cell>
          <cell r="E216">
            <v>1</v>
          </cell>
          <cell r="F216">
            <v>2</v>
          </cell>
          <cell r="G216">
            <v>5000</v>
          </cell>
          <cell r="H216">
            <v>5100</v>
          </cell>
          <cell r="I216">
            <v>511</v>
          </cell>
          <cell r="J216">
            <v>13</v>
          </cell>
          <cell r="K216" t="str">
            <v>Mesa</v>
          </cell>
          <cell r="L216">
            <v>18710</v>
          </cell>
          <cell r="M216">
            <v>0</v>
          </cell>
          <cell r="N216">
            <v>18710</v>
          </cell>
          <cell r="P216">
            <v>0</v>
          </cell>
          <cell r="Q216">
            <v>0</v>
          </cell>
          <cell r="R216">
            <v>18710</v>
          </cell>
          <cell r="S216" t="str">
            <v>Pieza</v>
          </cell>
          <cell r="T216">
            <v>4</v>
          </cell>
          <cell r="V216" t="str">
            <v>FC</v>
          </cell>
        </row>
        <row r="217">
          <cell r="A217">
            <v>72</v>
          </cell>
          <cell r="B217">
            <v>2017</v>
          </cell>
          <cell r="C217">
            <v>8300</v>
          </cell>
          <cell r="D217">
            <v>1</v>
          </cell>
          <cell r="E217">
            <v>1</v>
          </cell>
          <cell r="F217">
            <v>2</v>
          </cell>
          <cell r="G217">
            <v>5000</v>
          </cell>
          <cell r="H217">
            <v>5100</v>
          </cell>
          <cell r="I217">
            <v>511</v>
          </cell>
          <cell r="J217">
            <v>14</v>
          </cell>
          <cell r="K217" t="str">
            <v>Módulo de atención</v>
          </cell>
          <cell r="L217">
            <v>27840</v>
          </cell>
          <cell r="M217">
            <v>0</v>
          </cell>
          <cell r="N217">
            <v>27840</v>
          </cell>
          <cell r="P217">
            <v>0</v>
          </cell>
          <cell r="Q217">
            <v>0</v>
          </cell>
          <cell r="R217">
            <v>27840</v>
          </cell>
          <cell r="S217" t="str">
            <v>Pieza</v>
          </cell>
          <cell r="V217" t="str">
            <v>FC</v>
          </cell>
        </row>
        <row r="218">
          <cell r="A218">
            <v>73</v>
          </cell>
          <cell r="B218">
            <v>2017</v>
          </cell>
          <cell r="C218">
            <v>8300</v>
          </cell>
          <cell r="D218">
            <v>1</v>
          </cell>
          <cell r="E218">
            <v>1</v>
          </cell>
          <cell r="F218">
            <v>2</v>
          </cell>
          <cell r="G218">
            <v>5000</v>
          </cell>
          <cell r="H218">
            <v>5100</v>
          </cell>
          <cell r="I218">
            <v>511</v>
          </cell>
          <cell r="J218">
            <v>15</v>
          </cell>
          <cell r="K218" t="str">
            <v>Mostrador para recepción</v>
          </cell>
          <cell r="M218">
            <v>0</v>
          </cell>
          <cell r="N218">
            <v>0</v>
          </cell>
          <cell r="P218">
            <v>0</v>
          </cell>
          <cell r="Q218">
            <v>0</v>
          </cell>
          <cell r="R218">
            <v>0</v>
          </cell>
          <cell r="S218" t="str">
            <v>Pieza</v>
          </cell>
          <cell r="V218" t="str">
            <v>FC</v>
          </cell>
        </row>
        <row r="219">
          <cell r="A219">
            <v>74</v>
          </cell>
          <cell r="B219">
            <v>2017</v>
          </cell>
          <cell r="C219">
            <v>8300</v>
          </cell>
          <cell r="D219">
            <v>1</v>
          </cell>
          <cell r="E219">
            <v>1</v>
          </cell>
          <cell r="F219">
            <v>2</v>
          </cell>
          <cell r="G219">
            <v>5000</v>
          </cell>
          <cell r="H219">
            <v>5100</v>
          </cell>
          <cell r="I219">
            <v>511</v>
          </cell>
          <cell r="J219">
            <v>16</v>
          </cell>
          <cell r="K219" t="str">
            <v>Mueble multiusos con llave</v>
          </cell>
          <cell r="M219">
            <v>0</v>
          </cell>
          <cell r="N219">
            <v>0</v>
          </cell>
          <cell r="P219">
            <v>0</v>
          </cell>
          <cell r="Q219">
            <v>0</v>
          </cell>
          <cell r="R219">
            <v>0</v>
          </cell>
          <cell r="S219" t="str">
            <v>Pieza</v>
          </cell>
          <cell r="V219" t="str">
            <v>FC</v>
          </cell>
        </row>
        <row r="220">
          <cell r="A220">
            <v>75</v>
          </cell>
          <cell r="B220">
            <v>2017</v>
          </cell>
          <cell r="C220">
            <v>8300</v>
          </cell>
          <cell r="D220">
            <v>1</v>
          </cell>
          <cell r="E220">
            <v>1</v>
          </cell>
          <cell r="F220">
            <v>2</v>
          </cell>
          <cell r="G220">
            <v>5000</v>
          </cell>
          <cell r="H220">
            <v>5100</v>
          </cell>
          <cell r="I220">
            <v>511</v>
          </cell>
          <cell r="J220">
            <v>17</v>
          </cell>
          <cell r="K220" t="str">
            <v>Perchero</v>
          </cell>
          <cell r="M220">
            <v>0</v>
          </cell>
          <cell r="N220">
            <v>0</v>
          </cell>
          <cell r="P220">
            <v>0</v>
          </cell>
          <cell r="Q220">
            <v>0</v>
          </cell>
          <cell r="R220">
            <v>0</v>
          </cell>
          <cell r="S220" t="str">
            <v>Pieza</v>
          </cell>
          <cell r="V220" t="str">
            <v>FC</v>
          </cell>
        </row>
        <row r="221">
          <cell r="A221">
            <v>76</v>
          </cell>
          <cell r="B221">
            <v>2017</v>
          </cell>
          <cell r="C221">
            <v>8300</v>
          </cell>
          <cell r="D221">
            <v>1</v>
          </cell>
          <cell r="E221">
            <v>1</v>
          </cell>
          <cell r="F221">
            <v>2</v>
          </cell>
          <cell r="G221">
            <v>5000</v>
          </cell>
          <cell r="H221">
            <v>5100</v>
          </cell>
          <cell r="I221">
            <v>511</v>
          </cell>
          <cell r="J221">
            <v>18</v>
          </cell>
          <cell r="K221" t="str">
            <v>Pizarra de vidrio templado</v>
          </cell>
          <cell r="M221">
            <v>0</v>
          </cell>
          <cell r="N221">
            <v>0</v>
          </cell>
          <cell r="P221">
            <v>0</v>
          </cell>
          <cell r="Q221">
            <v>0</v>
          </cell>
          <cell r="R221">
            <v>0</v>
          </cell>
          <cell r="S221" t="str">
            <v>Pieza</v>
          </cell>
          <cell r="V221" t="str">
            <v>FC</v>
          </cell>
        </row>
        <row r="222">
          <cell r="A222">
            <v>77</v>
          </cell>
          <cell r="B222">
            <v>2017</v>
          </cell>
          <cell r="C222">
            <v>8300</v>
          </cell>
          <cell r="D222">
            <v>1</v>
          </cell>
          <cell r="E222">
            <v>1</v>
          </cell>
          <cell r="F222">
            <v>2</v>
          </cell>
          <cell r="G222">
            <v>5000</v>
          </cell>
          <cell r="H222">
            <v>5100</v>
          </cell>
          <cell r="I222">
            <v>511</v>
          </cell>
          <cell r="J222">
            <v>19</v>
          </cell>
          <cell r="K222" t="str">
            <v>Pupitre</v>
          </cell>
          <cell r="M222">
            <v>0</v>
          </cell>
          <cell r="N222">
            <v>0</v>
          </cell>
          <cell r="P222">
            <v>0</v>
          </cell>
          <cell r="Q222">
            <v>0</v>
          </cell>
          <cell r="R222">
            <v>0</v>
          </cell>
          <cell r="S222" t="str">
            <v>Pieza</v>
          </cell>
          <cell r="V222" t="str">
            <v>FC</v>
          </cell>
        </row>
        <row r="223">
          <cell r="A223">
            <v>78</v>
          </cell>
          <cell r="B223">
            <v>2017</v>
          </cell>
          <cell r="C223">
            <v>8300</v>
          </cell>
          <cell r="D223">
            <v>1</v>
          </cell>
          <cell r="E223">
            <v>1</v>
          </cell>
          <cell r="F223">
            <v>2</v>
          </cell>
          <cell r="G223">
            <v>5000</v>
          </cell>
          <cell r="H223">
            <v>5100</v>
          </cell>
          <cell r="I223">
            <v>511</v>
          </cell>
          <cell r="J223">
            <v>20</v>
          </cell>
          <cell r="K223" t="str">
            <v>Sala</v>
          </cell>
          <cell r="M223">
            <v>0</v>
          </cell>
          <cell r="N223">
            <v>0</v>
          </cell>
          <cell r="P223">
            <v>0</v>
          </cell>
          <cell r="Q223">
            <v>0</v>
          </cell>
          <cell r="R223">
            <v>0</v>
          </cell>
          <cell r="S223" t="str">
            <v>Pieza</v>
          </cell>
          <cell r="V223" t="str">
            <v>FC</v>
          </cell>
        </row>
        <row r="224">
          <cell r="A224">
            <v>79</v>
          </cell>
          <cell r="B224">
            <v>2017</v>
          </cell>
          <cell r="C224">
            <v>8300</v>
          </cell>
          <cell r="D224">
            <v>1</v>
          </cell>
          <cell r="E224">
            <v>1</v>
          </cell>
          <cell r="F224">
            <v>2</v>
          </cell>
          <cell r="G224">
            <v>5000</v>
          </cell>
          <cell r="H224">
            <v>5100</v>
          </cell>
          <cell r="I224">
            <v>511</v>
          </cell>
          <cell r="J224">
            <v>21</v>
          </cell>
          <cell r="K224" t="str">
            <v>Silla</v>
          </cell>
          <cell r="L224">
            <v>34259</v>
          </cell>
          <cell r="M224">
            <v>0</v>
          </cell>
          <cell r="N224">
            <v>34259</v>
          </cell>
          <cell r="P224">
            <v>0</v>
          </cell>
          <cell r="Q224">
            <v>0</v>
          </cell>
          <cell r="R224">
            <v>34259</v>
          </cell>
          <cell r="S224" t="str">
            <v>Pieza</v>
          </cell>
          <cell r="T224">
            <v>25</v>
          </cell>
          <cell r="V224" t="str">
            <v>FC</v>
          </cell>
        </row>
        <row r="225">
          <cell r="A225">
            <v>80</v>
          </cell>
          <cell r="B225">
            <v>2017</v>
          </cell>
          <cell r="C225">
            <v>8300</v>
          </cell>
          <cell r="D225">
            <v>1</v>
          </cell>
          <cell r="E225">
            <v>1</v>
          </cell>
          <cell r="F225">
            <v>2</v>
          </cell>
          <cell r="G225">
            <v>5000</v>
          </cell>
          <cell r="H225">
            <v>5100</v>
          </cell>
          <cell r="I225">
            <v>511</v>
          </cell>
          <cell r="J225">
            <v>22</v>
          </cell>
          <cell r="K225" t="str">
            <v xml:space="preserve">Sillón </v>
          </cell>
          <cell r="L225">
            <v>35000</v>
          </cell>
          <cell r="M225">
            <v>0</v>
          </cell>
          <cell r="N225">
            <v>35000</v>
          </cell>
          <cell r="P225">
            <v>0</v>
          </cell>
          <cell r="Q225">
            <v>0</v>
          </cell>
          <cell r="R225">
            <v>35000</v>
          </cell>
          <cell r="S225" t="str">
            <v>Pieza</v>
          </cell>
          <cell r="T225">
            <v>10</v>
          </cell>
          <cell r="V225" t="str">
            <v>FC</v>
          </cell>
        </row>
        <row r="226">
          <cell r="A226">
            <v>81</v>
          </cell>
          <cell r="B226">
            <v>2017</v>
          </cell>
          <cell r="C226">
            <v>8300</v>
          </cell>
          <cell r="D226">
            <v>1</v>
          </cell>
          <cell r="E226">
            <v>1</v>
          </cell>
          <cell r="F226">
            <v>2</v>
          </cell>
          <cell r="G226">
            <v>5000</v>
          </cell>
          <cell r="H226">
            <v>5100</v>
          </cell>
          <cell r="I226">
            <v>512</v>
          </cell>
          <cell r="K226" t="str">
            <v>Muebles, excepto de oficina y estantería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</row>
        <row r="227">
          <cell r="A227">
            <v>82</v>
          </cell>
          <cell r="B227">
            <v>2017</v>
          </cell>
          <cell r="C227">
            <v>8300</v>
          </cell>
          <cell r="D227">
            <v>1</v>
          </cell>
          <cell r="E227">
            <v>1</v>
          </cell>
          <cell r="F227">
            <v>2</v>
          </cell>
          <cell r="G227">
            <v>5000</v>
          </cell>
          <cell r="H227">
            <v>5100</v>
          </cell>
          <cell r="I227">
            <v>512</v>
          </cell>
          <cell r="J227">
            <v>1</v>
          </cell>
          <cell r="K227" t="str">
            <v>Alacena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 t="str">
            <v>Pieza</v>
          </cell>
          <cell r="V227" t="str">
            <v>AE</v>
          </cell>
        </row>
        <row r="228">
          <cell r="A228">
            <v>83</v>
          </cell>
          <cell r="B228">
            <v>2017</v>
          </cell>
          <cell r="C228">
            <v>8300</v>
          </cell>
          <cell r="D228">
            <v>1</v>
          </cell>
          <cell r="E228">
            <v>1</v>
          </cell>
          <cell r="F228">
            <v>2</v>
          </cell>
          <cell r="G228">
            <v>5000</v>
          </cell>
          <cell r="H228">
            <v>5100</v>
          </cell>
          <cell r="I228">
            <v>512</v>
          </cell>
          <cell r="J228">
            <v>2</v>
          </cell>
          <cell r="K228" t="str">
            <v>Andadera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 t="str">
            <v>Pieza</v>
          </cell>
          <cell r="V228" t="str">
            <v>AE</v>
          </cell>
        </row>
        <row r="229">
          <cell r="A229">
            <v>84</v>
          </cell>
          <cell r="B229">
            <v>2017</v>
          </cell>
          <cell r="C229">
            <v>8300</v>
          </cell>
          <cell r="D229">
            <v>1</v>
          </cell>
          <cell r="E229">
            <v>1</v>
          </cell>
          <cell r="F229">
            <v>2</v>
          </cell>
          <cell r="G229">
            <v>5000</v>
          </cell>
          <cell r="H229">
            <v>5100</v>
          </cell>
          <cell r="I229">
            <v>512</v>
          </cell>
          <cell r="J229">
            <v>3</v>
          </cell>
          <cell r="K229" t="str">
            <v>Buró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 t="str">
            <v>Pieza</v>
          </cell>
          <cell r="V229" t="str">
            <v>AE</v>
          </cell>
        </row>
        <row r="230">
          <cell r="A230">
            <v>85</v>
          </cell>
          <cell r="B230">
            <v>2017</v>
          </cell>
          <cell r="C230">
            <v>8300</v>
          </cell>
          <cell r="D230">
            <v>1</v>
          </cell>
          <cell r="E230">
            <v>1</v>
          </cell>
          <cell r="F230">
            <v>2</v>
          </cell>
          <cell r="G230">
            <v>5000</v>
          </cell>
          <cell r="H230">
            <v>5100</v>
          </cell>
          <cell r="I230">
            <v>512</v>
          </cell>
          <cell r="J230">
            <v>4</v>
          </cell>
          <cell r="K230" t="str">
            <v xml:space="preserve">Burro para planchado  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 t="str">
            <v>Pieza</v>
          </cell>
          <cell r="V230" t="str">
            <v>AE</v>
          </cell>
        </row>
        <row r="231">
          <cell r="A231">
            <v>86</v>
          </cell>
          <cell r="B231">
            <v>2017</v>
          </cell>
          <cell r="C231">
            <v>8300</v>
          </cell>
          <cell r="D231">
            <v>1</v>
          </cell>
          <cell r="E231">
            <v>1</v>
          </cell>
          <cell r="F231">
            <v>2</v>
          </cell>
          <cell r="G231">
            <v>5000</v>
          </cell>
          <cell r="H231">
            <v>5100</v>
          </cell>
          <cell r="I231">
            <v>512</v>
          </cell>
          <cell r="J231">
            <v>5</v>
          </cell>
          <cell r="K231" t="str">
            <v>Caja para resguardo de material o juguetes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 t="str">
            <v>Pieza</v>
          </cell>
          <cell r="V231" t="str">
            <v>AE</v>
          </cell>
        </row>
        <row r="232">
          <cell r="A232">
            <v>87</v>
          </cell>
          <cell r="B232">
            <v>2017</v>
          </cell>
          <cell r="C232">
            <v>8300</v>
          </cell>
          <cell r="D232">
            <v>1</v>
          </cell>
          <cell r="E232">
            <v>1</v>
          </cell>
          <cell r="F232">
            <v>2</v>
          </cell>
          <cell r="G232">
            <v>5000</v>
          </cell>
          <cell r="H232">
            <v>5100</v>
          </cell>
          <cell r="I232">
            <v>512</v>
          </cell>
          <cell r="J232">
            <v>6</v>
          </cell>
          <cell r="K232" t="str">
            <v>Cama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 t="str">
            <v>Pieza</v>
          </cell>
          <cell r="V232" t="str">
            <v>AE</v>
          </cell>
        </row>
        <row r="233">
          <cell r="A233">
            <v>88</v>
          </cell>
          <cell r="B233">
            <v>2017</v>
          </cell>
          <cell r="C233">
            <v>8300</v>
          </cell>
          <cell r="D233">
            <v>1</v>
          </cell>
          <cell r="E233">
            <v>1</v>
          </cell>
          <cell r="F233">
            <v>2</v>
          </cell>
          <cell r="G233">
            <v>5000</v>
          </cell>
          <cell r="H233">
            <v>5100</v>
          </cell>
          <cell r="I233">
            <v>512</v>
          </cell>
          <cell r="J233">
            <v>7</v>
          </cell>
          <cell r="K233" t="str">
            <v xml:space="preserve">Cambiador de pañales 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 t="str">
            <v>Pieza</v>
          </cell>
          <cell r="V233" t="str">
            <v>AE</v>
          </cell>
        </row>
        <row r="234">
          <cell r="A234">
            <v>89</v>
          </cell>
          <cell r="B234">
            <v>2017</v>
          </cell>
          <cell r="C234">
            <v>8300</v>
          </cell>
          <cell r="D234">
            <v>1</v>
          </cell>
          <cell r="E234">
            <v>1</v>
          </cell>
          <cell r="F234">
            <v>2</v>
          </cell>
          <cell r="G234">
            <v>5000</v>
          </cell>
          <cell r="H234">
            <v>5100</v>
          </cell>
          <cell r="I234">
            <v>512</v>
          </cell>
          <cell r="J234">
            <v>8</v>
          </cell>
          <cell r="K234" t="str">
            <v>Cocineta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 t="str">
            <v>Pieza</v>
          </cell>
          <cell r="V234" t="str">
            <v>AE</v>
          </cell>
        </row>
        <row r="235">
          <cell r="A235">
            <v>90</v>
          </cell>
          <cell r="B235">
            <v>2017</v>
          </cell>
          <cell r="C235">
            <v>8300</v>
          </cell>
          <cell r="D235">
            <v>1</v>
          </cell>
          <cell r="E235">
            <v>1</v>
          </cell>
          <cell r="F235">
            <v>2</v>
          </cell>
          <cell r="G235">
            <v>5000</v>
          </cell>
          <cell r="H235">
            <v>5100</v>
          </cell>
          <cell r="I235">
            <v>512</v>
          </cell>
          <cell r="J235">
            <v>9</v>
          </cell>
          <cell r="K235" t="str">
            <v xml:space="preserve">Comedor 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 t="str">
            <v>Pieza</v>
          </cell>
          <cell r="V235" t="str">
            <v>AE</v>
          </cell>
        </row>
        <row r="236">
          <cell r="A236">
            <v>91</v>
          </cell>
          <cell r="B236">
            <v>2017</v>
          </cell>
          <cell r="C236">
            <v>8300</v>
          </cell>
          <cell r="D236">
            <v>1</v>
          </cell>
          <cell r="E236">
            <v>1</v>
          </cell>
          <cell r="F236">
            <v>2</v>
          </cell>
          <cell r="G236">
            <v>5000</v>
          </cell>
          <cell r="H236">
            <v>5100</v>
          </cell>
          <cell r="I236">
            <v>512</v>
          </cell>
          <cell r="J236">
            <v>10</v>
          </cell>
          <cell r="K236" t="str">
            <v>Cómoda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 t="str">
            <v>Pieza</v>
          </cell>
          <cell r="V236" t="str">
            <v>AE</v>
          </cell>
        </row>
        <row r="237">
          <cell r="A237">
            <v>92</v>
          </cell>
          <cell r="B237">
            <v>2017</v>
          </cell>
          <cell r="C237">
            <v>8300</v>
          </cell>
          <cell r="D237">
            <v>1</v>
          </cell>
          <cell r="E237">
            <v>1</v>
          </cell>
          <cell r="F237">
            <v>2</v>
          </cell>
          <cell r="G237">
            <v>5000</v>
          </cell>
          <cell r="H237">
            <v>5100</v>
          </cell>
          <cell r="I237">
            <v>512</v>
          </cell>
          <cell r="J237">
            <v>11</v>
          </cell>
          <cell r="K237" t="str">
            <v xml:space="preserve">Corral 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 t="str">
            <v>Pieza</v>
          </cell>
          <cell r="V237" t="str">
            <v>AE</v>
          </cell>
        </row>
        <row r="238">
          <cell r="A238">
            <v>93</v>
          </cell>
          <cell r="B238">
            <v>2017</v>
          </cell>
          <cell r="C238">
            <v>8300</v>
          </cell>
          <cell r="D238">
            <v>1</v>
          </cell>
          <cell r="E238">
            <v>1</v>
          </cell>
          <cell r="F238">
            <v>2</v>
          </cell>
          <cell r="G238">
            <v>5000</v>
          </cell>
          <cell r="H238">
            <v>5100</v>
          </cell>
          <cell r="I238">
            <v>512</v>
          </cell>
          <cell r="J238">
            <v>12</v>
          </cell>
          <cell r="K238" t="str">
            <v>Cuna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 t="str">
            <v>Pieza</v>
          </cell>
          <cell r="V238" t="str">
            <v>AE</v>
          </cell>
        </row>
        <row r="239">
          <cell r="A239">
            <v>94</v>
          </cell>
          <cell r="B239">
            <v>2017</v>
          </cell>
          <cell r="C239">
            <v>8300</v>
          </cell>
          <cell r="D239">
            <v>1</v>
          </cell>
          <cell r="E239">
            <v>1</v>
          </cell>
          <cell r="F239">
            <v>2</v>
          </cell>
          <cell r="G239">
            <v>5000</v>
          </cell>
          <cell r="H239">
            <v>5100</v>
          </cell>
          <cell r="I239">
            <v>512</v>
          </cell>
          <cell r="J239">
            <v>13</v>
          </cell>
          <cell r="K239" t="str">
            <v>Espejo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 t="str">
            <v>Pieza</v>
          </cell>
          <cell r="V239" t="str">
            <v>AE</v>
          </cell>
        </row>
        <row r="240">
          <cell r="A240">
            <v>95</v>
          </cell>
          <cell r="B240">
            <v>2017</v>
          </cell>
          <cell r="C240">
            <v>8300</v>
          </cell>
          <cell r="D240">
            <v>1</v>
          </cell>
          <cell r="E240">
            <v>1</v>
          </cell>
          <cell r="F240">
            <v>2</v>
          </cell>
          <cell r="G240">
            <v>5000</v>
          </cell>
          <cell r="H240">
            <v>5100</v>
          </cell>
          <cell r="I240">
            <v>512</v>
          </cell>
          <cell r="J240">
            <v>14</v>
          </cell>
          <cell r="K240" t="str">
            <v>Litera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 t="str">
            <v>Pieza</v>
          </cell>
          <cell r="V240" t="str">
            <v>AE</v>
          </cell>
        </row>
        <row r="241">
          <cell r="A241">
            <v>96</v>
          </cell>
          <cell r="B241">
            <v>2017</v>
          </cell>
          <cell r="C241">
            <v>8300</v>
          </cell>
          <cell r="D241">
            <v>1</v>
          </cell>
          <cell r="E241">
            <v>1</v>
          </cell>
          <cell r="F241">
            <v>2</v>
          </cell>
          <cell r="G241">
            <v>5000</v>
          </cell>
          <cell r="H241">
            <v>5100</v>
          </cell>
          <cell r="I241">
            <v>512</v>
          </cell>
          <cell r="J241">
            <v>15</v>
          </cell>
          <cell r="K241" t="str">
            <v>Mesa para comedor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 t="str">
            <v>Pieza</v>
          </cell>
          <cell r="V241" t="str">
            <v>AE</v>
          </cell>
        </row>
        <row r="242">
          <cell r="A242">
            <v>97</v>
          </cell>
          <cell r="B242">
            <v>2017</v>
          </cell>
          <cell r="C242">
            <v>8300</v>
          </cell>
          <cell r="D242">
            <v>1</v>
          </cell>
          <cell r="E242">
            <v>1</v>
          </cell>
          <cell r="F242">
            <v>2</v>
          </cell>
          <cell r="G242">
            <v>5000</v>
          </cell>
          <cell r="H242">
            <v>5100</v>
          </cell>
          <cell r="I242">
            <v>512</v>
          </cell>
          <cell r="J242">
            <v>16</v>
          </cell>
          <cell r="K242" t="str">
            <v>Mueble metálico de exterior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 t="str">
            <v>Pieza</v>
          </cell>
          <cell r="V242" t="str">
            <v>AE</v>
          </cell>
        </row>
        <row r="243">
          <cell r="A243">
            <v>98</v>
          </cell>
          <cell r="B243">
            <v>2017</v>
          </cell>
          <cell r="C243">
            <v>8300</v>
          </cell>
          <cell r="D243">
            <v>1</v>
          </cell>
          <cell r="E243">
            <v>1</v>
          </cell>
          <cell r="F243">
            <v>2</v>
          </cell>
          <cell r="G243">
            <v>5000</v>
          </cell>
          <cell r="H243">
            <v>5100</v>
          </cell>
          <cell r="I243">
            <v>512</v>
          </cell>
          <cell r="J243">
            <v>17</v>
          </cell>
          <cell r="K243" t="str">
            <v xml:space="preserve">Plancha 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 t="str">
            <v>Pieza</v>
          </cell>
          <cell r="V243" t="str">
            <v>AE</v>
          </cell>
        </row>
        <row r="244">
          <cell r="A244">
            <v>99</v>
          </cell>
          <cell r="B244">
            <v>2017</v>
          </cell>
          <cell r="C244">
            <v>8300</v>
          </cell>
          <cell r="D244">
            <v>1</v>
          </cell>
          <cell r="E244">
            <v>1</v>
          </cell>
          <cell r="F244">
            <v>2</v>
          </cell>
          <cell r="G244">
            <v>5000</v>
          </cell>
          <cell r="H244">
            <v>5100</v>
          </cell>
          <cell r="I244">
            <v>512</v>
          </cell>
          <cell r="J244">
            <v>18</v>
          </cell>
          <cell r="K244" t="str">
            <v>Rack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 t="str">
            <v>Pieza</v>
          </cell>
          <cell r="V244" t="str">
            <v>AE</v>
          </cell>
        </row>
        <row r="245">
          <cell r="A245">
            <v>100</v>
          </cell>
          <cell r="B245">
            <v>2017</v>
          </cell>
          <cell r="C245">
            <v>8300</v>
          </cell>
          <cell r="D245">
            <v>1</v>
          </cell>
          <cell r="E245">
            <v>1</v>
          </cell>
          <cell r="F245">
            <v>2</v>
          </cell>
          <cell r="G245">
            <v>5000</v>
          </cell>
          <cell r="H245">
            <v>5100</v>
          </cell>
          <cell r="I245">
            <v>512</v>
          </cell>
          <cell r="J245">
            <v>19</v>
          </cell>
          <cell r="K245" t="str">
            <v>Silla periquera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 t="str">
            <v>Pieza</v>
          </cell>
          <cell r="V245" t="str">
            <v>AE</v>
          </cell>
        </row>
        <row r="246">
          <cell r="A246">
            <v>101</v>
          </cell>
          <cell r="B246">
            <v>2017</v>
          </cell>
          <cell r="C246">
            <v>8300</v>
          </cell>
          <cell r="D246">
            <v>1</v>
          </cell>
          <cell r="E246">
            <v>1</v>
          </cell>
          <cell r="F246">
            <v>2</v>
          </cell>
          <cell r="G246">
            <v>5000</v>
          </cell>
          <cell r="H246">
            <v>5100</v>
          </cell>
          <cell r="I246">
            <v>512</v>
          </cell>
          <cell r="J246">
            <v>20</v>
          </cell>
          <cell r="K246" t="str">
            <v>Silla porta bebé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 t="str">
            <v>Pieza</v>
          </cell>
          <cell r="V246" t="str">
            <v>AE</v>
          </cell>
        </row>
        <row r="247">
          <cell r="A247">
            <v>102</v>
          </cell>
          <cell r="B247">
            <v>2017</v>
          </cell>
          <cell r="C247">
            <v>8300</v>
          </cell>
          <cell r="D247">
            <v>1</v>
          </cell>
          <cell r="E247">
            <v>1</v>
          </cell>
          <cell r="F247">
            <v>2</v>
          </cell>
          <cell r="G247">
            <v>5000</v>
          </cell>
          <cell r="H247">
            <v>5100</v>
          </cell>
          <cell r="I247">
            <v>512</v>
          </cell>
          <cell r="J247">
            <v>21</v>
          </cell>
          <cell r="K247" t="str">
            <v>Recámara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 t="str">
            <v>Pieza</v>
          </cell>
          <cell r="V247" t="str">
            <v>AE</v>
          </cell>
        </row>
        <row r="248">
          <cell r="A248">
            <v>103</v>
          </cell>
          <cell r="B248">
            <v>2017</v>
          </cell>
          <cell r="C248">
            <v>8300</v>
          </cell>
          <cell r="D248">
            <v>1</v>
          </cell>
          <cell r="E248">
            <v>1</v>
          </cell>
          <cell r="F248">
            <v>2</v>
          </cell>
          <cell r="G248">
            <v>5000</v>
          </cell>
          <cell r="H248">
            <v>5100</v>
          </cell>
          <cell r="I248">
            <v>512</v>
          </cell>
          <cell r="J248">
            <v>22</v>
          </cell>
          <cell r="K248" t="str">
            <v>Baúl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 t="str">
            <v>Pieza</v>
          </cell>
          <cell r="V248" t="str">
            <v>AE</v>
          </cell>
        </row>
        <row r="249">
          <cell r="A249">
            <v>104</v>
          </cell>
          <cell r="B249">
            <v>2017</v>
          </cell>
          <cell r="C249">
            <v>8300</v>
          </cell>
          <cell r="D249">
            <v>1</v>
          </cell>
          <cell r="E249">
            <v>1</v>
          </cell>
          <cell r="F249">
            <v>2</v>
          </cell>
          <cell r="G249">
            <v>5000</v>
          </cell>
          <cell r="H249">
            <v>5100</v>
          </cell>
          <cell r="I249">
            <v>515</v>
          </cell>
          <cell r="K249" t="str">
            <v>Equipo de cómputo y de tecnologías de la información</v>
          </cell>
          <cell r="L249">
            <v>447500</v>
          </cell>
          <cell r="M249">
            <v>0</v>
          </cell>
          <cell r="N249">
            <v>447500</v>
          </cell>
          <cell r="O249">
            <v>0</v>
          </cell>
          <cell r="P249">
            <v>0</v>
          </cell>
          <cell r="Q249">
            <v>0</v>
          </cell>
          <cell r="R249">
            <v>447500</v>
          </cell>
        </row>
        <row r="250">
          <cell r="A250">
            <v>105</v>
          </cell>
          <cell r="B250">
            <v>2017</v>
          </cell>
          <cell r="C250">
            <v>8300</v>
          </cell>
          <cell r="D250">
            <v>1</v>
          </cell>
          <cell r="E250">
            <v>1</v>
          </cell>
          <cell r="F250">
            <v>2</v>
          </cell>
          <cell r="G250">
            <v>5000</v>
          </cell>
          <cell r="H250">
            <v>5100</v>
          </cell>
          <cell r="I250">
            <v>515</v>
          </cell>
          <cell r="J250">
            <v>1</v>
          </cell>
          <cell r="K250" t="str">
            <v>Computadora de escritorio</v>
          </cell>
          <cell r="L250">
            <v>345000</v>
          </cell>
          <cell r="M250">
            <v>0</v>
          </cell>
          <cell r="N250">
            <v>345000</v>
          </cell>
          <cell r="P250">
            <v>0</v>
          </cell>
          <cell r="Q250">
            <v>0</v>
          </cell>
          <cell r="R250">
            <v>345000</v>
          </cell>
          <cell r="S250" t="str">
            <v>Pieza</v>
          </cell>
          <cell r="T250">
            <v>15</v>
          </cell>
          <cell r="V250" t="str">
            <v>FC</v>
          </cell>
        </row>
        <row r="251">
          <cell r="A251">
            <v>106</v>
          </cell>
          <cell r="B251">
            <v>2017</v>
          </cell>
          <cell r="C251">
            <v>8300</v>
          </cell>
          <cell r="D251">
            <v>1</v>
          </cell>
          <cell r="E251">
            <v>1</v>
          </cell>
          <cell r="F251">
            <v>2</v>
          </cell>
          <cell r="G251">
            <v>5000</v>
          </cell>
          <cell r="H251">
            <v>5100</v>
          </cell>
          <cell r="I251">
            <v>515</v>
          </cell>
          <cell r="J251">
            <v>2</v>
          </cell>
          <cell r="K251" t="str">
            <v>Computadora portátil</v>
          </cell>
          <cell r="M251">
            <v>0</v>
          </cell>
          <cell r="N251">
            <v>0</v>
          </cell>
          <cell r="P251">
            <v>0</v>
          </cell>
          <cell r="Q251">
            <v>0</v>
          </cell>
          <cell r="R251">
            <v>0</v>
          </cell>
          <cell r="S251" t="str">
            <v>Pieza</v>
          </cell>
          <cell r="V251" t="str">
            <v>FC</v>
          </cell>
        </row>
        <row r="252">
          <cell r="A252">
            <v>107</v>
          </cell>
          <cell r="B252">
            <v>2017</v>
          </cell>
          <cell r="C252">
            <v>8300</v>
          </cell>
          <cell r="D252">
            <v>1</v>
          </cell>
          <cell r="E252">
            <v>1</v>
          </cell>
          <cell r="F252">
            <v>2</v>
          </cell>
          <cell r="G252">
            <v>5000</v>
          </cell>
          <cell r="H252">
            <v>5100</v>
          </cell>
          <cell r="I252">
            <v>515</v>
          </cell>
          <cell r="J252">
            <v>3</v>
          </cell>
          <cell r="K252" t="str">
            <v>Conmutador de datos (Switch)</v>
          </cell>
          <cell r="M252">
            <v>0</v>
          </cell>
          <cell r="N252">
            <v>0</v>
          </cell>
          <cell r="P252">
            <v>0</v>
          </cell>
          <cell r="Q252">
            <v>0</v>
          </cell>
          <cell r="R252">
            <v>0</v>
          </cell>
          <cell r="S252" t="str">
            <v>Pieza</v>
          </cell>
          <cell r="V252" t="str">
            <v>FC</v>
          </cell>
        </row>
        <row r="253">
          <cell r="A253">
            <v>108</v>
          </cell>
          <cell r="B253">
            <v>2017</v>
          </cell>
          <cell r="C253">
            <v>8300</v>
          </cell>
          <cell r="D253">
            <v>1</v>
          </cell>
          <cell r="E253">
            <v>1</v>
          </cell>
          <cell r="F253">
            <v>2</v>
          </cell>
          <cell r="G253">
            <v>5000</v>
          </cell>
          <cell r="H253">
            <v>5100</v>
          </cell>
          <cell r="I253">
            <v>515</v>
          </cell>
          <cell r="J253">
            <v>4</v>
          </cell>
          <cell r="K253" t="str">
            <v>Conmutador telefónico y/o servidor de voz</v>
          </cell>
          <cell r="M253">
            <v>0</v>
          </cell>
          <cell r="N253">
            <v>0</v>
          </cell>
          <cell r="P253">
            <v>0</v>
          </cell>
          <cell r="Q253">
            <v>0</v>
          </cell>
          <cell r="R253">
            <v>0</v>
          </cell>
          <cell r="S253" t="str">
            <v>Pieza</v>
          </cell>
          <cell r="V253" t="str">
            <v>FC</v>
          </cell>
        </row>
        <row r="254">
          <cell r="A254">
            <v>109</v>
          </cell>
          <cell r="B254">
            <v>2017</v>
          </cell>
          <cell r="C254">
            <v>8300</v>
          </cell>
          <cell r="D254">
            <v>1</v>
          </cell>
          <cell r="E254">
            <v>1</v>
          </cell>
          <cell r="F254">
            <v>2</v>
          </cell>
          <cell r="G254">
            <v>5000</v>
          </cell>
          <cell r="H254">
            <v>5100</v>
          </cell>
          <cell r="I254">
            <v>515</v>
          </cell>
          <cell r="J254">
            <v>5</v>
          </cell>
          <cell r="K254" t="str">
            <v xml:space="preserve">Equipo de seguridad para filtrar información (firewall) </v>
          </cell>
          <cell r="M254">
            <v>0</v>
          </cell>
          <cell r="N254">
            <v>0</v>
          </cell>
          <cell r="P254">
            <v>0</v>
          </cell>
          <cell r="Q254">
            <v>0</v>
          </cell>
          <cell r="R254">
            <v>0</v>
          </cell>
          <cell r="S254" t="str">
            <v>Pieza</v>
          </cell>
          <cell r="V254" t="str">
            <v>FC</v>
          </cell>
        </row>
        <row r="255">
          <cell r="A255">
            <v>110</v>
          </cell>
          <cell r="B255">
            <v>2017</v>
          </cell>
          <cell r="C255">
            <v>8300</v>
          </cell>
          <cell r="D255">
            <v>1</v>
          </cell>
          <cell r="E255">
            <v>1</v>
          </cell>
          <cell r="F255">
            <v>2</v>
          </cell>
          <cell r="G255">
            <v>5000</v>
          </cell>
          <cell r="H255">
            <v>5100</v>
          </cell>
          <cell r="I255">
            <v>515</v>
          </cell>
          <cell r="J255">
            <v>6</v>
          </cell>
          <cell r="K255" t="str">
            <v>Escáner</v>
          </cell>
          <cell r="M255">
            <v>0</v>
          </cell>
          <cell r="N255">
            <v>0</v>
          </cell>
          <cell r="P255">
            <v>0</v>
          </cell>
          <cell r="Q255">
            <v>0</v>
          </cell>
          <cell r="R255">
            <v>0</v>
          </cell>
          <cell r="S255" t="str">
            <v>Pieza</v>
          </cell>
          <cell r="V255" t="str">
            <v>FC</v>
          </cell>
        </row>
        <row r="256">
          <cell r="A256">
            <v>111</v>
          </cell>
          <cell r="B256">
            <v>2017</v>
          </cell>
          <cell r="C256">
            <v>8300</v>
          </cell>
          <cell r="D256">
            <v>1</v>
          </cell>
          <cell r="E256">
            <v>1</v>
          </cell>
          <cell r="F256">
            <v>2</v>
          </cell>
          <cell r="G256">
            <v>5000</v>
          </cell>
          <cell r="H256">
            <v>5100</v>
          </cell>
          <cell r="I256">
            <v>515</v>
          </cell>
          <cell r="J256">
            <v>7</v>
          </cell>
          <cell r="K256" t="str">
            <v>Impresora</v>
          </cell>
          <cell r="L256">
            <v>50000</v>
          </cell>
          <cell r="M256">
            <v>0</v>
          </cell>
          <cell r="N256">
            <v>50000</v>
          </cell>
          <cell r="P256">
            <v>0</v>
          </cell>
          <cell r="Q256">
            <v>0</v>
          </cell>
          <cell r="R256">
            <v>50000</v>
          </cell>
          <cell r="S256" t="str">
            <v>Pieza</v>
          </cell>
          <cell r="T256">
            <v>10</v>
          </cell>
          <cell r="V256" t="str">
            <v>FC</v>
          </cell>
        </row>
        <row r="257">
          <cell r="A257">
            <v>112</v>
          </cell>
          <cell r="B257">
            <v>2017</v>
          </cell>
          <cell r="C257">
            <v>8300</v>
          </cell>
          <cell r="D257">
            <v>1</v>
          </cell>
          <cell r="E257">
            <v>1</v>
          </cell>
          <cell r="F257">
            <v>2</v>
          </cell>
          <cell r="G257">
            <v>5000</v>
          </cell>
          <cell r="H257">
            <v>5100</v>
          </cell>
          <cell r="I257">
            <v>515</v>
          </cell>
          <cell r="J257">
            <v>8</v>
          </cell>
          <cell r="K257" t="str">
            <v>Módem</v>
          </cell>
          <cell r="M257">
            <v>0</v>
          </cell>
          <cell r="N257">
            <v>0</v>
          </cell>
          <cell r="P257">
            <v>0</v>
          </cell>
          <cell r="Q257">
            <v>0</v>
          </cell>
          <cell r="R257">
            <v>0</v>
          </cell>
          <cell r="S257" t="str">
            <v>Pieza</v>
          </cell>
          <cell r="V257" t="str">
            <v>FC</v>
          </cell>
        </row>
        <row r="258">
          <cell r="A258">
            <v>113</v>
          </cell>
          <cell r="B258">
            <v>2017</v>
          </cell>
          <cell r="C258">
            <v>8300</v>
          </cell>
          <cell r="D258">
            <v>1</v>
          </cell>
          <cell r="E258">
            <v>1</v>
          </cell>
          <cell r="F258">
            <v>2</v>
          </cell>
          <cell r="G258">
            <v>5000</v>
          </cell>
          <cell r="H258">
            <v>5100</v>
          </cell>
          <cell r="I258">
            <v>515</v>
          </cell>
          <cell r="J258">
            <v>9</v>
          </cell>
          <cell r="K258" t="str">
            <v>Multifuncional</v>
          </cell>
          <cell r="M258">
            <v>0</v>
          </cell>
          <cell r="N258">
            <v>0</v>
          </cell>
          <cell r="P258">
            <v>0</v>
          </cell>
          <cell r="Q258">
            <v>0</v>
          </cell>
          <cell r="R258">
            <v>0</v>
          </cell>
          <cell r="S258" t="str">
            <v>Pieza</v>
          </cell>
          <cell r="V258" t="str">
            <v>FC</v>
          </cell>
        </row>
        <row r="259">
          <cell r="A259">
            <v>114</v>
          </cell>
          <cell r="B259">
            <v>2017</v>
          </cell>
          <cell r="C259">
            <v>8300</v>
          </cell>
          <cell r="D259">
            <v>1</v>
          </cell>
          <cell r="E259">
            <v>1</v>
          </cell>
          <cell r="F259">
            <v>2</v>
          </cell>
          <cell r="G259">
            <v>5000</v>
          </cell>
          <cell r="H259">
            <v>5100</v>
          </cell>
          <cell r="I259">
            <v>515</v>
          </cell>
          <cell r="J259">
            <v>10</v>
          </cell>
          <cell r="K259" t="str">
            <v>Pizarrón interactivo</v>
          </cell>
          <cell r="M259">
            <v>0</v>
          </cell>
          <cell r="N259">
            <v>0</v>
          </cell>
          <cell r="P259">
            <v>0</v>
          </cell>
          <cell r="Q259">
            <v>0</v>
          </cell>
          <cell r="R259">
            <v>0</v>
          </cell>
          <cell r="S259" t="str">
            <v>Pieza</v>
          </cell>
          <cell r="V259" t="str">
            <v>FC</v>
          </cell>
        </row>
        <row r="260">
          <cell r="A260">
            <v>115</v>
          </cell>
          <cell r="B260">
            <v>2017</v>
          </cell>
          <cell r="C260">
            <v>8300</v>
          </cell>
          <cell r="D260">
            <v>1</v>
          </cell>
          <cell r="E260">
            <v>1</v>
          </cell>
          <cell r="F260">
            <v>2</v>
          </cell>
          <cell r="G260">
            <v>5000</v>
          </cell>
          <cell r="H260">
            <v>5100</v>
          </cell>
          <cell r="I260">
            <v>515</v>
          </cell>
          <cell r="J260">
            <v>11</v>
          </cell>
          <cell r="K260" t="str">
            <v>Ruteador</v>
          </cell>
          <cell r="M260">
            <v>0</v>
          </cell>
          <cell r="N260">
            <v>0</v>
          </cell>
          <cell r="P260">
            <v>0</v>
          </cell>
          <cell r="Q260">
            <v>0</v>
          </cell>
          <cell r="R260">
            <v>0</v>
          </cell>
          <cell r="S260" t="str">
            <v>Pieza</v>
          </cell>
          <cell r="V260" t="str">
            <v>FC</v>
          </cell>
        </row>
        <row r="261">
          <cell r="A261">
            <v>116</v>
          </cell>
          <cell r="B261">
            <v>2017</v>
          </cell>
          <cell r="C261">
            <v>8300</v>
          </cell>
          <cell r="D261">
            <v>1</v>
          </cell>
          <cell r="E261">
            <v>1</v>
          </cell>
          <cell r="F261">
            <v>2</v>
          </cell>
          <cell r="G261">
            <v>5000</v>
          </cell>
          <cell r="H261">
            <v>5100</v>
          </cell>
          <cell r="I261">
            <v>515</v>
          </cell>
          <cell r="J261">
            <v>12</v>
          </cell>
          <cell r="K261" t="str">
            <v>Servidor de cómputo</v>
          </cell>
          <cell r="M261">
            <v>0</v>
          </cell>
          <cell r="N261">
            <v>0</v>
          </cell>
          <cell r="P261">
            <v>0</v>
          </cell>
          <cell r="Q261">
            <v>0</v>
          </cell>
          <cell r="R261">
            <v>0</v>
          </cell>
          <cell r="S261" t="str">
            <v>Pieza</v>
          </cell>
          <cell r="V261" t="str">
            <v>FC</v>
          </cell>
        </row>
        <row r="262">
          <cell r="A262">
            <v>117</v>
          </cell>
          <cell r="B262">
            <v>2017</v>
          </cell>
          <cell r="C262">
            <v>8300</v>
          </cell>
          <cell r="D262">
            <v>1</v>
          </cell>
          <cell r="E262">
            <v>1</v>
          </cell>
          <cell r="F262">
            <v>2</v>
          </cell>
          <cell r="G262">
            <v>5000</v>
          </cell>
          <cell r="H262">
            <v>5100</v>
          </cell>
          <cell r="I262">
            <v>515</v>
          </cell>
          <cell r="J262">
            <v>13</v>
          </cell>
          <cell r="K262" t="str">
            <v>Sistema de control de acceso</v>
          </cell>
          <cell r="M262">
            <v>0</v>
          </cell>
          <cell r="N262">
            <v>0</v>
          </cell>
          <cell r="P262">
            <v>0</v>
          </cell>
          <cell r="Q262">
            <v>0</v>
          </cell>
          <cell r="R262">
            <v>0</v>
          </cell>
          <cell r="S262" t="str">
            <v>Pieza</v>
          </cell>
          <cell r="V262" t="str">
            <v>FC</v>
          </cell>
        </row>
        <row r="263">
          <cell r="A263">
            <v>118</v>
          </cell>
          <cell r="B263">
            <v>2017</v>
          </cell>
          <cell r="C263">
            <v>8300</v>
          </cell>
          <cell r="D263">
            <v>1</v>
          </cell>
          <cell r="E263">
            <v>1</v>
          </cell>
          <cell r="F263">
            <v>2</v>
          </cell>
          <cell r="G263">
            <v>5000</v>
          </cell>
          <cell r="H263">
            <v>5100</v>
          </cell>
          <cell r="I263">
            <v>515</v>
          </cell>
          <cell r="J263">
            <v>14</v>
          </cell>
          <cell r="K263" t="str">
            <v>Sistema de traducción simultánea</v>
          </cell>
          <cell r="M263">
            <v>0</v>
          </cell>
          <cell r="N263">
            <v>0</v>
          </cell>
          <cell r="P263">
            <v>0</v>
          </cell>
          <cell r="Q263">
            <v>0</v>
          </cell>
          <cell r="R263">
            <v>0</v>
          </cell>
          <cell r="S263" t="str">
            <v>Pieza</v>
          </cell>
          <cell r="V263" t="str">
            <v>FC</v>
          </cell>
        </row>
        <row r="264">
          <cell r="A264">
            <v>119</v>
          </cell>
          <cell r="B264">
            <v>2017</v>
          </cell>
          <cell r="C264">
            <v>8300</v>
          </cell>
          <cell r="D264">
            <v>1</v>
          </cell>
          <cell r="E264">
            <v>1</v>
          </cell>
          <cell r="F264">
            <v>2</v>
          </cell>
          <cell r="G264">
            <v>5000</v>
          </cell>
          <cell r="H264">
            <v>5100</v>
          </cell>
          <cell r="I264">
            <v>515</v>
          </cell>
          <cell r="J264">
            <v>15</v>
          </cell>
          <cell r="K264" t="str">
            <v xml:space="preserve">Teléfono </v>
          </cell>
          <cell r="M264">
            <v>0</v>
          </cell>
          <cell r="N264">
            <v>0</v>
          </cell>
          <cell r="P264">
            <v>0</v>
          </cell>
          <cell r="Q264">
            <v>0</v>
          </cell>
          <cell r="R264">
            <v>0</v>
          </cell>
          <cell r="S264" t="str">
            <v>Pieza</v>
          </cell>
          <cell r="V264" t="str">
            <v>FC</v>
          </cell>
        </row>
        <row r="265">
          <cell r="A265">
            <v>120</v>
          </cell>
          <cell r="B265">
            <v>2017</v>
          </cell>
          <cell r="C265">
            <v>8300</v>
          </cell>
          <cell r="D265">
            <v>1</v>
          </cell>
          <cell r="E265">
            <v>1</v>
          </cell>
          <cell r="F265">
            <v>2</v>
          </cell>
          <cell r="G265">
            <v>5000</v>
          </cell>
          <cell r="H265">
            <v>5100</v>
          </cell>
          <cell r="I265">
            <v>515</v>
          </cell>
          <cell r="J265">
            <v>16</v>
          </cell>
          <cell r="K265" t="str">
            <v>Unidad de protección y respaldo de energía (UPS)</v>
          </cell>
          <cell r="L265">
            <v>52500</v>
          </cell>
          <cell r="M265">
            <v>0</v>
          </cell>
          <cell r="N265">
            <v>52500</v>
          </cell>
          <cell r="P265">
            <v>0</v>
          </cell>
          <cell r="Q265">
            <v>0</v>
          </cell>
          <cell r="R265">
            <v>52500</v>
          </cell>
          <cell r="S265" t="str">
            <v>Pieza</v>
          </cell>
          <cell r="T265">
            <v>15</v>
          </cell>
          <cell r="V265" t="str">
            <v>FC</v>
          </cell>
        </row>
        <row r="266">
          <cell r="A266">
            <v>121</v>
          </cell>
          <cell r="B266">
            <v>2017</v>
          </cell>
          <cell r="C266">
            <v>8300</v>
          </cell>
          <cell r="D266">
            <v>1</v>
          </cell>
          <cell r="E266">
            <v>1</v>
          </cell>
          <cell r="F266">
            <v>2</v>
          </cell>
          <cell r="G266">
            <v>5000</v>
          </cell>
          <cell r="H266">
            <v>5100</v>
          </cell>
          <cell r="I266">
            <v>519</v>
          </cell>
          <cell r="K266" t="str">
            <v>Otros mobiliarios y equipos de administración</v>
          </cell>
          <cell r="L266">
            <v>70000</v>
          </cell>
          <cell r="M266">
            <v>0</v>
          </cell>
          <cell r="N266">
            <v>70000</v>
          </cell>
          <cell r="O266">
            <v>0</v>
          </cell>
          <cell r="P266">
            <v>0</v>
          </cell>
          <cell r="Q266">
            <v>0</v>
          </cell>
          <cell r="R266">
            <v>70000</v>
          </cell>
        </row>
        <row r="267">
          <cell r="A267">
            <v>122</v>
          </cell>
          <cell r="B267">
            <v>2017</v>
          </cell>
          <cell r="C267">
            <v>8300</v>
          </cell>
          <cell r="D267">
            <v>1</v>
          </cell>
          <cell r="E267">
            <v>1</v>
          </cell>
          <cell r="F267">
            <v>2</v>
          </cell>
          <cell r="G267">
            <v>5000</v>
          </cell>
          <cell r="H267">
            <v>5100</v>
          </cell>
          <cell r="I267">
            <v>519</v>
          </cell>
          <cell r="J267">
            <v>1</v>
          </cell>
          <cell r="K267" t="str">
            <v xml:space="preserve">Aire acondicionado </v>
          </cell>
          <cell r="L267">
            <v>70000</v>
          </cell>
          <cell r="M267">
            <v>0</v>
          </cell>
          <cell r="N267">
            <v>70000</v>
          </cell>
          <cell r="O267">
            <v>0</v>
          </cell>
          <cell r="P267">
            <v>0</v>
          </cell>
          <cell r="Q267">
            <v>0</v>
          </cell>
          <cell r="R267">
            <v>70000</v>
          </cell>
          <cell r="S267" t="str">
            <v>Pieza</v>
          </cell>
          <cell r="T267">
            <v>4</v>
          </cell>
          <cell r="V267" t="str">
            <v>FC</v>
          </cell>
        </row>
        <row r="268">
          <cell r="A268">
            <v>123</v>
          </cell>
          <cell r="B268">
            <v>2017</v>
          </cell>
          <cell r="C268">
            <v>8300</v>
          </cell>
          <cell r="D268">
            <v>1</v>
          </cell>
          <cell r="E268">
            <v>1</v>
          </cell>
          <cell r="F268">
            <v>2</v>
          </cell>
          <cell r="G268">
            <v>5000</v>
          </cell>
          <cell r="H268">
            <v>5100</v>
          </cell>
          <cell r="I268">
            <v>519</v>
          </cell>
          <cell r="J268">
            <v>2</v>
          </cell>
          <cell r="K268" t="str">
            <v>Centro de lavado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 t="str">
            <v>Pieza</v>
          </cell>
          <cell r="V268" t="str">
            <v>AE</v>
          </cell>
        </row>
        <row r="269">
          <cell r="A269">
            <v>124</v>
          </cell>
          <cell r="B269">
            <v>2017</v>
          </cell>
          <cell r="C269">
            <v>8300</v>
          </cell>
          <cell r="D269">
            <v>1</v>
          </cell>
          <cell r="E269">
            <v>1</v>
          </cell>
          <cell r="F269">
            <v>2</v>
          </cell>
          <cell r="G269">
            <v>5000</v>
          </cell>
          <cell r="H269">
            <v>5100</v>
          </cell>
          <cell r="I269">
            <v>519</v>
          </cell>
          <cell r="J269">
            <v>3</v>
          </cell>
          <cell r="K269" t="str">
            <v>Circuito Cerrado de Televisión (CCTV)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 t="str">
            <v>Pieza</v>
          </cell>
          <cell r="V269" t="str">
            <v>FC</v>
          </cell>
        </row>
        <row r="270">
          <cell r="A270">
            <v>125</v>
          </cell>
          <cell r="B270">
            <v>2017</v>
          </cell>
          <cell r="C270">
            <v>8300</v>
          </cell>
          <cell r="D270">
            <v>1</v>
          </cell>
          <cell r="E270">
            <v>1</v>
          </cell>
          <cell r="F270">
            <v>2</v>
          </cell>
          <cell r="G270">
            <v>5000</v>
          </cell>
          <cell r="H270">
            <v>5100</v>
          </cell>
          <cell r="I270">
            <v>519</v>
          </cell>
          <cell r="J270">
            <v>4</v>
          </cell>
          <cell r="K270" t="str">
            <v>Equipo detector de fuego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 t="str">
            <v>Pieza</v>
          </cell>
          <cell r="V270" t="str">
            <v>FC</v>
          </cell>
        </row>
        <row r="271">
          <cell r="A271">
            <v>126</v>
          </cell>
          <cell r="B271">
            <v>2017</v>
          </cell>
          <cell r="C271">
            <v>8300</v>
          </cell>
          <cell r="D271">
            <v>1</v>
          </cell>
          <cell r="E271">
            <v>1</v>
          </cell>
          <cell r="F271">
            <v>2</v>
          </cell>
          <cell r="G271">
            <v>5000</v>
          </cell>
          <cell r="H271">
            <v>5100</v>
          </cell>
          <cell r="I271">
            <v>519</v>
          </cell>
          <cell r="J271">
            <v>5</v>
          </cell>
          <cell r="K271" t="str">
            <v>Horno de microondas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 t="str">
            <v>Pieza</v>
          </cell>
          <cell r="V271" t="str">
            <v>AE</v>
          </cell>
        </row>
        <row r="272">
          <cell r="A272">
            <v>127</v>
          </cell>
          <cell r="B272">
            <v>2017</v>
          </cell>
          <cell r="C272">
            <v>8300</v>
          </cell>
          <cell r="D272">
            <v>1</v>
          </cell>
          <cell r="E272">
            <v>1</v>
          </cell>
          <cell r="F272">
            <v>2</v>
          </cell>
          <cell r="G272">
            <v>5000</v>
          </cell>
          <cell r="H272">
            <v>5100</v>
          </cell>
          <cell r="I272">
            <v>519</v>
          </cell>
          <cell r="J272">
            <v>6</v>
          </cell>
          <cell r="K272" t="str">
            <v>Pantalla para proyector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 t="str">
            <v>Pieza</v>
          </cell>
          <cell r="V272" t="str">
            <v>FC</v>
          </cell>
        </row>
        <row r="273">
          <cell r="A273">
            <v>128</v>
          </cell>
          <cell r="B273">
            <v>2017</v>
          </cell>
          <cell r="C273">
            <v>8300</v>
          </cell>
          <cell r="D273">
            <v>1</v>
          </cell>
          <cell r="E273">
            <v>1</v>
          </cell>
          <cell r="F273">
            <v>2</v>
          </cell>
          <cell r="G273">
            <v>5000</v>
          </cell>
          <cell r="H273">
            <v>5100</v>
          </cell>
          <cell r="I273">
            <v>519</v>
          </cell>
          <cell r="J273">
            <v>7</v>
          </cell>
          <cell r="K273" t="str">
            <v>Refrigerador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 t="str">
            <v>Pieza</v>
          </cell>
          <cell r="V273" t="str">
            <v>AE</v>
          </cell>
        </row>
        <row r="274">
          <cell r="A274">
            <v>129</v>
          </cell>
          <cell r="B274">
            <v>2017</v>
          </cell>
          <cell r="C274">
            <v>8300</v>
          </cell>
          <cell r="D274">
            <v>1</v>
          </cell>
          <cell r="E274">
            <v>1</v>
          </cell>
          <cell r="F274">
            <v>2</v>
          </cell>
          <cell r="G274">
            <v>5000</v>
          </cell>
          <cell r="H274">
            <v>5100</v>
          </cell>
          <cell r="I274">
            <v>519</v>
          </cell>
          <cell r="J274">
            <v>8</v>
          </cell>
          <cell r="K274" t="str">
            <v>Ventilador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 t="str">
            <v>Pieza</v>
          </cell>
          <cell r="V274" t="str">
            <v>FC</v>
          </cell>
        </row>
        <row r="275">
          <cell r="A275">
            <v>130</v>
          </cell>
          <cell r="B275">
            <v>2017</v>
          </cell>
          <cell r="C275">
            <v>8300</v>
          </cell>
          <cell r="D275">
            <v>1</v>
          </cell>
          <cell r="E275">
            <v>1</v>
          </cell>
          <cell r="F275">
            <v>2</v>
          </cell>
          <cell r="G275">
            <v>5000</v>
          </cell>
          <cell r="H275">
            <v>5100</v>
          </cell>
          <cell r="I275">
            <v>519</v>
          </cell>
          <cell r="J275">
            <v>9</v>
          </cell>
          <cell r="K275" t="str">
            <v>Estufa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 t="str">
            <v>Pieza</v>
          </cell>
          <cell r="V275" t="str">
            <v>AE</v>
          </cell>
        </row>
        <row r="276">
          <cell r="A276">
            <v>131</v>
          </cell>
          <cell r="B276">
            <v>2017</v>
          </cell>
          <cell r="C276">
            <v>8300</v>
          </cell>
          <cell r="D276">
            <v>1</v>
          </cell>
          <cell r="E276">
            <v>1</v>
          </cell>
          <cell r="F276">
            <v>2</v>
          </cell>
          <cell r="G276">
            <v>5000</v>
          </cell>
          <cell r="H276">
            <v>5100</v>
          </cell>
          <cell r="I276">
            <v>519</v>
          </cell>
          <cell r="J276">
            <v>10</v>
          </cell>
          <cell r="K276" t="str">
            <v>Lavadora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 t="str">
            <v>Pieza</v>
          </cell>
          <cell r="V276" t="str">
            <v>AE</v>
          </cell>
        </row>
        <row r="277">
          <cell r="A277">
            <v>132</v>
          </cell>
          <cell r="B277">
            <v>2017</v>
          </cell>
          <cell r="C277">
            <v>8300</v>
          </cell>
          <cell r="D277">
            <v>1</v>
          </cell>
          <cell r="E277">
            <v>1</v>
          </cell>
          <cell r="F277">
            <v>2</v>
          </cell>
          <cell r="G277">
            <v>5000</v>
          </cell>
          <cell r="H277">
            <v>5100</v>
          </cell>
          <cell r="I277">
            <v>519</v>
          </cell>
          <cell r="J277">
            <v>12</v>
          </cell>
          <cell r="K277" t="str">
            <v xml:space="preserve">Soporte para videoproyector/pantalla  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 t="str">
            <v>Pieza</v>
          </cell>
          <cell r="V277" t="str">
            <v>FC</v>
          </cell>
        </row>
        <row r="278">
          <cell r="A278">
            <v>133</v>
          </cell>
          <cell r="B278">
            <v>2017</v>
          </cell>
          <cell r="C278">
            <v>8300</v>
          </cell>
          <cell r="D278">
            <v>1</v>
          </cell>
          <cell r="E278">
            <v>1</v>
          </cell>
          <cell r="F278">
            <v>2</v>
          </cell>
          <cell r="G278">
            <v>5000</v>
          </cell>
          <cell r="H278">
            <v>5100</v>
          </cell>
          <cell r="I278">
            <v>519</v>
          </cell>
          <cell r="J278">
            <v>13</v>
          </cell>
          <cell r="K278" t="str">
            <v>Fotocopiadora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 t="str">
            <v>Pieza</v>
          </cell>
          <cell r="V278" t="str">
            <v>FC</v>
          </cell>
        </row>
        <row r="279">
          <cell r="A279">
            <v>134</v>
          </cell>
          <cell r="B279">
            <v>2017</v>
          </cell>
          <cell r="C279">
            <v>8300</v>
          </cell>
          <cell r="D279">
            <v>1</v>
          </cell>
          <cell r="E279">
            <v>1</v>
          </cell>
          <cell r="F279">
            <v>2</v>
          </cell>
          <cell r="G279">
            <v>5000</v>
          </cell>
          <cell r="H279">
            <v>5200</v>
          </cell>
          <cell r="K279" t="str">
            <v>Mobiliario y Equipo Educacional y Recreativo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</row>
        <row r="280">
          <cell r="A280">
            <v>135</v>
          </cell>
          <cell r="B280">
            <v>2017</v>
          </cell>
          <cell r="C280">
            <v>8300</v>
          </cell>
          <cell r="D280">
            <v>1</v>
          </cell>
          <cell r="E280">
            <v>1</v>
          </cell>
          <cell r="F280">
            <v>2</v>
          </cell>
          <cell r="G280">
            <v>5000</v>
          </cell>
          <cell r="H280">
            <v>5200</v>
          </cell>
          <cell r="I280">
            <v>521</v>
          </cell>
          <cell r="K280" t="str">
            <v>Equipos y aparatos audiovisuales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</row>
        <row r="281">
          <cell r="A281">
            <v>136</v>
          </cell>
          <cell r="B281">
            <v>2017</v>
          </cell>
          <cell r="C281">
            <v>8300</v>
          </cell>
          <cell r="D281">
            <v>1</v>
          </cell>
          <cell r="E281">
            <v>1</v>
          </cell>
          <cell r="F281">
            <v>2</v>
          </cell>
          <cell r="G281">
            <v>5000</v>
          </cell>
          <cell r="H281">
            <v>5200</v>
          </cell>
          <cell r="I281">
            <v>521</v>
          </cell>
          <cell r="J281">
            <v>1</v>
          </cell>
          <cell r="K281" t="str">
            <v xml:space="preserve">Amplificador 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 t="str">
            <v>Equipo/
Pieza</v>
          </cell>
          <cell r="V281" t="str">
            <v>FC</v>
          </cell>
        </row>
        <row r="282">
          <cell r="A282">
            <v>137</v>
          </cell>
          <cell r="B282">
            <v>2017</v>
          </cell>
          <cell r="C282">
            <v>8300</v>
          </cell>
          <cell r="D282">
            <v>1</v>
          </cell>
          <cell r="E282">
            <v>1</v>
          </cell>
          <cell r="F282">
            <v>2</v>
          </cell>
          <cell r="G282">
            <v>5000</v>
          </cell>
          <cell r="H282">
            <v>5200</v>
          </cell>
          <cell r="I282">
            <v>521</v>
          </cell>
          <cell r="J282">
            <v>2</v>
          </cell>
          <cell r="K282" t="str">
            <v>Consola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 t="str">
            <v>Equipo/
Pieza</v>
          </cell>
          <cell r="V282" t="str">
            <v>FC</v>
          </cell>
        </row>
        <row r="283">
          <cell r="A283">
            <v>138</v>
          </cell>
          <cell r="B283">
            <v>2017</v>
          </cell>
          <cell r="C283">
            <v>8300</v>
          </cell>
          <cell r="D283">
            <v>1</v>
          </cell>
          <cell r="E283">
            <v>1</v>
          </cell>
          <cell r="F283">
            <v>2</v>
          </cell>
          <cell r="G283">
            <v>5000</v>
          </cell>
          <cell r="H283">
            <v>5200</v>
          </cell>
          <cell r="I283">
            <v>521</v>
          </cell>
          <cell r="J283">
            <v>3</v>
          </cell>
          <cell r="K283" t="str">
            <v xml:space="preserve">Equipo de sonido     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 t="str">
            <v>Equipo/
Pieza</v>
          </cell>
          <cell r="V283" t="str">
            <v>FC</v>
          </cell>
        </row>
        <row r="284">
          <cell r="A284">
            <v>139</v>
          </cell>
          <cell r="B284">
            <v>2017</v>
          </cell>
          <cell r="C284">
            <v>8300</v>
          </cell>
          <cell r="D284">
            <v>1</v>
          </cell>
          <cell r="E284">
            <v>1</v>
          </cell>
          <cell r="F284">
            <v>2</v>
          </cell>
          <cell r="G284">
            <v>5000</v>
          </cell>
          <cell r="H284">
            <v>5200</v>
          </cell>
          <cell r="I284">
            <v>521</v>
          </cell>
          <cell r="J284">
            <v>4</v>
          </cell>
          <cell r="K284" t="str">
            <v xml:space="preserve">Grabadora de voz 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 t="str">
            <v>Equipo/
Pieza</v>
          </cell>
          <cell r="V284" t="str">
            <v>FC</v>
          </cell>
        </row>
        <row r="285">
          <cell r="A285">
            <v>140</v>
          </cell>
          <cell r="B285">
            <v>2017</v>
          </cell>
          <cell r="C285">
            <v>8300</v>
          </cell>
          <cell r="D285">
            <v>1</v>
          </cell>
          <cell r="E285">
            <v>1</v>
          </cell>
          <cell r="F285">
            <v>2</v>
          </cell>
          <cell r="G285">
            <v>5000</v>
          </cell>
          <cell r="H285">
            <v>5200</v>
          </cell>
          <cell r="I285">
            <v>521</v>
          </cell>
          <cell r="J285">
            <v>5</v>
          </cell>
          <cell r="K285" t="str">
            <v>Micrófono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 t="str">
            <v>Equipo/
Pieza</v>
          </cell>
          <cell r="V285" t="str">
            <v>FC</v>
          </cell>
        </row>
        <row r="286">
          <cell r="A286">
            <v>141</v>
          </cell>
          <cell r="B286">
            <v>2017</v>
          </cell>
          <cell r="C286">
            <v>8300</v>
          </cell>
          <cell r="D286">
            <v>1</v>
          </cell>
          <cell r="E286">
            <v>1</v>
          </cell>
          <cell r="F286">
            <v>2</v>
          </cell>
          <cell r="G286">
            <v>5000</v>
          </cell>
          <cell r="H286">
            <v>5200</v>
          </cell>
          <cell r="I286">
            <v>521</v>
          </cell>
          <cell r="J286">
            <v>6</v>
          </cell>
          <cell r="K286" t="str">
            <v xml:space="preserve">Micrograbadora 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 t="str">
            <v>Equipo/
Pieza</v>
          </cell>
          <cell r="V286" t="str">
            <v>FC</v>
          </cell>
        </row>
        <row r="287">
          <cell r="A287">
            <v>142</v>
          </cell>
          <cell r="B287">
            <v>2017</v>
          </cell>
          <cell r="C287">
            <v>8300</v>
          </cell>
          <cell r="D287">
            <v>1</v>
          </cell>
          <cell r="E287">
            <v>1</v>
          </cell>
          <cell r="F287">
            <v>2</v>
          </cell>
          <cell r="G287">
            <v>5000</v>
          </cell>
          <cell r="H287">
            <v>5200</v>
          </cell>
          <cell r="I287">
            <v>521</v>
          </cell>
          <cell r="J287">
            <v>7</v>
          </cell>
          <cell r="K287" t="str">
            <v>Pantalla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 t="str">
            <v>Equipo/
Pieza</v>
          </cell>
          <cell r="V287" t="str">
            <v>FC</v>
          </cell>
        </row>
        <row r="288">
          <cell r="A288">
            <v>143</v>
          </cell>
          <cell r="B288">
            <v>2017</v>
          </cell>
          <cell r="C288">
            <v>8300</v>
          </cell>
          <cell r="D288">
            <v>1</v>
          </cell>
          <cell r="E288">
            <v>1</v>
          </cell>
          <cell r="F288">
            <v>2</v>
          </cell>
          <cell r="G288">
            <v>5000</v>
          </cell>
          <cell r="H288">
            <v>5200</v>
          </cell>
          <cell r="I288">
            <v>521</v>
          </cell>
          <cell r="J288">
            <v>8</v>
          </cell>
          <cell r="K288" t="str">
            <v>Pantalla para proyección retráctil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 t="str">
            <v>Equipo/
Pieza</v>
          </cell>
          <cell r="V288" t="str">
            <v>FC</v>
          </cell>
        </row>
        <row r="289">
          <cell r="A289">
            <v>144</v>
          </cell>
          <cell r="B289">
            <v>2017</v>
          </cell>
          <cell r="C289">
            <v>8300</v>
          </cell>
          <cell r="D289">
            <v>1</v>
          </cell>
          <cell r="E289">
            <v>1</v>
          </cell>
          <cell r="F289">
            <v>2</v>
          </cell>
          <cell r="G289">
            <v>5000</v>
          </cell>
          <cell r="H289">
            <v>5200</v>
          </cell>
          <cell r="I289">
            <v>521</v>
          </cell>
          <cell r="J289">
            <v>9</v>
          </cell>
          <cell r="K289" t="str">
            <v>Proyector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 t="str">
            <v>Equipo/
Pieza</v>
          </cell>
          <cell r="V289" t="str">
            <v>FC</v>
          </cell>
        </row>
        <row r="290">
          <cell r="A290">
            <v>145</v>
          </cell>
          <cell r="B290">
            <v>2017</v>
          </cell>
          <cell r="C290">
            <v>8300</v>
          </cell>
          <cell r="D290">
            <v>1</v>
          </cell>
          <cell r="E290">
            <v>1</v>
          </cell>
          <cell r="F290">
            <v>2</v>
          </cell>
          <cell r="G290">
            <v>5000</v>
          </cell>
          <cell r="H290">
            <v>5200</v>
          </cell>
          <cell r="I290">
            <v>522</v>
          </cell>
          <cell r="K290" t="str">
            <v>Aparatos deportivos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</row>
        <row r="291">
          <cell r="A291">
            <v>146</v>
          </cell>
          <cell r="B291">
            <v>2017</v>
          </cell>
          <cell r="C291">
            <v>8300</v>
          </cell>
          <cell r="D291">
            <v>1</v>
          </cell>
          <cell r="E291">
            <v>1</v>
          </cell>
          <cell r="F291">
            <v>2</v>
          </cell>
          <cell r="G291">
            <v>5000</v>
          </cell>
          <cell r="H291">
            <v>5200</v>
          </cell>
          <cell r="I291">
            <v>522</v>
          </cell>
          <cell r="J291">
            <v>1</v>
          </cell>
          <cell r="K291" t="str">
            <v>Aparatos para gimnasio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 t="str">
            <v>Equipo/
Pieza</v>
          </cell>
          <cell r="V291" t="str">
            <v>AE</v>
          </cell>
        </row>
        <row r="292">
          <cell r="A292">
            <v>147</v>
          </cell>
          <cell r="B292">
            <v>2017</v>
          </cell>
          <cell r="C292">
            <v>8300</v>
          </cell>
          <cell r="D292">
            <v>1</v>
          </cell>
          <cell r="E292">
            <v>1</v>
          </cell>
          <cell r="F292">
            <v>2</v>
          </cell>
          <cell r="G292">
            <v>5000</v>
          </cell>
          <cell r="H292">
            <v>5200</v>
          </cell>
          <cell r="I292">
            <v>523</v>
          </cell>
          <cell r="K292" t="str">
            <v>Cámaras fotográficas y de video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</row>
        <row r="293">
          <cell r="A293">
            <v>148</v>
          </cell>
          <cell r="B293">
            <v>2017</v>
          </cell>
          <cell r="C293">
            <v>8300</v>
          </cell>
          <cell r="D293">
            <v>1</v>
          </cell>
          <cell r="E293">
            <v>1</v>
          </cell>
          <cell r="F293">
            <v>2</v>
          </cell>
          <cell r="G293">
            <v>5000</v>
          </cell>
          <cell r="H293">
            <v>5200</v>
          </cell>
          <cell r="I293">
            <v>523</v>
          </cell>
          <cell r="J293">
            <v>1</v>
          </cell>
          <cell r="K293" t="str">
            <v>Cámara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 t="str">
            <v>Pieza</v>
          </cell>
          <cell r="V293" t="str">
            <v>FC</v>
          </cell>
        </row>
        <row r="294">
          <cell r="A294">
            <v>149</v>
          </cell>
          <cell r="B294">
            <v>2017</v>
          </cell>
          <cell r="C294">
            <v>8300</v>
          </cell>
          <cell r="D294">
            <v>1</v>
          </cell>
          <cell r="E294">
            <v>1</v>
          </cell>
          <cell r="F294">
            <v>2</v>
          </cell>
          <cell r="G294">
            <v>5000</v>
          </cell>
          <cell r="H294">
            <v>5200</v>
          </cell>
          <cell r="I294">
            <v>523</v>
          </cell>
          <cell r="J294">
            <v>2</v>
          </cell>
          <cell r="K294" t="str">
            <v>Equipo de video y sonido para cámara gesell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 t="str">
            <v>Pieza</v>
          </cell>
          <cell r="V294" t="str">
            <v>FC</v>
          </cell>
        </row>
        <row r="295">
          <cell r="A295">
            <v>150</v>
          </cell>
          <cell r="B295">
            <v>2017</v>
          </cell>
          <cell r="C295">
            <v>8300</v>
          </cell>
          <cell r="D295">
            <v>1</v>
          </cell>
          <cell r="E295">
            <v>1</v>
          </cell>
          <cell r="F295">
            <v>2</v>
          </cell>
          <cell r="G295">
            <v>5000</v>
          </cell>
          <cell r="H295">
            <v>5200</v>
          </cell>
          <cell r="I295">
            <v>523</v>
          </cell>
          <cell r="J295">
            <v>3</v>
          </cell>
          <cell r="K295" t="str">
            <v xml:space="preserve">Equipo de videograbación   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 t="str">
            <v>Pieza</v>
          </cell>
          <cell r="V295" t="str">
            <v>FC</v>
          </cell>
        </row>
        <row r="296">
          <cell r="A296">
            <v>151</v>
          </cell>
          <cell r="B296">
            <v>2017</v>
          </cell>
          <cell r="C296">
            <v>8300</v>
          </cell>
          <cell r="D296">
            <v>1</v>
          </cell>
          <cell r="E296">
            <v>1</v>
          </cell>
          <cell r="F296">
            <v>2</v>
          </cell>
          <cell r="G296">
            <v>5000</v>
          </cell>
          <cell r="H296">
            <v>5200</v>
          </cell>
          <cell r="I296">
            <v>523</v>
          </cell>
          <cell r="J296">
            <v>4</v>
          </cell>
          <cell r="K296" t="str">
            <v>Reproductor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 t="str">
            <v>Pieza</v>
          </cell>
          <cell r="V296" t="str">
            <v>FC</v>
          </cell>
        </row>
        <row r="297">
          <cell r="A297">
            <v>152</v>
          </cell>
          <cell r="B297">
            <v>2017</v>
          </cell>
          <cell r="C297">
            <v>8300</v>
          </cell>
          <cell r="D297">
            <v>1</v>
          </cell>
          <cell r="E297">
            <v>1</v>
          </cell>
          <cell r="F297">
            <v>2</v>
          </cell>
          <cell r="G297">
            <v>5000</v>
          </cell>
          <cell r="H297">
            <v>5200</v>
          </cell>
          <cell r="I297">
            <v>523</v>
          </cell>
          <cell r="J297">
            <v>5</v>
          </cell>
          <cell r="K297" t="str">
            <v xml:space="preserve">Videocámaras  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 t="str">
            <v>Pieza</v>
          </cell>
          <cell r="V297" t="str">
            <v>FC</v>
          </cell>
        </row>
        <row r="298">
          <cell r="A298">
            <v>153</v>
          </cell>
          <cell r="B298">
            <v>2017</v>
          </cell>
          <cell r="C298">
            <v>8300</v>
          </cell>
          <cell r="D298">
            <v>1</v>
          </cell>
          <cell r="E298">
            <v>1</v>
          </cell>
          <cell r="F298">
            <v>2</v>
          </cell>
          <cell r="G298">
            <v>5000</v>
          </cell>
          <cell r="H298">
            <v>5200</v>
          </cell>
          <cell r="I298">
            <v>523</v>
          </cell>
          <cell r="J298">
            <v>6</v>
          </cell>
          <cell r="K298" t="str">
            <v>Videoproyector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 t="str">
            <v>Pieza</v>
          </cell>
          <cell r="V298" t="str">
            <v>FC</v>
          </cell>
        </row>
        <row r="299">
          <cell r="A299">
            <v>154</v>
          </cell>
          <cell r="B299">
            <v>2017</v>
          </cell>
          <cell r="C299">
            <v>8300</v>
          </cell>
          <cell r="D299">
            <v>1</v>
          </cell>
          <cell r="E299">
            <v>1</v>
          </cell>
          <cell r="F299">
            <v>2</v>
          </cell>
          <cell r="G299">
            <v>5000</v>
          </cell>
          <cell r="H299">
            <v>5200</v>
          </cell>
          <cell r="I299">
            <v>529</v>
          </cell>
          <cell r="K299" t="str">
            <v>Otro mobiliario y equipo educacional y recreativo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</row>
        <row r="300">
          <cell r="A300">
            <v>155</v>
          </cell>
          <cell r="B300">
            <v>2017</v>
          </cell>
          <cell r="C300">
            <v>8300</v>
          </cell>
          <cell r="D300">
            <v>1</v>
          </cell>
          <cell r="E300">
            <v>1</v>
          </cell>
          <cell r="F300">
            <v>2</v>
          </cell>
          <cell r="G300">
            <v>5000</v>
          </cell>
          <cell r="H300">
            <v>5200</v>
          </cell>
          <cell r="I300">
            <v>529</v>
          </cell>
          <cell r="J300">
            <v>1</v>
          </cell>
          <cell r="K300" t="str">
            <v>Arenero de plástico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 t="str">
            <v>Pieza</v>
          </cell>
          <cell r="V300" t="str">
            <v>AE</v>
          </cell>
        </row>
        <row r="301">
          <cell r="A301">
            <v>156</v>
          </cell>
          <cell r="B301">
            <v>2017</v>
          </cell>
          <cell r="C301">
            <v>8300</v>
          </cell>
          <cell r="D301">
            <v>1</v>
          </cell>
          <cell r="E301">
            <v>1</v>
          </cell>
          <cell r="F301">
            <v>2</v>
          </cell>
          <cell r="G301">
            <v>5000</v>
          </cell>
          <cell r="H301">
            <v>5200</v>
          </cell>
          <cell r="I301">
            <v>529</v>
          </cell>
          <cell r="J301">
            <v>2</v>
          </cell>
          <cell r="K301" t="str">
            <v>Banco manicure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 t="str">
            <v>Pieza</v>
          </cell>
          <cell r="V301" t="str">
            <v>AE</v>
          </cell>
        </row>
        <row r="302">
          <cell r="A302">
            <v>157</v>
          </cell>
          <cell r="B302">
            <v>2017</v>
          </cell>
          <cell r="C302">
            <v>8300</v>
          </cell>
          <cell r="D302">
            <v>1</v>
          </cell>
          <cell r="E302">
            <v>1</v>
          </cell>
          <cell r="F302">
            <v>2</v>
          </cell>
          <cell r="G302">
            <v>5000</v>
          </cell>
          <cell r="H302">
            <v>5200</v>
          </cell>
          <cell r="I302">
            <v>529</v>
          </cell>
          <cell r="J302">
            <v>3</v>
          </cell>
          <cell r="K302" t="str">
            <v>Banco pedicure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 t="str">
            <v>Pieza</v>
          </cell>
          <cell r="V302" t="str">
            <v>AE</v>
          </cell>
        </row>
        <row r="303">
          <cell r="A303">
            <v>158</v>
          </cell>
          <cell r="B303">
            <v>2017</v>
          </cell>
          <cell r="C303">
            <v>8300</v>
          </cell>
          <cell r="D303">
            <v>1</v>
          </cell>
          <cell r="E303">
            <v>1</v>
          </cell>
          <cell r="F303">
            <v>2</v>
          </cell>
          <cell r="G303">
            <v>5000</v>
          </cell>
          <cell r="H303">
            <v>5200</v>
          </cell>
          <cell r="I303">
            <v>529</v>
          </cell>
          <cell r="J303">
            <v>4</v>
          </cell>
          <cell r="K303" t="str">
            <v>Casa de muñecas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 t="str">
            <v>Pieza</v>
          </cell>
          <cell r="V303" t="str">
            <v>AE</v>
          </cell>
        </row>
        <row r="304">
          <cell r="A304">
            <v>159</v>
          </cell>
          <cell r="B304">
            <v>2017</v>
          </cell>
          <cell r="C304">
            <v>8300</v>
          </cell>
          <cell r="D304">
            <v>1</v>
          </cell>
          <cell r="E304">
            <v>1</v>
          </cell>
          <cell r="F304">
            <v>2</v>
          </cell>
          <cell r="G304">
            <v>5000</v>
          </cell>
          <cell r="H304">
            <v>5200</v>
          </cell>
          <cell r="I304">
            <v>529</v>
          </cell>
          <cell r="J304">
            <v>5</v>
          </cell>
          <cell r="K304" t="str">
            <v>Juegos de Jardín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 t="str">
            <v>Pieza</v>
          </cell>
          <cell r="V304" t="str">
            <v>AE</v>
          </cell>
        </row>
        <row r="305">
          <cell r="A305">
            <v>160</v>
          </cell>
          <cell r="B305">
            <v>2017</v>
          </cell>
          <cell r="C305">
            <v>8300</v>
          </cell>
          <cell r="D305">
            <v>1</v>
          </cell>
          <cell r="E305">
            <v>1</v>
          </cell>
          <cell r="F305">
            <v>2</v>
          </cell>
          <cell r="G305">
            <v>5000</v>
          </cell>
          <cell r="H305">
            <v>5200</v>
          </cell>
          <cell r="I305">
            <v>529</v>
          </cell>
          <cell r="J305">
            <v>6</v>
          </cell>
          <cell r="K305" t="str">
            <v>Juegos psicológicos terapéuticos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 t="str">
            <v>Pieza</v>
          </cell>
          <cell r="V305" t="str">
            <v>AE</v>
          </cell>
        </row>
        <row r="306">
          <cell r="A306">
            <v>161</v>
          </cell>
          <cell r="B306">
            <v>2017</v>
          </cell>
          <cell r="C306">
            <v>8300</v>
          </cell>
          <cell r="D306">
            <v>1</v>
          </cell>
          <cell r="E306">
            <v>1</v>
          </cell>
          <cell r="F306">
            <v>2</v>
          </cell>
          <cell r="G306">
            <v>5000</v>
          </cell>
          <cell r="H306">
            <v>5200</v>
          </cell>
          <cell r="I306">
            <v>529</v>
          </cell>
          <cell r="J306">
            <v>7</v>
          </cell>
          <cell r="K306" t="str">
            <v>Juguetes recreativos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 t="str">
            <v>Pieza</v>
          </cell>
          <cell r="V306" t="str">
            <v>AE</v>
          </cell>
        </row>
        <row r="307">
          <cell r="A307">
            <v>162</v>
          </cell>
          <cell r="B307">
            <v>2017</v>
          </cell>
          <cell r="C307">
            <v>8300</v>
          </cell>
          <cell r="D307">
            <v>1</v>
          </cell>
          <cell r="E307">
            <v>1</v>
          </cell>
          <cell r="F307">
            <v>2</v>
          </cell>
          <cell r="G307">
            <v>5000</v>
          </cell>
          <cell r="H307">
            <v>5200</v>
          </cell>
          <cell r="I307">
            <v>529</v>
          </cell>
          <cell r="J307">
            <v>8</v>
          </cell>
          <cell r="K307" t="str">
            <v>Maniquí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 t="str">
            <v>Pieza</v>
          </cell>
          <cell r="V307" t="str">
            <v>AE</v>
          </cell>
        </row>
        <row r="308">
          <cell r="A308">
            <v>163</v>
          </cell>
          <cell r="B308">
            <v>2017</v>
          </cell>
          <cell r="C308">
            <v>8300</v>
          </cell>
          <cell r="D308">
            <v>1</v>
          </cell>
          <cell r="E308">
            <v>1</v>
          </cell>
          <cell r="F308">
            <v>2</v>
          </cell>
          <cell r="G308">
            <v>5000</v>
          </cell>
          <cell r="H308">
            <v>5200</v>
          </cell>
          <cell r="I308">
            <v>529</v>
          </cell>
          <cell r="J308">
            <v>9</v>
          </cell>
          <cell r="K308" t="str">
            <v>Mesa auxiliar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 t="str">
            <v>Pieza</v>
          </cell>
          <cell r="V308" t="str">
            <v>AE</v>
          </cell>
        </row>
        <row r="309">
          <cell r="A309">
            <v>164</v>
          </cell>
          <cell r="B309">
            <v>2017</v>
          </cell>
          <cell r="C309">
            <v>8300</v>
          </cell>
          <cell r="D309">
            <v>1</v>
          </cell>
          <cell r="E309">
            <v>1</v>
          </cell>
          <cell r="F309">
            <v>2</v>
          </cell>
          <cell r="G309">
            <v>5000</v>
          </cell>
          <cell r="H309">
            <v>5200</v>
          </cell>
          <cell r="I309">
            <v>529</v>
          </cell>
          <cell r="J309">
            <v>10</v>
          </cell>
          <cell r="K309" t="str">
            <v>Mesa manicure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 t="str">
            <v>Pieza</v>
          </cell>
          <cell r="V309" t="str">
            <v>AE</v>
          </cell>
        </row>
        <row r="310">
          <cell r="A310">
            <v>165</v>
          </cell>
          <cell r="B310">
            <v>2017</v>
          </cell>
          <cell r="C310">
            <v>8300</v>
          </cell>
          <cell r="D310">
            <v>1</v>
          </cell>
          <cell r="E310">
            <v>1</v>
          </cell>
          <cell r="F310">
            <v>2</v>
          </cell>
          <cell r="G310">
            <v>5000</v>
          </cell>
          <cell r="H310">
            <v>5200</v>
          </cell>
          <cell r="I310">
            <v>529</v>
          </cell>
          <cell r="J310">
            <v>11</v>
          </cell>
          <cell r="K310" t="str">
            <v xml:space="preserve">Mesa trapezoidal de primaria 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 t="str">
            <v>Pieza</v>
          </cell>
          <cell r="V310" t="str">
            <v>AE</v>
          </cell>
        </row>
        <row r="311">
          <cell r="A311">
            <v>166</v>
          </cell>
          <cell r="B311">
            <v>2017</v>
          </cell>
          <cell r="C311">
            <v>8300</v>
          </cell>
          <cell r="D311">
            <v>1</v>
          </cell>
          <cell r="E311">
            <v>1</v>
          </cell>
          <cell r="F311">
            <v>2</v>
          </cell>
          <cell r="G311">
            <v>5000</v>
          </cell>
          <cell r="H311">
            <v>5200</v>
          </cell>
          <cell r="I311">
            <v>529</v>
          </cell>
          <cell r="J311">
            <v>12</v>
          </cell>
          <cell r="K311" t="str">
            <v xml:space="preserve">Mesa de plástico 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 t="str">
            <v>Pieza</v>
          </cell>
          <cell r="V311" t="str">
            <v>AE</v>
          </cell>
        </row>
        <row r="312">
          <cell r="A312">
            <v>167</v>
          </cell>
          <cell r="B312">
            <v>2017</v>
          </cell>
          <cell r="C312">
            <v>8300</v>
          </cell>
          <cell r="D312">
            <v>1</v>
          </cell>
          <cell r="E312">
            <v>1</v>
          </cell>
          <cell r="F312">
            <v>2</v>
          </cell>
          <cell r="G312">
            <v>5000</v>
          </cell>
          <cell r="H312">
            <v>5200</v>
          </cell>
          <cell r="I312">
            <v>529</v>
          </cell>
          <cell r="J312">
            <v>13</v>
          </cell>
          <cell r="K312" t="str">
            <v>Muñecos sexuados (Juego o set)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 t="str">
            <v>Pieza</v>
          </cell>
          <cell r="V312" t="str">
            <v>AE</v>
          </cell>
        </row>
        <row r="313">
          <cell r="A313">
            <v>168</v>
          </cell>
          <cell r="B313">
            <v>2017</v>
          </cell>
          <cell r="C313">
            <v>8300</v>
          </cell>
          <cell r="D313">
            <v>1</v>
          </cell>
          <cell r="E313">
            <v>1</v>
          </cell>
          <cell r="F313">
            <v>2</v>
          </cell>
          <cell r="G313">
            <v>5000</v>
          </cell>
          <cell r="H313">
            <v>5200</v>
          </cell>
          <cell r="I313">
            <v>529</v>
          </cell>
          <cell r="J313">
            <v>14</v>
          </cell>
          <cell r="K313" t="str">
            <v xml:space="preserve">Silla de corte 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 t="str">
            <v>Pieza</v>
          </cell>
          <cell r="V313" t="str">
            <v>AE</v>
          </cell>
        </row>
        <row r="314">
          <cell r="A314">
            <v>169</v>
          </cell>
          <cell r="B314">
            <v>2017</v>
          </cell>
          <cell r="C314">
            <v>8300</v>
          </cell>
          <cell r="D314">
            <v>1</v>
          </cell>
          <cell r="E314">
            <v>1</v>
          </cell>
          <cell r="F314">
            <v>2</v>
          </cell>
          <cell r="G314">
            <v>5000</v>
          </cell>
          <cell r="H314">
            <v>5200</v>
          </cell>
          <cell r="I314">
            <v>529</v>
          </cell>
          <cell r="J314">
            <v>15</v>
          </cell>
          <cell r="K314" t="str">
            <v xml:space="preserve">Silla de plástico 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 t="str">
            <v>Pieza</v>
          </cell>
          <cell r="V314" t="str">
            <v>AE</v>
          </cell>
        </row>
        <row r="315">
          <cell r="A315">
            <v>170</v>
          </cell>
          <cell r="B315">
            <v>2017</v>
          </cell>
          <cell r="C315">
            <v>8300</v>
          </cell>
          <cell r="D315">
            <v>1</v>
          </cell>
          <cell r="E315">
            <v>1</v>
          </cell>
          <cell r="F315">
            <v>2</v>
          </cell>
          <cell r="G315">
            <v>5000</v>
          </cell>
          <cell r="H315">
            <v>5200</v>
          </cell>
          <cell r="I315">
            <v>529</v>
          </cell>
          <cell r="J315">
            <v>16</v>
          </cell>
          <cell r="K315" t="str">
            <v>Sillas de salón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 t="str">
            <v>Pieza</v>
          </cell>
          <cell r="V315" t="str">
            <v>AE</v>
          </cell>
        </row>
        <row r="316">
          <cell r="A316">
            <v>171</v>
          </cell>
          <cell r="B316">
            <v>2017</v>
          </cell>
          <cell r="C316">
            <v>8300</v>
          </cell>
          <cell r="D316">
            <v>1</v>
          </cell>
          <cell r="E316">
            <v>1</v>
          </cell>
          <cell r="F316">
            <v>2</v>
          </cell>
          <cell r="G316">
            <v>5000</v>
          </cell>
          <cell r="H316">
            <v>5200</v>
          </cell>
          <cell r="I316">
            <v>529</v>
          </cell>
          <cell r="J316">
            <v>17</v>
          </cell>
          <cell r="K316" t="str">
            <v>Tocador con luna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 t="str">
            <v>Pieza</v>
          </cell>
          <cell r="V316" t="str">
            <v>AE</v>
          </cell>
        </row>
        <row r="317">
          <cell r="A317">
            <v>172</v>
          </cell>
          <cell r="B317">
            <v>2017</v>
          </cell>
          <cell r="C317">
            <v>8300</v>
          </cell>
          <cell r="D317">
            <v>1</v>
          </cell>
          <cell r="E317">
            <v>1</v>
          </cell>
          <cell r="F317">
            <v>2</v>
          </cell>
          <cell r="G317">
            <v>5000</v>
          </cell>
          <cell r="H317">
            <v>5200</v>
          </cell>
          <cell r="I317">
            <v>529</v>
          </cell>
          <cell r="J317">
            <v>18</v>
          </cell>
          <cell r="K317" t="str">
            <v>Mesa infantil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 t="str">
            <v>Pieza</v>
          </cell>
          <cell r="V317" t="str">
            <v>AE</v>
          </cell>
        </row>
        <row r="318">
          <cell r="A318">
            <v>173</v>
          </cell>
          <cell r="B318">
            <v>2017</v>
          </cell>
          <cell r="C318">
            <v>8300</v>
          </cell>
          <cell r="D318">
            <v>1</v>
          </cell>
          <cell r="E318">
            <v>1</v>
          </cell>
          <cell r="F318">
            <v>2</v>
          </cell>
          <cell r="G318">
            <v>5000</v>
          </cell>
          <cell r="H318">
            <v>5200</v>
          </cell>
          <cell r="I318">
            <v>529</v>
          </cell>
          <cell r="J318">
            <v>19</v>
          </cell>
          <cell r="K318" t="str">
            <v>Silla infantil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 t="str">
            <v>Pieza</v>
          </cell>
          <cell r="V318" t="str">
            <v>AE</v>
          </cell>
        </row>
        <row r="319">
          <cell r="A319">
            <v>174</v>
          </cell>
          <cell r="B319">
            <v>2017</v>
          </cell>
          <cell r="C319">
            <v>8300</v>
          </cell>
          <cell r="D319">
            <v>1</v>
          </cell>
          <cell r="E319">
            <v>1</v>
          </cell>
          <cell r="F319">
            <v>2</v>
          </cell>
          <cell r="G319">
            <v>5000</v>
          </cell>
          <cell r="H319">
            <v>5300</v>
          </cell>
          <cell r="K319" t="str">
            <v>Equipo e Instrumental Médico y de Laboratorio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</row>
        <row r="320">
          <cell r="A320">
            <v>175</v>
          </cell>
          <cell r="B320">
            <v>2017</v>
          </cell>
          <cell r="C320">
            <v>8300</v>
          </cell>
          <cell r="D320">
            <v>1</v>
          </cell>
          <cell r="E320">
            <v>1</v>
          </cell>
          <cell r="F320">
            <v>2</v>
          </cell>
          <cell r="G320">
            <v>5000</v>
          </cell>
          <cell r="H320">
            <v>5300</v>
          </cell>
          <cell r="I320">
            <v>531</v>
          </cell>
          <cell r="K320" t="str">
            <v>Equipo médico y de laboratorio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</row>
        <row r="321">
          <cell r="A321">
            <v>176</v>
          </cell>
          <cell r="B321">
            <v>2017</v>
          </cell>
          <cell r="C321">
            <v>8300</v>
          </cell>
          <cell r="D321">
            <v>1</v>
          </cell>
          <cell r="E321">
            <v>1</v>
          </cell>
          <cell r="F321">
            <v>2</v>
          </cell>
          <cell r="G321">
            <v>5000</v>
          </cell>
          <cell r="H321">
            <v>5300</v>
          </cell>
          <cell r="I321">
            <v>531</v>
          </cell>
          <cell r="J321">
            <v>1</v>
          </cell>
          <cell r="K321" t="str">
            <v xml:space="preserve">Buró 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 t="str">
            <v>Pieza</v>
          </cell>
          <cell r="V321" t="str">
            <v>FC</v>
          </cell>
        </row>
        <row r="322">
          <cell r="A322">
            <v>177</v>
          </cell>
          <cell r="B322">
            <v>2017</v>
          </cell>
          <cell r="C322">
            <v>8300</v>
          </cell>
          <cell r="D322">
            <v>1</v>
          </cell>
          <cell r="E322">
            <v>1</v>
          </cell>
          <cell r="F322">
            <v>2</v>
          </cell>
          <cell r="G322">
            <v>5000</v>
          </cell>
          <cell r="H322">
            <v>5300</v>
          </cell>
          <cell r="I322">
            <v>531</v>
          </cell>
          <cell r="J322">
            <v>2</v>
          </cell>
          <cell r="K322" t="str">
            <v xml:space="preserve">Cama 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 t="str">
            <v>Pieza</v>
          </cell>
          <cell r="V322" t="str">
            <v>FC</v>
          </cell>
        </row>
        <row r="323">
          <cell r="A323">
            <v>178</v>
          </cell>
          <cell r="B323">
            <v>2017</v>
          </cell>
          <cell r="C323">
            <v>8300</v>
          </cell>
          <cell r="D323">
            <v>1</v>
          </cell>
          <cell r="E323">
            <v>1</v>
          </cell>
          <cell r="F323">
            <v>2</v>
          </cell>
          <cell r="G323">
            <v>5000</v>
          </cell>
          <cell r="H323">
            <v>5300</v>
          </cell>
          <cell r="I323">
            <v>531</v>
          </cell>
          <cell r="J323">
            <v>3</v>
          </cell>
          <cell r="K323" t="str">
            <v xml:space="preserve">Cama de exploración 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 t="str">
            <v>Pieza</v>
          </cell>
          <cell r="V323" t="str">
            <v>FC</v>
          </cell>
        </row>
        <row r="324">
          <cell r="A324">
            <v>179</v>
          </cell>
          <cell r="B324">
            <v>2017</v>
          </cell>
          <cell r="C324">
            <v>8300</v>
          </cell>
          <cell r="D324">
            <v>1</v>
          </cell>
          <cell r="E324">
            <v>1</v>
          </cell>
          <cell r="F324">
            <v>2</v>
          </cell>
          <cell r="G324">
            <v>5000</v>
          </cell>
          <cell r="H324">
            <v>5300</v>
          </cell>
          <cell r="I324">
            <v>531</v>
          </cell>
          <cell r="J324">
            <v>4</v>
          </cell>
          <cell r="K324" t="str">
            <v>Cauterizador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 t="str">
            <v>Pieza</v>
          </cell>
          <cell r="V324" t="str">
            <v>FC</v>
          </cell>
        </row>
        <row r="325">
          <cell r="A325">
            <v>180</v>
          </cell>
          <cell r="B325">
            <v>2017</v>
          </cell>
          <cell r="C325">
            <v>8300</v>
          </cell>
          <cell r="D325">
            <v>1</v>
          </cell>
          <cell r="E325">
            <v>1</v>
          </cell>
          <cell r="F325">
            <v>2</v>
          </cell>
          <cell r="G325">
            <v>5000</v>
          </cell>
          <cell r="H325">
            <v>5300</v>
          </cell>
          <cell r="I325">
            <v>531</v>
          </cell>
          <cell r="J325">
            <v>5</v>
          </cell>
          <cell r="K325" t="str">
            <v>Equipo de química sanguínea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 t="str">
            <v>Pieza</v>
          </cell>
          <cell r="V325" t="str">
            <v>FC</v>
          </cell>
        </row>
        <row r="326">
          <cell r="A326">
            <v>181</v>
          </cell>
          <cell r="B326">
            <v>2017</v>
          </cell>
          <cell r="C326">
            <v>8300</v>
          </cell>
          <cell r="D326">
            <v>1</v>
          </cell>
          <cell r="E326">
            <v>1</v>
          </cell>
          <cell r="F326">
            <v>2</v>
          </cell>
          <cell r="G326">
            <v>5000</v>
          </cell>
          <cell r="H326">
            <v>5300</v>
          </cell>
          <cell r="I326">
            <v>531</v>
          </cell>
          <cell r="J326">
            <v>6</v>
          </cell>
          <cell r="K326" t="str">
            <v>Equipo de rayos X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 t="str">
            <v>Pieza</v>
          </cell>
          <cell r="V326" t="str">
            <v>FC</v>
          </cell>
        </row>
        <row r="327">
          <cell r="A327">
            <v>182</v>
          </cell>
          <cell r="B327">
            <v>2017</v>
          </cell>
          <cell r="C327">
            <v>8300</v>
          </cell>
          <cell r="D327">
            <v>1</v>
          </cell>
          <cell r="E327">
            <v>1</v>
          </cell>
          <cell r="F327">
            <v>2</v>
          </cell>
          <cell r="G327">
            <v>5000</v>
          </cell>
          <cell r="H327">
            <v>5300</v>
          </cell>
          <cell r="I327">
            <v>531</v>
          </cell>
          <cell r="J327">
            <v>7</v>
          </cell>
          <cell r="K327" t="str">
            <v>Equipo de ultrasonido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 t="str">
            <v>Pieza</v>
          </cell>
          <cell r="V327" t="str">
            <v>FC</v>
          </cell>
        </row>
        <row r="328">
          <cell r="A328">
            <v>183</v>
          </cell>
          <cell r="B328">
            <v>2017</v>
          </cell>
          <cell r="C328">
            <v>8300</v>
          </cell>
          <cell r="D328">
            <v>1</v>
          </cell>
          <cell r="E328">
            <v>1</v>
          </cell>
          <cell r="F328">
            <v>2</v>
          </cell>
          <cell r="G328">
            <v>5000</v>
          </cell>
          <cell r="H328">
            <v>5300</v>
          </cell>
          <cell r="I328">
            <v>531</v>
          </cell>
          <cell r="J328">
            <v>8</v>
          </cell>
          <cell r="K328" t="str">
            <v>Equipo de uroanálisis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 t="str">
            <v>Pieza</v>
          </cell>
          <cell r="V328" t="str">
            <v>FC</v>
          </cell>
        </row>
        <row r="329">
          <cell r="A329">
            <v>184</v>
          </cell>
          <cell r="B329">
            <v>2017</v>
          </cell>
          <cell r="C329">
            <v>8300</v>
          </cell>
          <cell r="D329">
            <v>1</v>
          </cell>
          <cell r="E329">
            <v>1</v>
          </cell>
          <cell r="F329">
            <v>2</v>
          </cell>
          <cell r="G329">
            <v>5000</v>
          </cell>
          <cell r="H329">
            <v>5300</v>
          </cell>
          <cell r="I329">
            <v>531</v>
          </cell>
          <cell r="J329">
            <v>9</v>
          </cell>
          <cell r="K329" t="str">
            <v>Equipo para hematología clínica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 t="str">
            <v>Pieza</v>
          </cell>
          <cell r="V329" t="str">
            <v>FC</v>
          </cell>
        </row>
        <row r="330">
          <cell r="A330">
            <v>185</v>
          </cell>
          <cell r="B330">
            <v>2017</v>
          </cell>
          <cell r="C330">
            <v>8300</v>
          </cell>
          <cell r="D330">
            <v>1</v>
          </cell>
          <cell r="E330">
            <v>1</v>
          </cell>
          <cell r="F330">
            <v>2</v>
          </cell>
          <cell r="G330">
            <v>5000</v>
          </cell>
          <cell r="H330">
            <v>5300</v>
          </cell>
          <cell r="I330">
            <v>531</v>
          </cell>
          <cell r="J330">
            <v>10</v>
          </cell>
          <cell r="K330" t="str">
            <v>Equipo servicios médicos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 t="str">
            <v>Pieza</v>
          </cell>
          <cell r="V330" t="str">
            <v>FC</v>
          </cell>
        </row>
        <row r="331">
          <cell r="A331">
            <v>186</v>
          </cell>
          <cell r="B331">
            <v>2017</v>
          </cell>
          <cell r="C331">
            <v>8300</v>
          </cell>
          <cell r="D331">
            <v>1</v>
          </cell>
          <cell r="E331">
            <v>1</v>
          </cell>
          <cell r="F331">
            <v>2</v>
          </cell>
          <cell r="G331">
            <v>5000</v>
          </cell>
          <cell r="H331">
            <v>5300</v>
          </cell>
          <cell r="I331">
            <v>531</v>
          </cell>
          <cell r="J331">
            <v>11</v>
          </cell>
          <cell r="K331" t="str">
            <v>Gabinete médico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 t="str">
            <v>Pieza</v>
          </cell>
          <cell r="V331" t="str">
            <v>FC</v>
          </cell>
        </row>
        <row r="332">
          <cell r="A332">
            <v>187</v>
          </cell>
          <cell r="B332">
            <v>2017</v>
          </cell>
          <cell r="C332">
            <v>8300</v>
          </cell>
          <cell r="D332">
            <v>1</v>
          </cell>
          <cell r="E332">
            <v>1</v>
          </cell>
          <cell r="F332">
            <v>2</v>
          </cell>
          <cell r="G332">
            <v>5000</v>
          </cell>
          <cell r="H332">
            <v>5300</v>
          </cell>
          <cell r="I332">
            <v>531</v>
          </cell>
          <cell r="J332">
            <v>12</v>
          </cell>
          <cell r="K332" t="str">
            <v>Maniquí anatómico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 t="str">
            <v>Pieza</v>
          </cell>
          <cell r="V332" t="str">
            <v>FC</v>
          </cell>
        </row>
        <row r="333">
          <cell r="A333">
            <v>188</v>
          </cell>
          <cell r="B333">
            <v>2017</v>
          </cell>
          <cell r="C333">
            <v>8300</v>
          </cell>
          <cell r="D333">
            <v>1</v>
          </cell>
          <cell r="E333">
            <v>1</v>
          </cell>
          <cell r="F333">
            <v>2</v>
          </cell>
          <cell r="G333">
            <v>5000</v>
          </cell>
          <cell r="H333">
            <v>5300</v>
          </cell>
          <cell r="I333">
            <v>531</v>
          </cell>
          <cell r="J333">
            <v>13</v>
          </cell>
          <cell r="K333" t="str">
            <v>Mesa de exploración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 t="str">
            <v>Pieza</v>
          </cell>
          <cell r="V333" t="str">
            <v>FC</v>
          </cell>
        </row>
        <row r="334">
          <cell r="A334">
            <v>189</v>
          </cell>
          <cell r="B334">
            <v>2017</v>
          </cell>
          <cell r="C334">
            <v>8300</v>
          </cell>
          <cell r="D334">
            <v>1</v>
          </cell>
          <cell r="E334">
            <v>1</v>
          </cell>
          <cell r="F334">
            <v>2</v>
          </cell>
          <cell r="G334">
            <v>5000</v>
          </cell>
          <cell r="H334">
            <v>5300</v>
          </cell>
          <cell r="I334">
            <v>531</v>
          </cell>
          <cell r="J334">
            <v>14</v>
          </cell>
          <cell r="K334" t="str">
            <v>Microscopio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 t="str">
            <v>Equipo/
Pieza</v>
          </cell>
          <cell r="V334" t="str">
            <v>FC</v>
          </cell>
        </row>
        <row r="335">
          <cell r="A335">
            <v>190</v>
          </cell>
          <cell r="B335">
            <v>2017</v>
          </cell>
          <cell r="C335">
            <v>8300</v>
          </cell>
          <cell r="D335">
            <v>1</v>
          </cell>
          <cell r="E335">
            <v>1</v>
          </cell>
          <cell r="F335">
            <v>2</v>
          </cell>
          <cell r="G335">
            <v>5000</v>
          </cell>
          <cell r="H335">
            <v>5300</v>
          </cell>
          <cell r="I335">
            <v>531</v>
          </cell>
          <cell r="J335">
            <v>15</v>
          </cell>
          <cell r="K335" t="str">
            <v>Sillas de ruedas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 t="str">
            <v>Pieza</v>
          </cell>
          <cell r="V335" t="str">
            <v>FC</v>
          </cell>
        </row>
        <row r="336">
          <cell r="A336">
            <v>191</v>
          </cell>
          <cell r="B336">
            <v>2017</v>
          </cell>
          <cell r="C336">
            <v>8300</v>
          </cell>
          <cell r="D336">
            <v>1</v>
          </cell>
          <cell r="E336">
            <v>1</v>
          </cell>
          <cell r="F336">
            <v>2</v>
          </cell>
          <cell r="G336">
            <v>5000</v>
          </cell>
          <cell r="H336">
            <v>5300</v>
          </cell>
          <cell r="I336">
            <v>531</v>
          </cell>
          <cell r="J336">
            <v>16</v>
          </cell>
          <cell r="K336" t="str">
            <v xml:space="preserve">Unidad mastográfica 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 t="str">
            <v>Pieza</v>
          </cell>
          <cell r="V336" t="str">
            <v>FC</v>
          </cell>
        </row>
        <row r="337">
          <cell r="A337">
            <v>192</v>
          </cell>
          <cell r="B337">
            <v>2017</v>
          </cell>
          <cell r="C337">
            <v>8300</v>
          </cell>
          <cell r="D337">
            <v>1</v>
          </cell>
          <cell r="E337">
            <v>1</v>
          </cell>
          <cell r="F337">
            <v>2</v>
          </cell>
          <cell r="G337">
            <v>5000</v>
          </cell>
          <cell r="H337">
            <v>5300</v>
          </cell>
          <cell r="I337">
            <v>531</v>
          </cell>
          <cell r="J337">
            <v>17</v>
          </cell>
          <cell r="K337" t="str">
            <v>Vitrina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 t="str">
            <v>Pieza</v>
          </cell>
          <cell r="V337" t="str">
            <v>FC</v>
          </cell>
        </row>
        <row r="338">
          <cell r="A338">
            <v>193</v>
          </cell>
          <cell r="B338">
            <v>2017</v>
          </cell>
          <cell r="C338">
            <v>8300</v>
          </cell>
          <cell r="D338">
            <v>1</v>
          </cell>
          <cell r="E338">
            <v>1</v>
          </cell>
          <cell r="F338">
            <v>2</v>
          </cell>
          <cell r="G338">
            <v>5000</v>
          </cell>
          <cell r="H338">
            <v>5300</v>
          </cell>
          <cell r="I338">
            <v>531</v>
          </cell>
          <cell r="J338">
            <v>18</v>
          </cell>
          <cell r="K338" t="str">
            <v>Refrigerador para medicamentos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 t="str">
            <v>Pieza</v>
          </cell>
          <cell r="V338" t="str">
            <v>FC</v>
          </cell>
        </row>
        <row r="339">
          <cell r="A339">
            <v>194</v>
          </cell>
          <cell r="B339">
            <v>2017</v>
          </cell>
          <cell r="C339">
            <v>8300</v>
          </cell>
          <cell r="D339">
            <v>1</v>
          </cell>
          <cell r="E339">
            <v>1</v>
          </cell>
          <cell r="F339">
            <v>2</v>
          </cell>
          <cell r="G339">
            <v>5000</v>
          </cell>
          <cell r="H339">
            <v>5300</v>
          </cell>
          <cell r="I339">
            <v>532</v>
          </cell>
          <cell r="K339" t="str">
            <v>Instrumental médico y de laboratorio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</row>
        <row r="340">
          <cell r="A340">
            <v>195</v>
          </cell>
          <cell r="B340">
            <v>2017</v>
          </cell>
          <cell r="C340">
            <v>8300</v>
          </cell>
          <cell r="D340">
            <v>1</v>
          </cell>
          <cell r="E340">
            <v>1</v>
          </cell>
          <cell r="F340">
            <v>2</v>
          </cell>
          <cell r="G340">
            <v>5000</v>
          </cell>
          <cell r="H340">
            <v>5300</v>
          </cell>
          <cell r="I340">
            <v>532</v>
          </cell>
          <cell r="J340">
            <v>1</v>
          </cell>
          <cell r="K340" t="str">
            <v xml:space="preserve">Báscula  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 t="str">
            <v>Pieza</v>
          </cell>
          <cell r="V340" t="str">
            <v>FC</v>
          </cell>
        </row>
        <row r="341">
          <cell r="A341">
            <v>196</v>
          </cell>
          <cell r="B341">
            <v>2017</v>
          </cell>
          <cell r="C341">
            <v>8300</v>
          </cell>
          <cell r="D341">
            <v>1</v>
          </cell>
          <cell r="E341">
            <v>1</v>
          </cell>
          <cell r="F341">
            <v>2</v>
          </cell>
          <cell r="G341">
            <v>5000</v>
          </cell>
          <cell r="H341">
            <v>5300</v>
          </cell>
          <cell r="I341">
            <v>532</v>
          </cell>
          <cell r="J341">
            <v>2</v>
          </cell>
          <cell r="K341" t="str">
            <v>Colposcopio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 t="str">
            <v>Pieza</v>
          </cell>
          <cell r="V341" t="str">
            <v>FC</v>
          </cell>
        </row>
        <row r="342">
          <cell r="A342">
            <v>197</v>
          </cell>
          <cell r="B342">
            <v>2017</v>
          </cell>
          <cell r="C342">
            <v>8300</v>
          </cell>
          <cell r="D342">
            <v>1</v>
          </cell>
          <cell r="E342">
            <v>1</v>
          </cell>
          <cell r="F342">
            <v>2</v>
          </cell>
          <cell r="G342">
            <v>5000</v>
          </cell>
          <cell r="H342">
            <v>5300</v>
          </cell>
          <cell r="I342">
            <v>532</v>
          </cell>
          <cell r="J342">
            <v>3</v>
          </cell>
          <cell r="K342" t="str">
            <v xml:space="preserve">Detector de latidos fetales  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 t="str">
            <v>Pieza</v>
          </cell>
          <cell r="V342" t="str">
            <v>FC</v>
          </cell>
        </row>
        <row r="343">
          <cell r="A343">
            <v>198</v>
          </cell>
          <cell r="B343">
            <v>2017</v>
          </cell>
          <cell r="C343">
            <v>8300</v>
          </cell>
          <cell r="D343">
            <v>1</v>
          </cell>
          <cell r="E343">
            <v>1</v>
          </cell>
          <cell r="F343">
            <v>2</v>
          </cell>
          <cell r="G343">
            <v>5000</v>
          </cell>
          <cell r="H343">
            <v>5300</v>
          </cell>
          <cell r="I343">
            <v>532</v>
          </cell>
          <cell r="J343">
            <v>4</v>
          </cell>
          <cell r="K343" t="str">
            <v>Equipo instrumental de servicios clínicos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 t="str">
            <v>Pieza</v>
          </cell>
          <cell r="V343" t="str">
            <v>FC</v>
          </cell>
        </row>
        <row r="344">
          <cell r="A344">
            <v>199</v>
          </cell>
          <cell r="B344">
            <v>2017</v>
          </cell>
          <cell r="C344">
            <v>8300</v>
          </cell>
          <cell r="D344">
            <v>1</v>
          </cell>
          <cell r="E344">
            <v>1</v>
          </cell>
          <cell r="F344">
            <v>2</v>
          </cell>
          <cell r="G344">
            <v>5000</v>
          </cell>
          <cell r="H344">
            <v>5400</v>
          </cell>
          <cell r="K344" t="str">
            <v>Vehículos y Equipo de Transporte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</row>
        <row r="345">
          <cell r="A345">
            <v>200</v>
          </cell>
          <cell r="B345">
            <v>2017</v>
          </cell>
          <cell r="C345">
            <v>8300</v>
          </cell>
          <cell r="D345">
            <v>1</v>
          </cell>
          <cell r="E345">
            <v>1</v>
          </cell>
          <cell r="F345">
            <v>2</v>
          </cell>
          <cell r="G345">
            <v>5000</v>
          </cell>
          <cell r="H345">
            <v>5400</v>
          </cell>
          <cell r="I345">
            <v>541</v>
          </cell>
          <cell r="K345" t="str">
            <v>Vehículos y equipo terrestre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</row>
        <row r="346">
          <cell r="A346">
            <v>201</v>
          </cell>
          <cell r="B346">
            <v>2017</v>
          </cell>
          <cell r="C346">
            <v>8300</v>
          </cell>
          <cell r="D346">
            <v>1</v>
          </cell>
          <cell r="E346">
            <v>1</v>
          </cell>
          <cell r="F346">
            <v>2</v>
          </cell>
          <cell r="G346">
            <v>5000</v>
          </cell>
          <cell r="H346">
            <v>5400</v>
          </cell>
          <cell r="I346">
            <v>541</v>
          </cell>
          <cell r="J346">
            <v>1</v>
          </cell>
          <cell r="K346" t="str">
            <v>Vehículo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 t="str">
            <v>Pieza</v>
          </cell>
          <cell r="V346" t="str">
            <v>AE</v>
          </cell>
        </row>
        <row r="347">
          <cell r="A347">
            <v>202</v>
          </cell>
          <cell r="B347">
            <v>2017</v>
          </cell>
          <cell r="C347">
            <v>8300</v>
          </cell>
          <cell r="D347">
            <v>1</v>
          </cell>
          <cell r="E347">
            <v>1</v>
          </cell>
          <cell r="F347">
            <v>2</v>
          </cell>
          <cell r="G347">
            <v>5000</v>
          </cell>
          <cell r="H347">
            <v>5600</v>
          </cell>
          <cell r="K347" t="str">
            <v>Maquinaria, Otros Equipos y Herramientas</v>
          </cell>
          <cell r="L347">
            <v>2000</v>
          </cell>
          <cell r="M347">
            <v>0</v>
          </cell>
          <cell r="N347">
            <v>2000</v>
          </cell>
          <cell r="O347">
            <v>0</v>
          </cell>
          <cell r="P347">
            <v>0</v>
          </cell>
          <cell r="Q347">
            <v>0</v>
          </cell>
          <cell r="R347">
            <v>2000</v>
          </cell>
        </row>
        <row r="348">
          <cell r="A348">
            <v>203</v>
          </cell>
          <cell r="B348">
            <v>2017</v>
          </cell>
          <cell r="C348">
            <v>8300</v>
          </cell>
          <cell r="D348">
            <v>1</v>
          </cell>
          <cell r="E348">
            <v>1</v>
          </cell>
          <cell r="F348">
            <v>2</v>
          </cell>
          <cell r="G348">
            <v>5000</v>
          </cell>
          <cell r="H348">
            <v>5600</v>
          </cell>
          <cell r="I348">
            <v>564</v>
          </cell>
          <cell r="K348" t="str">
            <v>Sistemas de aire acondicionado, calefacción y de refrigeración industrial y comercial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</row>
        <row r="349">
          <cell r="A349">
            <v>204</v>
          </cell>
          <cell r="B349">
            <v>2017</v>
          </cell>
          <cell r="C349">
            <v>8300</v>
          </cell>
          <cell r="D349">
            <v>1</v>
          </cell>
          <cell r="E349">
            <v>1</v>
          </cell>
          <cell r="F349">
            <v>2</v>
          </cell>
          <cell r="G349">
            <v>5000</v>
          </cell>
          <cell r="H349">
            <v>5600</v>
          </cell>
          <cell r="I349">
            <v>564</v>
          </cell>
          <cell r="J349">
            <v>1</v>
          </cell>
          <cell r="K349" t="str">
            <v>Congelador Industrial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 t="str">
            <v>Pieza</v>
          </cell>
          <cell r="V349" t="str">
            <v>FC</v>
          </cell>
        </row>
        <row r="350">
          <cell r="A350">
            <v>205</v>
          </cell>
          <cell r="B350">
            <v>2017</v>
          </cell>
          <cell r="C350">
            <v>8300</v>
          </cell>
          <cell r="D350">
            <v>1</v>
          </cell>
          <cell r="E350">
            <v>1</v>
          </cell>
          <cell r="F350">
            <v>2</v>
          </cell>
          <cell r="G350">
            <v>5000</v>
          </cell>
          <cell r="H350">
            <v>5600</v>
          </cell>
          <cell r="I350">
            <v>564</v>
          </cell>
          <cell r="J350">
            <v>2</v>
          </cell>
          <cell r="K350" t="str">
            <v>Refrigerador industrial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 t="str">
            <v>Pieza</v>
          </cell>
          <cell r="V350" t="str">
            <v>FC</v>
          </cell>
        </row>
        <row r="351">
          <cell r="A351">
            <v>206</v>
          </cell>
          <cell r="B351">
            <v>2017</v>
          </cell>
          <cell r="C351">
            <v>8300</v>
          </cell>
          <cell r="D351">
            <v>1</v>
          </cell>
          <cell r="E351">
            <v>1</v>
          </cell>
          <cell r="F351">
            <v>2</v>
          </cell>
          <cell r="G351">
            <v>5000</v>
          </cell>
          <cell r="H351">
            <v>5600</v>
          </cell>
          <cell r="I351">
            <v>564</v>
          </cell>
          <cell r="J351">
            <v>3</v>
          </cell>
          <cell r="K351" t="str">
            <v>Aire Acondicionado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 t="str">
            <v>Pieza</v>
          </cell>
          <cell r="V351" t="str">
            <v>FC</v>
          </cell>
        </row>
        <row r="352">
          <cell r="A352">
            <v>207</v>
          </cell>
          <cell r="B352">
            <v>2017</v>
          </cell>
          <cell r="C352">
            <v>8300</v>
          </cell>
          <cell r="D352">
            <v>1</v>
          </cell>
          <cell r="E352">
            <v>1</v>
          </cell>
          <cell r="F352">
            <v>2</v>
          </cell>
          <cell r="G352">
            <v>5000</v>
          </cell>
          <cell r="H352">
            <v>5600</v>
          </cell>
          <cell r="I352">
            <v>565</v>
          </cell>
          <cell r="K352" t="str">
            <v>Equipo de comunicación y telecomunicación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</row>
        <row r="353">
          <cell r="A353">
            <v>208</v>
          </cell>
          <cell r="B353">
            <v>2017</v>
          </cell>
          <cell r="C353">
            <v>8300</v>
          </cell>
          <cell r="D353">
            <v>1</v>
          </cell>
          <cell r="E353">
            <v>1</v>
          </cell>
          <cell r="F353">
            <v>2</v>
          </cell>
          <cell r="G353">
            <v>5000</v>
          </cell>
          <cell r="H353">
            <v>5600</v>
          </cell>
          <cell r="I353">
            <v>565</v>
          </cell>
          <cell r="J353">
            <v>1</v>
          </cell>
          <cell r="K353" t="str">
            <v>Cámara IP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 t="str">
            <v>Pieza</v>
          </cell>
          <cell r="V353" t="str">
            <v>FC</v>
          </cell>
        </row>
        <row r="354">
          <cell r="A354">
            <v>209</v>
          </cell>
          <cell r="B354">
            <v>2017</v>
          </cell>
          <cell r="C354">
            <v>8300</v>
          </cell>
          <cell r="D354">
            <v>1</v>
          </cell>
          <cell r="E354">
            <v>1</v>
          </cell>
          <cell r="F354">
            <v>2</v>
          </cell>
          <cell r="G354">
            <v>5000</v>
          </cell>
          <cell r="H354">
            <v>5600</v>
          </cell>
          <cell r="I354">
            <v>565</v>
          </cell>
          <cell r="J354">
            <v>2</v>
          </cell>
          <cell r="K354" t="str">
            <v xml:space="preserve">Equipo para enlaces de comunicación 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 t="str">
            <v>Pieza</v>
          </cell>
          <cell r="V354" t="str">
            <v>FC</v>
          </cell>
        </row>
        <row r="355">
          <cell r="A355">
            <v>210</v>
          </cell>
          <cell r="B355">
            <v>2017</v>
          </cell>
          <cell r="C355">
            <v>8300</v>
          </cell>
          <cell r="D355">
            <v>1</v>
          </cell>
          <cell r="E355">
            <v>1</v>
          </cell>
          <cell r="F355">
            <v>2</v>
          </cell>
          <cell r="G355">
            <v>5000</v>
          </cell>
          <cell r="H355">
            <v>5600</v>
          </cell>
          <cell r="I355">
            <v>565</v>
          </cell>
          <cell r="J355">
            <v>3</v>
          </cell>
          <cell r="K355" t="str">
            <v>Torre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 t="str">
            <v>Pieza</v>
          </cell>
          <cell r="V355" t="str">
            <v>FC</v>
          </cell>
        </row>
        <row r="356">
          <cell r="A356">
            <v>211</v>
          </cell>
          <cell r="B356">
            <v>2017</v>
          </cell>
          <cell r="C356">
            <v>8300</v>
          </cell>
          <cell r="D356">
            <v>1</v>
          </cell>
          <cell r="E356">
            <v>1</v>
          </cell>
          <cell r="F356">
            <v>2</v>
          </cell>
          <cell r="G356">
            <v>5000</v>
          </cell>
          <cell r="H356">
            <v>5600</v>
          </cell>
          <cell r="I356">
            <v>569</v>
          </cell>
          <cell r="K356" t="str">
            <v>Otros equipos</v>
          </cell>
          <cell r="L356">
            <v>2000</v>
          </cell>
          <cell r="M356">
            <v>0</v>
          </cell>
          <cell r="N356">
            <v>2000</v>
          </cell>
          <cell r="O356">
            <v>0</v>
          </cell>
          <cell r="P356">
            <v>0</v>
          </cell>
          <cell r="Q356">
            <v>0</v>
          </cell>
          <cell r="R356">
            <v>2000</v>
          </cell>
        </row>
        <row r="357">
          <cell r="A357">
            <v>212</v>
          </cell>
          <cell r="B357">
            <v>2017</v>
          </cell>
          <cell r="C357">
            <v>8300</v>
          </cell>
          <cell r="D357">
            <v>1</v>
          </cell>
          <cell r="E357">
            <v>1</v>
          </cell>
          <cell r="F357">
            <v>2</v>
          </cell>
          <cell r="G357">
            <v>5000</v>
          </cell>
          <cell r="H357">
            <v>5600</v>
          </cell>
          <cell r="I357">
            <v>569</v>
          </cell>
          <cell r="J357">
            <v>1</v>
          </cell>
          <cell r="K357" t="str">
            <v xml:space="preserve">Extintor   </v>
          </cell>
          <cell r="L357">
            <v>2000</v>
          </cell>
          <cell r="M357">
            <v>0</v>
          </cell>
          <cell r="N357">
            <v>2000</v>
          </cell>
          <cell r="O357">
            <v>0</v>
          </cell>
          <cell r="P357">
            <v>0</v>
          </cell>
          <cell r="Q357">
            <v>0</v>
          </cell>
          <cell r="R357">
            <v>2000</v>
          </cell>
          <cell r="S357" t="str">
            <v>Pieza</v>
          </cell>
          <cell r="T357">
            <v>2</v>
          </cell>
          <cell r="V357" t="str">
            <v>FC</v>
          </cell>
        </row>
        <row r="358">
          <cell r="A358">
            <v>213</v>
          </cell>
          <cell r="B358">
            <v>2017</v>
          </cell>
          <cell r="C358">
            <v>8300</v>
          </cell>
          <cell r="D358">
            <v>1</v>
          </cell>
          <cell r="E358">
            <v>1</v>
          </cell>
          <cell r="F358">
            <v>2</v>
          </cell>
          <cell r="G358">
            <v>5000</v>
          </cell>
          <cell r="H358">
            <v>5900</v>
          </cell>
          <cell r="K358" t="str">
            <v>Activos Intangibles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</row>
        <row r="359">
          <cell r="A359">
            <v>214</v>
          </cell>
          <cell r="B359">
            <v>2017</v>
          </cell>
          <cell r="C359">
            <v>8300</v>
          </cell>
          <cell r="D359">
            <v>1</v>
          </cell>
          <cell r="E359">
            <v>1</v>
          </cell>
          <cell r="F359">
            <v>2</v>
          </cell>
          <cell r="G359">
            <v>5000</v>
          </cell>
          <cell r="H359">
            <v>5900</v>
          </cell>
          <cell r="I359">
            <v>591</v>
          </cell>
          <cell r="K359" t="str">
            <v>Software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</row>
        <row r="360">
          <cell r="A360">
            <v>215</v>
          </cell>
          <cell r="B360">
            <v>2017</v>
          </cell>
          <cell r="C360">
            <v>8300</v>
          </cell>
          <cell r="D360">
            <v>1</v>
          </cell>
          <cell r="E360">
            <v>1</v>
          </cell>
          <cell r="F360">
            <v>2</v>
          </cell>
          <cell r="G360">
            <v>5000</v>
          </cell>
          <cell r="H360">
            <v>5900</v>
          </cell>
          <cell r="I360">
            <v>591</v>
          </cell>
          <cell r="J360">
            <v>1</v>
          </cell>
          <cell r="K360" t="str">
            <v>Software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 t="str">
            <v>Licencia</v>
          </cell>
          <cell r="V360" t="str">
            <v>FC</v>
          </cell>
        </row>
        <row r="361">
          <cell r="A361">
            <v>216</v>
          </cell>
          <cell r="B361">
            <v>2017</v>
          </cell>
          <cell r="C361">
            <v>8300</v>
          </cell>
          <cell r="D361">
            <v>1</v>
          </cell>
          <cell r="E361">
            <v>1</v>
          </cell>
          <cell r="F361">
            <v>2</v>
          </cell>
          <cell r="G361">
            <v>5000</v>
          </cell>
          <cell r="H361">
            <v>5900</v>
          </cell>
          <cell r="I361">
            <v>597</v>
          </cell>
          <cell r="K361" t="str">
            <v>Licencias informáticas e intelectuales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</row>
        <row r="362">
          <cell r="A362">
            <v>217</v>
          </cell>
          <cell r="B362">
            <v>2017</v>
          </cell>
          <cell r="C362">
            <v>8300</v>
          </cell>
          <cell r="D362">
            <v>1</v>
          </cell>
          <cell r="E362">
            <v>1</v>
          </cell>
          <cell r="F362">
            <v>2</v>
          </cell>
          <cell r="G362">
            <v>5000</v>
          </cell>
          <cell r="H362">
            <v>5900</v>
          </cell>
          <cell r="I362">
            <v>597</v>
          </cell>
          <cell r="J362">
            <v>1</v>
          </cell>
          <cell r="K362" t="str">
            <v>Licencias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 t="str">
            <v>Licencia</v>
          </cell>
          <cell r="V362" t="str">
            <v>FC</v>
          </cell>
        </row>
        <row r="363">
          <cell r="A363">
            <v>218</v>
          </cell>
          <cell r="B363">
            <v>2017</v>
          </cell>
          <cell r="C363">
            <v>8300</v>
          </cell>
          <cell r="D363">
            <v>1</v>
          </cell>
          <cell r="E363">
            <v>1</v>
          </cell>
          <cell r="F363">
            <v>2</v>
          </cell>
          <cell r="G363">
            <v>6000</v>
          </cell>
          <cell r="K363" t="str">
            <v>INVERSIÓN PÚBLICA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</row>
        <row r="364">
          <cell r="A364">
            <v>219</v>
          </cell>
          <cell r="B364">
            <v>2017</v>
          </cell>
          <cell r="C364">
            <v>8300</v>
          </cell>
          <cell r="D364">
            <v>1</v>
          </cell>
          <cell r="E364">
            <v>1</v>
          </cell>
          <cell r="F364">
            <v>2</v>
          </cell>
          <cell r="G364">
            <v>6000</v>
          </cell>
          <cell r="H364">
            <v>6200</v>
          </cell>
          <cell r="K364" t="str">
            <v>Obra Pública en Bienes Propios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</row>
        <row r="365">
          <cell r="A365">
            <v>220</v>
          </cell>
          <cell r="B365">
            <v>2017</v>
          </cell>
          <cell r="C365">
            <v>8300</v>
          </cell>
          <cell r="D365">
            <v>1</v>
          </cell>
          <cell r="E365">
            <v>1</v>
          </cell>
          <cell r="F365">
            <v>2</v>
          </cell>
          <cell r="G365">
            <v>6000</v>
          </cell>
          <cell r="H365">
            <v>6200</v>
          </cell>
          <cell r="I365">
            <v>622</v>
          </cell>
          <cell r="K365" t="str">
            <v>Edificación no habitacional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</row>
        <row r="366">
          <cell r="A366">
            <v>221</v>
          </cell>
          <cell r="B366">
            <v>2017</v>
          </cell>
          <cell r="C366">
            <v>8300</v>
          </cell>
          <cell r="D366">
            <v>1</v>
          </cell>
          <cell r="E366">
            <v>1</v>
          </cell>
          <cell r="F366">
            <v>2</v>
          </cell>
          <cell r="G366">
            <v>6000</v>
          </cell>
          <cell r="H366">
            <v>6200</v>
          </cell>
          <cell r="I366">
            <v>622</v>
          </cell>
          <cell r="J366">
            <v>1</v>
          </cell>
          <cell r="K366" t="str">
            <v>Construcción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 t="str">
            <v>Obra</v>
          </cell>
          <cell r="V366" t="str">
            <v>FC</v>
          </cell>
        </row>
        <row r="367">
          <cell r="A367">
            <v>222</v>
          </cell>
          <cell r="B367">
            <v>2017</v>
          </cell>
          <cell r="C367">
            <v>8300</v>
          </cell>
          <cell r="D367">
            <v>1</v>
          </cell>
          <cell r="E367">
            <v>1</v>
          </cell>
          <cell r="F367">
            <v>2</v>
          </cell>
          <cell r="G367">
            <v>6000</v>
          </cell>
          <cell r="H367">
            <v>6200</v>
          </cell>
          <cell r="I367">
            <v>622</v>
          </cell>
          <cell r="J367">
            <v>1</v>
          </cell>
          <cell r="K367" t="str">
            <v xml:space="preserve">Dependencia:
Nombre:
Domicilio: 
Meta: 
Etapa: 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 t="str">
            <v>Obra</v>
          </cell>
          <cell r="V367" t="str">
            <v>FC</v>
          </cell>
        </row>
        <row r="368">
          <cell r="A368">
            <v>223</v>
          </cell>
          <cell r="B368">
            <v>2017</v>
          </cell>
          <cell r="C368">
            <v>8300</v>
          </cell>
          <cell r="D368">
            <v>1</v>
          </cell>
          <cell r="E368">
            <v>1</v>
          </cell>
          <cell r="F368">
            <v>2</v>
          </cell>
          <cell r="G368">
            <v>6000</v>
          </cell>
          <cell r="H368">
            <v>6200</v>
          </cell>
          <cell r="I368">
            <v>622</v>
          </cell>
          <cell r="J368">
            <v>2</v>
          </cell>
          <cell r="K368" t="str">
            <v>Mejoramiento y/o ampliación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 t="str">
            <v>Obra</v>
          </cell>
          <cell r="V368" t="str">
            <v>FC</v>
          </cell>
        </row>
        <row r="369">
          <cell r="A369">
            <v>224</v>
          </cell>
          <cell r="B369">
            <v>2017</v>
          </cell>
          <cell r="C369">
            <v>8300</v>
          </cell>
          <cell r="D369">
            <v>1</v>
          </cell>
          <cell r="E369">
            <v>1</v>
          </cell>
          <cell r="F369">
            <v>2</v>
          </cell>
          <cell r="G369">
            <v>6000</v>
          </cell>
          <cell r="H369">
            <v>6200</v>
          </cell>
          <cell r="I369">
            <v>622</v>
          </cell>
          <cell r="J369">
            <v>2</v>
          </cell>
          <cell r="K369" t="str">
            <v xml:space="preserve">Dependencia:
Nombre:
Domicilio: 
Meta: 
Etapa: 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 t="str">
            <v>Obra</v>
          </cell>
          <cell r="V369" t="str">
            <v>FC</v>
          </cell>
        </row>
        <row r="456">
          <cell r="A456">
            <v>84</v>
          </cell>
          <cell r="B456">
            <v>2017</v>
          </cell>
          <cell r="C456">
            <v>8300</v>
          </cell>
          <cell r="D456">
            <v>2</v>
          </cell>
          <cell r="E456">
            <v>2</v>
          </cell>
          <cell r="F456">
            <v>1</v>
          </cell>
          <cell r="G456">
            <v>3000</v>
          </cell>
          <cell r="H456">
            <v>3300</v>
          </cell>
          <cell r="I456">
            <v>334</v>
          </cell>
          <cell r="K456" t="str">
            <v>Curso de capacitación para Policía de Investigación</v>
          </cell>
          <cell r="L456">
            <v>2300000</v>
          </cell>
          <cell r="M456">
            <v>0</v>
          </cell>
          <cell r="N456">
            <v>2300000</v>
          </cell>
          <cell r="O456">
            <v>0</v>
          </cell>
          <cell r="P456">
            <v>0</v>
          </cell>
          <cell r="Q456">
            <v>0</v>
          </cell>
          <cell r="R456">
            <v>2300000</v>
          </cell>
          <cell r="S456" t="str">
            <v>Servicio</v>
          </cell>
        </row>
        <row r="457">
          <cell r="A457">
            <v>85</v>
          </cell>
          <cell r="B457">
            <v>2017</v>
          </cell>
          <cell r="C457">
            <v>8300</v>
          </cell>
          <cell r="D457">
            <v>2</v>
          </cell>
          <cell r="E457">
            <v>2</v>
          </cell>
          <cell r="F457">
            <v>1</v>
          </cell>
          <cell r="G457">
            <v>3000</v>
          </cell>
          <cell r="H457">
            <v>3300</v>
          </cell>
          <cell r="I457">
            <v>334</v>
          </cell>
          <cell r="K457" t="str">
            <v xml:space="preserve">Formación Inicial </v>
          </cell>
          <cell r="L457">
            <v>2100000</v>
          </cell>
          <cell r="M457">
            <v>0</v>
          </cell>
          <cell r="N457">
            <v>2100000</v>
          </cell>
          <cell r="O457">
            <v>0</v>
          </cell>
          <cell r="P457">
            <v>0</v>
          </cell>
          <cell r="Q457">
            <v>0</v>
          </cell>
          <cell r="R457">
            <v>2100000</v>
          </cell>
          <cell r="S457" t="str">
            <v>Servicio</v>
          </cell>
          <cell r="T457">
            <v>80</v>
          </cell>
        </row>
        <row r="458">
          <cell r="A458">
            <v>86</v>
          </cell>
          <cell r="B458">
            <v>2017</v>
          </cell>
          <cell r="C458">
            <v>8300</v>
          </cell>
          <cell r="D458">
            <v>2</v>
          </cell>
          <cell r="E458">
            <v>2</v>
          </cell>
          <cell r="F458">
            <v>1</v>
          </cell>
          <cell r="G458">
            <v>3000</v>
          </cell>
          <cell r="H458">
            <v>3300</v>
          </cell>
          <cell r="I458">
            <v>334</v>
          </cell>
          <cell r="K458" t="str">
            <v>Formación Continua</v>
          </cell>
          <cell r="L458">
            <v>200000</v>
          </cell>
          <cell r="M458">
            <v>0</v>
          </cell>
          <cell r="N458">
            <v>200000</v>
          </cell>
          <cell r="O458">
            <v>0</v>
          </cell>
          <cell r="P458">
            <v>0</v>
          </cell>
          <cell r="Q458">
            <v>0</v>
          </cell>
          <cell r="R458">
            <v>200000</v>
          </cell>
          <cell r="S458" t="str">
            <v>Servicio</v>
          </cell>
          <cell r="T458">
            <v>30</v>
          </cell>
        </row>
        <row r="459">
          <cell r="A459">
            <v>87</v>
          </cell>
          <cell r="B459">
            <v>2017</v>
          </cell>
          <cell r="C459">
            <v>8300</v>
          </cell>
          <cell r="D459">
            <v>2</v>
          </cell>
          <cell r="E459">
            <v>2</v>
          </cell>
          <cell r="F459">
            <v>1</v>
          </cell>
          <cell r="G459">
            <v>3000</v>
          </cell>
          <cell r="H459">
            <v>3300</v>
          </cell>
          <cell r="I459">
            <v>334</v>
          </cell>
          <cell r="K459" t="str">
            <v>Nivelación Académica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 t="str">
            <v>Servicio</v>
          </cell>
        </row>
        <row r="460">
          <cell r="A460">
            <v>88</v>
          </cell>
          <cell r="B460">
            <v>2017</v>
          </cell>
          <cell r="C460">
            <v>8300</v>
          </cell>
          <cell r="D460">
            <v>2</v>
          </cell>
          <cell r="E460">
            <v>2</v>
          </cell>
          <cell r="F460">
            <v>1</v>
          </cell>
          <cell r="G460">
            <v>3000</v>
          </cell>
          <cell r="H460">
            <v>3300</v>
          </cell>
          <cell r="I460">
            <v>334</v>
          </cell>
          <cell r="K460" t="str">
            <v>Curso de capacitación para Perito</v>
          </cell>
          <cell r="L460">
            <v>1100000</v>
          </cell>
          <cell r="M460">
            <v>0</v>
          </cell>
          <cell r="N460">
            <v>1100000</v>
          </cell>
          <cell r="O460">
            <v>0</v>
          </cell>
          <cell r="P460">
            <v>0</v>
          </cell>
          <cell r="Q460">
            <v>0</v>
          </cell>
          <cell r="R460">
            <v>1100000</v>
          </cell>
          <cell r="S460" t="str">
            <v>Servicio</v>
          </cell>
        </row>
        <row r="461">
          <cell r="A461">
            <v>89</v>
          </cell>
          <cell r="B461">
            <v>2017</v>
          </cell>
          <cell r="C461">
            <v>8300</v>
          </cell>
          <cell r="D461">
            <v>2</v>
          </cell>
          <cell r="E461">
            <v>2</v>
          </cell>
          <cell r="F461">
            <v>1</v>
          </cell>
          <cell r="G461">
            <v>3000</v>
          </cell>
          <cell r="H461">
            <v>3300</v>
          </cell>
          <cell r="I461">
            <v>334</v>
          </cell>
          <cell r="K461" t="str">
            <v xml:space="preserve">Formación Inicial </v>
          </cell>
          <cell r="L461">
            <v>900000</v>
          </cell>
          <cell r="M461">
            <v>0</v>
          </cell>
          <cell r="N461">
            <v>900000</v>
          </cell>
          <cell r="O461">
            <v>0</v>
          </cell>
          <cell r="P461">
            <v>0</v>
          </cell>
          <cell r="Q461">
            <v>0</v>
          </cell>
          <cell r="R461">
            <v>900000</v>
          </cell>
          <cell r="S461" t="str">
            <v>Servicio</v>
          </cell>
          <cell r="T461">
            <v>20</v>
          </cell>
        </row>
        <row r="462">
          <cell r="A462">
            <v>90</v>
          </cell>
          <cell r="B462">
            <v>2017</v>
          </cell>
          <cell r="C462">
            <v>8300</v>
          </cell>
          <cell r="D462">
            <v>2</v>
          </cell>
          <cell r="E462">
            <v>2</v>
          </cell>
          <cell r="F462">
            <v>1</v>
          </cell>
          <cell r="G462">
            <v>3000</v>
          </cell>
          <cell r="H462">
            <v>3300</v>
          </cell>
          <cell r="I462">
            <v>334</v>
          </cell>
          <cell r="K462" t="str">
            <v>Formación Continua</v>
          </cell>
          <cell r="L462">
            <v>200000</v>
          </cell>
          <cell r="M462">
            <v>0</v>
          </cell>
          <cell r="N462">
            <v>200000</v>
          </cell>
          <cell r="O462">
            <v>0</v>
          </cell>
          <cell r="P462">
            <v>0</v>
          </cell>
          <cell r="Q462">
            <v>0</v>
          </cell>
          <cell r="R462">
            <v>200000</v>
          </cell>
          <cell r="S462" t="str">
            <v>Servicio</v>
          </cell>
          <cell r="T462">
            <v>20</v>
          </cell>
        </row>
        <row r="463">
          <cell r="A463">
            <v>91</v>
          </cell>
          <cell r="B463">
            <v>2017</v>
          </cell>
          <cell r="C463">
            <v>8300</v>
          </cell>
          <cell r="D463">
            <v>2</v>
          </cell>
          <cell r="E463">
            <v>2</v>
          </cell>
          <cell r="F463">
            <v>1</v>
          </cell>
          <cell r="G463">
            <v>3000</v>
          </cell>
          <cell r="H463">
            <v>3300</v>
          </cell>
          <cell r="I463">
            <v>334</v>
          </cell>
          <cell r="K463" t="str">
            <v>Nivelación Académica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 t="str">
            <v>Servicio</v>
          </cell>
        </row>
        <row r="464">
          <cell r="A464">
            <v>92</v>
          </cell>
          <cell r="B464">
            <v>2017</v>
          </cell>
          <cell r="C464">
            <v>8300</v>
          </cell>
          <cell r="D464">
            <v>2</v>
          </cell>
          <cell r="E464">
            <v>2</v>
          </cell>
          <cell r="F464">
            <v>1</v>
          </cell>
          <cell r="G464">
            <v>3000</v>
          </cell>
          <cell r="H464">
            <v>3300</v>
          </cell>
          <cell r="I464">
            <v>334</v>
          </cell>
          <cell r="K464" t="str">
            <v>Curso de capacitación para Agente del Ministerio Público</v>
          </cell>
          <cell r="L464">
            <v>1200000</v>
          </cell>
          <cell r="M464">
            <v>0</v>
          </cell>
          <cell r="N464">
            <v>1200000</v>
          </cell>
          <cell r="O464">
            <v>0</v>
          </cell>
          <cell r="P464">
            <v>0</v>
          </cell>
          <cell r="Q464">
            <v>0</v>
          </cell>
          <cell r="R464">
            <v>1200000</v>
          </cell>
          <cell r="S464" t="str">
            <v>Servicio</v>
          </cell>
        </row>
        <row r="465">
          <cell r="A465">
            <v>93</v>
          </cell>
          <cell r="B465">
            <v>2017</v>
          </cell>
          <cell r="C465">
            <v>8300</v>
          </cell>
          <cell r="D465">
            <v>2</v>
          </cell>
          <cell r="E465">
            <v>2</v>
          </cell>
          <cell r="F465">
            <v>1</v>
          </cell>
          <cell r="G465">
            <v>3000</v>
          </cell>
          <cell r="H465">
            <v>3300</v>
          </cell>
          <cell r="I465">
            <v>334</v>
          </cell>
          <cell r="K465" t="str">
            <v xml:space="preserve">Formación Inicial </v>
          </cell>
          <cell r="L465">
            <v>800000</v>
          </cell>
          <cell r="M465">
            <v>0</v>
          </cell>
          <cell r="N465">
            <v>800000</v>
          </cell>
          <cell r="O465">
            <v>0</v>
          </cell>
          <cell r="P465">
            <v>0</v>
          </cell>
          <cell r="Q465">
            <v>0</v>
          </cell>
          <cell r="R465">
            <v>800000</v>
          </cell>
          <cell r="S465" t="str">
            <v>Servicio</v>
          </cell>
          <cell r="T465">
            <v>20</v>
          </cell>
        </row>
        <row r="466">
          <cell r="A466">
            <v>94</v>
          </cell>
          <cell r="B466">
            <v>2017</v>
          </cell>
          <cell r="C466">
            <v>8300</v>
          </cell>
          <cell r="D466">
            <v>2</v>
          </cell>
          <cell r="E466">
            <v>2</v>
          </cell>
          <cell r="F466">
            <v>1</v>
          </cell>
          <cell r="G466">
            <v>3000</v>
          </cell>
          <cell r="H466">
            <v>3300</v>
          </cell>
          <cell r="I466">
            <v>334</v>
          </cell>
          <cell r="K466" t="str">
            <v>Formación Continua</v>
          </cell>
          <cell r="L466">
            <v>400000</v>
          </cell>
          <cell r="M466">
            <v>0</v>
          </cell>
          <cell r="N466">
            <v>400000</v>
          </cell>
          <cell r="O466">
            <v>0</v>
          </cell>
          <cell r="P466">
            <v>0</v>
          </cell>
          <cell r="Q466">
            <v>0</v>
          </cell>
          <cell r="R466">
            <v>400000</v>
          </cell>
          <cell r="S466" t="str">
            <v>Servicio</v>
          </cell>
          <cell r="T466">
            <v>45</v>
          </cell>
        </row>
        <row r="467">
          <cell r="A467">
            <v>95</v>
          </cell>
          <cell r="B467">
            <v>2017</v>
          </cell>
          <cell r="C467">
            <v>8300</v>
          </cell>
          <cell r="D467">
            <v>2</v>
          </cell>
          <cell r="E467">
            <v>2</v>
          </cell>
          <cell r="F467">
            <v>1</v>
          </cell>
          <cell r="G467">
            <v>3000</v>
          </cell>
          <cell r="H467">
            <v>3300</v>
          </cell>
          <cell r="I467">
            <v>334</v>
          </cell>
          <cell r="K467" t="str">
            <v>Nivelación Académica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 t="str">
            <v>Servicio</v>
          </cell>
        </row>
        <row r="468">
          <cell r="A468">
            <v>96</v>
          </cell>
          <cell r="B468">
            <v>2017</v>
          </cell>
          <cell r="C468">
            <v>8300</v>
          </cell>
          <cell r="D468">
            <v>2</v>
          </cell>
          <cell r="E468">
            <v>2</v>
          </cell>
          <cell r="F468">
            <v>1</v>
          </cell>
          <cell r="G468">
            <v>3000</v>
          </cell>
          <cell r="H468">
            <v>3300</v>
          </cell>
          <cell r="I468">
            <v>334</v>
          </cell>
          <cell r="K468" t="str">
            <v>Curso de capacitación para otros operadores de Procuración de Justicia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 t="str">
            <v>Servicio</v>
          </cell>
        </row>
        <row r="469">
          <cell r="A469">
            <v>97</v>
          </cell>
          <cell r="B469">
            <v>2017</v>
          </cell>
          <cell r="C469">
            <v>8300</v>
          </cell>
          <cell r="D469">
            <v>2</v>
          </cell>
          <cell r="E469">
            <v>2</v>
          </cell>
          <cell r="F469">
            <v>1</v>
          </cell>
          <cell r="G469">
            <v>3000</v>
          </cell>
          <cell r="H469">
            <v>3300</v>
          </cell>
          <cell r="I469">
            <v>334</v>
          </cell>
          <cell r="K469" t="str">
            <v xml:space="preserve">Formación Inicial 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 t="str">
            <v>Servicio</v>
          </cell>
        </row>
        <row r="470">
          <cell r="A470">
            <v>98</v>
          </cell>
          <cell r="B470">
            <v>2017</v>
          </cell>
          <cell r="C470">
            <v>8300</v>
          </cell>
          <cell r="D470">
            <v>2</v>
          </cell>
          <cell r="E470">
            <v>2</v>
          </cell>
          <cell r="F470">
            <v>1</v>
          </cell>
          <cell r="G470">
            <v>3000</v>
          </cell>
          <cell r="H470">
            <v>3300</v>
          </cell>
          <cell r="I470">
            <v>334</v>
          </cell>
          <cell r="K470" t="str">
            <v>Formación Continua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 t="str">
            <v>Servicio</v>
          </cell>
          <cell r="T470">
            <v>0</v>
          </cell>
        </row>
        <row r="471">
          <cell r="A471">
            <v>99</v>
          </cell>
          <cell r="B471">
            <v>2017</v>
          </cell>
          <cell r="C471">
            <v>8300</v>
          </cell>
          <cell r="D471">
            <v>2</v>
          </cell>
          <cell r="E471">
            <v>2</v>
          </cell>
          <cell r="F471">
            <v>1</v>
          </cell>
          <cell r="G471">
            <v>3000</v>
          </cell>
          <cell r="H471">
            <v>3300</v>
          </cell>
          <cell r="I471">
            <v>334</v>
          </cell>
          <cell r="K471" t="str">
            <v xml:space="preserve">Curso de capacitación para Personal del Sistema Penitenciario 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 t="str">
            <v>Servicio</v>
          </cell>
        </row>
        <row r="472">
          <cell r="A472">
            <v>100</v>
          </cell>
          <cell r="B472">
            <v>2017</v>
          </cell>
          <cell r="C472">
            <v>8300</v>
          </cell>
          <cell r="D472">
            <v>2</v>
          </cell>
          <cell r="E472">
            <v>2</v>
          </cell>
          <cell r="F472">
            <v>1</v>
          </cell>
          <cell r="G472">
            <v>3000</v>
          </cell>
          <cell r="H472">
            <v>3300</v>
          </cell>
          <cell r="I472">
            <v>334</v>
          </cell>
          <cell r="K472" t="str">
            <v>Formación Inicial (Custodia Penitenciaria)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 t="str">
            <v>Servicio</v>
          </cell>
        </row>
        <row r="473">
          <cell r="A473">
            <v>101</v>
          </cell>
          <cell r="B473">
            <v>2017</v>
          </cell>
          <cell r="C473">
            <v>8300</v>
          </cell>
          <cell r="D473">
            <v>2</v>
          </cell>
          <cell r="E473">
            <v>2</v>
          </cell>
          <cell r="F473">
            <v>1</v>
          </cell>
          <cell r="G473">
            <v>3000</v>
          </cell>
          <cell r="H473">
            <v>3300</v>
          </cell>
          <cell r="I473">
            <v>334</v>
          </cell>
          <cell r="K473" t="str">
            <v>Formación Inicial (Técnico)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 t="str">
            <v>Servicio</v>
          </cell>
        </row>
        <row r="474">
          <cell r="A474">
            <v>102</v>
          </cell>
          <cell r="B474">
            <v>2017</v>
          </cell>
          <cell r="C474">
            <v>8300</v>
          </cell>
          <cell r="D474">
            <v>2</v>
          </cell>
          <cell r="E474">
            <v>2</v>
          </cell>
          <cell r="F474">
            <v>1</v>
          </cell>
          <cell r="G474">
            <v>3000</v>
          </cell>
          <cell r="H474">
            <v>3300</v>
          </cell>
          <cell r="I474">
            <v>334</v>
          </cell>
          <cell r="K474" t="str">
            <v>Formación Inicial (Administrativo)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 t="str">
            <v>Servicio</v>
          </cell>
        </row>
        <row r="475">
          <cell r="A475">
            <v>103</v>
          </cell>
          <cell r="B475">
            <v>2017</v>
          </cell>
          <cell r="C475">
            <v>8300</v>
          </cell>
          <cell r="D475">
            <v>2</v>
          </cell>
          <cell r="E475">
            <v>2</v>
          </cell>
          <cell r="F475">
            <v>1</v>
          </cell>
          <cell r="G475">
            <v>3000</v>
          </cell>
          <cell r="H475">
            <v>3300</v>
          </cell>
          <cell r="I475">
            <v>334</v>
          </cell>
          <cell r="K475" t="str">
            <v>Formación Inicial (Jurídico)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 t="str">
            <v>Servicio</v>
          </cell>
        </row>
        <row r="476">
          <cell r="A476">
            <v>104</v>
          </cell>
          <cell r="B476">
            <v>2017</v>
          </cell>
          <cell r="C476">
            <v>8300</v>
          </cell>
          <cell r="D476">
            <v>2</v>
          </cell>
          <cell r="E476">
            <v>2</v>
          </cell>
          <cell r="F476">
            <v>1</v>
          </cell>
          <cell r="G476">
            <v>3000</v>
          </cell>
          <cell r="H476">
            <v>3300</v>
          </cell>
          <cell r="I476">
            <v>334</v>
          </cell>
          <cell r="K476" t="str">
            <v>Formación Continua (Custodia Penitenciaria)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 t="str">
            <v>Servicio</v>
          </cell>
        </row>
        <row r="477">
          <cell r="A477">
            <v>105</v>
          </cell>
          <cell r="B477">
            <v>2017</v>
          </cell>
          <cell r="C477">
            <v>8300</v>
          </cell>
          <cell r="D477">
            <v>2</v>
          </cell>
          <cell r="E477">
            <v>2</v>
          </cell>
          <cell r="F477">
            <v>1</v>
          </cell>
          <cell r="G477">
            <v>3000</v>
          </cell>
          <cell r="H477">
            <v>3300</v>
          </cell>
          <cell r="I477">
            <v>334</v>
          </cell>
          <cell r="K477" t="str">
            <v>Formación Continua (Técnico)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 t="str">
            <v>Servicio</v>
          </cell>
        </row>
        <row r="478">
          <cell r="A478">
            <v>106</v>
          </cell>
          <cell r="B478">
            <v>2017</v>
          </cell>
          <cell r="C478">
            <v>8300</v>
          </cell>
          <cell r="D478">
            <v>2</v>
          </cell>
          <cell r="E478">
            <v>2</v>
          </cell>
          <cell r="F478">
            <v>1</v>
          </cell>
          <cell r="G478">
            <v>3000</v>
          </cell>
          <cell r="H478">
            <v>3300</v>
          </cell>
          <cell r="I478">
            <v>334</v>
          </cell>
          <cell r="K478" t="str">
            <v>Formación Continua (Administrativo)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 t="str">
            <v>Servicio</v>
          </cell>
        </row>
        <row r="479">
          <cell r="A479">
            <v>107</v>
          </cell>
          <cell r="B479">
            <v>2017</v>
          </cell>
          <cell r="C479">
            <v>8300</v>
          </cell>
          <cell r="D479">
            <v>2</v>
          </cell>
          <cell r="E479">
            <v>2</v>
          </cell>
          <cell r="F479">
            <v>1</v>
          </cell>
          <cell r="G479">
            <v>3000</v>
          </cell>
          <cell r="H479">
            <v>3300</v>
          </cell>
          <cell r="I479">
            <v>334</v>
          </cell>
          <cell r="K479" t="str">
            <v>Formación Continua  (Jurídico)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 t="str">
            <v>Servicio</v>
          </cell>
        </row>
        <row r="480">
          <cell r="A480">
            <v>108</v>
          </cell>
          <cell r="B480">
            <v>2017</v>
          </cell>
          <cell r="C480">
            <v>8300</v>
          </cell>
          <cell r="D480">
            <v>2</v>
          </cell>
          <cell r="E480">
            <v>2</v>
          </cell>
          <cell r="F480">
            <v>1</v>
          </cell>
          <cell r="G480">
            <v>3000</v>
          </cell>
          <cell r="H480">
            <v>3300</v>
          </cell>
          <cell r="I480">
            <v>334</v>
          </cell>
          <cell r="K480" t="str">
            <v>Formación Inicial (otros perfiles)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 t="str">
            <v>Servicio</v>
          </cell>
          <cell r="T480">
            <v>0</v>
          </cell>
        </row>
        <row r="481">
          <cell r="A481">
            <v>109</v>
          </cell>
          <cell r="B481">
            <v>2017</v>
          </cell>
          <cell r="C481">
            <v>8300</v>
          </cell>
          <cell r="D481">
            <v>2</v>
          </cell>
          <cell r="E481">
            <v>2</v>
          </cell>
          <cell r="F481">
            <v>1</v>
          </cell>
          <cell r="G481">
            <v>3000</v>
          </cell>
          <cell r="H481">
            <v>3300</v>
          </cell>
          <cell r="I481">
            <v>334</v>
          </cell>
          <cell r="K481" t="str">
            <v>Formación continua (otros perfiles)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 t="str">
            <v>Servicio</v>
          </cell>
          <cell r="T481">
            <v>0</v>
          </cell>
        </row>
        <row r="482">
          <cell r="A482">
            <v>110</v>
          </cell>
          <cell r="B482">
            <v>2017</v>
          </cell>
          <cell r="C482">
            <v>8300</v>
          </cell>
          <cell r="D482">
            <v>2</v>
          </cell>
          <cell r="E482">
            <v>2</v>
          </cell>
          <cell r="F482">
            <v>1</v>
          </cell>
          <cell r="G482">
            <v>3000</v>
          </cell>
          <cell r="H482">
            <v>3300</v>
          </cell>
          <cell r="I482">
            <v>334</v>
          </cell>
          <cell r="K482" t="str">
            <v>Nivelación Académica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 t="str">
            <v>Servicio</v>
          </cell>
          <cell r="T482">
            <v>0</v>
          </cell>
        </row>
        <row r="483">
          <cell r="A483">
            <v>111</v>
          </cell>
          <cell r="B483">
            <v>2017</v>
          </cell>
          <cell r="C483">
            <v>8300</v>
          </cell>
          <cell r="D483">
            <v>2</v>
          </cell>
          <cell r="E483">
            <v>2</v>
          </cell>
          <cell r="F483">
            <v>1</v>
          </cell>
          <cell r="G483">
            <v>3000</v>
          </cell>
          <cell r="H483">
            <v>3300</v>
          </cell>
          <cell r="I483">
            <v>334</v>
          </cell>
          <cell r="K483" t="str">
            <v>Curso de capacitación en materia de prevención del delito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 t="str">
            <v>Servicio</v>
          </cell>
          <cell r="T483">
            <v>0</v>
          </cell>
        </row>
        <row r="484">
          <cell r="A484">
            <v>112</v>
          </cell>
          <cell r="B484">
            <v>2017</v>
          </cell>
          <cell r="C484">
            <v>8300</v>
          </cell>
          <cell r="D484">
            <v>2</v>
          </cell>
          <cell r="E484">
            <v>2</v>
          </cell>
          <cell r="F484">
            <v>1</v>
          </cell>
          <cell r="G484">
            <v>3000</v>
          </cell>
          <cell r="H484">
            <v>3300</v>
          </cell>
          <cell r="I484">
            <v>334</v>
          </cell>
          <cell r="K484" t="str">
            <v>Formación Continua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 t="str">
            <v>Servicio</v>
          </cell>
          <cell r="T484">
            <v>0</v>
          </cell>
        </row>
        <row r="485">
          <cell r="A485">
            <v>113</v>
          </cell>
          <cell r="B485">
            <v>2017</v>
          </cell>
          <cell r="C485">
            <v>8300</v>
          </cell>
          <cell r="D485">
            <v>2</v>
          </cell>
          <cell r="E485">
            <v>2</v>
          </cell>
          <cell r="F485">
            <v>1</v>
          </cell>
          <cell r="G485">
            <v>3000</v>
          </cell>
          <cell r="H485">
            <v>3300</v>
          </cell>
          <cell r="I485">
            <v>334</v>
          </cell>
          <cell r="K485" t="str">
            <v>Curso de capacitación a servidores públicos en temas  de acceso a la justicia para mujeres</v>
          </cell>
          <cell r="L485">
            <v>400000</v>
          </cell>
          <cell r="M485">
            <v>0</v>
          </cell>
          <cell r="N485">
            <v>400000</v>
          </cell>
          <cell r="O485">
            <v>0</v>
          </cell>
          <cell r="P485">
            <v>0</v>
          </cell>
          <cell r="Q485">
            <v>0</v>
          </cell>
          <cell r="R485">
            <v>400000</v>
          </cell>
          <cell r="S485" t="str">
            <v>Servicio</v>
          </cell>
          <cell r="T485">
            <v>0</v>
          </cell>
        </row>
        <row r="486">
          <cell r="A486">
            <v>114</v>
          </cell>
          <cell r="B486">
            <v>2017</v>
          </cell>
          <cell r="C486">
            <v>8300</v>
          </cell>
          <cell r="D486">
            <v>2</v>
          </cell>
          <cell r="E486">
            <v>2</v>
          </cell>
          <cell r="F486">
            <v>1</v>
          </cell>
          <cell r="G486">
            <v>3000</v>
          </cell>
          <cell r="H486">
            <v>3300</v>
          </cell>
          <cell r="I486">
            <v>334</v>
          </cell>
          <cell r="K486" t="str">
            <v xml:space="preserve">Formación Continua </v>
          </cell>
          <cell r="L486">
            <v>400000</v>
          </cell>
          <cell r="M486">
            <v>0</v>
          </cell>
          <cell r="N486">
            <v>400000</v>
          </cell>
          <cell r="O486">
            <v>0</v>
          </cell>
          <cell r="P486">
            <v>0</v>
          </cell>
          <cell r="Q486">
            <v>0</v>
          </cell>
          <cell r="R486">
            <v>400000</v>
          </cell>
          <cell r="S486" t="str">
            <v>Servicio</v>
          </cell>
          <cell r="T486">
            <v>20</v>
          </cell>
        </row>
        <row r="487">
          <cell r="A487">
            <v>115</v>
          </cell>
          <cell r="B487">
            <v>2017</v>
          </cell>
          <cell r="C487">
            <v>8300</v>
          </cell>
          <cell r="D487">
            <v>2</v>
          </cell>
          <cell r="E487">
            <v>2</v>
          </cell>
          <cell r="F487">
            <v>1</v>
          </cell>
          <cell r="G487">
            <v>3000</v>
          </cell>
          <cell r="H487">
            <v>3300</v>
          </cell>
          <cell r="I487">
            <v>334</v>
          </cell>
          <cell r="K487" t="str">
            <v>Curso de capacitación al personal en temas de control de confianza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 t="str">
            <v>Servicio</v>
          </cell>
          <cell r="T487">
            <v>0</v>
          </cell>
        </row>
        <row r="488">
          <cell r="A488">
            <v>116</v>
          </cell>
          <cell r="B488">
            <v>2017</v>
          </cell>
          <cell r="C488">
            <v>8300</v>
          </cell>
          <cell r="D488">
            <v>2</v>
          </cell>
          <cell r="E488">
            <v>2</v>
          </cell>
          <cell r="F488">
            <v>1</v>
          </cell>
          <cell r="G488">
            <v>3000</v>
          </cell>
          <cell r="H488">
            <v>3300</v>
          </cell>
          <cell r="I488">
            <v>334</v>
          </cell>
          <cell r="K488" t="str">
            <v>Formación Continua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 t="str">
            <v>Servicio</v>
          </cell>
          <cell r="T488">
            <v>0</v>
          </cell>
        </row>
        <row r="489">
          <cell r="A489">
            <v>117</v>
          </cell>
          <cell r="B489">
            <v>2017</v>
          </cell>
          <cell r="C489">
            <v>8300</v>
          </cell>
          <cell r="D489">
            <v>2</v>
          </cell>
          <cell r="E489">
            <v>2</v>
          </cell>
          <cell r="F489">
            <v>1</v>
          </cell>
          <cell r="G489">
            <v>3000</v>
          </cell>
          <cell r="H489">
            <v>3300</v>
          </cell>
          <cell r="I489">
            <v>334</v>
          </cell>
          <cell r="K489" t="str">
            <v xml:space="preserve">Curso de capacitación en temas de Justicia para Adolescentes 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 t="str">
            <v>Servicio</v>
          </cell>
          <cell r="T489">
            <v>0</v>
          </cell>
        </row>
        <row r="490">
          <cell r="A490">
            <v>118</v>
          </cell>
          <cell r="B490">
            <v>2017</v>
          </cell>
          <cell r="C490">
            <v>8300</v>
          </cell>
          <cell r="D490">
            <v>2</v>
          </cell>
          <cell r="E490">
            <v>2</v>
          </cell>
          <cell r="F490">
            <v>1</v>
          </cell>
          <cell r="G490">
            <v>3000</v>
          </cell>
          <cell r="H490">
            <v>3300</v>
          </cell>
          <cell r="I490">
            <v>334</v>
          </cell>
          <cell r="K490" t="str">
            <v>Formación Inicial (Guía Técnico)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 t="str">
            <v>Servicio</v>
          </cell>
          <cell r="T490">
            <v>0</v>
          </cell>
        </row>
        <row r="491">
          <cell r="A491">
            <v>119</v>
          </cell>
          <cell r="B491">
            <v>2017</v>
          </cell>
          <cell r="C491">
            <v>8300</v>
          </cell>
          <cell r="D491">
            <v>2</v>
          </cell>
          <cell r="E491">
            <v>2</v>
          </cell>
          <cell r="F491">
            <v>1</v>
          </cell>
          <cell r="G491">
            <v>3000</v>
          </cell>
          <cell r="H491">
            <v>3300</v>
          </cell>
          <cell r="I491">
            <v>334</v>
          </cell>
          <cell r="K491" t="str">
            <v>Formación Continua (Guía Técnico)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 t="str">
            <v>Servicio</v>
          </cell>
        </row>
        <row r="492">
          <cell r="A492">
            <v>120</v>
          </cell>
          <cell r="B492">
            <v>2017</v>
          </cell>
          <cell r="C492">
            <v>8300</v>
          </cell>
          <cell r="D492">
            <v>2</v>
          </cell>
          <cell r="E492">
            <v>2</v>
          </cell>
          <cell r="F492">
            <v>1</v>
          </cell>
          <cell r="G492">
            <v>3000</v>
          </cell>
          <cell r="H492">
            <v>3300</v>
          </cell>
          <cell r="I492">
            <v>334</v>
          </cell>
          <cell r="K492" t="str">
            <v>Formación continua (otros perfiles)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 t="str">
            <v>Servicio</v>
          </cell>
          <cell r="T492">
            <v>0</v>
          </cell>
        </row>
        <row r="493">
          <cell r="A493">
            <v>121</v>
          </cell>
          <cell r="B493">
            <v>2017</v>
          </cell>
          <cell r="C493">
            <v>8300</v>
          </cell>
          <cell r="D493">
            <v>2</v>
          </cell>
          <cell r="E493">
            <v>2</v>
          </cell>
          <cell r="F493">
            <v>1</v>
          </cell>
          <cell r="G493">
            <v>3000</v>
          </cell>
          <cell r="H493">
            <v>3300</v>
          </cell>
          <cell r="I493">
            <v>334</v>
          </cell>
          <cell r="K493" t="str">
            <v>Formación continua (custodios)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 t="str">
            <v>Servicio</v>
          </cell>
        </row>
        <row r="494">
          <cell r="A494">
            <v>122</v>
          </cell>
          <cell r="B494">
            <v>2017</v>
          </cell>
          <cell r="C494">
            <v>8300</v>
          </cell>
          <cell r="D494">
            <v>2</v>
          </cell>
          <cell r="E494">
            <v>2</v>
          </cell>
          <cell r="F494">
            <v>1</v>
          </cell>
          <cell r="G494">
            <v>3000</v>
          </cell>
          <cell r="H494">
            <v>3300</v>
          </cell>
          <cell r="I494">
            <v>334</v>
          </cell>
          <cell r="K494" t="str">
            <v>Formación continua (juridicos)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 t="str">
            <v>Servicio</v>
          </cell>
        </row>
        <row r="495">
          <cell r="A495">
            <v>123</v>
          </cell>
          <cell r="B495">
            <v>2017</v>
          </cell>
          <cell r="C495">
            <v>8300</v>
          </cell>
          <cell r="D495">
            <v>2</v>
          </cell>
          <cell r="E495">
            <v>2</v>
          </cell>
          <cell r="F495">
            <v>1</v>
          </cell>
          <cell r="G495">
            <v>3000</v>
          </cell>
          <cell r="H495">
            <v>3300</v>
          </cell>
          <cell r="I495">
            <v>334</v>
          </cell>
          <cell r="K495" t="str">
            <v xml:space="preserve">Curso de capacitación exclusivamente para personal que labora en el área de la Red Nacional de  Radiocomunicación 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 t="str">
            <v>Servicio</v>
          </cell>
          <cell r="T495">
            <v>0</v>
          </cell>
        </row>
        <row r="496">
          <cell r="A496">
            <v>124</v>
          </cell>
          <cell r="B496">
            <v>2017</v>
          </cell>
          <cell r="C496">
            <v>8300</v>
          </cell>
          <cell r="D496">
            <v>2</v>
          </cell>
          <cell r="E496">
            <v>2</v>
          </cell>
          <cell r="F496">
            <v>1</v>
          </cell>
          <cell r="G496">
            <v>3000</v>
          </cell>
          <cell r="H496">
            <v>3300</v>
          </cell>
          <cell r="I496">
            <v>334</v>
          </cell>
          <cell r="K496" t="str">
            <v>Formación Continua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 t="str">
            <v>Servicio</v>
          </cell>
          <cell r="T496">
            <v>0</v>
          </cell>
        </row>
        <row r="497">
          <cell r="A497">
            <v>125</v>
          </cell>
          <cell r="B497">
            <v>2017</v>
          </cell>
          <cell r="C497">
            <v>8300</v>
          </cell>
          <cell r="D497">
            <v>2</v>
          </cell>
          <cell r="E497">
            <v>2</v>
          </cell>
          <cell r="F497">
            <v>1</v>
          </cell>
          <cell r="G497">
            <v>3000</v>
          </cell>
          <cell r="H497">
            <v>3300</v>
          </cell>
          <cell r="I497">
            <v>334</v>
          </cell>
          <cell r="K497" t="str">
            <v>Curso de capacitación exclusivamente para proyectos relacionados con el Sistema de Videovigilancia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 t="str">
            <v>Servicio</v>
          </cell>
          <cell r="T497">
            <v>0</v>
          </cell>
        </row>
        <row r="498">
          <cell r="A498">
            <v>126</v>
          </cell>
          <cell r="B498">
            <v>2017</v>
          </cell>
          <cell r="C498">
            <v>8300</v>
          </cell>
          <cell r="D498">
            <v>2</v>
          </cell>
          <cell r="E498">
            <v>2</v>
          </cell>
          <cell r="F498">
            <v>1</v>
          </cell>
          <cell r="G498">
            <v>3000</v>
          </cell>
          <cell r="H498">
            <v>3300</v>
          </cell>
          <cell r="I498">
            <v>334</v>
          </cell>
          <cell r="K498" t="str">
            <v>Formación Continua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 t="str">
            <v>Servicio</v>
          </cell>
          <cell r="T498">
            <v>0</v>
          </cell>
        </row>
        <row r="499">
          <cell r="A499">
            <v>127</v>
          </cell>
          <cell r="B499">
            <v>2017</v>
          </cell>
          <cell r="C499">
            <v>8300</v>
          </cell>
          <cell r="D499">
            <v>2</v>
          </cell>
          <cell r="E499">
            <v>2</v>
          </cell>
          <cell r="F499">
            <v>1</v>
          </cell>
          <cell r="G499">
            <v>3000</v>
          </cell>
          <cell r="H499">
            <v>3300</v>
          </cell>
          <cell r="I499">
            <v>334</v>
          </cell>
          <cell r="K499" t="str">
            <v>Curso de capacitación para personal de las áreas de análisis, captura e investigación del Sistema Nacional de Información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 t="str">
            <v>Servicio</v>
          </cell>
          <cell r="T499">
            <v>0</v>
          </cell>
        </row>
        <row r="500">
          <cell r="A500">
            <v>128</v>
          </cell>
          <cell r="B500">
            <v>2017</v>
          </cell>
          <cell r="C500">
            <v>8300</v>
          </cell>
          <cell r="D500">
            <v>2</v>
          </cell>
          <cell r="E500">
            <v>2</v>
          </cell>
          <cell r="F500">
            <v>1</v>
          </cell>
          <cell r="G500">
            <v>3000</v>
          </cell>
          <cell r="H500">
            <v>3300</v>
          </cell>
          <cell r="I500">
            <v>334</v>
          </cell>
          <cell r="K500" t="str">
            <v>Formación Continua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 t="str">
            <v>Servicio</v>
          </cell>
          <cell r="T500">
            <v>0</v>
          </cell>
        </row>
        <row r="501">
          <cell r="A501">
            <v>129</v>
          </cell>
          <cell r="B501">
            <v>2017</v>
          </cell>
          <cell r="C501">
            <v>8300</v>
          </cell>
          <cell r="D501">
            <v>2</v>
          </cell>
          <cell r="E501">
            <v>2</v>
          </cell>
          <cell r="F501">
            <v>1</v>
          </cell>
          <cell r="G501">
            <v>3000</v>
          </cell>
          <cell r="H501">
            <v>3300</v>
          </cell>
          <cell r="I501">
            <v>334</v>
          </cell>
          <cell r="K501" t="str">
            <v>Curso de capacitación en materia de Registro Público Vehicular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 t="str">
            <v>Servicio</v>
          </cell>
          <cell r="T501">
            <v>0</v>
          </cell>
        </row>
        <row r="502">
          <cell r="A502">
            <v>130</v>
          </cell>
          <cell r="B502">
            <v>2017</v>
          </cell>
          <cell r="C502">
            <v>8300</v>
          </cell>
          <cell r="D502">
            <v>2</v>
          </cell>
          <cell r="E502">
            <v>2</v>
          </cell>
          <cell r="F502">
            <v>1</v>
          </cell>
          <cell r="G502">
            <v>3000</v>
          </cell>
          <cell r="H502">
            <v>3300</v>
          </cell>
          <cell r="I502">
            <v>334</v>
          </cell>
          <cell r="K502" t="str">
            <v>Formación Continua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 t="str">
            <v>Servicio</v>
          </cell>
          <cell r="T502">
            <v>0</v>
          </cell>
        </row>
        <row r="503">
          <cell r="A503">
            <v>131</v>
          </cell>
          <cell r="B503">
            <v>2017</v>
          </cell>
          <cell r="C503">
            <v>8300</v>
          </cell>
          <cell r="D503">
            <v>2</v>
          </cell>
          <cell r="E503">
            <v>2</v>
          </cell>
          <cell r="F503">
            <v>1</v>
          </cell>
          <cell r="G503">
            <v>3000</v>
          </cell>
          <cell r="H503">
            <v>3300</v>
          </cell>
          <cell r="I503">
            <v>334</v>
          </cell>
          <cell r="K503" t="str">
            <v xml:space="preserve">Curso de capacitación para operadores telefónicos y supervisores del Sistema Nacional de Atención de Llamadas de Emergencia y Denuncias Ciudadanas. 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 t="str">
            <v>Servicio</v>
          </cell>
          <cell r="T503">
            <v>0</v>
          </cell>
        </row>
        <row r="504">
          <cell r="A504">
            <v>132</v>
          </cell>
          <cell r="B504">
            <v>2017</v>
          </cell>
          <cell r="C504">
            <v>8300</v>
          </cell>
          <cell r="D504">
            <v>2</v>
          </cell>
          <cell r="E504">
            <v>2</v>
          </cell>
          <cell r="F504">
            <v>1</v>
          </cell>
          <cell r="G504">
            <v>3000</v>
          </cell>
          <cell r="H504">
            <v>3300</v>
          </cell>
          <cell r="I504">
            <v>334</v>
          </cell>
          <cell r="K504" t="str">
            <v>Formación Continua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 t="str">
            <v>Servicio</v>
          </cell>
          <cell r="T504">
            <v>0</v>
          </cell>
        </row>
        <row r="505">
          <cell r="A505">
            <v>133</v>
          </cell>
          <cell r="B505">
            <v>2017</v>
          </cell>
          <cell r="C505">
            <v>8300</v>
          </cell>
          <cell r="D505">
            <v>2</v>
          </cell>
          <cell r="E505">
            <v>2</v>
          </cell>
          <cell r="F505">
            <v>1</v>
          </cell>
          <cell r="G505">
            <v>3000</v>
          </cell>
          <cell r="H505">
            <v>3300</v>
          </cell>
          <cell r="I505">
            <v>334</v>
          </cell>
          <cell r="K505" t="str">
            <v>Curso de capacitación para otros operadores de las instituciones de seguridad pública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 t="str">
            <v>Servicio</v>
          </cell>
          <cell r="T505">
            <v>0</v>
          </cell>
        </row>
        <row r="506">
          <cell r="A506">
            <v>134</v>
          </cell>
          <cell r="B506">
            <v>2017</v>
          </cell>
          <cell r="C506">
            <v>8300</v>
          </cell>
          <cell r="D506">
            <v>2</v>
          </cell>
          <cell r="E506">
            <v>2</v>
          </cell>
          <cell r="F506">
            <v>1</v>
          </cell>
          <cell r="G506">
            <v>3000</v>
          </cell>
          <cell r="H506">
            <v>3300</v>
          </cell>
          <cell r="I506">
            <v>334</v>
          </cell>
          <cell r="K506" t="str">
            <v>Formación Inicial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 t="str">
            <v>Servicio</v>
          </cell>
          <cell r="T506">
            <v>0</v>
          </cell>
        </row>
        <row r="507">
          <cell r="A507">
            <v>135</v>
          </cell>
          <cell r="B507">
            <v>2017</v>
          </cell>
          <cell r="C507">
            <v>8300</v>
          </cell>
          <cell r="D507">
            <v>2</v>
          </cell>
          <cell r="E507">
            <v>2</v>
          </cell>
          <cell r="F507">
            <v>1</v>
          </cell>
          <cell r="G507">
            <v>3000</v>
          </cell>
          <cell r="H507">
            <v>3300</v>
          </cell>
          <cell r="I507">
            <v>334</v>
          </cell>
          <cell r="K507" t="str">
            <v>Formación Continua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 t="str">
            <v>Servicio</v>
          </cell>
          <cell r="T507">
            <v>0</v>
          </cell>
        </row>
        <row r="508">
          <cell r="A508">
            <v>136</v>
          </cell>
          <cell r="B508">
            <v>2017</v>
          </cell>
          <cell r="C508">
            <v>8300</v>
          </cell>
          <cell r="D508">
            <v>2</v>
          </cell>
          <cell r="E508">
            <v>2</v>
          </cell>
          <cell r="F508">
            <v>1</v>
          </cell>
          <cell r="G508">
            <v>3000</v>
          </cell>
          <cell r="H508">
            <v>3300</v>
          </cell>
          <cell r="I508">
            <v>334</v>
          </cell>
          <cell r="K508" t="str">
            <v>Formación de mandos (Policía procesal)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 t="str">
            <v>Servicio</v>
          </cell>
          <cell r="T508">
            <v>0</v>
          </cell>
        </row>
        <row r="509">
          <cell r="A509">
            <v>137</v>
          </cell>
          <cell r="B509">
            <v>2017</v>
          </cell>
          <cell r="C509">
            <v>8300</v>
          </cell>
          <cell r="D509">
            <v>2</v>
          </cell>
          <cell r="E509">
            <v>2</v>
          </cell>
          <cell r="F509">
            <v>1</v>
          </cell>
          <cell r="G509">
            <v>3000</v>
          </cell>
          <cell r="H509">
            <v>3300</v>
          </cell>
          <cell r="I509">
            <v>334</v>
          </cell>
          <cell r="K509" t="str">
            <v>Formador de Formadores (Policía procesal)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 t="str">
            <v>Servicio</v>
          </cell>
          <cell r="T509">
            <v>0</v>
          </cell>
        </row>
        <row r="510">
          <cell r="A510">
            <v>138</v>
          </cell>
          <cell r="B510">
            <v>2017</v>
          </cell>
          <cell r="C510">
            <v>8300</v>
          </cell>
          <cell r="D510">
            <v>2</v>
          </cell>
          <cell r="E510">
            <v>2</v>
          </cell>
          <cell r="F510">
            <v>1</v>
          </cell>
          <cell r="G510">
            <v>3000</v>
          </cell>
          <cell r="H510">
            <v>3300</v>
          </cell>
          <cell r="I510">
            <v>334</v>
          </cell>
          <cell r="K510" t="str">
            <v xml:space="preserve">Cursos de capacitación técnicos, científicos especializados en materia de ciencias forenses 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 t="str">
            <v>Servicio</v>
          </cell>
          <cell r="T510">
            <v>0</v>
          </cell>
        </row>
        <row r="511">
          <cell r="A511">
            <v>139</v>
          </cell>
          <cell r="B511">
            <v>2017</v>
          </cell>
          <cell r="C511">
            <v>8300</v>
          </cell>
          <cell r="D511">
            <v>2</v>
          </cell>
          <cell r="E511">
            <v>2</v>
          </cell>
          <cell r="F511">
            <v>1</v>
          </cell>
          <cell r="G511">
            <v>3000</v>
          </cell>
          <cell r="H511">
            <v>3300</v>
          </cell>
          <cell r="I511">
            <v>334</v>
          </cell>
          <cell r="K511" t="str">
            <v>Formación Inicial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 t="str">
            <v>Servicio</v>
          </cell>
          <cell r="T511">
            <v>0</v>
          </cell>
        </row>
        <row r="512">
          <cell r="A512">
            <v>140</v>
          </cell>
          <cell r="B512">
            <v>2017</v>
          </cell>
          <cell r="C512">
            <v>8300</v>
          </cell>
          <cell r="D512">
            <v>2</v>
          </cell>
          <cell r="E512">
            <v>2</v>
          </cell>
          <cell r="F512">
            <v>1</v>
          </cell>
          <cell r="G512">
            <v>3000</v>
          </cell>
          <cell r="H512">
            <v>3300</v>
          </cell>
          <cell r="I512">
            <v>334</v>
          </cell>
          <cell r="K512" t="str">
            <v>Formación Continua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 t="str">
            <v>Servicio</v>
          </cell>
          <cell r="T512">
            <v>0</v>
          </cell>
        </row>
        <row r="513">
          <cell r="A513">
            <v>141</v>
          </cell>
          <cell r="B513">
            <v>2017</v>
          </cell>
          <cell r="C513">
            <v>8300</v>
          </cell>
          <cell r="D513">
            <v>2</v>
          </cell>
          <cell r="E513">
            <v>2</v>
          </cell>
          <cell r="F513">
            <v>1</v>
          </cell>
          <cell r="G513">
            <v>3000</v>
          </cell>
          <cell r="H513">
            <v>3300</v>
          </cell>
          <cell r="I513">
            <v>336</v>
          </cell>
          <cell r="K513" t="str">
            <v>Servicios de apoyo administrativo, traducción, fotocopiado e impresión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T513">
            <v>0</v>
          </cell>
        </row>
        <row r="514">
          <cell r="A514">
            <v>142</v>
          </cell>
          <cell r="B514">
            <v>2017</v>
          </cell>
          <cell r="C514">
            <v>8300</v>
          </cell>
          <cell r="D514">
            <v>2</v>
          </cell>
          <cell r="E514">
            <v>2</v>
          </cell>
          <cell r="F514">
            <v>1</v>
          </cell>
          <cell r="G514">
            <v>3000</v>
          </cell>
          <cell r="H514">
            <v>3300</v>
          </cell>
          <cell r="I514">
            <v>336</v>
          </cell>
          <cell r="J514">
            <v>1</v>
          </cell>
          <cell r="K514" t="str">
            <v>Convocatoria para operadores de Procuración de Justicia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 t="str">
            <v>Convocatorias</v>
          </cell>
          <cell r="T514">
            <v>0</v>
          </cell>
        </row>
        <row r="515">
          <cell r="A515">
            <v>143</v>
          </cell>
          <cell r="B515">
            <v>2017</v>
          </cell>
          <cell r="C515">
            <v>8300</v>
          </cell>
          <cell r="D515">
            <v>2</v>
          </cell>
          <cell r="E515">
            <v>2</v>
          </cell>
          <cell r="F515">
            <v>1</v>
          </cell>
          <cell r="G515">
            <v>3000</v>
          </cell>
          <cell r="H515">
            <v>3300</v>
          </cell>
          <cell r="I515">
            <v>336</v>
          </cell>
          <cell r="J515">
            <v>2</v>
          </cell>
          <cell r="K515" t="str">
            <v>Convocatoria para operadores del Sistema Penitenciario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 t="str">
            <v>Convocatorias</v>
          </cell>
          <cell r="T515">
            <v>0</v>
          </cell>
        </row>
        <row r="516">
          <cell r="A516">
            <v>144</v>
          </cell>
          <cell r="B516">
            <v>2017</v>
          </cell>
          <cell r="C516">
            <v>8300</v>
          </cell>
          <cell r="D516">
            <v>2</v>
          </cell>
          <cell r="E516">
            <v>2</v>
          </cell>
          <cell r="F516">
            <v>1</v>
          </cell>
          <cell r="G516">
            <v>3000</v>
          </cell>
          <cell r="H516">
            <v>3300</v>
          </cell>
          <cell r="I516">
            <v>336</v>
          </cell>
          <cell r="J516">
            <v>3</v>
          </cell>
          <cell r="K516" t="str">
            <v>Convocatoria para otros operadores de las Instituciones de Seguridad Pública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 t="str">
            <v>Convocatorias</v>
          </cell>
          <cell r="T516">
            <v>0</v>
          </cell>
        </row>
        <row r="517">
          <cell r="A517">
            <v>145</v>
          </cell>
          <cell r="B517">
            <v>2017</v>
          </cell>
          <cell r="C517">
            <v>8300</v>
          </cell>
          <cell r="D517">
            <v>2</v>
          </cell>
          <cell r="E517">
            <v>2</v>
          </cell>
          <cell r="F517">
            <v>1</v>
          </cell>
          <cell r="G517">
            <v>3000</v>
          </cell>
          <cell r="H517">
            <v>3300</v>
          </cell>
          <cell r="I517">
            <v>336</v>
          </cell>
          <cell r="J517">
            <v>4</v>
          </cell>
          <cell r="K517" t="str">
            <v>Convocatoria Policía Estatal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 t="str">
            <v>Convocatorias</v>
          </cell>
          <cell r="T517">
            <v>0</v>
          </cell>
        </row>
        <row r="518">
          <cell r="A518">
            <v>146</v>
          </cell>
          <cell r="B518">
            <v>2017</v>
          </cell>
          <cell r="C518">
            <v>8300</v>
          </cell>
          <cell r="D518">
            <v>2</v>
          </cell>
          <cell r="E518">
            <v>2</v>
          </cell>
          <cell r="F518">
            <v>1</v>
          </cell>
          <cell r="G518">
            <v>3000</v>
          </cell>
          <cell r="H518">
            <v>3300</v>
          </cell>
          <cell r="I518">
            <v>336</v>
          </cell>
          <cell r="J518">
            <v>5</v>
          </cell>
          <cell r="K518" t="str">
            <v>Convocatoria Policía Municipal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 t="str">
            <v>Convocatorias</v>
          </cell>
          <cell r="T518">
            <v>0</v>
          </cell>
        </row>
        <row r="519">
          <cell r="A519">
            <v>147</v>
          </cell>
          <cell r="B519">
            <v>2017</v>
          </cell>
          <cell r="C519">
            <v>8300</v>
          </cell>
          <cell r="D519">
            <v>2</v>
          </cell>
          <cell r="E519">
            <v>2</v>
          </cell>
          <cell r="F519">
            <v>1</v>
          </cell>
          <cell r="G519">
            <v>3000</v>
          </cell>
          <cell r="H519">
            <v>3300</v>
          </cell>
          <cell r="I519">
            <v>336</v>
          </cell>
          <cell r="J519">
            <v>6</v>
          </cell>
          <cell r="K519" t="str">
            <v>Evaluación del desempeño para Ministerios Públicos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 t="str">
            <v>Evaluaciones</v>
          </cell>
          <cell r="T519">
            <v>0</v>
          </cell>
        </row>
        <row r="520">
          <cell r="A520">
            <v>148</v>
          </cell>
          <cell r="B520">
            <v>2017</v>
          </cell>
          <cell r="C520">
            <v>8300</v>
          </cell>
          <cell r="D520">
            <v>2</v>
          </cell>
          <cell r="E520">
            <v>2</v>
          </cell>
          <cell r="F520">
            <v>1</v>
          </cell>
          <cell r="G520">
            <v>3000</v>
          </cell>
          <cell r="H520">
            <v>3300</v>
          </cell>
          <cell r="I520">
            <v>336</v>
          </cell>
          <cell r="J520">
            <v>7</v>
          </cell>
          <cell r="K520" t="str">
            <v>Evaluación del desempeño para Personal de Custodia Penitenciaria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 t="str">
            <v>Evaluaciones</v>
          </cell>
          <cell r="T520">
            <v>0</v>
          </cell>
        </row>
        <row r="521">
          <cell r="A521">
            <v>149</v>
          </cell>
          <cell r="B521">
            <v>2017</v>
          </cell>
          <cell r="C521">
            <v>8300</v>
          </cell>
          <cell r="D521">
            <v>2</v>
          </cell>
          <cell r="E521">
            <v>2</v>
          </cell>
          <cell r="F521">
            <v>1</v>
          </cell>
          <cell r="G521">
            <v>3000</v>
          </cell>
          <cell r="H521">
            <v>3300</v>
          </cell>
          <cell r="I521">
            <v>336</v>
          </cell>
          <cell r="J521">
            <v>8</v>
          </cell>
          <cell r="K521" t="str">
            <v>Evaluación del desempeño para Peritos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 t="str">
            <v>Evaluaciones</v>
          </cell>
          <cell r="T521">
            <v>0</v>
          </cell>
        </row>
        <row r="522">
          <cell r="A522">
            <v>150</v>
          </cell>
          <cell r="B522">
            <v>2017</v>
          </cell>
          <cell r="C522">
            <v>8300</v>
          </cell>
          <cell r="D522">
            <v>2</v>
          </cell>
          <cell r="E522">
            <v>2</v>
          </cell>
          <cell r="F522">
            <v>1</v>
          </cell>
          <cell r="G522">
            <v>3000</v>
          </cell>
          <cell r="H522">
            <v>3300</v>
          </cell>
          <cell r="I522">
            <v>336</v>
          </cell>
          <cell r="J522">
            <v>9</v>
          </cell>
          <cell r="K522" t="str">
            <v>Evaluación del desempeño para Policías de Investigación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 t="str">
            <v>Evaluaciones</v>
          </cell>
          <cell r="T522">
            <v>0</v>
          </cell>
        </row>
        <row r="523">
          <cell r="A523">
            <v>151</v>
          </cell>
          <cell r="B523">
            <v>2017</v>
          </cell>
          <cell r="C523">
            <v>8300</v>
          </cell>
          <cell r="D523">
            <v>2</v>
          </cell>
          <cell r="E523">
            <v>2</v>
          </cell>
          <cell r="F523">
            <v>1</v>
          </cell>
          <cell r="G523">
            <v>3000</v>
          </cell>
          <cell r="H523">
            <v>3300</v>
          </cell>
          <cell r="I523">
            <v>336</v>
          </cell>
          <cell r="J523">
            <v>10</v>
          </cell>
          <cell r="K523" t="str">
            <v>Evaluación del desempeño para Policías Estatales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 t="str">
            <v>Evaluaciones</v>
          </cell>
          <cell r="T523">
            <v>0</v>
          </cell>
        </row>
        <row r="524">
          <cell r="A524">
            <v>152</v>
          </cell>
          <cell r="B524">
            <v>2017</v>
          </cell>
          <cell r="C524">
            <v>8300</v>
          </cell>
          <cell r="D524">
            <v>2</v>
          </cell>
          <cell r="E524">
            <v>2</v>
          </cell>
          <cell r="F524">
            <v>1</v>
          </cell>
          <cell r="G524">
            <v>3000</v>
          </cell>
          <cell r="H524">
            <v>3300</v>
          </cell>
          <cell r="I524">
            <v>336</v>
          </cell>
          <cell r="J524">
            <v>11</v>
          </cell>
          <cell r="K524" t="str">
            <v xml:space="preserve">Evaluación del desempeño para Policías Municipales 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 t="str">
            <v>Evaluaciones</v>
          </cell>
          <cell r="T524">
            <v>0</v>
          </cell>
        </row>
        <row r="525">
          <cell r="A525">
            <v>153</v>
          </cell>
          <cell r="B525">
            <v>2017</v>
          </cell>
          <cell r="C525">
            <v>8300</v>
          </cell>
          <cell r="D525">
            <v>2</v>
          </cell>
          <cell r="E525">
            <v>2</v>
          </cell>
          <cell r="F525">
            <v>1</v>
          </cell>
          <cell r="G525">
            <v>3000</v>
          </cell>
          <cell r="H525">
            <v>3300</v>
          </cell>
          <cell r="I525">
            <v>336</v>
          </cell>
          <cell r="J525">
            <v>12</v>
          </cell>
          <cell r="K525" t="str">
            <v>Evaluación del desempeño para otros integrantes de las Instituciones de Seguridad Pública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 t="str">
            <v>Evaluaciones</v>
          </cell>
          <cell r="T525">
            <v>0</v>
          </cell>
        </row>
        <row r="526">
          <cell r="A526">
            <v>154</v>
          </cell>
          <cell r="B526">
            <v>2017</v>
          </cell>
          <cell r="C526">
            <v>8300</v>
          </cell>
          <cell r="D526">
            <v>2</v>
          </cell>
          <cell r="E526">
            <v>2</v>
          </cell>
          <cell r="F526">
            <v>1</v>
          </cell>
          <cell r="G526">
            <v>3000</v>
          </cell>
          <cell r="H526">
            <v>3300</v>
          </cell>
          <cell r="I526">
            <v>336</v>
          </cell>
          <cell r="J526">
            <v>13</v>
          </cell>
          <cell r="K526" t="str">
            <v>Impresiones de documentos oficiales para la prestación de servicios públicos, identificación, formatos administrativos y fiscales, formas valoradas, certificados y títulos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 t="str">
            <v>Servicio</v>
          </cell>
          <cell r="T526">
            <v>0</v>
          </cell>
        </row>
        <row r="527">
          <cell r="A527">
            <v>155</v>
          </cell>
          <cell r="B527">
            <v>2017</v>
          </cell>
          <cell r="C527">
            <v>8300</v>
          </cell>
          <cell r="D527">
            <v>2</v>
          </cell>
          <cell r="E527">
            <v>2</v>
          </cell>
          <cell r="F527">
            <v>1</v>
          </cell>
          <cell r="G527">
            <v>3000</v>
          </cell>
          <cell r="H527">
            <v>3300</v>
          </cell>
          <cell r="I527">
            <v>336</v>
          </cell>
          <cell r="J527">
            <v>14</v>
          </cell>
          <cell r="K527" t="str">
            <v>Información en medios masivos derivada de la operación y administración de las dependencias y entidades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 t="str">
            <v>Servicio</v>
          </cell>
          <cell r="T527">
            <v>0</v>
          </cell>
        </row>
        <row r="528">
          <cell r="A528">
            <v>156</v>
          </cell>
          <cell r="B528">
            <v>2017</v>
          </cell>
          <cell r="C528">
            <v>8300</v>
          </cell>
          <cell r="D528">
            <v>2</v>
          </cell>
          <cell r="E528">
            <v>2</v>
          </cell>
          <cell r="F528">
            <v>1</v>
          </cell>
          <cell r="G528">
            <v>3000</v>
          </cell>
          <cell r="H528">
            <v>3300</v>
          </cell>
          <cell r="I528">
            <v>339</v>
          </cell>
          <cell r="K528" t="str">
            <v>Servicios profesionales, científicos y técnicos integrales</v>
          </cell>
          <cell r="L528">
            <v>225000</v>
          </cell>
          <cell r="M528">
            <v>0</v>
          </cell>
          <cell r="N528">
            <v>225000</v>
          </cell>
          <cell r="O528">
            <v>0</v>
          </cell>
          <cell r="P528">
            <v>0</v>
          </cell>
          <cell r="Q528">
            <v>0</v>
          </cell>
          <cell r="R528">
            <v>225000</v>
          </cell>
          <cell r="T528">
            <v>0</v>
          </cell>
        </row>
        <row r="529">
          <cell r="A529">
            <v>157</v>
          </cell>
          <cell r="B529">
            <v>2017</v>
          </cell>
          <cell r="C529">
            <v>8300</v>
          </cell>
          <cell r="D529">
            <v>2</v>
          </cell>
          <cell r="E529">
            <v>2</v>
          </cell>
          <cell r="F529">
            <v>1</v>
          </cell>
          <cell r="G529">
            <v>3000</v>
          </cell>
          <cell r="H529">
            <v>3300</v>
          </cell>
          <cell r="I529">
            <v>339</v>
          </cell>
          <cell r="J529">
            <v>1</v>
          </cell>
          <cell r="K529" t="str">
            <v>Subcontratación de servicios con terceros</v>
          </cell>
          <cell r="L529">
            <v>225000</v>
          </cell>
          <cell r="M529">
            <v>0</v>
          </cell>
          <cell r="N529">
            <v>225000</v>
          </cell>
          <cell r="O529">
            <v>0</v>
          </cell>
          <cell r="P529">
            <v>0</v>
          </cell>
          <cell r="Q529">
            <v>0</v>
          </cell>
          <cell r="R529">
            <v>225000</v>
          </cell>
          <cell r="S529" t="str">
            <v>Evaluaciones</v>
          </cell>
          <cell r="T529">
            <v>0</v>
          </cell>
        </row>
        <row r="530">
          <cell r="A530">
            <v>158</v>
          </cell>
          <cell r="B530">
            <v>2017</v>
          </cell>
          <cell r="C530">
            <v>8300</v>
          </cell>
          <cell r="D530">
            <v>2</v>
          </cell>
          <cell r="E530">
            <v>2</v>
          </cell>
          <cell r="F530">
            <v>1</v>
          </cell>
          <cell r="G530">
            <v>3000</v>
          </cell>
          <cell r="H530">
            <v>3300</v>
          </cell>
          <cell r="I530">
            <v>339</v>
          </cell>
          <cell r="K530" t="str">
            <v>Evaluación de Competencias Básicas para Personal de Custodia Penitenciaria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 t="str">
            <v>Evaluaciones</v>
          </cell>
          <cell r="T530">
            <v>0</v>
          </cell>
        </row>
        <row r="531">
          <cell r="A531">
            <v>159</v>
          </cell>
          <cell r="B531">
            <v>2017</v>
          </cell>
          <cell r="C531">
            <v>8300</v>
          </cell>
          <cell r="D531">
            <v>2</v>
          </cell>
          <cell r="E531">
            <v>2</v>
          </cell>
          <cell r="F531">
            <v>1</v>
          </cell>
          <cell r="G531">
            <v>3000</v>
          </cell>
          <cell r="H531">
            <v>3300</v>
          </cell>
          <cell r="I531">
            <v>339</v>
          </cell>
          <cell r="K531" t="str">
            <v>Evaluación de Competencias Básicas para Policías Estatales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 t="str">
            <v>Evaluaciones</v>
          </cell>
          <cell r="T531">
            <v>0</v>
          </cell>
        </row>
        <row r="532">
          <cell r="A532">
            <v>160</v>
          </cell>
          <cell r="B532">
            <v>2017</v>
          </cell>
          <cell r="C532">
            <v>8300</v>
          </cell>
          <cell r="D532">
            <v>2</v>
          </cell>
          <cell r="E532">
            <v>2</v>
          </cell>
          <cell r="F532">
            <v>1</v>
          </cell>
          <cell r="G532">
            <v>3000</v>
          </cell>
          <cell r="H532">
            <v>3300</v>
          </cell>
          <cell r="I532">
            <v>339</v>
          </cell>
          <cell r="K532" t="str">
            <v>Evaluación de Competencias Básicas para Policías Municipales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 t="str">
            <v>Evaluaciones</v>
          </cell>
          <cell r="T532">
            <v>0</v>
          </cell>
        </row>
        <row r="533">
          <cell r="A533">
            <v>161</v>
          </cell>
          <cell r="B533">
            <v>2017</v>
          </cell>
          <cell r="C533">
            <v>8300</v>
          </cell>
          <cell r="D533">
            <v>2</v>
          </cell>
          <cell r="E533">
            <v>2</v>
          </cell>
          <cell r="F533">
            <v>1</v>
          </cell>
          <cell r="G533">
            <v>3000</v>
          </cell>
          <cell r="H533">
            <v>3300</v>
          </cell>
          <cell r="I533">
            <v>339</v>
          </cell>
          <cell r="K533" t="str">
            <v>Evaluación de Competencias Básicas para Policías de Investigación</v>
          </cell>
          <cell r="L533">
            <v>225000</v>
          </cell>
          <cell r="M533">
            <v>0</v>
          </cell>
          <cell r="N533">
            <v>225000</v>
          </cell>
          <cell r="O533">
            <v>0</v>
          </cell>
          <cell r="P533">
            <v>0</v>
          </cell>
          <cell r="Q533">
            <v>0</v>
          </cell>
          <cell r="R533">
            <v>225000</v>
          </cell>
          <cell r="S533" t="str">
            <v>Evaluaciones</v>
          </cell>
          <cell r="T533">
            <v>500</v>
          </cell>
        </row>
        <row r="534">
          <cell r="A534">
            <v>162</v>
          </cell>
          <cell r="B534">
            <v>2017</v>
          </cell>
          <cell r="C534">
            <v>8300</v>
          </cell>
          <cell r="D534">
            <v>2</v>
          </cell>
          <cell r="E534">
            <v>2</v>
          </cell>
          <cell r="F534">
            <v>1</v>
          </cell>
          <cell r="G534">
            <v>3000</v>
          </cell>
          <cell r="H534">
            <v>3300</v>
          </cell>
          <cell r="I534">
            <v>339</v>
          </cell>
          <cell r="K534" t="str">
            <v>Evaluación de  aspirantes a Instructores Evaluadores de la función.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 t="str">
            <v>Evaluaciones</v>
          </cell>
          <cell r="T534">
            <v>0</v>
          </cell>
        </row>
        <row r="535">
          <cell r="A535">
            <v>163</v>
          </cell>
          <cell r="B535">
            <v>2017</v>
          </cell>
          <cell r="C535">
            <v>8300</v>
          </cell>
          <cell r="D535">
            <v>2</v>
          </cell>
          <cell r="E535">
            <v>2</v>
          </cell>
          <cell r="F535">
            <v>1</v>
          </cell>
          <cell r="G535">
            <v>3000</v>
          </cell>
          <cell r="H535">
            <v>3700</v>
          </cell>
          <cell r="K535" t="str">
            <v>Servicios de Traslado y Viáticos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T535">
            <v>0</v>
          </cell>
        </row>
        <row r="536">
          <cell r="A536">
            <v>164</v>
          </cell>
          <cell r="B536">
            <v>2017</v>
          </cell>
          <cell r="C536">
            <v>8300</v>
          </cell>
          <cell r="D536">
            <v>2</v>
          </cell>
          <cell r="E536">
            <v>2</v>
          </cell>
          <cell r="F536">
            <v>1</v>
          </cell>
          <cell r="G536">
            <v>3000</v>
          </cell>
          <cell r="H536">
            <v>3700</v>
          </cell>
          <cell r="I536">
            <v>371</v>
          </cell>
          <cell r="K536" t="str">
            <v>Pasajes aéreos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T536">
            <v>0</v>
          </cell>
        </row>
        <row r="537">
          <cell r="A537">
            <v>165</v>
          </cell>
          <cell r="B537">
            <v>2017</v>
          </cell>
          <cell r="C537">
            <v>8300</v>
          </cell>
          <cell r="D537">
            <v>2</v>
          </cell>
          <cell r="E537">
            <v>2</v>
          </cell>
          <cell r="F537">
            <v>1</v>
          </cell>
          <cell r="G537">
            <v>3000</v>
          </cell>
          <cell r="H537">
            <v>3700</v>
          </cell>
          <cell r="I537">
            <v>371</v>
          </cell>
          <cell r="J537">
            <v>1</v>
          </cell>
          <cell r="K537" t="str">
            <v xml:space="preserve">Pasajes aéreos nacionales 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 t="str">
            <v>Traslado</v>
          </cell>
          <cell r="T537">
            <v>0</v>
          </cell>
        </row>
        <row r="538">
          <cell r="A538">
            <v>166</v>
          </cell>
          <cell r="B538">
            <v>2017</v>
          </cell>
          <cell r="C538">
            <v>8300</v>
          </cell>
          <cell r="D538">
            <v>2</v>
          </cell>
          <cell r="E538">
            <v>2</v>
          </cell>
          <cell r="F538">
            <v>1</v>
          </cell>
          <cell r="G538">
            <v>3000</v>
          </cell>
          <cell r="H538">
            <v>3700</v>
          </cell>
          <cell r="I538">
            <v>372</v>
          </cell>
          <cell r="K538" t="str">
            <v>Pasajes terrestres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T538">
            <v>0</v>
          </cell>
        </row>
        <row r="539">
          <cell r="A539">
            <v>167</v>
          </cell>
          <cell r="B539">
            <v>2017</v>
          </cell>
          <cell r="C539">
            <v>8300</v>
          </cell>
          <cell r="D539">
            <v>2</v>
          </cell>
          <cell r="E539">
            <v>2</v>
          </cell>
          <cell r="F539">
            <v>1</v>
          </cell>
          <cell r="G539">
            <v>3000</v>
          </cell>
          <cell r="H539">
            <v>3700</v>
          </cell>
          <cell r="I539">
            <v>372</v>
          </cell>
          <cell r="J539">
            <v>1</v>
          </cell>
          <cell r="K539" t="str">
            <v xml:space="preserve">Pasajes terrestres nacionales 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 t="str">
            <v>Traslado</v>
          </cell>
          <cell r="T539">
            <v>0</v>
          </cell>
        </row>
        <row r="540">
          <cell r="A540">
            <v>168</v>
          </cell>
          <cell r="B540">
            <v>2017</v>
          </cell>
          <cell r="C540">
            <v>8300</v>
          </cell>
          <cell r="D540">
            <v>2</v>
          </cell>
          <cell r="E540">
            <v>2</v>
          </cell>
          <cell r="F540">
            <v>1</v>
          </cell>
          <cell r="G540">
            <v>3000</v>
          </cell>
          <cell r="H540">
            <v>3700</v>
          </cell>
          <cell r="I540">
            <v>375</v>
          </cell>
          <cell r="K540" t="str">
            <v>Viáticos en el país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T540">
            <v>0</v>
          </cell>
        </row>
        <row r="541">
          <cell r="A541">
            <v>169</v>
          </cell>
          <cell r="B541">
            <v>2017</v>
          </cell>
          <cell r="C541">
            <v>8300</v>
          </cell>
          <cell r="D541">
            <v>2</v>
          </cell>
          <cell r="E541">
            <v>2</v>
          </cell>
          <cell r="F541">
            <v>1</v>
          </cell>
          <cell r="G541">
            <v>3000</v>
          </cell>
          <cell r="H541">
            <v>3700</v>
          </cell>
          <cell r="I541">
            <v>375</v>
          </cell>
          <cell r="J541">
            <v>1</v>
          </cell>
          <cell r="K541" t="str">
            <v xml:space="preserve">Viáticos nacionales 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 t="str">
            <v>Traslado</v>
          </cell>
          <cell r="T541">
            <v>0</v>
          </cell>
        </row>
        <row r="542">
          <cell r="A542">
            <v>170</v>
          </cell>
          <cell r="B542">
            <v>2017</v>
          </cell>
          <cell r="C542">
            <v>8300</v>
          </cell>
          <cell r="D542">
            <v>2</v>
          </cell>
          <cell r="E542">
            <v>2</v>
          </cell>
          <cell r="F542">
            <v>1</v>
          </cell>
          <cell r="G542">
            <v>3000</v>
          </cell>
          <cell r="H542">
            <v>3700</v>
          </cell>
          <cell r="I542">
            <v>376</v>
          </cell>
          <cell r="K542" t="str">
            <v>Viáticos en el extranjero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T542">
            <v>0</v>
          </cell>
        </row>
        <row r="543">
          <cell r="A543">
            <v>171</v>
          </cell>
          <cell r="B543">
            <v>2017</v>
          </cell>
          <cell r="C543">
            <v>8300</v>
          </cell>
          <cell r="D543">
            <v>2</v>
          </cell>
          <cell r="E543">
            <v>2</v>
          </cell>
          <cell r="F543">
            <v>1</v>
          </cell>
          <cell r="G543">
            <v>3000</v>
          </cell>
          <cell r="H543">
            <v>3700</v>
          </cell>
          <cell r="I543">
            <v>376</v>
          </cell>
          <cell r="J543">
            <v>1</v>
          </cell>
          <cell r="K543" t="str">
            <v>Viáticos en el extranjero asociados a los programas de Seguridad Pública Nacional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 t="str">
            <v>Traslado</v>
          </cell>
          <cell r="T543">
            <v>0</v>
          </cell>
        </row>
        <row r="544">
          <cell r="A544">
            <v>172</v>
          </cell>
          <cell r="B544">
            <v>2017</v>
          </cell>
          <cell r="C544">
            <v>8300</v>
          </cell>
          <cell r="D544">
            <v>2</v>
          </cell>
          <cell r="E544">
            <v>2</v>
          </cell>
          <cell r="F544">
            <v>1</v>
          </cell>
          <cell r="G544">
            <v>4000</v>
          </cell>
          <cell r="K544" t="str">
            <v>TRANSFERENCIAS, ASIGNACIONES, SUBSIDIOS Y OTRAS AYUDAS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T544">
            <v>0</v>
          </cell>
        </row>
        <row r="545">
          <cell r="A545">
            <v>173</v>
          </cell>
          <cell r="B545">
            <v>2017</v>
          </cell>
          <cell r="C545">
            <v>8300</v>
          </cell>
          <cell r="D545">
            <v>2</v>
          </cell>
          <cell r="E545">
            <v>2</v>
          </cell>
          <cell r="F545">
            <v>1</v>
          </cell>
          <cell r="G545">
            <v>4000</v>
          </cell>
          <cell r="H545">
            <v>4400</v>
          </cell>
          <cell r="K545" t="str">
            <v>Ayudas Sociales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T545">
            <v>0</v>
          </cell>
        </row>
        <row r="546">
          <cell r="A546">
            <v>174</v>
          </cell>
          <cell r="B546">
            <v>2017</v>
          </cell>
          <cell r="C546">
            <v>8300</v>
          </cell>
          <cell r="D546">
            <v>2</v>
          </cell>
          <cell r="E546">
            <v>2</v>
          </cell>
          <cell r="F546">
            <v>1</v>
          </cell>
          <cell r="G546">
            <v>4000</v>
          </cell>
          <cell r="H546">
            <v>4400</v>
          </cell>
          <cell r="I546">
            <v>442</v>
          </cell>
          <cell r="K546" t="str">
            <v>Becas y otras ayudas para programas de capacitación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T546">
            <v>0</v>
          </cell>
        </row>
        <row r="547">
          <cell r="A547">
            <v>175</v>
          </cell>
          <cell r="B547">
            <v>2017</v>
          </cell>
          <cell r="C547">
            <v>8300</v>
          </cell>
          <cell r="D547">
            <v>2</v>
          </cell>
          <cell r="E547">
            <v>2</v>
          </cell>
          <cell r="F547">
            <v>1</v>
          </cell>
          <cell r="G547">
            <v>4000</v>
          </cell>
          <cell r="H547">
            <v>4400</v>
          </cell>
          <cell r="I547">
            <v>442</v>
          </cell>
          <cell r="J547">
            <v>1</v>
          </cell>
          <cell r="K547" t="str">
            <v>Becas y otras ayudas para programas de capacitación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 t="str">
            <v>Beca</v>
          </cell>
          <cell r="T547">
            <v>0</v>
          </cell>
        </row>
        <row r="548">
          <cell r="A548">
            <v>176</v>
          </cell>
          <cell r="B548">
            <v>2017</v>
          </cell>
          <cell r="C548">
            <v>8300</v>
          </cell>
          <cell r="D548">
            <v>2</v>
          </cell>
          <cell r="E548">
            <v>2</v>
          </cell>
          <cell r="F548">
            <v>1</v>
          </cell>
          <cell r="G548">
            <v>4000</v>
          </cell>
          <cell r="H548">
            <v>4400</v>
          </cell>
          <cell r="I548">
            <v>442</v>
          </cell>
          <cell r="K548" t="str">
            <v>Becas para aspirantes a Agentes del Ministerio Público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 t="str">
            <v>Beca</v>
          </cell>
          <cell r="T548">
            <v>0</v>
          </cell>
        </row>
        <row r="549">
          <cell r="A549">
            <v>177</v>
          </cell>
          <cell r="B549">
            <v>2017</v>
          </cell>
          <cell r="C549">
            <v>8300</v>
          </cell>
          <cell r="D549">
            <v>2</v>
          </cell>
          <cell r="E549">
            <v>2</v>
          </cell>
          <cell r="F549">
            <v>1</v>
          </cell>
          <cell r="G549">
            <v>4000</v>
          </cell>
          <cell r="H549">
            <v>4400</v>
          </cell>
          <cell r="I549">
            <v>442</v>
          </cell>
          <cell r="K549" t="str">
            <v>Becas para aspirantes a Personal de Custodia Penitenciaria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 t="str">
            <v>Beca</v>
          </cell>
          <cell r="T549">
            <v>0</v>
          </cell>
        </row>
        <row r="550">
          <cell r="A550">
            <v>178</v>
          </cell>
          <cell r="B550">
            <v>2017</v>
          </cell>
          <cell r="C550">
            <v>8300</v>
          </cell>
          <cell r="D550">
            <v>2</v>
          </cell>
          <cell r="E550">
            <v>2</v>
          </cell>
          <cell r="F550">
            <v>1</v>
          </cell>
          <cell r="G550">
            <v>4000</v>
          </cell>
          <cell r="H550">
            <v>4400</v>
          </cell>
          <cell r="I550">
            <v>442</v>
          </cell>
          <cell r="K550" t="str">
            <v>Becas para aspirantes a Peritos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 t="str">
            <v>Beca</v>
          </cell>
          <cell r="T550">
            <v>0</v>
          </cell>
        </row>
        <row r="551">
          <cell r="A551">
            <v>179</v>
          </cell>
          <cell r="B551">
            <v>2017</v>
          </cell>
          <cell r="C551">
            <v>8300</v>
          </cell>
          <cell r="D551">
            <v>2</v>
          </cell>
          <cell r="E551">
            <v>2</v>
          </cell>
          <cell r="F551">
            <v>1</v>
          </cell>
          <cell r="G551">
            <v>4000</v>
          </cell>
          <cell r="H551">
            <v>4400</v>
          </cell>
          <cell r="I551">
            <v>442</v>
          </cell>
          <cell r="K551" t="str">
            <v>Becas para aspirantes a Policía de Investigación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 t="str">
            <v>Beca</v>
          </cell>
          <cell r="T551">
            <v>0</v>
          </cell>
        </row>
        <row r="552">
          <cell r="A552">
            <v>180</v>
          </cell>
          <cell r="B552">
            <v>2017</v>
          </cell>
          <cell r="C552">
            <v>8300</v>
          </cell>
          <cell r="D552">
            <v>2</v>
          </cell>
          <cell r="E552">
            <v>2</v>
          </cell>
          <cell r="F552">
            <v>1</v>
          </cell>
          <cell r="G552">
            <v>4000</v>
          </cell>
          <cell r="H552">
            <v>4400</v>
          </cell>
          <cell r="I552">
            <v>442</v>
          </cell>
          <cell r="K552" t="str">
            <v>Becas para aspirantes a Policía Estatal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 t="str">
            <v>Beca</v>
          </cell>
          <cell r="T552">
            <v>0</v>
          </cell>
        </row>
        <row r="553">
          <cell r="A553">
            <v>181</v>
          </cell>
          <cell r="B553">
            <v>2017</v>
          </cell>
          <cell r="C553">
            <v>8300</v>
          </cell>
          <cell r="D553">
            <v>2</v>
          </cell>
          <cell r="E553">
            <v>2</v>
          </cell>
          <cell r="F553">
            <v>1</v>
          </cell>
          <cell r="G553">
            <v>4000</v>
          </cell>
          <cell r="H553">
            <v>4400</v>
          </cell>
          <cell r="I553">
            <v>442</v>
          </cell>
          <cell r="K553" t="str">
            <v>Becas para aspirantes a Policía Municipal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 t="str">
            <v>Beca</v>
          </cell>
          <cell r="T553">
            <v>0</v>
          </cell>
        </row>
        <row r="554">
          <cell r="A554">
            <v>182</v>
          </cell>
          <cell r="B554">
            <v>2017</v>
          </cell>
          <cell r="C554">
            <v>8300</v>
          </cell>
          <cell r="D554">
            <v>2</v>
          </cell>
          <cell r="E554">
            <v>2</v>
          </cell>
          <cell r="F554">
            <v>1</v>
          </cell>
          <cell r="G554">
            <v>4000</v>
          </cell>
          <cell r="H554">
            <v>4400</v>
          </cell>
          <cell r="I554">
            <v>442</v>
          </cell>
          <cell r="K554" t="str">
            <v>Becas para aspirantes a Administrativo del sistema penitenciario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 t="str">
            <v>Beca</v>
          </cell>
          <cell r="T554">
            <v>0</v>
          </cell>
        </row>
        <row r="555">
          <cell r="A555">
            <v>183</v>
          </cell>
          <cell r="B555">
            <v>2017</v>
          </cell>
          <cell r="C555">
            <v>8300</v>
          </cell>
          <cell r="D555">
            <v>2</v>
          </cell>
          <cell r="E555">
            <v>2</v>
          </cell>
          <cell r="F555">
            <v>1</v>
          </cell>
          <cell r="G555">
            <v>4000</v>
          </cell>
          <cell r="H555">
            <v>4400</v>
          </cell>
          <cell r="I555">
            <v>442</v>
          </cell>
          <cell r="K555" t="str">
            <v>Becas para aspirantes a Técnico del sistema penitenciario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 t="str">
            <v>Beca</v>
          </cell>
          <cell r="T555">
            <v>0</v>
          </cell>
        </row>
        <row r="556">
          <cell r="A556">
            <v>184</v>
          </cell>
          <cell r="B556">
            <v>2017</v>
          </cell>
          <cell r="C556">
            <v>8300</v>
          </cell>
          <cell r="D556">
            <v>2</v>
          </cell>
          <cell r="E556">
            <v>2</v>
          </cell>
          <cell r="F556">
            <v>1</v>
          </cell>
          <cell r="G556">
            <v>4000</v>
          </cell>
          <cell r="H556">
            <v>4400</v>
          </cell>
          <cell r="I556">
            <v>442</v>
          </cell>
          <cell r="K556" t="str">
            <v>Becas para aspirantes a Jurídico del sistema penitenciario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 t="str">
            <v>Beca</v>
          </cell>
          <cell r="T556">
            <v>0</v>
          </cell>
        </row>
        <row r="557">
          <cell r="A557">
            <v>185</v>
          </cell>
          <cell r="B557">
            <v>2017</v>
          </cell>
          <cell r="C557">
            <v>8300</v>
          </cell>
          <cell r="D557">
            <v>2</v>
          </cell>
          <cell r="E557">
            <v>2</v>
          </cell>
          <cell r="F557">
            <v>1</v>
          </cell>
          <cell r="G557">
            <v>4000</v>
          </cell>
          <cell r="H557">
            <v>4400</v>
          </cell>
          <cell r="I557">
            <v>442</v>
          </cell>
          <cell r="K557" t="str">
            <v>Becas para aspirante a Guía Técnico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 t="str">
            <v>Beca</v>
          </cell>
          <cell r="T557">
            <v>0</v>
          </cell>
        </row>
        <row r="558">
          <cell r="A558">
            <v>186</v>
          </cell>
          <cell r="B558">
            <v>2017</v>
          </cell>
          <cell r="C558">
            <v>8300</v>
          </cell>
          <cell r="D558">
            <v>2</v>
          </cell>
          <cell r="E558">
            <v>2</v>
          </cell>
          <cell r="F558">
            <v>1</v>
          </cell>
          <cell r="G558">
            <v>4000</v>
          </cell>
          <cell r="H558">
            <v>4400</v>
          </cell>
          <cell r="I558">
            <v>442</v>
          </cell>
          <cell r="K558" t="str">
            <v>Becas para otros aspirantes a ser integrantes de las instituciones de seguridad pública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 t="str">
            <v>Beca</v>
          </cell>
          <cell r="T558">
            <v>0</v>
          </cell>
        </row>
        <row r="559">
          <cell r="A559">
            <v>187</v>
          </cell>
          <cell r="B559">
            <v>2017</v>
          </cell>
          <cell r="C559">
            <v>8300</v>
          </cell>
          <cell r="D559">
            <v>2</v>
          </cell>
          <cell r="E559">
            <v>2</v>
          </cell>
          <cell r="F559">
            <v>1</v>
          </cell>
          <cell r="G559">
            <v>5000</v>
          </cell>
          <cell r="K559" t="str">
            <v>BIENES MUEBLES, INMUEBLES E INTANGIBLES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T559">
            <v>0</v>
          </cell>
        </row>
        <row r="560">
          <cell r="A560">
            <v>188</v>
          </cell>
          <cell r="B560">
            <v>2017</v>
          </cell>
          <cell r="C560">
            <v>8300</v>
          </cell>
          <cell r="D560">
            <v>2</v>
          </cell>
          <cell r="E560">
            <v>2</v>
          </cell>
          <cell r="F560">
            <v>1</v>
          </cell>
          <cell r="G560">
            <v>5000</v>
          </cell>
          <cell r="H560">
            <v>5200</v>
          </cell>
          <cell r="K560" t="str">
            <v>Mobiliario y Equipo Educacional y Recreativo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T560">
            <v>0</v>
          </cell>
        </row>
        <row r="561">
          <cell r="A561">
            <v>189</v>
          </cell>
          <cell r="B561">
            <v>2017</v>
          </cell>
          <cell r="C561">
            <v>8300</v>
          </cell>
          <cell r="D561">
            <v>2</v>
          </cell>
          <cell r="E561">
            <v>2</v>
          </cell>
          <cell r="F561">
            <v>1</v>
          </cell>
          <cell r="G561">
            <v>5000</v>
          </cell>
          <cell r="H561">
            <v>5200</v>
          </cell>
          <cell r="I561">
            <v>522</v>
          </cell>
          <cell r="K561" t="str">
            <v>Aparatos deportivos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T561">
            <v>0</v>
          </cell>
        </row>
        <row r="562">
          <cell r="A562">
            <v>190</v>
          </cell>
          <cell r="B562">
            <v>2017</v>
          </cell>
          <cell r="C562">
            <v>8300</v>
          </cell>
          <cell r="D562">
            <v>2</v>
          </cell>
          <cell r="E562">
            <v>2</v>
          </cell>
          <cell r="F562">
            <v>1</v>
          </cell>
          <cell r="G562">
            <v>5000</v>
          </cell>
          <cell r="H562">
            <v>5200</v>
          </cell>
          <cell r="I562">
            <v>522</v>
          </cell>
          <cell r="J562">
            <v>1</v>
          </cell>
          <cell r="K562" t="str">
            <v>Aparato pantorrilla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 t="str">
            <v>Pieza</v>
          </cell>
          <cell r="T562">
            <v>0</v>
          </cell>
        </row>
        <row r="563">
          <cell r="A563">
            <v>191</v>
          </cell>
          <cell r="B563">
            <v>2017</v>
          </cell>
          <cell r="C563">
            <v>8300</v>
          </cell>
          <cell r="D563">
            <v>2</v>
          </cell>
          <cell r="E563">
            <v>2</v>
          </cell>
          <cell r="F563">
            <v>1</v>
          </cell>
          <cell r="G563">
            <v>5000</v>
          </cell>
          <cell r="H563">
            <v>5200</v>
          </cell>
          <cell r="I563">
            <v>522</v>
          </cell>
          <cell r="J563">
            <v>2</v>
          </cell>
          <cell r="K563" t="str">
            <v>Banco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 t="str">
            <v>Pieza</v>
          </cell>
          <cell r="T563">
            <v>0</v>
          </cell>
        </row>
        <row r="564">
          <cell r="A564">
            <v>192</v>
          </cell>
          <cell r="B564">
            <v>2017</v>
          </cell>
          <cell r="C564">
            <v>8300</v>
          </cell>
          <cell r="D564">
            <v>2</v>
          </cell>
          <cell r="E564">
            <v>2</v>
          </cell>
          <cell r="F564">
            <v>1</v>
          </cell>
          <cell r="G564">
            <v>5000</v>
          </cell>
          <cell r="H564">
            <v>5200</v>
          </cell>
          <cell r="I564">
            <v>522</v>
          </cell>
          <cell r="J564">
            <v>3</v>
          </cell>
          <cell r="K564" t="str">
            <v>Barra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 t="str">
            <v>Pieza</v>
          </cell>
          <cell r="T564">
            <v>0</v>
          </cell>
        </row>
        <row r="565">
          <cell r="A565">
            <v>193</v>
          </cell>
          <cell r="B565">
            <v>2017</v>
          </cell>
          <cell r="C565">
            <v>8300</v>
          </cell>
          <cell r="D565">
            <v>2</v>
          </cell>
          <cell r="E565">
            <v>2</v>
          </cell>
          <cell r="F565">
            <v>1</v>
          </cell>
          <cell r="G565">
            <v>5000</v>
          </cell>
          <cell r="H565">
            <v>5200</v>
          </cell>
          <cell r="I565">
            <v>522</v>
          </cell>
          <cell r="J565">
            <v>4</v>
          </cell>
          <cell r="K565" t="str">
            <v>Bicicleta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 t="str">
            <v>Pieza</v>
          </cell>
          <cell r="T565">
            <v>0</v>
          </cell>
        </row>
        <row r="566">
          <cell r="A566">
            <v>194</v>
          </cell>
          <cell r="B566">
            <v>2017</v>
          </cell>
          <cell r="C566">
            <v>8300</v>
          </cell>
          <cell r="D566">
            <v>2</v>
          </cell>
          <cell r="E566">
            <v>2</v>
          </cell>
          <cell r="F566">
            <v>1</v>
          </cell>
          <cell r="G566">
            <v>5000</v>
          </cell>
          <cell r="H566">
            <v>5200</v>
          </cell>
          <cell r="I566">
            <v>522</v>
          </cell>
          <cell r="J566">
            <v>5</v>
          </cell>
          <cell r="K566" t="str">
            <v>Caminadora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 t="str">
            <v>Pieza</v>
          </cell>
          <cell r="T566">
            <v>0</v>
          </cell>
        </row>
        <row r="567">
          <cell r="A567">
            <v>195</v>
          </cell>
          <cell r="B567">
            <v>2017</v>
          </cell>
          <cell r="C567">
            <v>8300</v>
          </cell>
          <cell r="D567">
            <v>2</v>
          </cell>
          <cell r="E567">
            <v>2</v>
          </cell>
          <cell r="F567">
            <v>1</v>
          </cell>
          <cell r="G567">
            <v>5000</v>
          </cell>
          <cell r="H567">
            <v>5200</v>
          </cell>
          <cell r="I567">
            <v>522</v>
          </cell>
          <cell r="J567">
            <v>6</v>
          </cell>
          <cell r="K567" t="str">
            <v>Costal de box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 t="str">
            <v>Pieza</v>
          </cell>
          <cell r="T567">
            <v>0</v>
          </cell>
        </row>
        <row r="568">
          <cell r="A568">
            <v>196</v>
          </cell>
          <cell r="B568">
            <v>2017</v>
          </cell>
          <cell r="C568">
            <v>8300</v>
          </cell>
          <cell r="D568">
            <v>2</v>
          </cell>
          <cell r="E568">
            <v>2</v>
          </cell>
          <cell r="F568">
            <v>1</v>
          </cell>
          <cell r="G568">
            <v>5000</v>
          </cell>
          <cell r="H568">
            <v>5200</v>
          </cell>
          <cell r="I568">
            <v>522</v>
          </cell>
          <cell r="J568">
            <v>7</v>
          </cell>
          <cell r="K568" t="str">
            <v>Discos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 t="str">
            <v>Pieza</v>
          </cell>
          <cell r="T568">
            <v>0</v>
          </cell>
        </row>
        <row r="569">
          <cell r="A569">
            <v>197</v>
          </cell>
          <cell r="B569">
            <v>2017</v>
          </cell>
          <cell r="C569">
            <v>8300</v>
          </cell>
          <cell r="D569">
            <v>2</v>
          </cell>
          <cell r="E569">
            <v>2</v>
          </cell>
          <cell r="F569">
            <v>1</v>
          </cell>
          <cell r="G569">
            <v>5000</v>
          </cell>
          <cell r="H569">
            <v>5200</v>
          </cell>
          <cell r="I569">
            <v>522</v>
          </cell>
          <cell r="J569">
            <v>8</v>
          </cell>
          <cell r="K569" t="str">
            <v>Elíptica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 t="str">
            <v>Pieza</v>
          </cell>
          <cell r="T569">
            <v>0</v>
          </cell>
        </row>
        <row r="570">
          <cell r="A570">
            <v>198</v>
          </cell>
          <cell r="B570">
            <v>2017</v>
          </cell>
          <cell r="C570">
            <v>8300</v>
          </cell>
          <cell r="D570">
            <v>2</v>
          </cell>
          <cell r="E570">
            <v>2</v>
          </cell>
          <cell r="F570">
            <v>1</v>
          </cell>
          <cell r="G570">
            <v>5000</v>
          </cell>
          <cell r="H570">
            <v>5200</v>
          </cell>
          <cell r="I570">
            <v>522</v>
          </cell>
          <cell r="J570">
            <v>9</v>
          </cell>
          <cell r="K570" t="str">
            <v>Equipo para bíceps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 t="str">
            <v>Pieza</v>
          </cell>
          <cell r="T570">
            <v>0</v>
          </cell>
        </row>
        <row r="571">
          <cell r="A571">
            <v>199</v>
          </cell>
          <cell r="B571">
            <v>2017</v>
          </cell>
          <cell r="C571">
            <v>8300</v>
          </cell>
          <cell r="D571">
            <v>2</v>
          </cell>
          <cell r="E571">
            <v>2</v>
          </cell>
          <cell r="F571">
            <v>1</v>
          </cell>
          <cell r="G571">
            <v>5000</v>
          </cell>
          <cell r="H571">
            <v>5200</v>
          </cell>
          <cell r="I571">
            <v>522</v>
          </cell>
          <cell r="J571">
            <v>10</v>
          </cell>
          <cell r="K571" t="str">
            <v>Equipo para ejercitar bíceps y tríceps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 t="str">
            <v>Pieza</v>
          </cell>
          <cell r="T571">
            <v>0</v>
          </cell>
        </row>
        <row r="572">
          <cell r="A572">
            <v>200</v>
          </cell>
          <cell r="B572">
            <v>2017</v>
          </cell>
          <cell r="C572">
            <v>8300</v>
          </cell>
          <cell r="D572">
            <v>2</v>
          </cell>
          <cell r="E572">
            <v>2</v>
          </cell>
          <cell r="F572">
            <v>1</v>
          </cell>
          <cell r="G572">
            <v>5000</v>
          </cell>
          <cell r="H572">
            <v>5200</v>
          </cell>
          <cell r="I572">
            <v>522</v>
          </cell>
          <cell r="J572">
            <v>11</v>
          </cell>
          <cell r="K572" t="str">
            <v>Equipo para ejercitar espalda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 t="str">
            <v>Pieza</v>
          </cell>
          <cell r="T572">
            <v>0</v>
          </cell>
        </row>
        <row r="573">
          <cell r="A573">
            <v>201</v>
          </cell>
          <cell r="B573">
            <v>2017</v>
          </cell>
          <cell r="C573">
            <v>8300</v>
          </cell>
          <cell r="D573">
            <v>2</v>
          </cell>
          <cell r="E573">
            <v>2</v>
          </cell>
          <cell r="F573">
            <v>1</v>
          </cell>
          <cell r="G573">
            <v>5000</v>
          </cell>
          <cell r="H573">
            <v>5200</v>
          </cell>
          <cell r="I573">
            <v>522</v>
          </cell>
          <cell r="J573">
            <v>12</v>
          </cell>
          <cell r="K573" t="str">
            <v>Equipo para ejercitar pectoral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 t="str">
            <v>Pieza</v>
          </cell>
          <cell r="T573">
            <v>0</v>
          </cell>
        </row>
        <row r="574">
          <cell r="A574">
            <v>202</v>
          </cell>
          <cell r="B574">
            <v>2017</v>
          </cell>
          <cell r="C574">
            <v>8300</v>
          </cell>
          <cell r="D574">
            <v>2</v>
          </cell>
          <cell r="E574">
            <v>2</v>
          </cell>
          <cell r="F574">
            <v>1</v>
          </cell>
          <cell r="G574">
            <v>5000</v>
          </cell>
          <cell r="H574">
            <v>5200</v>
          </cell>
          <cell r="I574">
            <v>522</v>
          </cell>
          <cell r="J574">
            <v>13</v>
          </cell>
          <cell r="K574" t="str">
            <v>Equipo para ejercitar pectorales y hombro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 t="str">
            <v>Pieza</v>
          </cell>
          <cell r="T574">
            <v>0</v>
          </cell>
        </row>
        <row r="575">
          <cell r="A575">
            <v>203</v>
          </cell>
          <cell r="B575">
            <v>2017</v>
          </cell>
          <cell r="C575">
            <v>8300</v>
          </cell>
          <cell r="D575">
            <v>2</v>
          </cell>
          <cell r="E575">
            <v>2</v>
          </cell>
          <cell r="F575">
            <v>1</v>
          </cell>
          <cell r="G575">
            <v>5000</v>
          </cell>
          <cell r="H575">
            <v>5200</v>
          </cell>
          <cell r="I575">
            <v>522</v>
          </cell>
          <cell r="J575">
            <v>14</v>
          </cell>
          <cell r="K575" t="str">
            <v>Equipo para ejercitar pierna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 t="str">
            <v>Pieza</v>
          </cell>
          <cell r="T575">
            <v>0</v>
          </cell>
        </row>
        <row r="576">
          <cell r="A576">
            <v>204</v>
          </cell>
          <cell r="B576">
            <v>2017</v>
          </cell>
          <cell r="C576">
            <v>8300</v>
          </cell>
          <cell r="D576">
            <v>2</v>
          </cell>
          <cell r="E576">
            <v>2</v>
          </cell>
          <cell r="F576">
            <v>1</v>
          </cell>
          <cell r="G576">
            <v>5000</v>
          </cell>
          <cell r="H576">
            <v>5200</v>
          </cell>
          <cell r="I576">
            <v>522</v>
          </cell>
          <cell r="J576">
            <v>15</v>
          </cell>
          <cell r="K576" t="str">
            <v>Equipo para tríceps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 t="str">
            <v>Pieza</v>
          </cell>
          <cell r="T576">
            <v>0</v>
          </cell>
        </row>
        <row r="577">
          <cell r="A577">
            <v>205</v>
          </cell>
          <cell r="B577">
            <v>2017</v>
          </cell>
          <cell r="C577">
            <v>8300</v>
          </cell>
          <cell r="D577">
            <v>2</v>
          </cell>
          <cell r="E577">
            <v>2</v>
          </cell>
          <cell r="F577">
            <v>1</v>
          </cell>
          <cell r="G577">
            <v>5000</v>
          </cell>
          <cell r="H577">
            <v>5200</v>
          </cell>
          <cell r="I577">
            <v>522</v>
          </cell>
          <cell r="J577">
            <v>16</v>
          </cell>
          <cell r="K577" t="str">
            <v>Extensión de pierna con peso integrado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 t="str">
            <v>Pieza</v>
          </cell>
          <cell r="T577">
            <v>0</v>
          </cell>
        </row>
        <row r="578">
          <cell r="A578">
            <v>206</v>
          </cell>
          <cell r="B578">
            <v>2017</v>
          </cell>
          <cell r="C578">
            <v>8300</v>
          </cell>
          <cell r="D578">
            <v>2</v>
          </cell>
          <cell r="E578">
            <v>2</v>
          </cell>
          <cell r="F578">
            <v>1</v>
          </cell>
          <cell r="G578">
            <v>5000</v>
          </cell>
          <cell r="H578">
            <v>5200</v>
          </cell>
          <cell r="I578">
            <v>522</v>
          </cell>
          <cell r="J578">
            <v>17</v>
          </cell>
          <cell r="K578" t="str">
            <v>Juego de mancuernas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 t="str">
            <v>Pieza</v>
          </cell>
          <cell r="T578">
            <v>0</v>
          </cell>
        </row>
        <row r="579">
          <cell r="A579">
            <v>207</v>
          </cell>
          <cell r="B579">
            <v>2017</v>
          </cell>
          <cell r="C579">
            <v>8300</v>
          </cell>
          <cell r="D579">
            <v>2</v>
          </cell>
          <cell r="E579">
            <v>2</v>
          </cell>
          <cell r="F579">
            <v>1</v>
          </cell>
          <cell r="G579">
            <v>5000</v>
          </cell>
          <cell r="H579">
            <v>5200</v>
          </cell>
          <cell r="I579">
            <v>522</v>
          </cell>
          <cell r="J579">
            <v>18</v>
          </cell>
          <cell r="K579" t="str">
            <v>Manoplas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 t="str">
            <v>Pieza</v>
          </cell>
          <cell r="T579">
            <v>0</v>
          </cell>
        </row>
        <row r="580">
          <cell r="A580">
            <v>208</v>
          </cell>
          <cell r="B580">
            <v>2017</v>
          </cell>
          <cell r="C580">
            <v>8300</v>
          </cell>
          <cell r="D580">
            <v>2</v>
          </cell>
          <cell r="E580">
            <v>2</v>
          </cell>
          <cell r="F580">
            <v>1</v>
          </cell>
          <cell r="G580">
            <v>5000</v>
          </cell>
          <cell r="H580">
            <v>5200</v>
          </cell>
          <cell r="I580">
            <v>522</v>
          </cell>
          <cell r="J580">
            <v>19</v>
          </cell>
          <cell r="K580" t="str">
            <v>Máquina smith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 t="str">
            <v>Pieza</v>
          </cell>
          <cell r="T580">
            <v>0</v>
          </cell>
        </row>
        <row r="581">
          <cell r="A581">
            <v>209</v>
          </cell>
          <cell r="B581">
            <v>2017</v>
          </cell>
          <cell r="C581">
            <v>8300</v>
          </cell>
          <cell r="D581">
            <v>2</v>
          </cell>
          <cell r="E581">
            <v>2</v>
          </cell>
          <cell r="F581">
            <v>1</v>
          </cell>
          <cell r="G581">
            <v>5000</v>
          </cell>
          <cell r="H581">
            <v>5200</v>
          </cell>
          <cell r="I581">
            <v>522</v>
          </cell>
          <cell r="J581">
            <v>20</v>
          </cell>
          <cell r="K581" t="str">
            <v>Multipolea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 t="str">
            <v>Pieza</v>
          </cell>
          <cell r="T581">
            <v>0</v>
          </cell>
        </row>
        <row r="582">
          <cell r="A582">
            <v>210</v>
          </cell>
          <cell r="B582">
            <v>2017</v>
          </cell>
          <cell r="C582">
            <v>8300</v>
          </cell>
          <cell r="D582">
            <v>2</v>
          </cell>
          <cell r="E582">
            <v>2</v>
          </cell>
          <cell r="F582">
            <v>1</v>
          </cell>
          <cell r="G582">
            <v>5000</v>
          </cell>
          <cell r="H582">
            <v>5200</v>
          </cell>
          <cell r="I582">
            <v>522</v>
          </cell>
          <cell r="J582">
            <v>21</v>
          </cell>
          <cell r="K582" t="str">
            <v>Peras fijas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 t="str">
            <v>Pieza</v>
          </cell>
          <cell r="T582">
            <v>0</v>
          </cell>
        </row>
        <row r="583">
          <cell r="A583">
            <v>211</v>
          </cell>
          <cell r="B583">
            <v>2017</v>
          </cell>
          <cell r="C583">
            <v>8300</v>
          </cell>
          <cell r="D583">
            <v>2</v>
          </cell>
          <cell r="E583">
            <v>2</v>
          </cell>
          <cell r="F583">
            <v>1</v>
          </cell>
          <cell r="G583">
            <v>5000</v>
          </cell>
          <cell r="H583">
            <v>5200</v>
          </cell>
          <cell r="I583">
            <v>522</v>
          </cell>
          <cell r="J583">
            <v>22</v>
          </cell>
          <cell r="K583" t="str">
            <v>Polea para espalda y remo peso integrado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 t="str">
            <v>Pieza</v>
          </cell>
          <cell r="T583">
            <v>0</v>
          </cell>
        </row>
        <row r="584">
          <cell r="A584">
            <v>212</v>
          </cell>
          <cell r="B584">
            <v>2017</v>
          </cell>
          <cell r="C584">
            <v>8300</v>
          </cell>
          <cell r="D584">
            <v>2</v>
          </cell>
          <cell r="E584">
            <v>2</v>
          </cell>
          <cell r="F584">
            <v>1</v>
          </cell>
          <cell r="G584">
            <v>5000</v>
          </cell>
          <cell r="H584">
            <v>5200</v>
          </cell>
          <cell r="I584">
            <v>522</v>
          </cell>
          <cell r="J584">
            <v>23</v>
          </cell>
          <cell r="K584" t="str">
            <v>Porta mancuerna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 t="str">
            <v>Pieza</v>
          </cell>
          <cell r="T584">
            <v>0</v>
          </cell>
        </row>
        <row r="585">
          <cell r="A585">
            <v>213</v>
          </cell>
          <cell r="B585">
            <v>2017</v>
          </cell>
          <cell r="C585">
            <v>8300</v>
          </cell>
          <cell r="D585">
            <v>2</v>
          </cell>
          <cell r="E585">
            <v>2</v>
          </cell>
          <cell r="F585">
            <v>1</v>
          </cell>
          <cell r="G585">
            <v>5000</v>
          </cell>
          <cell r="H585">
            <v>5200</v>
          </cell>
          <cell r="I585">
            <v>522</v>
          </cell>
          <cell r="J585">
            <v>24</v>
          </cell>
          <cell r="K585" t="str">
            <v>Portadiscos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 t="str">
            <v>Pieza</v>
          </cell>
          <cell r="T585">
            <v>0</v>
          </cell>
        </row>
        <row r="586">
          <cell r="A586">
            <v>214</v>
          </cell>
          <cell r="B586">
            <v>2017</v>
          </cell>
          <cell r="C586">
            <v>8300</v>
          </cell>
          <cell r="D586">
            <v>2</v>
          </cell>
          <cell r="E586">
            <v>2</v>
          </cell>
          <cell r="F586">
            <v>1</v>
          </cell>
          <cell r="G586">
            <v>5000</v>
          </cell>
          <cell r="H586">
            <v>5200</v>
          </cell>
          <cell r="I586">
            <v>522</v>
          </cell>
          <cell r="J586">
            <v>25</v>
          </cell>
          <cell r="K586" t="str">
            <v xml:space="preserve">Prensa para pierna 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 t="str">
            <v>Pieza</v>
          </cell>
          <cell r="T586">
            <v>0</v>
          </cell>
        </row>
        <row r="587">
          <cell r="A587">
            <v>215</v>
          </cell>
          <cell r="B587">
            <v>2017</v>
          </cell>
          <cell r="C587">
            <v>8300</v>
          </cell>
          <cell r="D587">
            <v>2</v>
          </cell>
          <cell r="E587">
            <v>2</v>
          </cell>
          <cell r="F587">
            <v>1</v>
          </cell>
          <cell r="G587">
            <v>5000</v>
          </cell>
          <cell r="H587">
            <v>5200</v>
          </cell>
          <cell r="I587">
            <v>522</v>
          </cell>
          <cell r="J587">
            <v>26</v>
          </cell>
          <cell r="K587" t="str">
            <v xml:space="preserve">Rack 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 t="str">
            <v>Pieza</v>
          </cell>
          <cell r="T587">
            <v>0</v>
          </cell>
        </row>
        <row r="588">
          <cell r="A588">
            <v>216</v>
          </cell>
          <cell r="B588">
            <v>2017</v>
          </cell>
          <cell r="C588">
            <v>8300</v>
          </cell>
          <cell r="D588">
            <v>2</v>
          </cell>
          <cell r="E588">
            <v>2</v>
          </cell>
          <cell r="F588">
            <v>1</v>
          </cell>
          <cell r="G588">
            <v>5000</v>
          </cell>
          <cell r="H588">
            <v>5200</v>
          </cell>
          <cell r="I588">
            <v>522</v>
          </cell>
          <cell r="J588">
            <v>27</v>
          </cell>
          <cell r="K588" t="str">
            <v>Remadora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 t="str">
            <v>Pieza</v>
          </cell>
          <cell r="T588">
            <v>0</v>
          </cell>
        </row>
        <row r="589">
          <cell r="A589">
            <v>217</v>
          </cell>
          <cell r="B589">
            <v>2017</v>
          </cell>
          <cell r="C589">
            <v>8300</v>
          </cell>
          <cell r="D589">
            <v>2</v>
          </cell>
          <cell r="E589">
            <v>2</v>
          </cell>
          <cell r="F589">
            <v>1</v>
          </cell>
          <cell r="G589">
            <v>5000</v>
          </cell>
          <cell r="H589">
            <v>5200</v>
          </cell>
          <cell r="I589">
            <v>522</v>
          </cell>
          <cell r="J589">
            <v>28</v>
          </cell>
          <cell r="K589" t="str">
            <v>Set olímpico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 t="str">
            <v>Pieza</v>
          </cell>
          <cell r="T589">
            <v>0</v>
          </cell>
        </row>
        <row r="590">
          <cell r="A590">
            <v>218</v>
          </cell>
          <cell r="B590">
            <v>2017</v>
          </cell>
          <cell r="C590">
            <v>8300</v>
          </cell>
          <cell r="D590">
            <v>2</v>
          </cell>
          <cell r="E590">
            <v>2</v>
          </cell>
          <cell r="F590">
            <v>1</v>
          </cell>
          <cell r="G590">
            <v>5000</v>
          </cell>
          <cell r="H590">
            <v>5200</v>
          </cell>
          <cell r="I590">
            <v>522</v>
          </cell>
          <cell r="J590">
            <v>29</v>
          </cell>
          <cell r="K590" t="str">
            <v>Tabla abdominal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 t="str">
            <v>Pieza</v>
          </cell>
          <cell r="T590">
            <v>0</v>
          </cell>
        </row>
        <row r="591">
          <cell r="A591">
            <v>219</v>
          </cell>
          <cell r="B591">
            <v>2017</v>
          </cell>
          <cell r="C591">
            <v>8300</v>
          </cell>
          <cell r="D591">
            <v>2</v>
          </cell>
          <cell r="E591">
            <v>2</v>
          </cell>
          <cell r="F591">
            <v>1</v>
          </cell>
          <cell r="G591">
            <v>5000</v>
          </cell>
          <cell r="H591">
            <v>5200</v>
          </cell>
          <cell r="I591">
            <v>522</v>
          </cell>
          <cell r="J591">
            <v>30</v>
          </cell>
          <cell r="K591" t="str">
            <v>Torre multifuncional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 t="str">
            <v>Pieza</v>
          </cell>
          <cell r="T591">
            <v>0</v>
          </cell>
        </row>
        <row r="592">
          <cell r="A592">
            <v>220</v>
          </cell>
          <cell r="B592">
            <v>2017</v>
          </cell>
          <cell r="C592">
            <v>8300</v>
          </cell>
          <cell r="D592">
            <v>2</v>
          </cell>
          <cell r="E592">
            <v>2</v>
          </cell>
          <cell r="F592">
            <v>1</v>
          </cell>
          <cell r="G592">
            <v>5000</v>
          </cell>
          <cell r="H592">
            <v>5400</v>
          </cell>
          <cell r="K592" t="str">
            <v>Vehículos y Equipo de Transporte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T592">
            <v>0</v>
          </cell>
        </row>
        <row r="593">
          <cell r="A593">
            <v>221</v>
          </cell>
          <cell r="B593">
            <v>2017</v>
          </cell>
          <cell r="C593">
            <v>8300</v>
          </cell>
          <cell r="D593">
            <v>2</v>
          </cell>
          <cell r="E593">
            <v>2</v>
          </cell>
          <cell r="F593">
            <v>1</v>
          </cell>
          <cell r="G593">
            <v>5000</v>
          </cell>
          <cell r="H593">
            <v>5400</v>
          </cell>
          <cell r="I593">
            <v>541</v>
          </cell>
          <cell r="K593" t="str">
            <v>Vehículos y equipo terrestre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T593">
            <v>0</v>
          </cell>
        </row>
        <row r="594">
          <cell r="A594">
            <v>222</v>
          </cell>
          <cell r="B594">
            <v>2017</v>
          </cell>
          <cell r="C594">
            <v>8300</v>
          </cell>
          <cell r="D594">
            <v>2</v>
          </cell>
          <cell r="E594">
            <v>2</v>
          </cell>
          <cell r="F594">
            <v>1</v>
          </cell>
          <cell r="G594">
            <v>5000</v>
          </cell>
          <cell r="H594">
            <v>5400</v>
          </cell>
          <cell r="I594">
            <v>541</v>
          </cell>
          <cell r="J594">
            <v>1</v>
          </cell>
          <cell r="K594" t="str">
            <v>Cuatrimoto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 t="str">
            <v>Pieza</v>
          </cell>
          <cell r="T594">
            <v>0</v>
          </cell>
        </row>
        <row r="595">
          <cell r="A595">
            <v>223</v>
          </cell>
          <cell r="B595">
            <v>2017</v>
          </cell>
          <cell r="C595">
            <v>8300</v>
          </cell>
          <cell r="D595">
            <v>2</v>
          </cell>
          <cell r="E595">
            <v>2</v>
          </cell>
          <cell r="F595">
            <v>1</v>
          </cell>
          <cell r="G595">
            <v>5000</v>
          </cell>
          <cell r="H595">
            <v>5400</v>
          </cell>
          <cell r="I595">
            <v>541</v>
          </cell>
          <cell r="J595">
            <v>2</v>
          </cell>
          <cell r="K595" t="str">
            <v>Motocicleta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 t="str">
            <v>Pieza</v>
          </cell>
          <cell r="T595">
            <v>0</v>
          </cell>
        </row>
        <row r="596">
          <cell r="A596">
            <v>224</v>
          </cell>
          <cell r="B596">
            <v>2017</v>
          </cell>
          <cell r="C596">
            <v>8300</v>
          </cell>
          <cell r="D596">
            <v>2</v>
          </cell>
          <cell r="E596">
            <v>2</v>
          </cell>
          <cell r="F596">
            <v>1</v>
          </cell>
          <cell r="G596">
            <v>5000</v>
          </cell>
          <cell r="H596">
            <v>5400</v>
          </cell>
          <cell r="I596">
            <v>541</v>
          </cell>
          <cell r="J596">
            <v>3</v>
          </cell>
          <cell r="K596" t="str">
            <v xml:space="preserve">Vehículo 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 t="str">
            <v>Pieza</v>
          </cell>
          <cell r="T596">
            <v>0</v>
          </cell>
        </row>
        <row r="597">
          <cell r="A597">
            <v>225</v>
          </cell>
          <cell r="B597">
            <v>2017</v>
          </cell>
          <cell r="C597">
            <v>8300</v>
          </cell>
          <cell r="D597">
            <v>2</v>
          </cell>
          <cell r="E597">
            <v>2</v>
          </cell>
          <cell r="F597">
            <v>1</v>
          </cell>
          <cell r="G597">
            <v>5000</v>
          </cell>
          <cell r="H597">
            <v>5500</v>
          </cell>
          <cell r="K597" t="str">
            <v>Equipo de Defensa y Seguridad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T597">
            <v>0</v>
          </cell>
        </row>
        <row r="598">
          <cell r="A598">
            <v>226</v>
          </cell>
          <cell r="B598">
            <v>2017</v>
          </cell>
          <cell r="C598">
            <v>8300</v>
          </cell>
          <cell r="D598">
            <v>2</v>
          </cell>
          <cell r="E598">
            <v>2</v>
          </cell>
          <cell r="F598">
            <v>1</v>
          </cell>
          <cell r="G598">
            <v>5000</v>
          </cell>
          <cell r="H598">
            <v>5500</v>
          </cell>
          <cell r="I598">
            <v>551</v>
          </cell>
          <cell r="K598" t="str">
            <v>Equipo de defensa y seguridad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T598">
            <v>0</v>
          </cell>
        </row>
        <row r="599">
          <cell r="A599">
            <v>227</v>
          </cell>
          <cell r="B599">
            <v>2017</v>
          </cell>
          <cell r="C599">
            <v>8300</v>
          </cell>
          <cell r="D599">
            <v>2</v>
          </cell>
          <cell r="E599">
            <v>2</v>
          </cell>
          <cell r="F599">
            <v>1</v>
          </cell>
          <cell r="G599">
            <v>5000</v>
          </cell>
          <cell r="H599">
            <v>5500</v>
          </cell>
          <cell r="I599">
            <v>551</v>
          </cell>
          <cell r="J599">
            <v>1</v>
          </cell>
          <cell r="K599" t="str">
            <v xml:space="preserve">Ariete </v>
          </cell>
          <cell r="L599">
            <v>0</v>
          </cell>
          <cell r="M599">
            <v>0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S599" t="str">
            <v>Pieza</v>
          </cell>
          <cell r="T599">
            <v>0</v>
          </cell>
        </row>
        <row r="600">
          <cell r="A600">
            <v>228</v>
          </cell>
          <cell r="B600">
            <v>2017</v>
          </cell>
          <cell r="C600">
            <v>8300</v>
          </cell>
          <cell r="D600">
            <v>2</v>
          </cell>
          <cell r="E600">
            <v>2</v>
          </cell>
          <cell r="F600">
            <v>1</v>
          </cell>
          <cell r="G600">
            <v>5000</v>
          </cell>
          <cell r="H600">
            <v>5500</v>
          </cell>
          <cell r="I600">
            <v>551</v>
          </cell>
          <cell r="J600">
            <v>2</v>
          </cell>
          <cell r="K600" t="str">
            <v xml:space="preserve">Arma corta  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 t="str">
            <v>Pieza</v>
          </cell>
          <cell r="T600">
            <v>0</v>
          </cell>
        </row>
        <row r="601">
          <cell r="A601">
            <v>229</v>
          </cell>
          <cell r="B601">
            <v>2017</v>
          </cell>
          <cell r="C601">
            <v>8300</v>
          </cell>
          <cell r="D601">
            <v>2</v>
          </cell>
          <cell r="E601">
            <v>2</v>
          </cell>
          <cell r="F601">
            <v>1</v>
          </cell>
          <cell r="G601">
            <v>5000</v>
          </cell>
          <cell r="H601">
            <v>5500</v>
          </cell>
          <cell r="I601">
            <v>551</v>
          </cell>
          <cell r="J601">
            <v>3</v>
          </cell>
          <cell r="K601" t="str">
            <v xml:space="preserve">Arma larga  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 t="str">
            <v>Pieza</v>
          </cell>
          <cell r="T601">
            <v>0</v>
          </cell>
        </row>
        <row r="602">
          <cell r="A602">
            <v>230</v>
          </cell>
          <cell r="B602">
            <v>2017</v>
          </cell>
          <cell r="C602">
            <v>8300</v>
          </cell>
          <cell r="D602">
            <v>2</v>
          </cell>
          <cell r="E602">
            <v>2</v>
          </cell>
          <cell r="F602">
            <v>1</v>
          </cell>
          <cell r="G602">
            <v>5000</v>
          </cell>
          <cell r="H602">
            <v>5500</v>
          </cell>
          <cell r="I602">
            <v>551</v>
          </cell>
          <cell r="J602">
            <v>4</v>
          </cell>
          <cell r="K602" t="str">
            <v>Binoculares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 t="str">
            <v>Pieza</v>
          </cell>
          <cell r="T602">
            <v>0</v>
          </cell>
        </row>
        <row r="603">
          <cell r="A603">
            <v>231</v>
          </cell>
          <cell r="B603">
            <v>2017</v>
          </cell>
          <cell r="C603">
            <v>8300</v>
          </cell>
          <cell r="D603">
            <v>2</v>
          </cell>
          <cell r="E603">
            <v>2</v>
          </cell>
          <cell r="F603">
            <v>1</v>
          </cell>
          <cell r="G603">
            <v>5000</v>
          </cell>
          <cell r="H603">
            <v>5500</v>
          </cell>
          <cell r="I603">
            <v>551</v>
          </cell>
          <cell r="J603">
            <v>5</v>
          </cell>
          <cell r="K603" t="str">
            <v>Cizalla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 t="str">
            <v>Pieza</v>
          </cell>
          <cell r="T603">
            <v>0</v>
          </cell>
        </row>
        <row r="604">
          <cell r="A604">
            <v>232</v>
          </cell>
          <cell r="B604">
            <v>2017</v>
          </cell>
          <cell r="C604">
            <v>8300</v>
          </cell>
          <cell r="D604">
            <v>2</v>
          </cell>
          <cell r="E604">
            <v>2</v>
          </cell>
          <cell r="F604">
            <v>1</v>
          </cell>
          <cell r="G604">
            <v>5000</v>
          </cell>
          <cell r="H604">
            <v>5500</v>
          </cell>
          <cell r="I604">
            <v>551</v>
          </cell>
          <cell r="J604">
            <v>6</v>
          </cell>
          <cell r="K604" t="str">
            <v>Implemento de visión nocturna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 t="str">
            <v>Pieza</v>
          </cell>
          <cell r="T604">
            <v>0</v>
          </cell>
        </row>
        <row r="605">
          <cell r="A605">
            <v>233</v>
          </cell>
          <cell r="B605">
            <v>2017</v>
          </cell>
          <cell r="C605">
            <v>8300</v>
          </cell>
          <cell r="D605">
            <v>2</v>
          </cell>
          <cell r="E605">
            <v>2</v>
          </cell>
          <cell r="F605">
            <v>1</v>
          </cell>
          <cell r="G605">
            <v>5000</v>
          </cell>
          <cell r="H605">
            <v>5500</v>
          </cell>
          <cell r="I605">
            <v>551</v>
          </cell>
          <cell r="J605">
            <v>7</v>
          </cell>
          <cell r="K605" t="str">
            <v>Implemento para abrir ventanas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 t="str">
            <v>Pieza</v>
          </cell>
          <cell r="T605">
            <v>0</v>
          </cell>
        </row>
        <row r="606">
          <cell r="A606">
            <v>234</v>
          </cell>
          <cell r="B606">
            <v>2017</v>
          </cell>
          <cell r="C606">
            <v>8300</v>
          </cell>
          <cell r="D606">
            <v>2</v>
          </cell>
          <cell r="E606">
            <v>2</v>
          </cell>
          <cell r="F606">
            <v>1</v>
          </cell>
          <cell r="G606">
            <v>5000</v>
          </cell>
          <cell r="H606">
            <v>5500</v>
          </cell>
          <cell r="I606">
            <v>551</v>
          </cell>
          <cell r="J606">
            <v>8</v>
          </cell>
          <cell r="K606" t="str">
            <v>Mira telescópica diurna y nocturna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 t="str">
            <v>Pieza</v>
          </cell>
          <cell r="T606">
            <v>0</v>
          </cell>
        </row>
        <row r="607">
          <cell r="A607">
            <v>235</v>
          </cell>
          <cell r="B607">
            <v>2017</v>
          </cell>
          <cell r="C607">
            <v>8300</v>
          </cell>
          <cell r="D607">
            <v>2</v>
          </cell>
          <cell r="E607">
            <v>2</v>
          </cell>
          <cell r="F607">
            <v>1</v>
          </cell>
          <cell r="G607">
            <v>5000</v>
          </cell>
          <cell r="H607">
            <v>5500</v>
          </cell>
          <cell r="I607">
            <v>551</v>
          </cell>
          <cell r="J607">
            <v>9</v>
          </cell>
          <cell r="K607" t="str">
            <v>Puntero láser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 t="str">
            <v>Pieza</v>
          </cell>
          <cell r="T607">
            <v>0</v>
          </cell>
        </row>
        <row r="608">
          <cell r="A608">
            <v>236</v>
          </cell>
          <cell r="B608">
            <v>2017</v>
          </cell>
          <cell r="C608">
            <v>8300</v>
          </cell>
          <cell r="D608">
            <v>2</v>
          </cell>
          <cell r="E608">
            <v>2</v>
          </cell>
          <cell r="F608">
            <v>1</v>
          </cell>
          <cell r="G608">
            <v>5000</v>
          </cell>
          <cell r="H608">
            <v>5500</v>
          </cell>
          <cell r="I608">
            <v>551</v>
          </cell>
          <cell r="J608">
            <v>10</v>
          </cell>
          <cell r="K608" t="str">
            <v>Réplica de cuchillo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>
            <v>0</v>
          </cell>
          <cell r="S608" t="str">
            <v>Pieza</v>
          </cell>
          <cell r="T608">
            <v>0</v>
          </cell>
        </row>
        <row r="609">
          <cell r="A609">
            <v>237</v>
          </cell>
          <cell r="B609">
            <v>2017</v>
          </cell>
          <cell r="C609">
            <v>8300</v>
          </cell>
          <cell r="D609">
            <v>2</v>
          </cell>
          <cell r="E609">
            <v>2</v>
          </cell>
          <cell r="F609">
            <v>1</v>
          </cell>
          <cell r="G609">
            <v>5000</v>
          </cell>
          <cell r="H609">
            <v>5500</v>
          </cell>
          <cell r="I609">
            <v>551</v>
          </cell>
          <cell r="J609">
            <v>11</v>
          </cell>
          <cell r="K609" t="str">
            <v xml:space="preserve">Réplica de fusil 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 t="str">
            <v>Pieza</v>
          </cell>
          <cell r="T609">
            <v>0</v>
          </cell>
        </row>
        <row r="610">
          <cell r="A610">
            <v>238</v>
          </cell>
          <cell r="B610">
            <v>2017</v>
          </cell>
          <cell r="C610">
            <v>8300</v>
          </cell>
          <cell r="D610">
            <v>2</v>
          </cell>
          <cell r="E610">
            <v>2</v>
          </cell>
          <cell r="F610">
            <v>1</v>
          </cell>
          <cell r="G610">
            <v>5000</v>
          </cell>
          <cell r="H610">
            <v>5500</v>
          </cell>
          <cell r="I610">
            <v>551</v>
          </cell>
          <cell r="J610">
            <v>12</v>
          </cell>
          <cell r="K610" t="str">
            <v>Réplica de pistola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 t="str">
            <v>Pieza</v>
          </cell>
          <cell r="T610">
            <v>0</v>
          </cell>
        </row>
        <row r="611">
          <cell r="A611">
            <v>239</v>
          </cell>
          <cell r="B611">
            <v>2017</v>
          </cell>
          <cell r="C611">
            <v>8300</v>
          </cell>
          <cell r="D611">
            <v>2</v>
          </cell>
          <cell r="E611">
            <v>2</v>
          </cell>
          <cell r="F611">
            <v>1</v>
          </cell>
          <cell r="G611">
            <v>5000</v>
          </cell>
          <cell r="H611">
            <v>5600</v>
          </cell>
          <cell r="K611" t="str">
            <v>Maquinaria, otros equipos y herramientas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T611">
            <v>0</v>
          </cell>
        </row>
        <row r="612">
          <cell r="A612">
            <v>240</v>
          </cell>
          <cell r="B612">
            <v>2017</v>
          </cell>
          <cell r="C612">
            <v>8300</v>
          </cell>
          <cell r="D612">
            <v>2</v>
          </cell>
          <cell r="E612">
            <v>2</v>
          </cell>
          <cell r="F612">
            <v>1</v>
          </cell>
          <cell r="G612">
            <v>5000</v>
          </cell>
          <cell r="H612">
            <v>5600</v>
          </cell>
          <cell r="I612">
            <v>565</v>
          </cell>
          <cell r="K612" t="str">
            <v>Equipo de comunicación y telecomunicación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T612">
            <v>0</v>
          </cell>
        </row>
        <row r="613">
          <cell r="A613">
            <v>241</v>
          </cell>
          <cell r="B613">
            <v>2017</v>
          </cell>
          <cell r="C613">
            <v>8300</v>
          </cell>
          <cell r="D613">
            <v>2</v>
          </cell>
          <cell r="E613">
            <v>2</v>
          </cell>
          <cell r="F613">
            <v>1</v>
          </cell>
          <cell r="G613">
            <v>5000</v>
          </cell>
          <cell r="H613">
            <v>5600</v>
          </cell>
          <cell r="I613">
            <v>565</v>
          </cell>
          <cell r="J613">
            <v>1</v>
          </cell>
          <cell r="K613" t="str">
            <v>Radio portátil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 t="str">
            <v>Pieza</v>
          </cell>
          <cell r="T613">
            <v>0</v>
          </cell>
        </row>
        <row r="614">
          <cell r="A614">
            <v>242</v>
          </cell>
          <cell r="B614">
            <v>2017</v>
          </cell>
          <cell r="C614">
            <v>8300</v>
          </cell>
          <cell r="D614">
            <v>2</v>
          </cell>
          <cell r="E614">
            <v>2</v>
          </cell>
          <cell r="F614">
            <v>1</v>
          </cell>
          <cell r="G614">
            <v>5000</v>
          </cell>
          <cell r="H614">
            <v>5600</v>
          </cell>
          <cell r="I614">
            <v>569</v>
          </cell>
          <cell r="K614" t="str">
            <v>Otros equipos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T614">
            <v>0</v>
          </cell>
        </row>
        <row r="615">
          <cell r="A615">
            <v>243</v>
          </cell>
          <cell r="B615">
            <v>2017</v>
          </cell>
          <cell r="C615">
            <v>8300</v>
          </cell>
          <cell r="D615">
            <v>2</v>
          </cell>
          <cell r="E615">
            <v>2</v>
          </cell>
          <cell r="F615">
            <v>1</v>
          </cell>
          <cell r="G615">
            <v>5000</v>
          </cell>
          <cell r="H615">
            <v>5600</v>
          </cell>
          <cell r="I615">
            <v>569</v>
          </cell>
          <cell r="J615">
            <v>1</v>
          </cell>
          <cell r="K615" t="str">
            <v>Simulador de tiro virtual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 t="str">
            <v>Pieza</v>
          </cell>
          <cell r="T615">
            <v>0</v>
          </cell>
        </row>
        <row r="616">
          <cell r="A616">
            <v>244</v>
          </cell>
          <cell r="B616">
            <v>2017</v>
          </cell>
          <cell r="C616">
            <v>8300</v>
          </cell>
          <cell r="D616">
            <v>2</v>
          </cell>
          <cell r="E616">
            <v>2</v>
          </cell>
          <cell r="F616">
            <v>1</v>
          </cell>
          <cell r="G616">
            <v>6000</v>
          </cell>
          <cell r="K616" t="str">
            <v>INVERSION PÚBLICA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T616">
            <v>0</v>
          </cell>
        </row>
        <row r="617">
          <cell r="A617">
            <v>245</v>
          </cell>
          <cell r="B617">
            <v>2017</v>
          </cell>
          <cell r="C617">
            <v>8300</v>
          </cell>
          <cell r="D617">
            <v>2</v>
          </cell>
          <cell r="E617">
            <v>2</v>
          </cell>
          <cell r="F617">
            <v>1</v>
          </cell>
          <cell r="G617">
            <v>6000</v>
          </cell>
          <cell r="H617">
            <v>6200</v>
          </cell>
          <cell r="K617" t="str">
            <v>Obra pública en bienes propios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T617">
            <v>0</v>
          </cell>
        </row>
        <row r="618">
          <cell r="A618">
            <v>246</v>
          </cell>
          <cell r="B618">
            <v>2017</v>
          </cell>
          <cell r="C618">
            <v>8300</v>
          </cell>
          <cell r="D618">
            <v>2</v>
          </cell>
          <cell r="E618">
            <v>2</v>
          </cell>
          <cell r="F618">
            <v>1</v>
          </cell>
          <cell r="G618">
            <v>6000</v>
          </cell>
          <cell r="H618">
            <v>6200</v>
          </cell>
          <cell r="I618">
            <v>622</v>
          </cell>
          <cell r="K618" t="str">
            <v>Edificación no habitacional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T618">
            <v>0</v>
          </cell>
        </row>
        <row r="619">
          <cell r="A619">
            <v>247</v>
          </cell>
          <cell r="B619">
            <v>2017</v>
          </cell>
          <cell r="C619">
            <v>8300</v>
          </cell>
          <cell r="D619">
            <v>2</v>
          </cell>
          <cell r="E619">
            <v>2</v>
          </cell>
          <cell r="F619">
            <v>1</v>
          </cell>
          <cell r="G619">
            <v>6000</v>
          </cell>
          <cell r="H619">
            <v>6200</v>
          </cell>
          <cell r="I619">
            <v>622</v>
          </cell>
          <cell r="J619">
            <v>1</v>
          </cell>
          <cell r="K619" t="str">
            <v>Construcción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 t="str">
            <v>Obra</v>
          </cell>
          <cell r="T619">
            <v>0</v>
          </cell>
        </row>
        <row r="620">
          <cell r="A620">
            <v>248</v>
          </cell>
          <cell r="B620">
            <v>2017</v>
          </cell>
          <cell r="C620">
            <v>8300</v>
          </cell>
          <cell r="D620">
            <v>2</v>
          </cell>
          <cell r="E620">
            <v>2</v>
          </cell>
          <cell r="F620">
            <v>1</v>
          </cell>
          <cell r="G620">
            <v>6000</v>
          </cell>
          <cell r="H620">
            <v>6200</v>
          </cell>
          <cell r="I620">
            <v>622</v>
          </cell>
          <cell r="J620">
            <v>1</v>
          </cell>
          <cell r="K620" t="str">
            <v xml:space="preserve">Dependencia:
Nombre:
Domicilio: 
Meta: 
Etapa: 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 t="str">
            <v>Obra</v>
          </cell>
          <cell r="T620">
            <v>0</v>
          </cell>
        </row>
        <row r="621">
          <cell r="A621">
            <v>249</v>
          </cell>
          <cell r="B621">
            <v>2017</v>
          </cell>
          <cell r="C621">
            <v>8300</v>
          </cell>
          <cell r="D621">
            <v>2</v>
          </cell>
          <cell r="E621">
            <v>2</v>
          </cell>
          <cell r="F621">
            <v>1</v>
          </cell>
          <cell r="G621">
            <v>6000</v>
          </cell>
          <cell r="H621">
            <v>6200</v>
          </cell>
          <cell r="I621">
            <v>622</v>
          </cell>
          <cell r="J621">
            <v>2</v>
          </cell>
          <cell r="K621" t="str">
            <v>Mejoramiento y/o ampliación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 t="str">
            <v>Obra</v>
          </cell>
          <cell r="T621">
            <v>0</v>
          </cell>
        </row>
        <row r="622">
          <cell r="A622">
            <v>250</v>
          </cell>
          <cell r="B622">
            <v>2017</v>
          </cell>
          <cell r="C622">
            <v>8300</v>
          </cell>
          <cell r="D622">
            <v>2</v>
          </cell>
          <cell r="E622">
            <v>2</v>
          </cell>
          <cell r="F622">
            <v>1</v>
          </cell>
          <cell r="G622">
            <v>6000</v>
          </cell>
          <cell r="H622">
            <v>6200</v>
          </cell>
          <cell r="I622">
            <v>622</v>
          </cell>
          <cell r="J622">
            <v>2</v>
          </cell>
          <cell r="K622" t="str">
            <v xml:space="preserve">Dependencia:
Nombre:
Domicilio: 
Meta: 
Etapa: 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 t="str">
            <v>Obra</v>
          </cell>
          <cell r="T622">
            <v>0</v>
          </cell>
        </row>
        <row r="1081">
          <cell r="B1081">
            <v>2017</v>
          </cell>
          <cell r="C1081">
            <v>8300</v>
          </cell>
          <cell r="D1081">
            <v>2</v>
          </cell>
          <cell r="E1081">
            <v>3</v>
          </cell>
          <cell r="F1081">
            <v>3</v>
          </cell>
          <cell r="I1081" t="str">
            <v xml:space="preserve"> </v>
          </cell>
          <cell r="K1081" t="str">
            <v>Fortalecimiento de Programas Prioritarios Locales de las Instituciones de Seguridad Pública e Impartición de Justicia</v>
          </cell>
          <cell r="L1081">
            <v>20769920</v>
          </cell>
          <cell r="M1081">
            <v>0</v>
          </cell>
          <cell r="N1081">
            <v>20769920</v>
          </cell>
          <cell r="O1081">
            <v>0</v>
          </cell>
          <cell r="P1081">
            <v>0</v>
          </cell>
          <cell r="Q1081">
            <v>0</v>
          </cell>
          <cell r="R1081">
            <v>20769920</v>
          </cell>
        </row>
        <row r="1082">
          <cell r="A1082">
            <v>1</v>
          </cell>
          <cell r="C1082">
            <v>8300</v>
          </cell>
          <cell r="D1082">
            <v>2</v>
          </cell>
          <cell r="E1082">
            <v>3</v>
          </cell>
          <cell r="F1082">
            <v>3</v>
          </cell>
          <cell r="K1082" t="str">
            <v>Infraestructura</v>
          </cell>
          <cell r="L1082">
            <v>7745000</v>
          </cell>
          <cell r="M1082">
            <v>0</v>
          </cell>
          <cell r="N1082">
            <v>7745000</v>
          </cell>
          <cell r="O1082">
            <v>0</v>
          </cell>
          <cell r="P1082">
            <v>0</v>
          </cell>
          <cell r="Q1082">
            <v>0</v>
          </cell>
          <cell r="R1082">
            <v>7745000</v>
          </cell>
          <cell r="T1082">
            <v>0</v>
          </cell>
        </row>
        <row r="1083">
          <cell r="A1083">
            <v>2</v>
          </cell>
          <cell r="C1083">
            <v>8300</v>
          </cell>
          <cell r="D1083">
            <v>2</v>
          </cell>
          <cell r="E1083">
            <v>3</v>
          </cell>
          <cell r="F1083">
            <v>3</v>
          </cell>
          <cell r="K1083" t="str">
            <v>Secretaría de Seguridad Pública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T1083">
            <v>0</v>
          </cell>
        </row>
        <row r="1084">
          <cell r="A1084">
            <v>3</v>
          </cell>
          <cell r="B1084">
            <v>2017</v>
          </cell>
          <cell r="C1084">
            <v>8300</v>
          </cell>
          <cell r="D1084">
            <v>2</v>
          </cell>
          <cell r="E1084">
            <v>3</v>
          </cell>
          <cell r="F1084">
            <v>3</v>
          </cell>
          <cell r="G1084">
            <v>6000</v>
          </cell>
          <cell r="K1084" t="str">
            <v>INVERSIÓN PÚBLICA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T1084">
            <v>0</v>
          </cell>
        </row>
        <row r="1085">
          <cell r="A1085">
            <v>4</v>
          </cell>
          <cell r="B1085">
            <v>2017</v>
          </cell>
          <cell r="C1085">
            <v>8300</v>
          </cell>
          <cell r="D1085">
            <v>2</v>
          </cell>
          <cell r="E1085">
            <v>3</v>
          </cell>
          <cell r="F1085">
            <v>3</v>
          </cell>
          <cell r="G1085">
            <v>6000</v>
          </cell>
          <cell r="H1085">
            <v>6200</v>
          </cell>
          <cell r="K1085" t="str">
            <v>Obra pública en bienes propios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T1085">
            <v>120</v>
          </cell>
        </row>
        <row r="1086">
          <cell r="A1086">
            <v>5</v>
          </cell>
          <cell r="B1086">
            <v>2017</v>
          </cell>
          <cell r="C1086">
            <v>8300</v>
          </cell>
          <cell r="D1086">
            <v>2</v>
          </cell>
          <cell r="E1086">
            <v>3</v>
          </cell>
          <cell r="F1086">
            <v>3</v>
          </cell>
          <cell r="G1086">
            <v>6000</v>
          </cell>
          <cell r="H1086">
            <v>6200</v>
          </cell>
          <cell r="I1086">
            <v>622</v>
          </cell>
          <cell r="K1086" t="str">
            <v>Edificación no habitacional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T1086">
            <v>0</v>
          </cell>
        </row>
        <row r="1087">
          <cell r="A1087">
            <v>6</v>
          </cell>
          <cell r="B1087">
            <v>2017</v>
          </cell>
          <cell r="C1087">
            <v>8300</v>
          </cell>
          <cell r="D1087">
            <v>2</v>
          </cell>
          <cell r="E1087">
            <v>3</v>
          </cell>
          <cell r="F1087">
            <v>3</v>
          </cell>
          <cell r="G1087">
            <v>6000</v>
          </cell>
          <cell r="H1087">
            <v>6200</v>
          </cell>
          <cell r="I1087">
            <v>622</v>
          </cell>
          <cell r="J1087">
            <v>1</v>
          </cell>
          <cell r="K1087" t="str">
            <v xml:space="preserve">Construcción 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 t="str">
            <v>Obra</v>
          </cell>
          <cell r="T1087">
            <v>0</v>
          </cell>
          <cell r="V1087" t="str">
            <v>FC</v>
          </cell>
        </row>
        <row r="1088">
          <cell r="A1088">
            <v>7</v>
          </cell>
          <cell r="B1088">
            <v>2017</v>
          </cell>
          <cell r="C1088">
            <v>8300</v>
          </cell>
          <cell r="D1088">
            <v>2</v>
          </cell>
          <cell r="E1088">
            <v>3</v>
          </cell>
          <cell r="F1088">
            <v>3</v>
          </cell>
          <cell r="G1088">
            <v>6000</v>
          </cell>
          <cell r="H1088">
            <v>6200</v>
          </cell>
          <cell r="I1088">
            <v>622</v>
          </cell>
          <cell r="J1088">
            <v>1</v>
          </cell>
          <cell r="K1088" t="str">
            <v xml:space="preserve">Dependencia:
Nombre:
Domicilio: 
Meta: 
Etapa: 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 t="str">
            <v>Obra</v>
          </cell>
          <cell r="T1088">
            <v>0</v>
          </cell>
          <cell r="V1088" t="str">
            <v>FC</v>
          </cell>
        </row>
        <row r="1089">
          <cell r="A1089">
            <v>8</v>
          </cell>
          <cell r="B1089">
            <v>2017</v>
          </cell>
          <cell r="C1089">
            <v>8300</v>
          </cell>
          <cell r="D1089">
            <v>2</v>
          </cell>
          <cell r="E1089">
            <v>3</v>
          </cell>
          <cell r="F1089">
            <v>3</v>
          </cell>
          <cell r="G1089">
            <v>6000</v>
          </cell>
          <cell r="H1089">
            <v>6200</v>
          </cell>
          <cell r="I1089">
            <v>622</v>
          </cell>
          <cell r="J1089">
            <v>2</v>
          </cell>
          <cell r="K1089" t="str">
            <v>Mejoramiento y/o ampliación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 t="str">
            <v>Obra</v>
          </cell>
          <cell r="T1089">
            <v>0</v>
          </cell>
          <cell r="V1089" t="str">
            <v>FC</v>
          </cell>
        </row>
        <row r="1090">
          <cell r="A1090">
            <v>9</v>
          </cell>
          <cell r="B1090">
            <v>2017</v>
          </cell>
          <cell r="C1090">
            <v>8300</v>
          </cell>
          <cell r="D1090">
            <v>2</v>
          </cell>
          <cell r="E1090">
            <v>3</v>
          </cell>
          <cell r="F1090">
            <v>3</v>
          </cell>
          <cell r="G1090">
            <v>6000</v>
          </cell>
          <cell r="H1090">
            <v>6200</v>
          </cell>
          <cell r="I1090">
            <v>622</v>
          </cell>
          <cell r="J1090">
            <v>2</v>
          </cell>
          <cell r="K1090" t="str">
            <v xml:space="preserve">Dependencia:
Nombre:
Domicilio: 
Meta: 
Etapa: 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 t="str">
            <v>Obra</v>
          </cell>
          <cell r="T1090">
            <v>0</v>
          </cell>
        </row>
        <row r="1091">
          <cell r="A1091">
            <v>10</v>
          </cell>
          <cell r="C1091">
            <v>8300</v>
          </cell>
          <cell r="D1091">
            <v>2</v>
          </cell>
          <cell r="E1091">
            <v>3</v>
          </cell>
          <cell r="F1091">
            <v>3</v>
          </cell>
          <cell r="K1091" t="str">
            <v>Procuración de Justicia</v>
          </cell>
          <cell r="L1091">
            <v>7745000</v>
          </cell>
          <cell r="M1091">
            <v>0</v>
          </cell>
          <cell r="N1091">
            <v>7745000</v>
          </cell>
          <cell r="O1091">
            <v>0</v>
          </cell>
          <cell r="P1091">
            <v>0</v>
          </cell>
          <cell r="Q1091">
            <v>0</v>
          </cell>
          <cell r="R1091">
            <v>7745000</v>
          </cell>
        </row>
        <row r="1092">
          <cell r="A1092">
            <v>11</v>
          </cell>
          <cell r="B1092">
            <v>2017</v>
          </cell>
          <cell r="C1092">
            <v>8300</v>
          </cell>
          <cell r="D1092">
            <v>2</v>
          </cell>
          <cell r="E1092">
            <v>3</v>
          </cell>
          <cell r="F1092">
            <v>3</v>
          </cell>
          <cell r="G1092">
            <v>6000</v>
          </cell>
          <cell r="K1092" t="str">
            <v>INVERSIÓN PÚBLICA</v>
          </cell>
          <cell r="L1092">
            <v>7745000</v>
          </cell>
          <cell r="M1092">
            <v>0</v>
          </cell>
          <cell r="N1092">
            <v>7745000</v>
          </cell>
          <cell r="O1092">
            <v>0</v>
          </cell>
          <cell r="P1092">
            <v>0</v>
          </cell>
          <cell r="Q1092">
            <v>0</v>
          </cell>
          <cell r="R1092">
            <v>7745000</v>
          </cell>
          <cell r="T1092">
            <v>0</v>
          </cell>
        </row>
        <row r="1093">
          <cell r="A1093">
            <v>12</v>
          </cell>
          <cell r="B1093">
            <v>2017</v>
          </cell>
          <cell r="C1093">
            <v>8300</v>
          </cell>
          <cell r="D1093">
            <v>2</v>
          </cell>
          <cell r="E1093">
            <v>3</v>
          </cell>
          <cell r="F1093">
            <v>3</v>
          </cell>
          <cell r="G1093">
            <v>6000</v>
          </cell>
          <cell r="H1093">
            <v>6200</v>
          </cell>
          <cell r="K1093" t="str">
            <v>Obra pública en bienes propios</v>
          </cell>
          <cell r="L1093">
            <v>7745000</v>
          </cell>
          <cell r="M1093">
            <v>0</v>
          </cell>
          <cell r="N1093">
            <v>7745000</v>
          </cell>
          <cell r="O1093">
            <v>0</v>
          </cell>
          <cell r="P1093">
            <v>0</v>
          </cell>
          <cell r="Q1093">
            <v>0</v>
          </cell>
          <cell r="R1093">
            <v>7745000</v>
          </cell>
          <cell r="T1093">
            <v>0</v>
          </cell>
        </row>
        <row r="1094">
          <cell r="A1094">
            <v>13</v>
          </cell>
          <cell r="B1094">
            <v>2017</v>
          </cell>
          <cell r="C1094">
            <v>8300</v>
          </cell>
          <cell r="D1094">
            <v>2</v>
          </cell>
          <cell r="E1094">
            <v>3</v>
          </cell>
          <cell r="F1094">
            <v>3</v>
          </cell>
          <cell r="G1094">
            <v>6000</v>
          </cell>
          <cell r="H1094">
            <v>6200</v>
          </cell>
          <cell r="I1094">
            <v>622</v>
          </cell>
          <cell r="K1094" t="str">
            <v>Edificación no habitacional</v>
          </cell>
          <cell r="L1094">
            <v>7745000</v>
          </cell>
          <cell r="M1094">
            <v>0</v>
          </cell>
          <cell r="N1094">
            <v>7745000</v>
          </cell>
          <cell r="O1094">
            <v>0</v>
          </cell>
          <cell r="P1094">
            <v>0</v>
          </cell>
          <cell r="Q1094">
            <v>0</v>
          </cell>
          <cell r="R1094">
            <v>7745000</v>
          </cell>
        </row>
        <row r="1095">
          <cell r="A1095">
            <v>14</v>
          </cell>
          <cell r="B1095">
            <v>2017</v>
          </cell>
          <cell r="C1095">
            <v>8300</v>
          </cell>
          <cell r="D1095">
            <v>2</v>
          </cell>
          <cell r="E1095">
            <v>3</v>
          </cell>
          <cell r="F1095">
            <v>3</v>
          </cell>
          <cell r="G1095">
            <v>6000</v>
          </cell>
          <cell r="H1095">
            <v>6200</v>
          </cell>
          <cell r="I1095">
            <v>622</v>
          </cell>
          <cell r="J1095">
            <v>1</v>
          </cell>
          <cell r="K1095" t="str">
            <v xml:space="preserve">Construcción </v>
          </cell>
          <cell r="L1095">
            <v>7745000</v>
          </cell>
          <cell r="M1095">
            <v>0</v>
          </cell>
          <cell r="N1095">
            <v>7745000</v>
          </cell>
          <cell r="O1095">
            <v>0</v>
          </cell>
          <cell r="P1095">
            <v>0</v>
          </cell>
          <cell r="Q1095">
            <v>0</v>
          </cell>
          <cell r="R1095">
            <v>7745000</v>
          </cell>
          <cell r="S1095" t="str">
            <v>Obra</v>
          </cell>
          <cell r="T1095">
            <v>0</v>
          </cell>
          <cell r="V1095" t="str">
            <v>FC</v>
          </cell>
        </row>
        <row r="1096">
          <cell r="A1096">
            <v>15</v>
          </cell>
          <cell r="B1096">
            <v>2017</v>
          </cell>
          <cell r="C1096">
            <v>8300</v>
          </cell>
          <cell r="D1096">
            <v>2</v>
          </cell>
          <cell r="E1096">
            <v>3</v>
          </cell>
          <cell r="F1096">
            <v>3</v>
          </cell>
          <cell r="G1096">
            <v>6000</v>
          </cell>
          <cell r="H1096">
            <v>6200</v>
          </cell>
          <cell r="I1096">
            <v>622</v>
          </cell>
          <cell r="J1096">
            <v>1</v>
          </cell>
          <cell r="K1096" t="str">
            <v xml:space="preserve">TABASCO
Dependencia: Fiscalía General de Justicia.
Nombre: CENTRO POLICIAL DE INVESTIGACIÓN                                                               Domicilio: Ave. Paseo Usumacinta No. 802, Col. Gil y Sáenz (Antes el Águila), Municipio del Centro. 
Meta: Construcción en 2,823.49 M²: Edificio del Centro Policial de Investigación: Estacionamiento: andador, vialidad y cajones, guarnición, área verde; Gimnasio: área de ejercicios, baño mujeres, baño hombres, cardio.                                     
Etapa: Segunda Conclusión
</v>
          </cell>
          <cell r="L1096">
            <v>7745000</v>
          </cell>
          <cell r="M1096">
            <v>0</v>
          </cell>
          <cell r="N1096">
            <v>7745000</v>
          </cell>
          <cell r="O1096">
            <v>0</v>
          </cell>
          <cell r="P1096">
            <v>0</v>
          </cell>
          <cell r="Q1096">
            <v>0</v>
          </cell>
          <cell r="R1096">
            <v>7745000</v>
          </cell>
          <cell r="S1096" t="str">
            <v>Obra</v>
          </cell>
          <cell r="T1096">
            <v>1</v>
          </cell>
          <cell r="V1096" t="str">
            <v>FC</v>
          </cell>
        </row>
        <row r="1097">
          <cell r="A1097">
            <v>16</v>
          </cell>
          <cell r="B1097">
            <v>2017</v>
          </cell>
          <cell r="C1097">
            <v>8300</v>
          </cell>
          <cell r="D1097">
            <v>2</v>
          </cell>
          <cell r="E1097">
            <v>3</v>
          </cell>
          <cell r="F1097">
            <v>3</v>
          </cell>
          <cell r="G1097">
            <v>6000</v>
          </cell>
          <cell r="H1097">
            <v>6200</v>
          </cell>
          <cell r="I1097">
            <v>622</v>
          </cell>
          <cell r="J1097">
            <v>2</v>
          </cell>
          <cell r="K1097" t="str">
            <v>Mejoramiento y/o ampliación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 t="str">
            <v>Obra</v>
          </cell>
          <cell r="T1097">
            <v>0</v>
          </cell>
          <cell r="V1097" t="str">
            <v>FC</v>
          </cell>
        </row>
        <row r="1098">
          <cell r="A1098">
            <v>17</v>
          </cell>
          <cell r="B1098">
            <v>2017</v>
          </cell>
          <cell r="C1098">
            <v>8300</v>
          </cell>
          <cell r="D1098">
            <v>2</v>
          </cell>
          <cell r="E1098">
            <v>3</v>
          </cell>
          <cell r="F1098">
            <v>3</v>
          </cell>
          <cell r="G1098">
            <v>6000</v>
          </cell>
          <cell r="H1098">
            <v>6200</v>
          </cell>
          <cell r="I1098">
            <v>622</v>
          </cell>
          <cell r="J1098">
            <v>2</v>
          </cell>
          <cell r="K1098" t="str">
            <v xml:space="preserve">Dependencia:
Nombre:
Domicilio: 
Meta: 
Etapa: 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 t="str">
            <v>Obra</v>
          </cell>
          <cell r="T1098">
            <v>0</v>
          </cell>
          <cell r="V1098" t="str">
            <v>FC</v>
          </cell>
        </row>
        <row r="1099">
          <cell r="A1099">
            <v>18</v>
          </cell>
          <cell r="C1099">
            <v>8300</v>
          </cell>
          <cell r="D1099">
            <v>2</v>
          </cell>
          <cell r="E1099">
            <v>3</v>
          </cell>
          <cell r="F1099">
            <v>3</v>
          </cell>
          <cell r="K1099" t="str">
            <v>Equipamiento de Apoyo a la Operación Policial</v>
          </cell>
          <cell r="L1099">
            <v>13024920</v>
          </cell>
          <cell r="M1099">
            <v>0</v>
          </cell>
          <cell r="N1099">
            <v>13024920</v>
          </cell>
          <cell r="O1099">
            <v>0</v>
          </cell>
          <cell r="P1099">
            <v>0</v>
          </cell>
          <cell r="Q1099">
            <v>0</v>
          </cell>
          <cell r="R1099">
            <v>13024920</v>
          </cell>
          <cell r="T1099">
            <v>0</v>
          </cell>
        </row>
        <row r="1100">
          <cell r="A1100">
            <v>19</v>
          </cell>
          <cell r="B1100">
            <v>2017</v>
          </cell>
          <cell r="C1100">
            <v>8300</v>
          </cell>
          <cell r="D1100">
            <v>2</v>
          </cell>
          <cell r="E1100">
            <v>3</v>
          </cell>
          <cell r="F1100">
            <v>3</v>
          </cell>
          <cell r="G1100">
            <v>2000</v>
          </cell>
          <cell r="K1100" t="str">
            <v>MATERIALES Y SUMINISTROS</v>
          </cell>
          <cell r="L1100">
            <v>6565000</v>
          </cell>
          <cell r="M1100">
            <v>0</v>
          </cell>
          <cell r="N1100">
            <v>6565000</v>
          </cell>
          <cell r="O1100">
            <v>0</v>
          </cell>
          <cell r="P1100">
            <v>0</v>
          </cell>
          <cell r="Q1100">
            <v>0</v>
          </cell>
          <cell r="R1100">
            <v>6565000</v>
          </cell>
          <cell r="T1100">
            <v>0</v>
          </cell>
        </row>
        <row r="1101">
          <cell r="A1101">
            <v>20</v>
          </cell>
          <cell r="B1101">
            <v>2017</v>
          </cell>
          <cell r="C1101">
            <v>8300</v>
          </cell>
          <cell r="D1101">
            <v>2</v>
          </cell>
          <cell r="E1101">
            <v>3</v>
          </cell>
          <cell r="F1101">
            <v>3</v>
          </cell>
          <cell r="G1101">
            <v>2000</v>
          </cell>
          <cell r="H1101">
            <v>2200</v>
          </cell>
          <cell r="K1101" t="str">
            <v>Alimentos y Utensilios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T1101">
            <v>0</v>
          </cell>
        </row>
        <row r="1102">
          <cell r="A1102">
            <v>21</v>
          </cell>
          <cell r="B1102">
            <v>2017</v>
          </cell>
          <cell r="C1102">
            <v>8300</v>
          </cell>
          <cell r="D1102">
            <v>2</v>
          </cell>
          <cell r="E1102">
            <v>3</v>
          </cell>
          <cell r="F1102">
            <v>3</v>
          </cell>
          <cell r="G1102">
            <v>2000</v>
          </cell>
          <cell r="H1102">
            <v>2200</v>
          </cell>
          <cell r="I1102">
            <v>221</v>
          </cell>
          <cell r="K1102" t="str">
            <v>Productos alimenticios para personas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T1102">
            <v>0</v>
          </cell>
        </row>
        <row r="1103">
          <cell r="A1103">
            <v>22</v>
          </cell>
          <cell r="B1103">
            <v>2017</v>
          </cell>
          <cell r="C1103">
            <v>8300</v>
          </cell>
          <cell r="D1103">
            <v>2</v>
          </cell>
          <cell r="E1103">
            <v>3</v>
          </cell>
          <cell r="F1103">
            <v>3</v>
          </cell>
          <cell r="G1103">
            <v>2000</v>
          </cell>
          <cell r="H1103">
            <v>2200</v>
          </cell>
          <cell r="I1103">
            <v>221</v>
          </cell>
          <cell r="J1103">
            <v>1</v>
          </cell>
          <cell r="K1103" t="str">
            <v>Productos alimenticios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 t="str">
            <v>Pieza</v>
          </cell>
          <cell r="T1103">
            <v>0</v>
          </cell>
          <cell r="V1103" t="str">
            <v>AE</v>
          </cell>
        </row>
        <row r="1104">
          <cell r="A1104">
            <v>23</v>
          </cell>
          <cell r="B1104">
            <v>2017</v>
          </cell>
          <cell r="C1104">
            <v>8300</v>
          </cell>
          <cell r="D1104">
            <v>2</v>
          </cell>
          <cell r="E1104">
            <v>3</v>
          </cell>
          <cell r="F1104">
            <v>3</v>
          </cell>
          <cell r="G1104">
            <v>2000</v>
          </cell>
          <cell r="H1104">
            <v>2500</v>
          </cell>
          <cell r="K1104" t="str">
            <v>Productos químicos, farmacéuticos y de laboratorio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T1104">
            <v>0</v>
          </cell>
        </row>
        <row r="1105">
          <cell r="A1105">
            <v>24</v>
          </cell>
          <cell r="B1105">
            <v>2017</v>
          </cell>
          <cell r="C1105">
            <v>8300</v>
          </cell>
          <cell r="D1105">
            <v>2</v>
          </cell>
          <cell r="E1105">
            <v>3</v>
          </cell>
          <cell r="F1105">
            <v>3</v>
          </cell>
          <cell r="G1105">
            <v>2000</v>
          </cell>
          <cell r="H1105">
            <v>2500</v>
          </cell>
          <cell r="I1105">
            <v>251</v>
          </cell>
          <cell r="K1105" t="str">
            <v>Productos químicos básicos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T1105">
            <v>0</v>
          </cell>
        </row>
        <row r="1106">
          <cell r="A1106">
            <v>25</v>
          </cell>
          <cell r="B1106">
            <v>2017</v>
          </cell>
          <cell r="C1106">
            <v>8300</v>
          </cell>
          <cell r="D1106">
            <v>2</v>
          </cell>
          <cell r="E1106">
            <v>3</v>
          </cell>
          <cell r="F1106">
            <v>3</v>
          </cell>
          <cell r="G1106">
            <v>2000</v>
          </cell>
          <cell r="H1106">
            <v>2500</v>
          </cell>
          <cell r="I1106">
            <v>251</v>
          </cell>
          <cell r="J1106">
            <v>1</v>
          </cell>
          <cell r="K1106" t="str">
            <v>Productos químicos básicos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 t="str">
            <v>Pieza</v>
          </cell>
          <cell r="T1106">
            <v>0</v>
          </cell>
          <cell r="V1106" t="str">
            <v>AE</v>
          </cell>
        </row>
        <row r="1107">
          <cell r="A1107">
            <v>26</v>
          </cell>
          <cell r="B1107">
            <v>2017</v>
          </cell>
          <cell r="C1107">
            <v>8300</v>
          </cell>
          <cell r="D1107">
            <v>2</v>
          </cell>
          <cell r="E1107">
            <v>3</v>
          </cell>
          <cell r="F1107">
            <v>3</v>
          </cell>
          <cell r="G1107">
            <v>2000</v>
          </cell>
          <cell r="H1107">
            <v>2500</v>
          </cell>
          <cell r="I1107">
            <v>254</v>
          </cell>
          <cell r="K1107" t="str">
            <v>Materiales, accesorios y suministros médicos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T1107">
            <v>0</v>
          </cell>
        </row>
        <row r="1108">
          <cell r="A1108">
            <v>27</v>
          </cell>
          <cell r="B1108">
            <v>2017</v>
          </cell>
          <cell r="C1108">
            <v>8300</v>
          </cell>
          <cell r="D1108">
            <v>2</v>
          </cell>
          <cell r="E1108">
            <v>3</v>
          </cell>
          <cell r="F1108">
            <v>3</v>
          </cell>
          <cell r="G1108">
            <v>2000</v>
          </cell>
          <cell r="H1108">
            <v>2500</v>
          </cell>
          <cell r="I1108">
            <v>254</v>
          </cell>
          <cell r="J1108">
            <v>1</v>
          </cell>
          <cell r="K1108" t="str">
            <v>Materiales, accesorios y suministros médicos</v>
          </cell>
          <cell r="L1108">
            <v>0</v>
          </cell>
          <cell r="M1108">
            <v>0</v>
          </cell>
          <cell r="N1108">
            <v>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 t="str">
            <v>Pieza</v>
          </cell>
          <cell r="T1108">
            <v>0</v>
          </cell>
          <cell r="V1108" t="str">
            <v>AE</v>
          </cell>
        </row>
        <row r="1109">
          <cell r="A1109">
            <v>28</v>
          </cell>
          <cell r="B1109">
            <v>2017</v>
          </cell>
          <cell r="C1109">
            <v>8300</v>
          </cell>
          <cell r="D1109">
            <v>2</v>
          </cell>
          <cell r="E1109">
            <v>3</v>
          </cell>
          <cell r="F1109">
            <v>3</v>
          </cell>
          <cell r="G1109">
            <v>2000</v>
          </cell>
          <cell r="H1109">
            <v>2500</v>
          </cell>
          <cell r="I1109">
            <v>255</v>
          </cell>
          <cell r="K1109" t="str">
            <v>Materiales, accesorios y suministros de laboratorio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T1109">
            <v>0</v>
          </cell>
        </row>
        <row r="1110">
          <cell r="A1110">
            <v>29</v>
          </cell>
          <cell r="B1110">
            <v>2017</v>
          </cell>
          <cell r="C1110">
            <v>8300</v>
          </cell>
          <cell r="D1110">
            <v>2</v>
          </cell>
          <cell r="E1110">
            <v>3</v>
          </cell>
          <cell r="F1110">
            <v>3</v>
          </cell>
          <cell r="G1110">
            <v>2000</v>
          </cell>
          <cell r="H1110">
            <v>2500</v>
          </cell>
          <cell r="I1110">
            <v>255</v>
          </cell>
          <cell r="J1110">
            <v>1</v>
          </cell>
          <cell r="K1110" t="str">
            <v>Materiales, accesorios y suministros de laboratorio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 t="str">
            <v>Bolsa/
Caja</v>
          </cell>
          <cell r="T1110">
            <v>0</v>
          </cell>
          <cell r="V1110" t="str">
            <v>AE</v>
          </cell>
        </row>
        <row r="1111">
          <cell r="A1111">
            <v>30</v>
          </cell>
          <cell r="B1111">
            <v>2017</v>
          </cell>
          <cell r="C1111">
            <v>8300</v>
          </cell>
          <cell r="D1111">
            <v>2</v>
          </cell>
          <cell r="E1111">
            <v>3</v>
          </cell>
          <cell r="F1111">
            <v>3</v>
          </cell>
          <cell r="G1111">
            <v>2000</v>
          </cell>
          <cell r="H1111">
            <v>2500</v>
          </cell>
          <cell r="I1111">
            <v>259</v>
          </cell>
          <cell r="K1111" t="str">
            <v>Otros productos químicos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T1111">
            <v>0</v>
          </cell>
        </row>
        <row r="1112">
          <cell r="A1112">
            <v>31</v>
          </cell>
          <cell r="B1112">
            <v>2017</v>
          </cell>
          <cell r="C1112">
            <v>8300</v>
          </cell>
          <cell r="D1112">
            <v>2</v>
          </cell>
          <cell r="E1112">
            <v>3</v>
          </cell>
          <cell r="F1112">
            <v>3</v>
          </cell>
          <cell r="G1112">
            <v>2000</v>
          </cell>
          <cell r="H1112">
            <v>2500</v>
          </cell>
          <cell r="I1112">
            <v>259</v>
          </cell>
          <cell r="J1112">
            <v>1</v>
          </cell>
          <cell r="K1112" t="str">
            <v>Otros productos químicos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  <cell r="Q1112">
            <v>0</v>
          </cell>
          <cell r="R1112">
            <v>0</v>
          </cell>
          <cell r="S1112" t="str">
            <v>Pieza</v>
          </cell>
          <cell r="T1112">
            <v>0</v>
          </cell>
          <cell r="V1112" t="str">
            <v>AE</v>
          </cell>
        </row>
        <row r="1113">
          <cell r="A1113">
            <v>32</v>
          </cell>
          <cell r="B1113">
            <v>2017</v>
          </cell>
          <cell r="C1113">
            <v>8300</v>
          </cell>
          <cell r="D1113">
            <v>2</v>
          </cell>
          <cell r="E1113">
            <v>3</v>
          </cell>
          <cell r="F1113">
            <v>3</v>
          </cell>
          <cell r="G1113">
            <v>2000</v>
          </cell>
          <cell r="H1113">
            <v>2700</v>
          </cell>
          <cell r="K1113" t="str">
            <v>Vestuario, Blancos, Prendas de Protección y Artículos Deportivos</v>
          </cell>
          <cell r="L1113">
            <v>4615000</v>
          </cell>
          <cell r="M1113">
            <v>0</v>
          </cell>
          <cell r="N1113">
            <v>4615000</v>
          </cell>
          <cell r="O1113">
            <v>0</v>
          </cell>
          <cell r="P1113">
            <v>0</v>
          </cell>
          <cell r="Q1113">
            <v>0</v>
          </cell>
          <cell r="R1113">
            <v>4615000</v>
          </cell>
          <cell r="T1113">
            <v>0</v>
          </cell>
        </row>
        <row r="1114">
          <cell r="A1114">
            <v>33</v>
          </cell>
          <cell r="B1114">
            <v>2017</v>
          </cell>
          <cell r="C1114">
            <v>8300</v>
          </cell>
          <cell r="D1114">
            <v>2</v>
          </cell>
          <cell r="E1114">
            <v>3</v>
          </cell>
          <cell r="F1114">
            <v>3</v>
          </cell>
          <cell r="G1114">
            <v>2000</v>
          </cell>
          <cell r="H1114">
            <v>2700</v>
          </cell>
          <cell r="I1114">
            <v>271</v>
          </cell>
          <cell r="K1114" t="str">
            <v xml:space="preserve">Vestuario y uniformes </v>
          </cell>
          <cell r="L1114">
            <v>4615000</v>
          </cell>
          <cell r="M1114">
            <v>0</v>
          </cell>
          <cell r="N1114">
            <v>4615000</v>
          </cell>
          <cell r="O1114">
            <v>0</v>
          </cell>
          <cell r="P1114">
            <v>0</v>
          </cell>
          <cell r="Q1114">
            <v>0</v>
          </cell>
          <cell r="R1114">
            <v>4615000</v>
          </cell>
          <cell r="T1114">
            <v>0</v>
          </cell>
        </row>
        <row r="1115">
          <cell r="A1115">
            <v>34</v>
          </cell>
          <cell r="B1115">
            <v>2017</v>
          </cell>
          <cell r="C1115">
            <v>8300</v>
          </cell>
          <cell r="D1115">
            <v>2</v>
          </cell>
          <cell r="E1115">
            <v>3</v>
          </cell>
          <cell r="F1115">
            <v>3</v>
          </cell>
          <cell r="G1115">
            <v>2000</v>
          </cell>
          <cell r="H1115">
            <v>2700</v>
          </cell>
          <cell r="I1115">
            <v>271</v>
          </cell>
          <cell r="J1115">
            <v>1</v>
          </cell>
          <cell r="K1115" t="str">
            <v>Vestuario y uniformes para Secretaría de Seguridad Pública Estatal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 t="str">
            <v>Pieza/Par</v>
          </cell>
          <cell r="T1115">
            <v>0</v>
          </cell>
          <cell r="V1115" t="str">
            <v>FC</v>
          </cell>
        </row>
        <row r="1116">
          <cell r="A1116">
            <v>35</v>
          </cell>
          <cell r="B1116">
            <v>2017</v>
          </cell>
          <cell r="C1116">
            <v>8300</v>
          </cell>
          <cell r="D1116">
            <v>2</v>
          </cell>
          <cell r="E1116">
            <v>3</v>
          </cell>
          <cell r="F1116">
            <v>3</v>
          </cell>
          <cell r="G1116">
            <v>2000</v>
          </cell>
          <cell r="H1116">
            <v>2700</v>
          </cell>
          <cell r="I1116">
            <v>271</v>
          </cell>
          <cell r="K1116" t="str">
            <v>Bermuda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 t="str">
            <v>Pieza</v>
          </cell>
          <cell r="T1116">
            <v>0</v>
          </cell>
          <cell r="V1116" t="str">
            <v>FC</v>
          </cell>
        </row>
        <row r="1117">
          <cell r="A1117">
            <v>36</v>
          </cell>
          <cell r="B1117">
            <v>2017</v>
          </cell>
          <cell r="C1117">
            <v>8300</v>
          </cell>
          <cell r="D1117">
            <v>2</v>
          </cell>
          <cell r="E1117">
            <v>3</v>
          </cell>
          <cell r="F1117">
            <v>3</v>
          </cell>
          <cell r="G1117">
            <v>2000</v>
          </cell>
          <cell r="H1117">
            <v>2700</v>
          </cell>
          <cell r="I1117">
            <v>271</v>
          </cell>
          <cell r="K1117" t="str">
            <v>Boina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 t="str">
            <v>Pieza</v>
          </cell>
          <cell r="T1117">
            <v>0</v>
          </cell>
          <cell r="V1117" t="str">
            <v>FC</v>
          </cell>
        </row>
        <row r="1118">
          <cell r="A1118">
            <v>37</v>
          </cell>
          <cell r="B1118">
            <v>2017</v>
          </cell>
          <cell r="C1118">
            <v>8300</v>
          </cell>
          <cell r="D1118">
            <v>2</v>
          </cell>
          <cell r="E1118">
            <v>3</v>
          </cell>
          <cell r="F1118">
            <v>3</v>
          </cell>
          <cell r="G1118">
            <v>2000</v>
          </cell>
          <cell r="H1118">
            <v>2700</v>
          </cell>
          <cell r="I1118">
            <v>271</v>
          </cell>
          <cell r="K1118" t="str">
            <v>Botas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 t="str">
            <v>Par</v>
          </cell>
          <cell r="V1118" t="str">
            <v>FC</v>
          </cell>
        </row>
        <row r="1119">
          <cell r="A1119">
            <v>38</v>
          </cell>
          <cell r="B1119">
            <v>2017</v>
          </cell>
          <cell r="C1119">
            <v>8300</v>
          </cell>
          <cell r="D1119">
            <v>2</v>
          </cell>
          <cell r="E1119">
            <v>3</v>
          </cell>
          <cell r="F1119">
            <v>3</v>
          </cell>
          <cell r="G1119">
            <v>2000</v>
          </cell>
          <cell r="H1119">
            <v>2700</v>
          </cell>
          <cell r="I1119">
            <v>271</v>
          </cell>
          <cell r="K1119" t="str">
            <v>Calcetón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 t="str">
            <v>Pieza</v>
          </cell>
          <cell r="T1119">
            <v>0</v>
          </cell>
          <cell r="V1119" t="str">
            <v>FC</v>
          </cell>
        </row>
        <row r="1120">
          <cell r="A1120">
            <v>39</v>
          </cell>
          <cell r="B1120">
            <v>2017</v>
          </cell>
          <cell r="C1120">
            <v>8300</v>
          </cell>
          <cell r="D1120">
            <v>2</v>
          </cell>
          <cell r="E1120">
            <v>3</v>
          </cell>
          <cell r="F1120">
            <v>3</v>
          </cell>
          <cell r="G1120">
            <v>2000</v>
          </cell>
          <cell r="H1120">
            <v>2700</v>
          </cell>
          <cell r="I1120">
            <v>271</v>
          </cell>
          <cell r="K1120" t="str">
            <v>Camisa (especificar)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 t="str">
            <v>Pieza</v>
          </cell>
          <cell r="T1120">
            <v>0</v>
          </cell>
          <cell r="V1120" t="str">
            <v>FC</v>
          </cell>
        </row>
        <row r="1121">
          <cell r="A1121">
            <v>40</v>
          </cell>
          <cell r="B1121">
            <v>2017</v>
          </cell>
          <cell r="C1121">
            <v>8300</v>
          </cell>
          <cell r="D1121">
            <v>2</v>
          </cell>
          <cell r="E1121">
            <v>3</v>
          </cell>
          <cell r="F1121">
            <v>3</v>
          </cell>
          <cell r="G1121">
            <v>2000</v>
          </cell>
          <cell r="H1121">
            <v>2700</v>
          </cell>
          <cell r="I1121">
            <v>271</v>
          </cell>
          <cell r="K1121" t="str">
            <v>Camisola (especificar)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 t="str">
            <v>Pieza</v>
          </cell>
          <cell r="T1121">
            <v>0</v>
          </cell>
          <cell r="V1121" t="str">
            <v>FC</v>
          </cell>
        </row>
        <row r="1122">
          <cell r="A1122">
            <v>41</v>
          </cell>
          <cell r="B1122">
            <v>2017</v>
          </cell>
          <cell r="C1122">
            <v>8300</v>
          </cell>
          <cell r="D1122">
            <v>2</v>
          </cell>
          <cell r="E1122">
            <v>3</v>
          </cell>
          <cell r="F1122">
            <v>3</v>
          </cell>
          <cell r="G1122">
            <v>2000</v>
          </cell>
          <cell r="H1122">
            <v>2700</v>
          </cell>
          <cell r="I1122">
            <v>271</v>
          </cell>
          <cell r="K1122" t="str">
            <v>Chaleco táctico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 t="str">
            <v>Pieza</v>
          </cell>
          <cell r="T1122">
            <v>0</v>
          </cell>
          <cell r="V1122" t="str">
            <v>FC</v>
          </cell>
        </row>
        <row r="1123">
          <cell r="A1123">
            <v>42</v>
          </cell>
          <cell r="B1123">
            <v>2017</v>
          </cell>
          <cell r="C1123">
            <v>8300</v>
          </cell>
          <cell r="D1123">
            <v>2</v>
          </cell>
          <cell r="E1123">
            <v>3</v>
          </cell>
          <cell r="F1123">
            <v>3</v>
          </cell>
          <cell r="G1123">
            <v>2000</v>
          </cell>
          <cell r="H1123">
            <v>2700</v>
          </cell>
          <cell r="I1123">
            <v>271</v>
          </cell>
          <cell r="K1123" t="str">
            <v>Chamarra (especificar)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 t="str">
            <v>Pieza</v>
          </cell>
          <cell r="T1123">
            <v>0</v>
          </cell>
          <cell r="V1123" t="str">
            <v>FC</v>
          </cell>
        </row>
        <row r="1124">
          <cell r="A1124">
            <v>43</v>
          </cell>
          <cell r="B1124">
            <v>2017</v>
          </cell>
          <cell r="C1124">
            <v>8300</v>
          </cell>
          <cell r="D1124">
            <v>2</v>
          </cell>
          <cell r="E1124">
            <v>3</v>
          </cell>
          <cell r="F1124">
            <v>3</v>
          </cell>
          <cell r="G1124">
            <v>2000</v>
          </cell>
          <cell r="H1124">
            <v>2700</v>
          </cell>
          <cell r="I1124">
            <v>271</v>
          </cell>
          <cell r="K1124" t="str">
            <v>Chanchomón (especificar)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 t="str">
            <v>Pieza</v>
          </cell>
          <cell r="T1124">
            <v>0</v>
          </cell>
          <cell r="V1124" t="str">
            <v>FC</v>
          </cell>
        </row>
        <row r="1125">
          <cell r="A1125">
            <v>44</v>
          </cell>
          <cell r="B1125">
            <v>2017</v>
          </cell>
          <cell r="C1125">
            <v>8300</v>
          </cell>
          <cell r="D1125">
            <v>2</v>
          </cell>
          <cell r="E1125">
            <v>3</v>
          </cell>
          <cell r="F1125">
            <v>3</v>
          </cell>
          <cell r="G1125">
            <v>2000</v>
          </cell>
          <cell r="H1125">
            <v>2700</v>
          </cell>
          <cell r="I1125">
            <v>271</v>
          </cell>
          <cell r="K1125" t="str">
            <v>Cinturón táctico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 t="str">
            <v>Pieza</v>
          </cell>
          <cell r="T1125">
            <v>0</v>
          </cell>
          <cell r="V1125" t="str">
            <v>FC</v>
          </cell>
        </row>
        <row r="1126">
          <cell r="A1126">
            <v>45</v>
          </cell>
          <cell r="B1126">
            <v>2017</v>
          </cell>
          <cell r="C1126">
            <v>8300</v>
          </cell>
          <cell r="D1126">
            <v>2</v>
          </cell>
          <cell r="E1126">
            <v>3</v>
          </cell>
          <cell r="F1126">
            <v>3</v>
          </cell>
          <cell r="G1126">
            <v>2000</v>
          </cell>
          <cell r="H1126">
            <v>2700</v>
          </cell>
          <cell r="I1126">
            <v>271</v>
          </cell>
          <cell r="K1126" t="str">
            <v>Corbata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 t="str">
            <v>Pieza</v>
          </cell>
          <cell r="T1126">
            <v>0</v>
          </cell>
          <cell r="V1126" t="str">
            <v>FC</v>
          </cell>
        </row>
        <row r="1127">
          <cell r="A1127">
            <v>46</v>
          </cell>
          <cell r="B1127">
            <v>2017</v>
          </cell>
          <cell r="C1127">
            <v>8300</v>
          </cell>
          <cell r="D1127">
            <v>2</v>
          </cell>
          <cell r="E1127">
            <v>3</v>
          </cell>
          <cell r="F1127">
            <v>3</v>
          </cell>
          <cell r="G1127">
            <v>2000</v>
          </cell>
          <cell r="H1127">
            <v>2700</v>
          </cell>
          <cell r="I1127">
            <v>271</v>
          </cell>
          <cell r="K1127" t="str">
            <v>Falda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 t="str">
            <v>Pieza</v>
          </cell>
          <cell r="T1127">
            <v>0</v>
          </cell>
          <cell r="V1127" t="str">
            <v>FC</v>
          </cell>
        </row>
        <row r="1128">
          <cell r="A1128">
            <v>47</v>
          </cell>
          <cell r="B1128">
            <v>2017</v>
          </cell>
          <cell r="C1128">
            <v>8300</v>
          </cell>
          <cell r="D1128">
            <v>2</v>
          </cell>
          <cell r="E1128">
            <v>3</v>
          </cell>
          <cell r="F1128">
            <v>3</v>
          </cell>
          <cell r="G1128">
            <v>2000</v>
          </cell>
          <cell r="H1128">
            <v>2700</v>
          </cell>
          <cell r="I1128">
            <v>271</v>
          </cell>
          <cell r="K1128" t="str">
            <v>Fornitura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 t="str">
            <v>Pieza</v>
          </cell>
          <cell r="T1128">
            <v>0</v>
          </cell>
          <cell r="V1128" t="str">
            <v>FC</v>
          </cell>
        </row>
        <row r="1129">
          <cell r="A1129">
            <v>48</v>
          </cell>
          <cell r="B1129">
            <v>2017</v>
          </cell>
          <cell r="C1129">
            <v>8300</v>
          </cell>
          <cell r="D1129">
            <v>2</v>
          </cell>
          <cell r="E1129">
            <v>3</v>
          </cell>
          <cell r="F1129">
            <v>3</v>
          </cell>
          <cell r="G1129">
            <v>2000</v>
          </cell>
          <cell r="H1129">
            <v>2700</v>
          </cell>
          <cell r="I1129">
            <v>271</v>
          </cell>
          <cell r="K1129" t="str">
            <v>Funda lateral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 t="str">
            <v>Pieza</v>
          </cell>
          <cell r="T1129">
            <v>0</v>
          </cell>
          <cell r="V1129" t="str">
            <v>FC</v>
          </cell>
        </row>
        <row r="1130">
          <cell r="A1130">
            <v>49</v>
          </cell>
          <cell r="B1130">
            <v>2017</v>
          </cell>
          <cell r="C1130">
            <v>8300</v>
          </cell>
          <cell r="D1130">
            <v>2</v>
          </cell>
          <cell r="E1130">
            <v>3</v>
          </cell>
          <cell r="F1130">
            <v>3</v>
          </cell>
          <cell r="G1130">
            <v>2000</v>
          </cell>
          <cell r="H1130">
            <v>2700</v>
          </cell>
          <cell r="I1130">
            <v>271</v>
          </cell>
          <cell r="K1130" t="str">
            <v>Gorra tipo beisbolera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 t="str">
            <v>Pieza</v>
          </cell>
          <cell r="T1130">
            <v>0</v>
          </cell>
          <cell r="V1130" t="str">
            <v>FC</v>
          </cell>
        </row>
        <row r="1131">
          <cell r="A1131">
            <v>50</v>
          </cell>
          <cell r="B1131">
            <v>2017</v>
          </cell>
          <cell r="C1131">
            <v>8300</v>
          </cell>
          <cell r="D1131">
            <v>2</v>
          </cell>
          <cell r="E1131">
            <v>3</v>
          </cell>
          <cell r="F1131">
            <v>3</v>
          </cell>
          <cell r="G1131">
            <v>2000</v>
          </cell>
          <cell r="H1131">
            <v>2700</v>
          </cell>
          <cell r="I1131">
            <v>271</v>
          </cell>
          <cell r="K1131" t="str">
            <v>Guantes de gala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 t="str">
            <v>Par</v>
          </cell>
          <cell r="T1131">
            <v>0</v>
          </cell>
          <cell r="V1131" t="str">
            <v>FC</v>
          </cell>
        </row>
        <row r="1132">
          <cell r="A1132">
            <v>51</v>
          </cell>
          <cell r="B1132">
            <v>2017</v>
          </cell>
          <cell r="C1132">
            <v>8300</v>
          </cell>
          <cell r="D1132">
            <v>2</v>
          </cell>
          <cell r="E1132">
            <v>3</v>
          </cell>
          <cell r="F1132">
            <v>3</v>
          </cell>
          <cell r="G1132">
            <v>2000</v>
          </cell>
          <cell r="H1132">
            <v>2700</v>
          </cell>
          <cell r="I1132">
            <v>271</v>
          </cell>
          <cell r="K1132" t="str">
            <v>Impermeable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 t="str">
            <v>Pieza</v>
          </cell>
          <cell r="T1132">
            <v>0</v>
          </cell>
          <cell r="V1132" t="str">
            <v>FC</v>
          </cell>
        </row>
        <row r="1133">
          <cell r="A1133">
            <v>52</v>
          </cell>
          <cell r="B1133">
            <v>2017</v>
          </cell>
          <cell r="C1133">
            <v>8300</v>
          </cell>
          <cell r="D1133">
            <v>2</v>
          </cell>
          <cell r="E1133">
            <v>3</v>
          </cell>
          <cell r="F1133">
            <v>3</v>
          </cell>
          <cell r="G1133">
            <v>2000</v>
          </cell>
          <cell r="H1133">
            <v>2700</v>
          </cell>
          <cell r="I1133">
            <v>271</v>
          </cell>
          <cell r="K1133" t="str">
            <v>Insignias y divisas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 t="str">
            <v>Pieza</v>
          </cell>
          <cell r="T1133">
            <v>0</v>
          </cell>
          <cell r="V1133" t="str">
            <v>FC</v>
          </cell>
        </row>
        <row r="1134">
          <cell r="A1134">
            <v>53</v>
          </cell>
          <cell r="B1134">
            <v>2017</v>
          </cell>
          <cell r="C1134">
            <v>8300</v>
          </cell>
          <cell r="D1134">
            <v>2</v>
          </cell>
          <cell r="E1134">
            <v>3</v>
          </cell>
          <cell r="F1134">
            <v>3</v>
          </cell>
          <cell r="G1134">
            <v>2000</v>
          </cell>
          <cell r="H1134">
            <v>2700</v>
          </cell>
          <cell r="I1134">
            <v>271</v>
          </cell>
          <cell r="K1134" t="str">
            <v>Kepí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 t="str">
            <v>Pieza</v>
          </cell>
          <cell r="T1134">
            <v>0</v>
          </cell>
          <cell r="V1134" t="str">
            <v>FC</v>
          </cell>
        </row>
        <row r="1135">
          <cell r="A1135">
            <v>54</v>
          </cell>
          <cell r="B1135">
            <v>2017</v>
          </cell>
          <cell r="C1135">
            <v>8300</v>
          </cell>
          <cell r="D1135">
            <v>2</v>
          </cell>
          <cell r="E1135">
            <v>3</v>
          </cell>
          <cell r="F1135">
            <v>3</v>
          </cell>
          <cell r="G1135">
            <v>2000</v>
          </cell>
          <cell r="H1135">
            <v>2700</v>
          </cell>
          <cell r="I1135">
            <v>271</v>
          </cell>
          <cell r="K1135" t="str">
            <v>Overol táctico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 t="str">
            <v>Pieza</v>
          </cell>
          <cell r="T1135">
            <v>0</v>
          </cell>
          <cell r="V1135" t="str">
            <v>FC</v>
          </cell>
        </row>
        <row r="1136">
          <cell r="A1136">
            <v>55</v>
          </cell>
          <cell r="B1136">
            <v>2017</v>
          </cell>
          <cell r="C1136">
            <v>8300</v>
          </cell>
          <cell r="D1136">
            <v>2</v>
          </cell>
          <cell r="E1136">
            <v>3</v>
          </cell>
          <cell r="F1136">
            <v>3</v>
          </cell>
          <cell r="G1136">
            <v>2000</v>
          </cell>
          <cell r="H1136">
            <v>2700</v>
          </cell>
          <cell r="I1136">
            <v>271</v>
          </cell>
          <cell r="K1136" t="str">
            <v>Pantalón (especificar)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 t="str">
            <v>Pieza</v>
          </cell>
          <cell r="T1136">
            <v>0</v>
          </cell>
          <cell r="V1136" t="str">
            <v>FC</v>
          </cell>
        </row>
        <row r="1137">
          <cell r="A1137">
            <v>56</v>
          </cell>
          <cell r="B1137">
            <v>2017</v>
          </cell>
          <cell r="C1137">
            <v>8300</v>
          </cell>
          <cell r="D1137">
            <v>2</v>
          </cell>
          <cell r="E1137">
            <v>3</v>
          </cell>
          <cell r="F1137">
            <v>3</v>
          </cell>
          <cell r="G1137">
            <v>2000</v>
          </cell>
          <cell r="H1137">
            <v>2700</v>
          </cell>
          <cell r="I1137">
            <v>271</v>
          </cell>
          <cell r="K1137" t="str">
            <v>Pantalonera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 t="str">
            <v>Pieza</v>
          </cell>
          <cell r="T1137">
            <v>0</v>
          </cell>
          <cell r="V1137" t="str">
            <v>FC</v>
          </cell>
        </row>
        <row r="1138">
          <cell r="A1138">
            <v>57</v>
          </cell>
          <cell r="B1138">
            <v>2017</v>
          </cell>
          <cell r="C1138">
            <v>8300</v>
          </cell>
          <cell r="D1138">
            <v>2</v>
          </cell>
          <cell r="E1138">
            <v>3</v>
          </cell>
          <cell r="F1138">
            <v>3</v>
          </cell>
          <cell r="G1138">
            <v>2000</v>
          </cell>
          <cell r="H1138">
            <v>2700</v>
          </cell>
          <cell r="I1138">
            <v>271</v>
          </cell>
          <cell r="K1138" t="str">
            <v>Pasa montañas táctico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 t="str">
            <v>Pieza</v>
          </cell>
          <cell r="T1138">
            <v>0</v>
          </cell>
          <cell r="V1138" t="str">
            <v>FC</v>
          </cell>
        </row>
        <row r="1139">
          <cell r="A1139">
            <v>58</v>
          </cell>
          <cell r="B1139">
            <v>2017</v>
          </cell>
          <cell r="C1139">
            <v>8300</v>
          </cell>
          <cell r="D1139">
            <v>2</v>
          </cell>
          <cell r="E1139">
            <v>3</v>
          </cell>
          <cell r="F1139">
            <v>3</v>
          </cell>
          <cell r="G1139">
            <v>2000</v>
          </cell>
          <cell r="H1139">
            <v>2700</v>
          </cell>
          <cell r="I1139">
            <v>271</v>
          </cell>
          <cell r="K1139" t="str">
            <v>Pisa cuello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 t="str">
            <v>Pieza</v>
          </cell>
          <cell r="T1139">
            <v>0</v>
          </cell>
          <cell r="V1139" t="str">
            <v>FC</v>
          </cell>
        </row>
        <row r="1140">
          <cell r="A1140">
            <v>59</v>
          </cell>
          <cell r="B1140">
            <v>2017</v>
          </cell>
          <cell r="C1140">
            <v>8300</v>
          </cell>
          <cell r="D1140">
            <v>2</v>
          </cell>
          <cell r="E1140">
            <v>3</v>
          </cell>
          <cell r="F1140">
            <v>3</v>
          </cell>
          <cell r="G1140">
            <v>2000</v>
          </cell>
          <cell r="H1140">
            <v>2700</v>
          </cell>
          <cell r="I1140">
            <v>271</v>
          </cell>
          <cell r="K1140" t="str">
            <v>Playera (especificar)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 t="str">
            <v>Pieza</v>
          </cell>
          <cell r="T1140">
            <v>0</v>
          </cell>
          <cell r="V1140" t="str">
            <v>FC</v>
          </cell>
        </row>
        <row r="1141">
          <cell r="A1141">
            <v>60</v>
          </cell>
          <cell r="B1141">
            <v>2017</v>
          </cell>
          <cell r="C1141">
            <v>8300</v>
          </cell>
          <cell r="D1141">
            <v>2</v>
          </cell>
          <cell r="E1141">
            <v>3</v>
          </cell>
          <cell r="F1141">
            <v>3</v>
          </cell>
          <cell r="G1141">
            <v>2000</v>
          </cell>
          <cell r="H1141">
            <v>2700</v>
          </cell>
          <cell r="I1141">
            <v>271</v>
          </cell>
          <cell r="K1141" t="str">
            <v>Porta bastón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 t="str">
            <v>Pieza</v>
          </cell>
          <cell r="T1141">
            <v>0</v>
          </cell>
          <cell r="V1141" t="str">
            <v>FC</v>
          </cell>
        </row>
        <row r="1142">
          <cell r="A1142">
            <v>61</v>
          </cell>
          <cell r="B1142">
            <v>2017</v>
          </cell>
          <cell r="C1142">
            <v>8300</v>
          </cell>
          <cell r="D1142">
            <v>2</v>
          </cell>
          <cell r="E1142">
            <v>3</v>
          </cell>
          <cell r="F1142">
            <v>3</v>
          </cell>
          <cell r="G1142">
            <v>2000</v>
          </cell>
          <cell r="H1142">
            <v>2700</v>
          </cell>
          <cell r="I1142">
            <v>271</v>
          </cell>
          <cell r="K1142" t="str">
            <v>Porta cargador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 t="str">
            <v>Pieza</v>
          </cell>
          <cell r="T1142">
            <v>0</v>
          </cell>
          <cell r="V1142" t="str">
            <v>FC</v>
          </cell>
        </row>
        <row r="1143">
          <cell r="A1143">
            <v>62</v>
          </cell>
          <cell r="B1143">
            <v>2017</v>
          </cell>
          <cell r="C1143">
            <v>8300</v>
          </cell>
          <cell r="D1143">
            <v>2</v>
          </cell>
          <cell r="E1143">
            <v>3</v>
          </cell>
          <cell r="F1143">
            <v>3</v>
          </cell>
          <cell r="G1143">
            <v>2000</v>
          </cell>
          <cell r="H1143">
            <v>2700</v>
          </cell>
          <cell r="I1143">
            <v>271</v>
          </cell>
          <cell r="K1143" t="str">
            <v>Porta esposas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 t="str">
            <v>Pieza</v>
          </cell>
          <cell r="T1143">
            <v>0</v>
          </cell>
          <cell r="V1143" t="str">
            <v>FC</v>
          </cell>
        </row>
        <row r="1144">
          <cell r="A1144">
            <v>63</v>
          </cell>
          <cell r="B1144">
            <v>2017</v>
          </cell>
          <cell r="C1144">
            <v>8300</v>
          </cell>
          <cell r="D1144">
            <v>2</v>
          </cell>
          <cell r="E1144">
            <v>3</v>
          </cell>
          <cell r="F1144">
            <v>3</v>
          </cell>
          <cell r="G1144">
            <v>2000</v>
          </cell>
          <cell r="H1144">
            <v>2700</v>
          </cell>
          <cell r="I1144">
            <v>271</v>
          </cell>
          <cell r="K1144" t="str">
            <v>Porta fusil táctico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 t="str">
            <v>Pieza</v>
          </cell>
          <cell r="T1144">
            <v>0</v>
          </cell>
          <cell r="V1144" t="str">
            <v>FC</v>
          </cell>
        </row>
        <row r="1145">
          <cell r="A1145">
            <v>64</v>
          </cell>
          <cell r="B1145">
            <v>2017</v>
          </cell>
          <cell r="C1145">
            <v>8300</v>
          </cell>
          <cell r="D1145">
            <v>2</v>
          </cell>
          <cell r="E1145">
            <v>3</v>
          </cell>
          <cell r="F1145">
            <v>3</v>
          </cell>
          <cell r="G1145">
            <v>2000</v>
          </cell>
          <cell r="H1145">
            <v>2700</v>
          </cell>
          <cell r="I1145">
            <v>271</v>
          </cell>
          <cell r="K1145" t="str">
            <v>Porta lámpara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 t="str">
            <v>Pieza</v>
          </cell>
          <cell r="T1145">
            <v>0</v>
          </cell>
          <cell r="V1145" t="str">
            <v>FC</v>
          </cell>
        </row>
        <row r="1146">
          <cell r="A1146">
            <v>65</v>
          </cell>
          <cell r="B1146">
            <v>2017</v>
          </cell>
          <cell r="C1146">
            <v>8300</v>
          </cell>
          <cell r="D1146">
            <v>2</v>
          </cell>
          <cell r="E1146">
            <v>3</v>
          </cell>
          <cell r="F1146">
            <v>3</v>
          </cell>
          <cell r="G1146">
            <v>2000</v>
          </cell>
          <cell r="H1146">
            <v>2700</v>
          </cell>
          <cell r="I1146">
            <v>271</v>
          </cell>
          <cell r="K1146" t="str">
            <v>Porta radio</v>
          </cell>
          <cell r="L1146">
            <v>0</v>
          </cell>
          <cell r="M1146">
            <v>0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 t="str">
            <v>Pieza</v>
          </cell>
          <cell r="T1146">
            <v>0</v>
          </cell>
          <cell r="V1146" t="str">
            <v>FC</v>
          </cell>
        </row>
        <row r="1147">
          <cell r="A1147">
            <v>66</v>
          </cell>
          <cell r="B1147">
            <v>2017</v>
          </cell>
          <cell r="C1147">
            <v>8300</v>
          </cell>
          <cell r="D1147">
            <v>2</v>
          </cell>
          <cell r="E1147">
            <v>3</v>
          </cell>
          <cell r="F1147">
            <v>3</v>
          </cell>
          <cell r="G1147">
            <v>2000</v>
          </cell>
          <cell r="H1147">
            <v>2700</v>
          </cell>
          <cell r="I1147">
            <v>271</v>
          </cell>
          <cell r="K1147" t="str">
            <v>Porta silbato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 t="str">
            <v>Pieza</v>
          </cell>
          <cell r="T1147">
            <v>0</v>
          </cell>
          <cell r="V1147" t="str">
            <v>FC</v>
          </cell>
        </row>
        <row r="1148">
          <cell r="A1148">
            <v>67</v>
          </cell>
          <cell r="B1148">
            <v>2017</v>
          </cell>
          <cell r="C1148">
            <v>8300</v>
          </cell>
          <cell r="D1148">
            <v>2</v>
          </cell>
          <cell r="E1148">
            <v>3</v>
          </cell>
          <cell r="F1148">
            <v>3</v>
          </cell>
          <cell r="G1148">
            <v>2000</v>
          </cell>
          <cell r="H1148">
            <v>2700</v>
          </cell>
          <cell r="I1148">
            <v>271</v>
          </cell>
          <cell r="K1148" t="str">
            <v>Rompevientos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 t="str">
            <v>Pieza</v>
          </cell>
          <cell r="T1148">
            <v>0</v>
          </cell>
          <cell r="V1148" t="str">
            <v>FC</v>
          </cell>
        </row>
        <row r="1149">
          <cell r="A1149">
            <v>68</v>
          </cell>
          <cell r="B1149">
            <v>2017</v>
          </cell>
          <cell r="C1149">
            <v>8300</v>
          </cell>
          <cell r="D1149">
            <v>2</v>
          </cell>
          <cell r="E1149">
            <v>3</v>
          </cell>
          <cell r="F1149">
            <v>3</v>
          </cell>
          <cell r="G1149">
            <v>2000</v>
          </cell>
          <cell r="H1149">
            <v>2700</v>
          </cell>
          <cell r="I1149">
            <v>271</v>
          </cell>
          <cell r="K1149" t="str">
            <v>Saco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 t="str">
            <v>Pieza</v>
          </cell>
          <cell r="T1149">
            <v>0</v>
          </cell>
          <cell r="V1149" t="str">
            <v>FC</v>
          </cell>
        </row>
        <row r="1150">
          <cell r="A1150">
            <v>69</v>
          </cell>
          <cell r="B1150">
            <v>2017</v>
          </cell>
          <cell r="C1150">
            <v>8300</v>
          </cell>
          <cell r="D1150">
            <v>2</v>
          </cell>
          <cell r="E1150">
            <v>3</v>
          </cell>
          <cell r="F1150">
            <v>3</v>
          </cell>
          <cell r="G1150">
            <v>2000</v>
          </cell>
          <cell r="H1150">
            <v>2700</v>
          </cell>
          <cell r="I1150">
            <v>271</v>
          </cell>
          <cell r="K1150" t="str">
            <v>Short</v>
          </cell>
          <cell r="L1150">
            <v>0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0</v>
          </cell>
          <cell r="R1150">
            <v>0</v>
          </cell>
          <cell r="S1150" t="str">
            <v>Pieza</v>
          </cell>
          <cell r="T1150">
            <v>0</v>
          </cell>
          <cell r="V1150" t="str">
            <v>FC</v>
          </cell>
        </row>
        <row r="1151">
          <cell r="A1151">
            <v>70</v>
          </cell>
          <cell r="B1151">
            <v>2017</v>
          </cell>
          <cell r="C1151">
            <v>8300</v>
          </cell>
          <cell r="D1151">
            <v>2</v>
          </cell>
          <cell r="E1151">
            <v>3</v>
          </cell>
          <cell r="F1151">
            <v>3</v>
          </cell>
          <cell r="G1151">
            <v>2000</v>
          </cell>
          <cell r="H1151">
            <v>2700</v>
          </cell>
          <cell r="I1151">
            <v>271</v>
          </cell>
          <cell r="K1151" t="str">
            <v>Silbato policía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 t="str">
            <v>Pieza</v>
          </cell>
          <cell r="T1151">
            <v>0</v>
          </cell>
          <cell r="V1151" t="str">
            <v>FC</v>
          </cell>
        </row>
        <row r="1152">
          <cell r="A1152">
            <v>71</v>
          </cell>
          <cell r="B1152">
            <v>2017</v>
          </cell>
          <cell r="C1152">
            <v>8300</v>
          </cell>
          <cell r="D1152">
            <v>2</v>
          </cell>
          <cell r="E1152">
            <v>3</v>
          </cell>
          <cell r="F1152">
            <v>3</v>
          </cell>
          <cell r="G1152">
            <v>2000</v>
          </cell>
          <cell r="H1152">
            <v>2700</v>
          </cell>
          <cell r="I1152">
            <v>271</v>
          </cell>
          <cell r="K1152" t="str">
            <v>Sudadera</v>
          </cell>
          <cell r="L1152">
            <v>0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0</v>
          </cell>
          <cell r="R1152">
            <v>0</v>
          </cell>
          <cell r="S1152" t="str">
            <v>Pieza</v>
          </cell>
          <cell r="T1152">
            <v>0</v>
          </cell>
          <cell r="V1152" t="str">
            <v>FC</v>
          </cell>
        </row>
        <row r="1153">
          <cell r="A1153">
            <v>72</v>
          </cell>
          <cell r="B1153">
            <v>2017</v>
          </cell>
          <cell r="C1153">
            <v>8300</v>
          </cell>
          <cell r="D1153">
            <v>2</v>
          </cell>
          <cell r="E1153">
            <v>3</v>
          </cell>
          <cell r="F1153">
            <v>3</v>
          </cell>
          <cell r="G1153">
            <v>2000</v>
          </cell>
          <cell r="H1153">
            <v>2700</v>
          </cell>
          <cell r="I1153">
            <v>271</v>
          </cell>
          <cell r="K1153" t="str">
            <v>Tenis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 t="str">
            <v>Par</v>
          </cell>
          <cell r="T1153">
            <v>0</v>
          </cell>
          <cell r="V1153" t="str">
            <v>FC</v>
          </cell>
        </row>
        <row r="1154">
          <cell r="A1154">
            <v>73</v>
          </cell>
          <cell r="B1154">
            <v>2017</v>
          </cell>
          <cell r="C1154">
            <v>8300</v>
          </cell>
          <cell r="D1154">
            <v>2</v>
          </cell>
          <cell r="E1154">
            <v>3</v>
          </cell>
          <cell r="F1154">
            <v>3</v>
          </cell>
          <cell r="G1154">
            <v>2000</v>
          </cell>
          <cell r="H1154">
            <v>2700</v>
          </cell>
          <cell r="I1154">
            <v>271</v>
          </cell>
          <cell r="K1154" t="str">
            <v>Tocado con bordado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 t="str">
            <v>Pieza</v>
          </cell>
          <cell r="T1154">
            <v>0</v>
          </cell>
          <cell r="V1154" t="str">
            <v>FC</v>
          </cell>
        </row>
        <row r="1155">
          <cell r="A1155">
            <v>74</v>
          </cell>
          <cell r="B1155">
            <v>2017</v>
          </cell>
          <cell r="C1155">
            <v>8300</v>
          </cell>
          <cell r="D1155">
            <v>2</v>
          </cell>
          <cell r="E1155">
            <v>3</v>
          </cell>
          <cell r="F1155">
            <v>3</v>
          </cell>
          <cell r="G1155">
            <v>2000</v>
          </cell>
          <cell r="H1155">
            <v>2700</v>
          </cell>
          <cell r="I1155">
            <v>271</v>
          </cell>
          <cell r="K1155" t="str">
            <v>Traje de gala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 t="str">
            <v>Pieza</v>
          </cell>
          <cell r="T1155">
            <v>0</v>
          </cell>
          <cell r="V1155" t="str">
            <v>FC</v>
          </cell>
        </row>
        <row r="1156">
          <cell r="A1156">
            <v>75</v>
          </cell>
          <cell r="B1156">
            <v>2017</v>
          </cell>
          <cell r="C1156">
            <v>8300</v>
          </cell>
          <cell r="D1156">
            <v>2</v>
          </cell>
          <cell r="E1156">
            <v>3</v>
          </cell>
          <cell r="F1156">
            <v>3</v>
          </cell>
          <cell r="G1156">
            <v>2000</v>
          </cell>
          <cell r="H1156">
            <v>2700</v>
          </cell>
          <cell r="I1156">
            <v>271</v>
          </cell>
          <cell r="K1156" t="str">
            <v>Traje táctico completo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 t="str">
            <v>Pieza</v>
          </cell>
          <cell r="T1156">
            <v>0</v>
          </cell>
          <cell r="V1156" t="str">
            <v>FC</v>
          </cell>
        </row>
        <row r="1157">
          <cell r="A1157">
            <v>76</v>
          </cell>
          <cell r="B1157">
            <v>2017</v>
          </cell>
          <cell r="C1157">
            <v>8300</v>
          </cell>
          <cell r="D1157">
            <v>2</v>
          </cell>
          <cell r="E1157">
            <v>3</v>
          </cell>
          <cell r="F1157">
            <v>3</v>
          </cell>
          <cell r="G1157">
            <v>2000</v>
          </cell>
          <cell r="H1157">
            <v>2700</v>
          </cell>
          <cell r="I1157">
            <v>271</v>
          </cell>
          <cell r="K1157" t="str">
            <v>Zapato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 t="str">
            <v>Par</v>
          </cell>
          <cell r="T1157">
            <v>0</v>
          </cell>
          <cell r="V1157" t="str">
            <v>FC</v>
          </cell>
        </row>
        <row r="1158">
          <cell r="A1158">
            <v>77</v>
          </cell>
          <cell r="B1158">
            <v>2017</v>
          </cell>
          <cell r="C1158">
            <v>8300</v>
          </cell>
          <cell r="D1158">
            <v>2</v>
          </cell>
          <cell r="E1158">
            <v>3</v>
          </cell>
          <cell r="F1158">
            <v>3</v>
          </cell>
          <cell r="G1158">
            <v>2000</v>
          </cell>
          <cell r="H1158">
            <v>2700</v>
          </cell>
          <cell r="I1158">
            <v>271</v>
          </cell>
          <cell r="K1158" t="str">
            <v>Moscoba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 t="str">
            <v>Pieza</v>
          </cell>
          <cell r="T1158">
            <v>0</v>
          </cell>
          <cell r="V1158" t="str">
            <v>FC</v>
          </cell>
        </row>
        <row r="1159">
          <cell r="A1159">
            <v>78</v>
          </cell>
          <cell r="B1159">
            <v>2017</v>
          </cell>
          <cell r="C1159">
            <v>8300</v>
          </cell>
          <cell r="D1159">
            <v>2</v>
          </cell>
          <cell r="E1159">
            <v>3</v>
          </cell>
          <cell r="F1159">
            <v>3</v>
          </cell>
          <cell r="G1159">
            <v>2000</v>
          </cell>
          <cell r="H1159">
            <v>2700</v>
          </cell>
          <cell r="I1159">
            <v>271</v>
          </cell>
          <cell r="J1159">
            <v>2</v>
          </cell>
          <cell r="K1159" t="str">
            <v>Vestuario y uniformes para Secretaría de Seguridad Pública Municipal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 t="str">
            <v>Pieza</v>
          </cell>
          <cell r="T1159">
            <v>0</v>
          </cell>
          <cell r="V1159" t="str">
            <v>FC/FM</v>
          </cell>
        </row>
        <row r="1160">
          <cell r="A1160">
            <v>79</v>
          </cell>
          <cell r="B1160">
            <v>2017</v>
          </cell>
          <cell r="C1160">
            <v>8300</v>
          </cell>
          <cell r="D1160">
            <v>2</v>
          </cell>
          <cell r="E1160">
            <v>3</v>
          </cell>
          <cell r="F1160">
            <v>3</v>
          </cell>
          <cell r="G1160">
            <v>2000</v>
          </cell>
          <cell r="H1160">
            <v>2700</v>
          </cell>
          <cell r="I1160">
            <v>271</v>
          </cell>
          <cell r="K1160" t="str">
            <v>Bermuda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 t="str">
            <v>Pieza</v>
          </cell>
          <cell r="T1160">
            <v>0</v>
          </cell>
          <cell r="V1160" t="str">
            <v>FC/FM</v>
          </cell>
        </row>
        <row r="1161">
          <cell r="A1161">
            <v>80</v>
          </cell>
          <cell r="B1161">
            <v>2017</v>
          </cell>
          <cell r="C1161">
            <v>8300</v>
          </cell>
          <cell r="D1161">
            <v>2</v>
          </cell>
          <cell r="E1161">
            <v>3</v>
          </cell>
          <cell r="F1161">
            <v>3</v>
          </cell>
          <cell r="G1161">
            <v>2000</v>
          </cell>
          <cell r="H1161">
            <v>2700</v>
          </cell>
          <cell r="I1161">
            <v>271</v>
          </cell>
          <cell r="K1161" t="str">
            <v>Boina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 t="str">
            <v>Pieza</v>
          </cell>
          <cell r="T1161">
            <v>0</v>
          </cell>
          <cell r="V1161" t="str">
            <v>FC/FM</v>
          </cell>
        </row>
        <row r="1162">
          <cell r="A1162">
            <v>81</v>
          </cell>
          <cell r="B1162">
            <v>2017</v>
          </cell>
          <cell r="C1162">
            <v>8300</v>
          </cell>
          <cell r="D1162">
            <v>2</v>
          </cell>
          <cell r="E1162">
            <v>3</v>
          </cell>
          <cell r="F1162">
            <v>3</v>
          </cell>
          <cell r="G1162">
            <v>2000</v>
          </cell>
          <cell r="H1162">
            <v>2700</v>
          </cell>
          <cell r="I1162">
            <v>271</v>
          </cell>
          <cell r="K1162" t="str">
            <v>Botas</v>
          </cell>
          <cell r="L1162">
            <v>0</v>
          </cell>
          <cell r="M1162">
            <v>0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 t="str">
            <v>Par</v>
          </cell>
          <cell r="T1162">
            <v>0</v>
          </cell>
          <cell r="V1162" t="str">
            <v>FC/FM</v>
          </cell>
        </row>
        <row r="1163">
          <cell r="A1163">
            <v>82</v>
          </cell>
          <cell r="B1163">
            <v>2017</v>
          </cell>
          <cell r="C1163">
            <v>8300</v>
          </cell>
          <cell r="D1163">
            <v>2</v>
          </cell>
          <cell r="E1163">
            <v>3</v>
          </cell>
          <cell r="F1163">
            <v>3</v>
          </cell>
          <cell r="G1163">
            <v>2000</v>
          </cell>
          <cell r="H1163">
            <v>2700</v>
          </cell>
          <cell r="I1163">
            <v>271</v>
          </cell>
          <cell r="K1163" t="str">
            <v>Botines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 t="str">
            <v>Par</v>
          </cell>
          <cell r="T1163">
            <v>0</v>
          </cell>
          <cell r="V1163" t="str">
            <v>FC/FM</v>
          </cell>
        </row>
        <row r="1164">
          <cell r="A1164">
            <v>83</v>
          </cell>
          <cell r="B1164">
            <v>2017</v>
          </cell>
          <cell r="C1164">
            <v>8300</v>
          </cell>
          <cell r="D1164">
            <v>2</v>
          </cell>
          <cell r="E1164">
            <v>3</v>
          </cell>
          <cell r="F1164">
            <v>3</v>
          </cell>
          <cell r="G1164">
            <v>2000</v>
          </cell>
          <cell r="H1164">
            <v>2700</v>
          </cell>
          <cell r="I1164">
            <v>271</v>
          </cell>
          <cell r="K1164" t="str">
            <v>Calcetón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 t="str">
            <v>Pieza</v>
          </cell>
          <cell r="T1164">
            <v>0</v>
          </cell>
          <cell r="V1164" t="str">
            <v>FC/FM</v>
          </cell>
        </row>
        <row r="1165">
          <cell r="A1165">
            <v>84</v>
          </cell>
          <cell r="B1165">
            <v>2017</v>
          </cell>
          <cell r="C1165">
            <v>8300</v>
          </cell>
          <cell r="D1165">
            <v>2</v>
          </cell>
          <cell r="E1165">
            <v>3</v>
          </cell>
          <cell r="F1165">
            <v>3</v>
          </cell>
          <cell r="G1165">
            <v>2000</v>
          </cell>
          <cell r="H1165">
            <v>2700</v>
          </cell>
          <cell r="I1165">
            <v>271</v>
          </cell>
          <cell r="K1165" t="str">
            <v>Camisa (especificar)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 t="str">
            <v>Pieza</v>
          </cell>
          <cell r="T1165">
            <v>0</v>
          </cell>
          <cell r="V1165" t="str">
            <v>FC/FM</v>
          </cell>
        </row>
        <row r="1166">
          <cell r="A1166">
            <v>85</v>
          </cell>
          <cell r="B1166">
            <v>2017</v>
          </cell>
          <cell r="C1166">
            <v>8300</v>
          </cell>
          <cell r="D1166">
            <v>2</v>
          </cell>
          <cell r="E1166">
            <v>3</v>
          </cell>
          <cell r="F1166">
            <v>3</v>
          </cell>
          <cell r="G1166">
            <v>2000</v>
          </cell>
          <cell r="H1166">
            <v>2700</v>
          </cell>
          <cell r="I1166">
            <v>271</v>
          </cell>
          <cell r="K1166" t="str">
            <v>Camisola (especificar)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 t="str">
            <v>Pieza</v>
          </cell>
          <cell r="T1166">
            <v>0</v>
          </cell>
          <cell r="V1166" t="str">
            <v>FC/FM</v>
          </cell>
        </row>
        <row r="1167">
          <cell r="A1167">
            <v>86</v>
          </cell>
          <cell r="B1167">
            <v>2017</v>
          </cell>
          <cell r="C1167">
            <v>8300</v>
          </cell>
          <cell r="D1167">
            <v>2</v>
          </cell>
          <cell r="E1167">
            <v>3</v>
          </cell>
          <cell r="F1167">
            <v>3</v>
          </cell>
          <cell r="G1167">
            <v>2000</v>
          </cell>
          <cell r="H1167">
            <v>2700</v>
          </cell>
          <cell r="I1167">
            <v>271</v>
          </cell>
          <cell r="K1167" t="str">
            <v>Chaleco táctico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 t="str">
            <v>Pieza</v>
          </cell>
          <cell r="T1167">
            <v>0</v>
          </cell>
          <cell r="V1167" t="str">
            <v>FC/FM</v>
          </cell>
        </row>
        <row r="1168">
          <cell r="A1168">
            <v>87</v>
          </cell>
          <cell r="B1168">
            <v>2017</v>
          </cell>
          <cell r="C1168">
            <v>8300</v>
          </cell>
          <cell r="D1168">
            <v>2</v>
          </cell>
          <cell r="E1168">
            <v>3</v>
          </cell>
          <cell r="F1168">
            <v>3</v>
          </cell>
          <cell r="G1168">
            <v>2000</v>
          </cell>
          <cell r="H1168">
            <v>2700</v>
          </cell>
          <cell r="I1168">
            <v>271</v>
          </cell>
          <cell r="K1168" t="str">
            <v>Chamarra (especificar)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 t="str">
            <v>Pieza</v>
          </cell>
          <cell r="T1168">
            <v>0</v>
          </cell>
          <cell r="V1168" t="str">
            <v>FC/FM</v>
          </cell>
        </row>
        <row r="1169">
          <cell r="A1169">
            <v>88</v>
          </cell>
          <cell r="B1169">
            <v>2017</v>
          </cell>
          <cell r="C1169">
            <v>8300</v>
          </cell>
          <cell r="D1169">
            <v>2</v>
          </cell>
          <cell r="E1169">
            <v>3</v>
          </cell>
          <cell r="F1169">
            <v>3</v>
          </cell>
          <cell r="G1169">
            <v>2000</v>
          </cell>
          <cell r="H1169">
            <v>2700</v>
          </cell>
          <cell r="I1169">
            <v>271</v>
          </cell>
          <cell r="K1169" t="str">
            <v>Chanchomón (especificar)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 t="str">
            <v>Pieza</v>
          </cell>
          <cell r="T1169">
            <v>0</v>
          </cell>
          <cell r="V1169" t="str">
            <v>FC/FM</v>
          </cell>
        </row>
        <row r="1170">
          <cell r="A1170">
            <v>89</v>
          </cell>
          <cell r="B1170">
            <v>2017</v>
          </cell>
          <cell r="C1170">
            <v>8300</v>
          </cell>
          <cell r="D1170">
            <v>2</v>
          </cell>
          <cell r="E1170">
            <v>3</v>
          </cell>
          <cell r="F1170">
            <v>3</v>
          </cell>
          <cell r="G1170">
            <v>2000</v>
          </cell>
          <cell r="H1170">
            <v>2700</v>
          </cell>
          <cell r="I1170">
            <v>271</v>
          </cell>
          <cell r="K1170" t="str">
            <v>Cinturón táctico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 t="str">
            <v>Pieza</v>
          </cell>
          <cell r="T1170">
            <v>0</v>
          </cell>
          <cell r="V1170" t="str">
            <v>FC/FM</v>
          </cell>
        </row>
        <row r="1171">
          <cell r="A1171">
            <v>90</v>
          </cell>
          <cell r="B1171">
            <v>2017</v>
          </cell>
          <cell r="C1171">
            <v>8300</v>
          </cell>
          <cell r="D1171">
            <v>2</v>
          </cell>
          <cell r="E1171">
            <v>3</v>
          </cell>
          <cell r="F1171">
            <v>3</v>
          </cell>
          <cell r="G1171">
            <v>2000</v>
          </cell>
          <cell r="H1171">
            <v>2700</v>
          </cell>
          <cell r="I1171">
            <v>271</v>
          </cell>
          <cell r="K1171" t="str">
            <v>Corbata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 t="str">
            <v>Pieza</v>
          </cell>
          <cell r="T1171">
            <v>0</v>
          </cell>
          <cell r="V1171" t="str">
            <v>FC/FM</v>
          </cell>
        </row>
        <row r="1172">
          <cell r="A1172">
            <v>91</v>
          </cell>
          <cell r="B1172">
            <v>2017</v>
          </cell>
          <cell r="C1172">
            <v>8300</v>
          </cell>
          <cell r="D1172">
            <v>2</v>
          </cell>
          <cell r="E1172">
            <v>3</v>
          </cell>
          <cell r="F1172">
            <v>3</v>
          </cell>
          <cell r="G1172">
            <v>2000</v>
          </cell>
          <cell r="H1172">
            <v>2700</v>
          </cell>
          <cell r="I1172">
            <v>271</v>
          </cell>
          <cell r="K1172" t="str">
            <v>Falda</v>
          </cell>
          <cell r="L1172">
            <v>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 t="str">
            <v>Pieza</v>
          </cell>
          <cell r="T1172">
            <v>0</v>
          </cell>
          <cell r="V1172" t="str">
            <v>FC/FM</v>
          </cell>
        </row>
        <row r="1173">
          <cell r="A1173">
            <v>92</v>
          </cell>
          <cell r="B1173">
            <v>2017</v>
          </cell>
          <cell r="C1173">
            <v>8300</v>
          </cell>
          <cell r="D1173">
            <v>2</v>
          </cell>
          <cell r="E1173">
            <v>3</v>
          </cell>
          <cell r="F1173">
            <v>3</v>
          </cell>
          <cell r="G1173">
            <v>2000</v>
          </cell>
          <cell r="H1173">
            <v>2700</v>
          </cell>
          <cell r="I1173">
            <v>271</v>
          </cell>
          <cell r="K1173" t="str">
            <v>Fornitura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 t="str">
            <v>Pieza</v>
          </cell>
          <cell r="T1173">
            <v>0</v>
          </cell>
          <cell r="V1173" t="str">
            <v>FC/FM</v>
          </cell>
        </row>
        <row r="1174">
          <cell r="A1174">
            <v>93</v>
          </cell>
          <cell r="B1174">
            <v>2017</v>
          </cell>
          <cell r="C1174">
            <v>8300</v>
          </cell>
          <cell r="D1174">
            <v>2</v>
          </cell>
          <cell r="E1174">
            <v>3</v>
          </cell>
          <cell r="F1174">
            <v>3</v>
          </cell>
          <cell r="G1174">
            <v>2000</v>
          </cell>
          <cell r="H1174">
            <v>2700</v>
          </cell>
          <cell r="I1174">
            <v>271</v>
          </cell>
          <cell r="K1174" t="str">
            <v>Funda lateral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 t="str">
            <v>Pieza</v>
          </cell>
          <cell r="T1174">
            <v>0</v>
          </cell>
          <cell r="V1174" t="str">
            <v>FC/FM</v>
          </cell>
        </row>
        <row r="1175">
          <cell r="A1175">
            <v>94</v>
          </cell>
          <cell r="B1175">
            <v>2017</v>
          </cell>
          <cell r="C1175">
            <v>8300</v>
          </cell>
          <cell r="D1175">
            <v>2</v>
          </cell>
          <cell r="E1175">
            <v>3</v>
          </cell>
          <cell r="F1175">
            <v>3</v>
          </cell>
          <cell r="G1175">
            <v>2000</v>
          </cell>
          <cell r="H1175">
            <v>2700</v>
          </cell>
          <cell r="I1175">
            <v>271</v>
          </cell>
          <cell r="K1175" t="str">
            <v>Gorra tipo beisbolera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 t="str">
            <v>Pieza</v>
          </cell>
          <cell r="T1175">
            <v>0</v>
          </cell>
          <cell r="V1175" t="str">
            <v>FC/FM</v>
          </cell>
        </row>
        <row r="1176">
          <cell r="A1176">
            <v>95</v>
          </cell>
          <cell r="B1176">
            <v>2017</v>
          </cell>
          <cell r="C1176">
            <v>8300</v>
          </cell>
          <cell r="D1176">
            <v>2</v>
          </cell>
          <cell r="E1176">
            <v>3</v>
          </cell>
          <cell r="F1176">
            <v>3</v>
          </cell>
          <cell r="G1176">
            <v>2000</v>
          </cell>
          <cell r="H1176">
            <v>2700</v>
          </cell>
          <cell r="I1176">
            <v>271</v>
          </cell>
          <cell r="K1176" t="str">
            <v>Guantes de gala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 t="str">
            <v>Par</v>
          </cell>
          <cell r="T1176">
            <v>0</v>
          </cell>
          <cell r="V1176" t="str">
            <v>FC/FM</v>
          </cell>
        </row>
        <row r="1177">
          <cell r="A1177">
            <v>96</v>
          </cell>
          <cell r="B1177">
            <v>2017</v>
          </cell>
          <cell r="C1177">
            <v>8300</v>
          </cell>
          <cell r="D1177">
            <v>2</v>
          </cell>
          <cell r="E1177">
            <v>3</v>
          </cell>
          <cell r="F1177">
            <v>3</v>
          </cell>
          <cell r="G1177">
            <v>2000</v>
          </cell>
          <cell r="H1177">
            <v>2700</v>
          </cell>
          <cell r="I1177">
            <v>271</v>
          </cell>
          <cell r="K1177" t="str">
            <v>Impermeable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 t="str">
            <v>Pieza</v>
          </cell>
          <cell r="T1177">
            <v>0</v>
          </cell>
          <cell r="V1177" t="str">
            <v>FC/FM</v>
          </cell>
        </row>
        <row r="1178">
          <cell r="A1178">
            <v>97</v>
          </cell>
          <cell r="B1178">
            <v>2017</v>
          </cell>
          <cell r="C1178">
            <v>8300</v>
          </cell>
          <cell r="D1178">
            <v>2</v>
          </cell>
          <cell r="E1178">
            <v>3</v>
          </cell>
          <cell r="F1178">
            <v>3</v>
          </cell>
          <cell r="G1178">
            <v>2000</v>
          </cell>
          <cell r="H1178">
            <v>2700</v>
          </cell>
          <cell r="I1178">
            <v>271</v>
          </cell>
          <cell r="K1178" t="str">
            <v>Insignias y divisas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 t="str">
            <v>Pieza</v>
          </cell>
          <cell r="T1178">
            <v>0</v>
          </cell>
          <cell r="V1178" t="str">
            <v>FC/FM</v>
          </cell>
        </row>
        <row r="1179">
          <cell r="A1179">
            <v>98</v>
          </cell>
          <cell r="B1179">
            <v>2017</v>
          </cell>
          <cell r="C1179">
            <v>8300</v>
          </cell>
          <cell r="D1179">
            <v>2</v>
          </cell>
          <cell r="E1179">
            <v>3</v>
          </cell>
          <cell r="F1179">
            <v>3</v>
          </cell>
          <cell r="G1179">
            <v>2000</v>
          </cell>
          <cell r="H1179">
            <v>2700</v>
          </cell>
          <cell r="I1179">
            <v>271</v>
          </cell>
          <cell r="K1179" t="str">
            <v>Kepí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 t="str">
            <v>Pieza</v>
          </cell>
          <cell r="T1179">
            <v>0</v>
          </cell>
          <cell r="V1179" t="str">
            <v>FC/FM</v>
          </cell>
        </row>
        <row r="1180">
          <cell r="A1180">
            <v>99</v>
          </cell>
          <cell r="B1180">
            <v>2017</v>
          </cell>
          <cell r="C1180">
            <v>8300</v>
          </cell>
          <cell r="D1180">
            <v>2</v>
          </cell>
          <cell r="E1180">
            <v>3</v>
          </cell>
          <cell r="F1180">
            <v>3</v>
          </cell>
          <cell r="G1180">
            <v>2000</v>
          </cell>
          <cell r="H1180">
            <v>2700</v>
          </cell>
          <cell r="I1180">
            <v>271</v>
          </cell>
          <cell r="K1180" t="str">
            <v>Overol táctico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 t="str">
            <v>Pieza</v>
          </cell>
          <cell r="T1180">
            <v>0</v>
          </cell>
          <cell r="V1180" t="str">
            <v>FC/FM</v>
          </cell>
        </row>
        <row r="1181">
          <cell r="A1181">
            <v>100</v>
          </cell>
          <cell r="B1181">
            <v>2017</v>
          </cell>
          <cell r="C1181">
            <v>8300</v>
          </cell>
          <cell r="D1181">
            <v>2</v>
          </cell>
          <cell r="E1181">
            <v>3</v>
          </cell>
          <cell r="F1181">
            <v>3</v>
          </cell>
          <cell r="G1181">
            <v>2000</v>
          </cell>
          <cell r="H1181">
            <v>2700</v>
          </cell>
          <cell r="I1181">
            <v>271</v>
          </cell>
          <cell r="K1181" t="str">
            <v>Pantalón (especificar)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 t="str">
            <v>Pieza</v>
          </cell>
          <cell r="T1181">
            <v>0</v>
          </cell>
          <cell r="V1181" t="str">
            <v>FC/FM</v>
          </cell>
        </row>
        <row r="1182">
          <cell r="A1182">
            <v>101</v>
          </cell>
          <cell r="B1182">
            <v>2017</v>
          </cell>
          <cell r="C1182">
            <v>8300</v>
          </cell>
          <cell r="D1182">
            <v>2</v>
          </cell>
          <cell r="E1182">
            <v>3</v>
          </cell>
          <cell r="F1182">
            <v>3</v>
          </cell>
          <cell r="G1182">
            <v>2000</v>
          </cell>
          <cell r="H1182">
            <v>2700</v>
          </cell>
          <cell r="I1182">
            <v>271</v>
          </cell>
          <cell r="K1182" t="str">
            <v>Pantalonera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 t="str">
            <v>Pieza</v>
          </cell>
          <cell r="T1182">
            <v>0</v>
          </cell>
          <cell r="V1182" t="str">
            <v>FC/FM</v>
          </cell>
        </row>
        <row r="1183">
          <cell r="A1183">
            <v>102</v>
          </cell>
          <cell r="B1183">
            <v>2017</v>
          </cell>
          <cell r="C1183">
            <v>8300</v>
          </cell>
          <cell r="D1183">
            <v>2</v>
          </cell>
          <cell r="E1183">
            <v>3</v>
          </cell>
          <cell r="F1183">
            <v>3</v>
          </cell>
          <cell r="G1183">
            <v>2000</v>
          </cell>
          <cell r="H1183">
            <v>2700</v>
          </cell>
          <cell r="I1183">
            <v>271</v>
          </cell>
          <cell r="K1183" t="str">
            <v>Pasa montañas táctico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 t="str">
            <v>Pieza</v>
          </cell>
          <cell r="T1183">
            <v>0</v>
          </cell>
          <cell r="V1183" t="str">
            <v>FC/FM</v>
          </cell>
        </row>
        <row r="1184">
          <cell r="A1184">
            <v>103</v>
          </cell>
          <cell r="B1184">
            <v>2017</v>
          </cell>
          <cell r="C1184">
            <v>8300</v>
          </cell>
          <cell r="D1184">
            <v>2</v>
          </cell>
          <cell r="E1184">
            <v>3</v>
          </cell>
          <cell r="F1184">
            <v>3</v>
          </cell>
          <cell r="G1184">
            <v>2000</v>
          </cell>
          <cell r="H1184">
            <v>2700</v>
          </cell>
          <cell r="I1184">
            <v>271</v>
          </cell>
          <cell r="K1184" t="str">
            <v>Pisa cuello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 t="str">
            <v>Pieza</v>
          </cell>
          <cell r="T1184">
            <v>0</v>
          </cell>
          <cell r="V1184" t="str">
            <v>FC/FM</v>
          </cell>
        </row>
        <row r="1185">
          <cell r="A1185">
            <v>104</v>
          </cell>
          <cell r="B1185">
            <v>2017</v>
          </cell>
          <cell r="C1185">
            <v>8300</v>
          </cell>
          <cell r="D1185">
            <v>2</v>
          </cell>
          <cell r="E1185">
            <v>3</v>
          </cell>
          <cell r="F1185">
            <v>3</v>
          </cell>
          <cell r="G1185">
            <v>2000</v>
          </cell>
          <cell r="H1185">
            <v>2700</v>
          </cell>
          <cell r="I1185">
            <v>271</v>
          </cell>
          <cell r="K1185" t="str">
            <v>Playera (especificar)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 t="str">
            <v>Pieza</v>
          </cell>
          <cell r="T1185">
            <v>0</v>
          </cell>
          <cell r="V1185" t="str">
            <v>FC/FM</v>
          </cell>
        </row>
        <row r="1186">
          <cell r="A1186">
            <v>105</v>
          </cell>
          <cell r="B1186">
            <v>2017</v>
          </cell>
          <cell r="C1186">
            <v>8300</v>
          </cell>
          <cell r="D1186">
            <v>2</v>
          </cell>
          <cell r="E1186">
            <v>3</v>
          </cell>
          <cell r="F1186">
            <v>3</v>
          </cell>
          <cell r="G1186">
            <v>2000</v>
          </cell>
          <cell r="H1186">
            <v>2700</v>
          </cell>
          <cell r="I1186">
            <v>271</v>
          </cell>
          <cell r="K1186" t="str">
            <v>Porta bastón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 t="str">
            <v>Pieza</v>
          </cell>
          <cell r="T1186">
            <v>0</v>
          </cell>
          <cell r="V1186" t="str">
            <v>FC/FM</v>
          </cell>
        </row>
        <row r="1187">
          <cell r="A1187">
            <v>106</v>
          </cell>
          <cell r="B1187">
            <v>2017</v>
          </cell>
          <cell r="C1187">
            <v>8300</v>
          </cell>
          <cell r="D1187">
            <v>2</v>
          </cell>
          <cell r="E1187">
            <v>3</v>
          </cell>
          <cell r="F1187">
            <v>3</v>
          </cell>
          <cell r="G1187">
            <v>2000</v>
          </cell>
          <cell r="H1187">
            <v>2700</v>
          </cell>
          <cell r="I1187">
            <v>271</v>
          </cell>
          <cell r="K1187" t="str">
            <v>Porta cargador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 t="str">
            <v>Pieza</v>
          </cell>
          <cell r="T1187">
            <v>0</v>
          </cell>
          <cell r="V1187" t="str">
            <v>FC/FM</v>
          </cell>
        </row>
        <row r="1188">
          <cell r="A1188">
            <v>107</v>
          </cell>
          <cell r="B1188">
            <v>2017</v>
          </cell>
          <cell r="C1188">
            <v>8300</v>
          </cell>
          <cell r="D1188">
            <v>2</v>
          </cell>
          <cell r="E1188">
            <v>3</v>
          </cell>
          <cell r="F1188">
            <v>3</v>
          </cell>
          <cell r="G1188">
            <v>2000</v>
          </cell>
          <cell r="H1188">
            <v>2700</v>
          </cell>
          <cell r="I1188">
            <v>271</v>
          </cell>
          <cell r="K1188" t="str">
            <v>Porta esposas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 t="str">
            <v>Pieza</v>
          </cell>
          <cell r="T1188">
            <v>0</v>
          </cell>
          <cell r="V1188" t="str">
            <v>FC/FM</v>
          </cell>
        </row>
        <row r="1189">
          <cell r="A1189">
            <v>108</v>
          </cell>
          <cell r="B1189">
            <v>2017</v>
          </cell>
          <cell r="C1189">
            <v>8300</v>
          </cell>
          <cell r="D1189">
            <v>2</v>
          </cell>
          <cell r="E1189">
            <v>3</v>
          </cell>
          <cell r="F1189">
            <v>3</v>
          </cell>
          <cell r="G1189">
            <v>2000</v>
          </cell>
          <cell r="H1189">
            <v>2700</v>
          </cell>
          <cell r="I1189">
            <v>271</v>
          </cell>
          <cell r="K1189" t="str">
            <v>Porta fusil táctico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 t="str">
            <v>Pieza</v>
          </cell>
          <cell r="T1189">
            <v>0</v>
          </cell>
          <cell r="V1189" t="str">
            <v>FC/FM</v>
          </cell>
        </row>
        <row r="1190">
          <cell r="A1190">
            <v>109</v>
          </cell>
          <cell r="B1190">
            <v>2017</v>
          </cell>
          <cell r="C1190">
            <v>8300</v>
          </cell>
          <cell r="D1190">
            <v>2</v>
          </cell>
          <cell r="E1190">
            <v>3</v>
          </cell>
          <cell r="F1190">
            <v>3</v>
          </cell>
          <cell r="G1190">
            <v>2000</v>
          </cell>
          <cell r="H1190">
            <v>2700</v>
          </cell>
          <cell r="I1190">
            <v>271</v>
          </cell>
          <cell r="K1190" t="str">
            <v>Porta lámpara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 t="str">
            <v>Pieza</v>
          </cell>
          <cell r="T1190">
            <v>0</v>
          </cell>
          <cell r="V1190" t="str">
            <v>FC/FM</v>
          </cell>
        </row>
        <row r="1191">
          <cell r="A1191">
            <v>110</v>
          </cell>
          <cell r="B1191">
            <v>2017</v>
          </cell>
          <cell r="C1191">
            <v>8300</v>
          </cell>
          <cell r="D1191">
            <v>2</v>
          </cell>
          <cell r="E1191">
            <v>3</v>
          </cell>
          <cell r="F1191">
            <v>3</v>
          </cell>
          <cell r="G1191">
            <v>2000</v>
          </cell>
          <cell r="H1191">
            <v>2700</v>
          </cell>
          <cell r="I1191">
            <v>271</v>
          </cell>
          <cell r="K1191" t="str">
            <v>Porta radio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 t="str">
            <v>Pieza</v>
          </cell>
          <cell r="T1191">
            <v>0</v>
          </cell>
          <cell r="V1191" t="str">
            <v>FC/FM</v>
          </cell>
        </row>
        <row r="1192">
          <cell r="A1192">
            <v>111</v>
          </cell>
          <cell r="B1192">
            <v>2017</v>
          </cell>
          <cell r="C1192">
            <v>8300</v>
          </cell>
          <cell r="D1192">
            <v>2</v>
          </cell>
          <cell r="E1192">
            <v>3</v>
          </cell>
          <cell r="F1192">
            <v>3</v>
          </cell>
          <cell r="G1192">
            <v>2000</v>
          </cell>
          <cell r="H1192">
            <v>2700</v>
          </cell>
          <cell r="I1192">
            <v>271</v>
          </cell>
          <cell r="K1192" t="str">
            <v>Porta silbato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 t="str">
            <v>Pieza</v>
          </cell>
          <cell r="T1192">
            <v>0</v>
          </cell>
          <cell r="V1192" t="str">
            <v>FC/FM</v>
          </cell>
        </row>
        <row r="1193">
          <cell r="A1193">
            <v>112</v>
          </cell>
          <cell r="B1193">
            <v>2017</v>
          </cell>
          <cell r="C1193">
            <v>8300</v>
          </cell>
          <cell r="D1193">
            <v>2</v>
          </cell>
          <cell r="E1193">
            <v>3</v>
          </cell>
          <cell r="F1193">
            <v>3</v>
          </cell>
          <cell r="G1193">
            <v>2000</v>
          </cell>
          <cell r="H1193">
            <v>2700</v>
          </cell>
          <cell r="I1193">
            <v>271</v>
          </cell>
          <cell r="K1193" t="str">
            <v>Rompevientos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 t="str">
            <v>Pieza</v>
          </cell>
          <cell r="T1193">
            <v>0</v>
          </cell>
          <cell r="V1193" t="str">
            <v>FC/FM</v>
          </cell>
        </row>
        <row r="1194">
          <cell r="A1194">
            <v>113</v>
          </cell>
          <cell r="B1194">
            <v>2017</v>
          </cell>
          <cell r="C1194">
            <v>8300</v>
          </cell>
          <cell r="D1194">
            <v>2</v>
          </cell>
          <cell r="E1194">
            <v>3</v>
          </cell>
          <cell r="F1194">
            <v>3</v>
          </cell>
          <cell r="G1194">
            <v>2000</v>
          </cell>
          <cell r="H1194">
            <v>2700</v>
          </cell>
          <cell r="I1194">
            <v>271</v>
          </cell>
          <cell r="K1194" t="str">
            <v>Saco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 t="str">
            <v>Pieza</v>
          </cell>
          <cell r="T1194">
            <v>0</v>
          </cell>
          <cell r="V1194" t="str">
            <v>FC/FM</v>
          </cell>
        </row>
        <row r="1195">
          <cell r="A1195">
            <v>114</v>
          </cell>
          <cell r="B1195">
            <v>2017</v>
          </cell>
          <cell r="C1195">
            <v>8300</v>
          </cell>
          <cell r="D1195">
            <v>2</v>
          </cell>
          <cell r="E1195">
            <v>3</v>
          </cell>
          <cell r="F1195">
            <v>3</v>
          </cell>
          <cell r="G1195">
            <v>2000</v>
          </cell>
          <cell r="H1195">
            <v>2700</v>
          </cell>
          <cell r="I1195">
            <v>271</v>
          </cell>
          <cell r="K1195" t="str">
            <v>Short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 t="str">
            <v>Pieza</v>
          </cell>
          <cell r="T1195">
            <v>0</v>
          </cell>
          <cell r="V1195" t="str">
            <v>FC/FM</v>
          </cell>
        </row>
        <row r="1196">
          <cell r="A1196">
            <v>115</v>
          </cell>
          <cell r="B1196">
            <v>2017</v>
          </cell>
          <cell r="C1196">
            <v>8300</v>
          </cell>
          <cell r="D1196">
            <v>2</v>
          </cell>
          <cell r="E1196">
            <v>3</v>
          </cell>
          <cell r="F1196">
            <v>3</v>
          </cell>
          <cell r="G1196">
            <v>2000</v>
          </cell>
          <cell r="H1196">
            <v>2700</v>
          </cell>
          <cell r="I1196">
            <v>271</v>
          </cell>
          <cell r="K1196" t="str">
            <v>Silbato policía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 t="str">
            <v>Pieza</v>
          </cell>
          <cell r="T1196">
            <v>0</v>
          </cell>
          <cell r="V1196" t="str">
            <v>FC/FM</v>
          </cell>
        </row>
        <row r="1197">
          <cell r="A1197">
            <v>116</v>
          </cell>
          <cell r="B1197">
            <v>2017</v>
          </cell>
          <cell r="C1197">
            <v>8300</v>
          </cell>
          <cell r="D1197">
            <v>2</v>
          </cell>
          <cell r="E1197">
            <v>3</v>
          </cell>
          <cell r="F1197">
            <v>3</v>
          </cell>
          <cell r="G1197">
            <v>2000</v>
          </cell>
          <cell r="H1197">
            <v>2700</v>
          </cell>
          <cell r="I1197">
            <v>271</v>
          </cell>
          <cell r="K1197" t="str">
            <v>Sudadera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 t="str">
            <v>Pieza</v>
          </cell>
          <cell r="T1197">
            <v>0</v>
          </cell>
          <cell r="V1197" t="str">
            <v>FC/FM</v>
          </cell>
        </row>
        <row r="1198">
          <cell r="A1198">
            <v>117</v>
          </cell>
          <cell r="B1198">
            <v>2017</v>
          </cell>
          <cell r="C1198">
            <v>8300</v>
          </cell>
          <cell r="D1198">
            <v>2</v>
          </cell>
          <cell r="E1198">
            <v>3</v>
          </cell>
          <cell r="F1198">
            <v>3</v>
          </cell>
          <cell r="G1198">
            <v>2000</v>
          </cell>
          <cell r="H1198">
            <v>2700</v>
          </cell>
          <cell r="I1198">
            <v>271</v>
          </cell>
          <cell r="K1198" t="str">
            <v>Tenis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 t="str">
            <v>Par</v>
          </cell>
          <cell r="T1198">
            <v>0</v>
          </cell>
          <cell r="V1198" t="str">
            <v>FC/FM</v>
          </cell>
        </row>
        <row r="1199">
          <cell r="A1199">
            <v>118</v>
          </cell>
          <cell r="B1199">
            <v>2017</v>
          </cell>
          <cell r="C1199">
            <v>8300</v>
          </cell>
          <cell r="D1199">
            <v>2</v>
          </cell>
          <cell r="E1199">
            <v>3</v>
          </cell>
          <cell r="F1199">
            <v>3</v>
          </cell>
          <cell r="G1199">
            <v>2000</v>
          </cell>
          <cell r="H1199">
            <v>2700</v>
          </cell>
          <cell r="I1199">
            <v>271</v>
          </cell>
          <cell r="K1199" t="str">
            <v>Tocado con bordado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 t="str">
            <v>Pieza</v>
          </cell>
          <cell r="T1199">
            <v>0</v>
          </cell>
          <cell r="V1199" t="str">
            <v>FC/FM</v>
          </cell>
        </row>
        <row r="1200">
          <cell r="A1200">
            <v>119</v>
          </cell>
          <cell r="B1200">
            <v>2017</v>
          </cell>
          <cell r="C1200">
            <v>8300</v>
          </cell>
          <cell r="D1200">
            <v>2</v>
          </cell>
          <cell r="E1200">
            <v>3</v>
          </cell>
          <cell r="F1200">
            <v>3</v>
          </cell>
          <cell r="G1200">
            <v>2000</v>
          </cell>
          <cell r="H1200">
            <v>2700</v>
          </cell>
          <cell r="I1200">
            <v>271</v>
          </cell>
          <cell r="K1200" t="str">
            <v>Traje de gala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 t="str">
            <v>Pieza</v>
          </cell>
          <cell r="T1200">
            <v>0</v>
          </cell>
          <cell r="V1200" t="str">
            <v>FC/FM</v>
          </cell>
        </row>
        <row r="1201">
          <cell r="A1201">
            <v>120</v>
          </cell>
          <cell r="B1201">
            <v>2017</v>
          </cell>
          <cell r="C1201">
            <v>8300</v>
          </cell>
          <cell r="D1201">
            <v>2</v>
          </cell>
          <cell r="E1201">
            <v>3</v>
          </cell>
          <cell r="F1201">
            <v>3</v>
          </cell>
          <cell r="G1201">
            <v>2000</v>
          </cell>
          <cell r="H1201">
            <v>2700</v>
          </cell>
          <cell r="I1201">
            <v>271</v>
          </cell>
          <cell r="K1201" t="str">
            <v>Traje táctico completo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 t="str">
            <v>Pieza</v>
          </cell>
          <cell r="T1201">
            <v>0</v>
          </cell>
          <cell r="V1201" t="str">
            <v>FC/FM</v>
          </cell>
        </row>
        <row r="1202">
          <cell r="A1202">
            <v>121</v>
          </cell>
          <cell r="B1202">
            <v>2017</v>
          </cell>
          <cell r="C1202">
            <v>8300</v>
          </cell>
          <cell r="D1202">
            <v>2</v>
          </cell>
          <cell r="E1202">
            <v>3</v>
          </cell>
          <cell r="F1202">
            <v>3</v>
          </cell>
          <cell r="G1202">
            <v>2000</v>
          </cell>
          <cell r="H1202">
            <v>2700</v>
          </cell>
          <cell r="I1202">
            <v>271</v>
          </cell>
          <cell r="K1202" t="str">
            <v>Zapato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 t="str">
            <v>Par</v>
          </cell>
          <cell r="T1202">
            <v>0</v>
          </cell>
          <cell r="V1202" t="str">
            <v>FC/FM</v>
          </cell>
        </row>
        <row r="1203">
          <cell r="A1203">
            <v>122</v>
          </cell>
          <cell r="B1203">
            <v>2017</v>
          </cell>
          <cell r="C1203">
            <v>8300</v>
          </cell>
          <cell r="D1203">
            <v>2</v>
          </cell>
          <cell r="E1203">
            <v>3</v>
          </cell>
          <cell r="F1203">
            <v>3</v>
          </cell>
          <cell r="G1203">
            <v>2000</v>
          </cell>
          <cell r="H1203">
            <v>2700</v>
          </cell>
          <cell r="I1203">
            <v>271</v>
          </cell>
          <cell r="J1203">
            <v>3</v>
          </cell>
          <cell r="K1203" t="str">
            <v>Vestuario y uniformes para Procuración de Justicia</v>
          </cell>
          <cell r="L1203">
            <v>4615000</v>
          </cell>
          <cell r="M1203">
            <v>0</v>
          </cell>
          <cell r="N1203">
            <v>4615000</v>
          </cell>
          <cell r="O1203">
            <v>0</v>
          </cell>
          <cell r="P1203">
            <v>0</v>
          </cell>
          <cell r="Q1203">
            <v>0</v>
          </cell>
          <cell r="R1203">
            <v>4615000</v>
          </cell>
          <cell r="S1203" t="str">
            <v>Pieza</v>
          </cell>
          <cell r="T1203">
            <v>0</v>
          </cell>
          <cell r="V1203" t="str">
            <v>FC</v>
          </cell>
        </row>
        <row r="1204">
          <cell r="A1204">
            <v>123</v>
          </cell>
          <cell r="B1204">
            <v>2017</v>
          </cell>
          <cell r="C1204">
            <v>8300</v>
          </cell>
          <cell r="D1204">
            <v>2</v>
          </cell>
          <cell r="E1204">
            <v>3</v>
          </cell>
          <cell r="F1204">
            <v>3</v>
          </cell>
          <cell r="G1204">
            <v>2000</v>
          </cell>
          <cell r="H1204">
            <v>2700</v>
          </cell>
          <cell r="I1204">
            <v>271</v>
          </cell>
          <cell r="K1204" t="str">
            <v>Bermuda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 t="str">
            <v>Pieza</v>
          </cell>
          <cell r="T1204">
            <v>0</v>
          </cell>
          <cell r="V1204" t="str">
            <v>FC</v>
          </cell>
        </row>
        <row r="1205">
          <cell r="A1205">
            <v>124</v>
          </cell>
          <cell r="B1205">
            <v>2017</v>
          </cell>
          <cell r="C1205">
            <v>8300</v>
          </cell>
          <cell r="D1205">
            <v>2</v>
          </cell>
          <cell r="E1205">
            <v>3</v>
          </cell>
          <cell r="F1205">
            <v>3</v>
          </cell>
          <cell r="G1205">
            <v>2000</v>
          </cell>
          <cell r="H1205">
            <v>2700</v>
          </cell>
          <cell r="I1205">
            <v>271</v>
          </cell>
          <cell r="K1205" t="str">
            <v>Boina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 t="str">
            <v>Pieza</v>
          </cell>
          <cell r="T1205">
            <v>0</v>
          </cell>
          <cell r="V1205" t="str">
            <v>FC</v>
          </cell>
        </row>
        <row r="1206">
          <cell r="A1206">
            <v>125</v>
          </cell>
          <cell r="B1206">
            <v>2017</v>
          </cell>
          <cell r="C1206">
            <v>8300</v>
          </cell>
          <cell r="D1206">
            <v>2</v>
          </cell>
          <cell r="E1206">
            <v>3</v>
          </cell>
          <cell r="F1206">
            <v>3</v>
          </cell>
          <cell r="G1206">
            <v>2000</v>
          </cell>
          <cell r="H1206">
            <v>2700</v>
          </cell>
          <cell r="I1206">
            <v>271</v>
          </cell>
          <cell r="K1206" t="str">
            <v>Botas</v>
          </cell>
          <cell r="L1206">
            <v>2275000</v>
          </cell>
          <cell r="M1206">
            <v>0</v>
          </cell>
          <cell r="N1206">
            <v>2275000</v>
          </cell>
          <cell r="P1206">
            <v>0</v>
          </cell>
          <cell r="Q1206">
            <v>0</v>
          </cell>
          <cell r="R1206">
            <v>2275000</v>
          </cell>
          <cell r="S1206" t="str">
            <v>Par</v>
          </cell>
          <cell r="T1206">
            <v>650</v>
          </cell>
          <cell r="V1206" t="str">
            <v>FC</v>
          </cell>
        </row>
        <row r="1207">
          <cell r="A1207">
            <v>126</v>
          </cell>
          <cell r="B1207">
            <v>2017</v>
          </cell>
          <cell r="C1207">
            <v>8300</v>
          </cell>
          <cell r="D1207">
            <v>2</v>
          </cell>
          <cell r="E1207">
            <v>3</v>
          </cell>
          <cell r="F1207">
            <v>3</v>
          </cell>
          <cell r="G1207">
            <v>2000</v>
          </cell>
          <cell r="H1207">
            <v>2700</v>
          </cell>
          <cell r="I1207">
            <v>271</v>
          </cell>
          <cell r="K1207" t="str">
            <v>Calcetón</v>
          </cell>
          <cell r="L1207">
            <v>0</v>
          </cell>
          <cell r="M1207">
            <v>0</v>
          </cell>
          <cell r="N1207">
            <v>0</v>
          </cell>
          <cell r="P1207">
            <v>0</v>
          </cell>
          <cell r="Q1207">
            <v>0</v>
          </cell>
          <cell r="R1207">
            <v>0</v>
          </cell>
          <cell r="S1207" t="str">
            <v>Pieza</v>
          </cell>
          <cell r="T1207">
            <v>0</v>
          </cell>
          <cell r="V1207" t="str">
            <v>FC</v>
          </cell>
        </row>
        <row r="1208">
          <cell r="A1208">
            <v>127</v>
          </cell>
          <cell r="B1208">
            <v>2017</v>
          </cell>
          <cell r="C1208">
            <v>8300</v>
          </cell>
          <cell r="D1208">
            <v>2</v>
          </cell>
          <cell r="E1208">
            <v>3</v>
          </cell>
          <cell r="F1208">
            <v>3</v>
          </cell>
          <cell r="G1208">
            <v>2000</v>
          </cell>
          <cell r="H1208">
            <v>2700</v>
          </cell>
          <cell r="I1208">
            <v>271</v>
          </cell>
          <cell r="K1208" t="str">
            <v>Camisa (especificar)</v>
          </cell>
          <cell r="L1208">
            <v>1003000</v>
          </cell>
          <cell r="M1208">
            <v>0</v>
          </cell>
          <cell r="N1208">
            <v>1003000</v>
          </cell>
          <cell r="P1208">
            <v>0</v>
          </cell>
          <cell r="Q1208">
            <v>0</v>
          </cell>
          <cell r="R1208">
            <v>1003000</v>
          </cell>
          <cell r="S1208" t="str">
            <v>Pieza</v>
          </cell>
          <cell r="T1208">
            <v>590</v>
          </cell>
          <cell r="V1208" t="str">
            <v>FC</v>
          </cell>
        </row>
        <row r="1209">
          <cell r="A1209">
            <v>128</v>
          </cell>
          <cell r="B1209">
            <v>2017</v>
          </cell>
          <cell r="C1209">
            <v>8300</v>
          </cell>
          <cell r="D1209">
            <v>2</v>
          </cell>
          <cell r="E1209">
            <v>3</v>
          </cell>
          <cell r="F1209">
            <v>3</v>
          </cell>
          <cell r="G1209">
            <v>2000</v>
          </cell>
          <cell r="H1209">
            <v>2700</v>
          </cell>
          <cell r="I1209">
            <v>271</v>
          </cell>
          <cell r="K1209" t="str">
            <v>Camisola (especificar)</v>
          </cell>
          <cell r="L1209">
            <v>102000</v>
          </cell>
          <cell r="M1209">
            <v>0</v>
          </cell>
          <cell r="N1209">
            <v>102000</v>
          </cell>
          <cell r="P1209">
            <v>0</v>
          </cell>
          <cell r="Q1209">
            <v>0</v>
          </cell>
          <cell r="R1209">
            <v>102000</v>
          </cell>
          <cell r="S1209" t="str">
            <v>Pieza</v>
          </cell>
          <cell r="T1209">
            <v>0</v>
          </cell>
          <cell r="V1209" t="str">
            <v>FC</v>
          </cell>
        </row>
        <row r="1210">
          <cell r="A1210">
            <v>129</v>
          </cell>
          <cell r="B1210">
            <v>2017</v>
          </cell>
          <cell r="C1210">
            <v>8300</v>
          </cell>
          <cell r="D1210">
            <v>2</v>
          </cell>
          <cell r="E1210">
            <v>3</v>
          </cell>
          <cell r="F1210">
            <v>3</v>
          </cell>
          <cell r="G1210">
            <v>2000</v>
          </cell>
          <cell r="H1210">
            <v>2700</v>
          </cell>
          <cell r="I1210">
            <v>271</v>
          </cell>
          <cell r="K1210" t="str">
            <v>Chaleco táctico</v>
          </cell>
          <cell r="M1210">
            <v>0</v>
          </cell>
          <cell r="N1210">
            <v>0</v>
          </cell>
          <cell r="P1210">
            <v>0</v>
          </cell>
          <cell r="Q1210">
            <v>0</v>
          </cell>
          <cell r="R1210">
            <v>0</v>
          </cell>
          <cell r="S1210" t="str">
            <v>Pieza</v>
          </cell>
          <cell r="T1210">
            <v>0</v>
          </cell>
          <cell r="V1210" t="str">
            <v>FC</v>
          </cell>
        </row>
        <row r="1211">
          <cell r="A1211">
            <v>130</v>
          </cell>
          <cell r="B1211">
            <v>2017</v>
          </cell>
          <cell r="C1211">
            <v>8300</v>
          </cell>
          <cell r="D1211">
            <v>2</v>
          </cell>
          <cell r="E1211">
            <v>3</v>
          </cell>
          <cell r="F1211">
            <v>3</v>
          </cell>
          <cell r="G1211">
            <v>2000</v>
          </cell>
          <cell r="H1211">
            <v>2700</v>
          </cell>
          <cell r="I1211">
            <v>271</v>
          </cell>
          <cell r="K1211" t="str">
            <v>Chamarra (especificar)</v>
          </cell>
          <cell r="M1211">
            <v>0</v>
          </cell>
          <cell r="N1211">
            <v>0</v>
          </cell>
          <cell r="P1211">
            <v>0</v>
          </cell>
          <cell r="Q1211">
            <v>0</v>
          </cell>
          <cell r="R1211">
            <v>0</v>
          </cell>
          <cell r="S1211" t="str">
            <v>Pieza</v>
          </cell>
          <cell r="T1211">
            <v>0</v>
          </cell>
          <cell r="V1211" t="str">
            <v>FC</v>
          </cell>
        </row>
        <row r="1212">
          <cell r="A1212">
            <v>131</v>
          </cell>
          <cell r="B1212">
            <v>2017</v>
          </cell>
          <cell r="C1212">
            <v>8300</v>
          </cell>
          <cell r="D1212">
            <v>2</v>
          </cell>
          <cell r="E1212">
            <v>3</v>
          </cell>
          <cell r="F1212">
            <v>3</v>
          </cell>
          <cell r="G1212">
            <v>2000</v>
          </cell>
          <cell r="H1212">
            <v>2700</v>
          </cell>
          <cell r="I1212">
            <v>271</v>
          </cell>
          <cell r="K1212" t="str">
            <v>Chanchomón (especificar)</v>
          </cell>
          <cell r="M1212">
            <v>0</v>
          </cell>
          <cell r="N1212">
            <v>0</v>
          </cell>
          <cell r="P1212">
            <v>0</v>
          </cell>
          <cell r="Q1212">
            <v>0</v>
          </cell>
          <cell r="R1212">
            <v>0</v>
          </cell>
          <cell r="S1212" t="str">
            <v>Pieza</v>
          </cell>
          <cell r="T1212">
            <v>0</v>
          </cell>
          <cell r="V1212" t="str">
            <v>FC</v>
          </cell>
        </row>
        <row r="1213">
          <cell r="A1213">
            <v>132</v>
          </cell>
          <cell r="B1213">
            <v>2017</v>
          </cell>
          <cell r="C1213">
            <v>8300</v>
          </cell>
          <cell r="D1213">
            <v>2</v>
          </cell>
          <cell r="E1213">
            <v>3</v>
          </cell>
          <cell r="F1213">
            <v>3</v>
          </cell>
          <cell r="G1213">
            <v>2000</v>
          </cell>
          <cell r="H1213">
            <v>2700</v>
          </cell>
          <cell r="I1213">
            <v>271</v>
          </cell>
          <cell r="K1213" t="str">
            <v>Cinturón táctico</v>
          </cell>
          <cell r="M1213">
            <v>0</v>
          </cell>
          <cell r="N1213">
            <v>0</v>
          </cell>
          <cell r="P1213">
            <v>0</v>
          </cell>
          <cell r="Q1213">
            <v>0</v>
          </cell>
          <cell r="R1213">
            <v>0</v>
          </cell>
          <cell r="S1213" t="str">
            <v>Pieza</v>
          </cell>
          <cell r="T1213">
            <v>0</v>
          </cell>
          <cell r="V1213" t="str">
            <v>FC</v>
          </cell>
        </row>
        <row r="1214">
          <cell r="A1214">
            <v>133</v>
          </cell>
          <cell r="B1214">
            <v>2017</v>
          </cell>
          <cell r="C1214">
            <v>8300</v>
          </cell>
          <cell r="D1214">
            <v>2</v>
          </cell>
          <cell r="E1214">
            <v>3</v>
          </cell>
          <cell r="F1214">
            <v>3</v>
          </cell>
          <cell r="G1214">
            <v>2000</v>
          </cell>
          <cell r="H1214">
            <v>2700</v>
          </cell>
          <cell r="I1214">
            <v>271</v>
          </cell>
          <cell r="K1214" t="str">
            <v>Corbata</v>
          </cell>
          <cell r="M1214">
            <v>0</v>
          </cell>
          <cell r="N1214">
            <v>0</v>
          </cell>
          <cell r="P1214">
            <v>0</v>
          </cell>
          <cell r="Q1214">
            <v>0</v>
          </cell>
          <cell r="R1214">
            <v>0</v>
          </cell>
          <cell r="S1214" t="str">
            <v>Pieza</v>
          </cell>
          <cell r="T1214">
            <v>0</v>
          </cell>
          <cell r="V1214" t="str">
            <v>FC</v>
          </cell>
        </row>
        <row r="1215">
          <cell r="A1215">
            <v>134</v>
          </cell>
          <cell r="B1215">
            <v>2017</v>
          </cell>
          <cell r="C1215">
            <v>8300</v>
          </cell>
          <cell r="D1215">
            <v>2</v>
          </cell>
          <cell r="E1215">
            <v>3</v>
          </cell>
          <cell r="F1215">
            <v>3</v>
          </cell>
          <cell r="G1215">
            <v>2000</v>
          </cell>
          <cell r="H1215">
            <v>2700</v>
          </cell>
          <cell r="I1215">
            <v>271</v>
          </cell>
          <cell r="K1215" t="str">
            <v>Falda</v>
          </cell>
          <cell r="M1215">
            <v>0</v>
          </cell>
          <cell r="N1215">
            <v>0</v>
          </cell>
          <cell r="P1215">
            <v>0</v>
          </cell>
          <cell r="Q1215">
            <v>0</v>
          </cell>
          <cell r="R1215">
            <v>0</v>
          </cell>
          <cell r="S1215" t="str">
            <v>Pieza</v>
          </cell>
          <cell r="T1215">
            <v>0</v>
          </cell>
          <cell r="V1215" t="str">
            <v>FC</v>
          </cell>
        </row>
        <row r="1216">
          <cell r="A1216">
            <v>135</v>
          </cell>
          <cell r="B1216">
            <v>2017</v>
          </cell>
          <cell r="C1216">
            <v>8300</v>
          </cell>
          <cell r="D1216">
            <v>2</v>
          </cell>
          <cell r="E1216">
            <v>3</v>
          </cell>
          <cell r="F1216">
            <v>3</v>
          </cell>
          <cell r="G1216">
            <v>2000</v>
          </cell>
          <cell r="H1216">
            <v>2700</v>
          </cell>
          <cell r="I1216">
            <v>271</v>
          </cell>
          <cell r="K1216" t="str">
            <v>Fornitura</v>
          </cell>
          <cell r="M1216">
            <v>0</v>
          </cell>
          <cell r="N1216">
            <v>0</v>
          </cell>
          <cell r="P1216">
            <v>0</v>
          </cell>
          <cell r="Q1216">
            <v>0</v>
          </cell>
          <cell r="R1216">
            <v>0</v>
          </cell>
          <cell r="S1216" t="str">
            <v>Pieza</v>
          </cell>
          <cell r="T1216">
            <v>0</v>
          </cell>
          <cell r="V1216" t="str">
            <v>FC</v>
          </cell>
        </row>
        <row r="1217">
          <cell r="A1217">
            <v>136</v>
          </cell>
          <cell r="B1217">
            <v>2017</v>
          </cell>
          <cell r="C1217">
            <v>8300</v>
          </cell>
          <cell r="D1217">
            <v>2</v>
          </cell>
          <cell r="E1217">
            <v>3</v>
          </cell>
          <cell r="F1217">
            <v>3</v>
          </cell>
          <cell r="G1217">
            <v>2000</v>
          </cell>
          <cell r="H1217">
            <v>2700</v>
          </cell>
          <cell r="I1217">
            <v>271</v>
          </cell>
          <cell r="K1217" t="str">
            <v>Funda lateral</v>
          </cell>
          <cell r="M1217">
            <v>0</v>
          </cell>
          <cell r="N1217">
            <v>0</v>
          </cell>
          <cell r="P1217">
            <v>0</v>
          </cell>
          <cell r="Q1217">
            <v>0</v>
          </cell>
          <cell r="R1217">
            <v>0</v>
          </cell>
          <cell r="S1217" t="str">
            <v>Pieza</v>
          </cell>
          <cell r="T1217">
            <v>0</v>
          </cell>
          <cell r="V1217" t="str">
            <v>FC</v>
          </cell>
        </row>
        <row r="1218">
          <cell r="A1218">
            <v>137</v>
          </cell>
          <cell r="B1218">
            <v>2017</v>
          </cell>
          <cell r="C1218">
            <v>8300</v>
          </cell>
          <cell r="D1218">
            <v>2</v>
          </cell>
          <cell r="E1218">
            <v>3</v>
          </cell>
          <cell r="F1218">
            <v>3</v>
          </cell>
          <cell r="G1218">
            <v>2000</v>
          </cell>
          <cell r="H1218">
            <v>2700</v>
          </cell>
          <cell r="I1218">
            <v>271</v>
          </cell>
          <cell r="K1218" t="str">
            <v>Gorra tipo beisbolera</v>
          </cell>
          <cell r="M1218">
            <v>0</v>
          </cell>
          <cell r="N1218">
            <v>0</v>
          </cell>
          <cell r="P1218">
            <v>0</v>
          </cell>
          <cell r="Q1218">
            <v>0</v>
          </cell>
          <cell r="R1218">
            <v>0</v>
          </cell>
          <cell r="S1218" t="str">
            <v>Pieza</v>
          </cell>
          <cell r="T1218">
            <v>0</v>
          </cell>
          <cell r="V1218" t="str">
            <v>FC</v>
          </cell>
        </row>
        <row r="1219">
          <cell r="A1219">
            <v>138</v>
          </cell>
          <cell r="B1219">
            <v>2017</v>
          </cell>
          <cell r="C1219">
            <v>8300</v>
          </cell>
          <cell r="D1219">
            <v>2</v>
          </cell>
          <cell r="E1219">
            <v>3</v>
          </cell>
          <cell r="F1219">
            <v>3</v>
          </cell>
          <cell r="G1219">
            <v>2000</v>
          </cell>
          <cell r="H1219">
            <v>2700</v>
          </cell>
          <cell r="I1219">
            <v>271</v>
          </cell>
          <cell r="K1219" t="str">
            <v>Guantes de gala</v>
          </cell>
          <cell r="M1219">
            <v>0</v>
          </cell>
          <cell r="N1219">
            <v>0</v>
          </cell>
          <cell r="P1219">
            <v>0</v>
          </cell>
          <cell r="Q1219">
            <v>0</v>
          </cell>
          <cell r="R1219">
            <v>0</v>
          </cell>
          <cell r="S1219" t="str">
            <v>Par</v>
          </cell>
          <cell r="T1219">
            <v>0</v>
          </cell>
          <cell r="V1219" t="str">
            <v>FC</v>
          </cell>
        </row>
        <row r="1220">
          <cell r="A1220">
            <v>139</v>
          </cell>
          <cell r="B1220">
            <v>2017</v>
          </cell>
          <cell r="C1220">
            <v>8300</v>
          </cell>
          <cell r="D1220">
            <v>2</v>
          </cell>
          <cell r="E1220">
            <v>3</v>
          </cell>
          <cell r="F1220">
            <v>3</v>
          </cell>
          <cell r="G1220">
            <v>2000</v>
          </cell>
          <cell r="H1220">
            <v>2700</v>
          </cell>
          <cell r="I1220">
            <v>271</v>
          </cell>
          <cell r="K1220" t="str">
            <v>Impermeable</v>
          </cell>
          <cell r="M1220">
            <v>0</v>
          </cell>
          <cell r="N1220">
            <v>0</v>
          </cell>
          <cell r="P1220">
            <v>0</v>
          </cell>
          <cell r="Q1220">
            <v>0</v>
          </cell>
          <cell r="R1220">
            <v>0</v>
          </cell>
          <cell r="S1220" t="str">
            <v>Pieza</v>
          </cell>
          <cell r="T1220">
            <v>0</v>
          </cell>
          <cell r="V1220" t="str">
            <v>FC</v>
          </cell>
        </row>
        <row r="1221">
          <cell r="A1221">
            <v>140</v>
          </cell>
          <cell r="B1221">
            <v>2017</v>
          </cell>
          <cell r="C1221">
            <v>8300</v>
          </cell>
          <cell r="D1221">
            <v>2</v>
          </cell>
          <cell r="E1221">
            <v>3</v>
          </cell>
          <cell r="F1221">
            <v>3</v>
          </cell>
          <cell r="G1221">
            <v>2000</v>
          </cell>
          <cell r="H1221">
            <v>2700</v>
          </cell>
          <cell r="I1221">
            <v>271</v>
          </cell>
          <cell r="K1221" t="str">
            <v>Insignias y divisas</v>
          </cell>
          <cell r="M1221">
            <v>0</v>
          </cell>
          <cell r="N1221">
            <v>0</v>
          </cell>
          <cell r="P1221">
            <v>0</v>
          </cell>
          <cell r="Q1221">
            <v>0</v>
          </cell>
          <cell r="R1221">
            <v>0</v>
          </cell>
          <cell r="S1221" t="str">
            <v>Pieza</v>
          </cell>
          <cell r="T1221">
            <v>0</v>
          </cell>
          <cell r="V1221" t="str">
            <v>FC</v>
          </cell>
        </row>
        <row r="1222">
          <cell r="A1222">
            <v>141</v>
          </cell>
          <cell r="B1222">
            <v>2017</v>
          </cell>
          <cell r="C1222">
            <v>8300</v>
          </cell>
          <cell r="D1222">
            <v>2</v>
          </cell>
          <cell r="E1222">
            <v>3</v>
          </cell>
          <cell r="F1222">
            <v>3</v>
          </cell>
          <cell r="G1222">
            <v>2000</v>
          </cell>
          <cell r="H1222">
            <v>2700</v>
          </cell>
          <cell r="I1222">
            <v>271</v>
          </cell>
          <cell r="K1222" t="str">
            <v>Kepí</v>
          </cell>
          <cell r="M1222">
            <v>0</v>
          </cell>
          <cell r="N1222">
            <v>0</v>
          </cell>
          <cell r="P1222">
            <v>0</v>
          </cell>
          <cell r="Q1222">
            <v>0</v>
          </cell>
          <cell r="R1222">
            <v>0</v>
          </cell>
          <cell r="S1222" t="str">
            <v>Pieza</v>
          </cell>
          <cell r="T1222">
            <v>0</v>
          </cell>
          <cell r="V1222" t="str">
            <v>FC</v>
          </cell>
        </row>
        <row r="1223">
          <cell r="A1223">
            <v>142</v>
          </cell>
          <cell r="B1223">
            <v>2017</v>
          </cell>
          <cell r="C1223">
            <v>8300</v>
          </cell>
          <cell r="D1223">
            <v>2</v>
          </cell>
          <cell r="E1223">
            <v>3</v>
          </cell>
          <cell r="F1223">
            <v>3</v>
          </cell>
          <cell r="G1223">
            <v>2000</v>
          </cell>
          <cell r="H1223">
            <v>2700</v>
          </cell>
          <cell r="I1223">
            <v>271</v>
          </cell>
          <cell r="K1223" t="str">
            <v>Overol táctico</v>
          </cell>
          <cell r="M1223">
            <v>0</v>
          </cell>
          <cell r="N1223">
            <v>0</v>
          </cell>
          <cell r="P1223">
            <v>0</v>
          </cell>
          <cell r="Q1223">
            <v>0</v>
          </cell>
          <cell r="R1223">
            <v>0</v>
          </cell>
          <cell r="S1223" t="str">
            <v>Pieza</v>
          </cell>
          <cell r="T1223">
            <v>0</v>
          </cell>
          <cell r="V1223" t="str">
            <v>FC</v>
          </cell>
        </row>
        <row r="1224">
          <cell r="A1224">
            <v>143</v>
          </cell>
          <cell r="B1224">
            <v>2017</v>
          </cell>
          <cell r="C1224">
            <v>8300</v>
          </cell>
          <cell r="D1224">
            <v>2</v>
          </cell>
          <cell r="E1224">
            <v>3</v>
          </cell>
          <cell r="F1224">
            <v>3</v>
          </cell>
          <cell r="G1224">
            <v>2000</v>
          </cell>
          <cell r="H1224">
            <v>2700</v>
          </cell>
          <cell r="I1224">
            <v>271</v>
          </cell>
          <cell r="K1224" t="str">
            <v>Pantalón (especificar)</v>
          </cell>
          <cell r="L1224">
            <v>1235000</v>
          </cell>
          <cell r="M1224">
            <v>0</v>
          </cell>
          <cell r="N1224">
            <v>1235000</v>
          </cell>
          <cell r="P1224">
            <v>0</v>
          </cell>
          <cell r="Q1224">
            <v>0</v>
          </cell>
          <cell r="R1224">
            <v>1235000</v>
          </cell>
          <cell r="S1224" t="str">
            <v>Pieza</v>
          </cell>
          <cell r="T1224">
            <v>650</v>
          </cell>
          <cell r="V1224" t="str">
            <v>FC</v>
          </cell>
        </row>
        <row r="1225">
          <cell r="A1225">
            <v>144</v>
          </cell>
          <cell r="B1225">
            <v>2017</v>
          </cell>
          <cell r="C1225">
            <v>8300</v>
          </cell>
          <cell r="D1225">
            <v>2</v>
          </cell>
          <cell r="E1225">
            <v>3</v>
          </cell>
          <cell r="F1225">
            <v>3</v>
          </cell>
          <cell r="G1225">
            <v>2000</v>
          </cell>
          <cell r="H1225">
            <v>2700</v>
          </cell>
          <cell r="I1225">
            <v>271</v>
          </cell>
          <cell r="K1225" t="str">
            <v>Pantalonera</v>
          </cell>
          <cell r="L1225">
            <v>0</v>
          </cell>
          <cell r="M1225">
            <v>0</v>
          </cell>
          <cell r="N1225">
            <v>0</v>
          </cell>
          <cell r="P1225">
            <v>0</v>
          </cell>
          <cell r="Q1225">
            <v>0</v>
          </cell>
          <cell r="R1225">
            <v>0</v>
          </cell>
          <cell r="S1225" t="str">
            <v>Pieza</v>
          </cell>
          <cell r="T1225">
            <v>0</v>
          </cell>
          <cell r="V1225" t="str">
            <v>FC</v>
          </cell>
        </row>
        <row r="1226">
          <cell r="A1226">
            <v>145</v>
          </cell>
          <cell r="B1226">
            <v>2017</v>
          </cell>
          <cell r="C1226">
            <v>8300</v>
          </cell>
          <cell r="D1226">
            <v>2</v>
          </cell>
          <cell r="E1226">
            <v>3</v>
          </cell>
          <cell r="F1226">
            <v>3</v>
          </cell>
          <cell r="G1226">
            <v>2000</v>
          </cell>
          <cell r="H1226">
            <v>2700</v>
          </cell>
          <cell r="I1226">
            <v>271</v>
          </cell>
          <cell r="K1226" t="str">
            <v>Pasa montañas táctico</v>
          </cell>
          <cell r="L1226">
            <v>0</v>
          </cell>
          <cell r="M1226">
            <v>0</v>
          </cell>
          <cell r="N1226">
            <v>0</v>
          </cell>
          <cell r="P1226">
            <v>0</v>
          </cell>
          <cell r="Q1226">
            <v>0</v>
          </cell>
          <cell r="R1226">
            <v>0</v>
          </cell>
          <cell r="S1226" t="str">
            <v>Pieza</v>
          </cell>
          <cell r="T1226">
            <v>0</v>
          </cell>
          <cell r="V1226" t="str">
            <v>FC</v>
          </cell>
        </row>
        <row r="1227">
          <cell r="A1227">
            <v>146</v>
          </cell>
          <cell r="B1227">
            <v>2017</v>
          </cell>
          <cell r="C1227">
            <v>8300</v>
          </cell>
          <cell r="D1227">
            <v>2</v>
          </cell>
          <cell r="E1227">
            <v>3</v>
          </cell>
          <cell r="F1227">
            <v>3</v>
          </cell>
          <cell r="G1227">
            <v>2000</v>
          </cell>
          <cell r="H1227">
            <v>2700</v>
          </cell>
          <cell r="I1227">
            <v>271</v>
          </cell>
          <cell r="K1227" t="str">
            <v>Pisa cuello</v>
          </cell>
          <cell r="L1227">
            <v>0</v>
          </cell>
          <cell r="M1227">
            <v>0</v>
          </cell>
          <cell r="N1227">
            <v>0</v>
          </cell>
          <cell r="P1227">
            <v>0</v>
          </cell>
          <cell r="Q1227">
            <v>0</v>
          </cell>
          <cell r="R1227">
            <v>0</v>
          </cell>
          <cell r="S1227" t="str">
            <v>Pieza</v>
          </cell>
          <cell r="T1227">
            <v>0</v>
          </cell>
          <cell r="V1227" t="str">
            <v>FC</v>
          </cell>
        </row>
        <row r="1228">
          <cell r="A1228">
            <v>147</v>
          </cell>
          <cell r="B1228">
            <v>2017</v>
          </cell>
          <cell r="C1228">
            <v>8300</v>
          </cell>
          <cell r="D1228">
            <v>2</v>
          </cell>
          <cell r="E1228">
            <v>3</v>
          </cell>
          <cell r="F1228">
            <v>3</v>
          </cell>
          <cell r="G1228">
            <v>2000</v>
          </cell>
          <cell r="H1228">
            <v>2700</v>
          </cell>
          <cell r="I1228">
            <v>271</v>
          </cell>
          <cell r="K1228" t="str">
            <v>Playera (especificar)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 t="str">
            <v>Pieza</v>
          </cell>
          <cell r="T1228">
            <v>0</v>
          </cell>
          <cell r="V1228" t="str">
            <v>FC</v>
          </cell>
        </row>
        <row r="1229">
          <cell r="A1229">
            <v>148</v>
          </cell>
          <cell r="B1229">
            <v>2017</v>
          </cell>
          <cell r="C1229">
            <v>8300</v>
          </cell>
          <cell r="D1229">
            <v>2</v>
          </cell>
          <cell r="E1229">
            <v>3</v>
          </cell>
          <cell r="F1229">
            <v>3</v>
          </cell>
          <cell r="G1229">
            <v>2000</v>
          </cell>
          <cell r="H1229">
            <v>2700</v>
          </cell>
          <cell r="I1229">
            <v>271</v>
          </cell>
          <cell r="K1229" t="str">
            <v>Porta bastón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 t="str">
            <v>Pieza</v>
          </cell>
          <cell r="T1229">
            <v>0</v>
          </cell>
          <cell r="V1229" t="str">
            <v>FC</v>
          </cell>
        </row>
        <row r="1230">
          <cell r="A1230">
            <v>149</v>
          </cell>
          <cell r="B1230">
            <v>2017</v>
          </cell>
          <cell r="C1230">
            <v>8300</v>
          </cell>
          <cell r="D1230">
            <v>2</v>
          </cell>
          <cell r="E1230">
            <v>3</v>
          </cell>
          <cell r="F1230">
            <v>3</v>
          </cell>
          <cell r="G1230">
            <v>2000</v>
          </cell>
          <cell r="H1230">
            <v>2700</v>
          </cell>
          <cell r="I1230">
            <v>271</v>
          </cell>
          <cell r="K1230" t="str">
            <v>Porta cargador</v>
          </cell>
          <cell r="L1230">
            <v>0</v>
          </cell>
          <cell r="M1230">
            <v>0</v>
          </cell>
          <cell r="N1230">
            <v>0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 t="str">
            <v>Pieza</v>
          </cell>
          <cell r="T1230">
            <v>0</v>
          </cell>
          <cell r="V1230" t="str">
            <v>FC</v>
          </cell>
        </row>
        <row r="1231">
          <cell r="A1231">
            <v>150</v>
          </cell>
          <cell r="B1231">
            <v>2017</v>
          </cell>
          <cell r="C1231">
            <v>8300</v>
          </cell>
          <cell r="D1231">
            <v>2</v>
          </cell>
          <cell r="E1231">
            <v>3</v>
          </cell>
          <cell r="F1231">
            <v>3</v>
          </cell>
          <cell r="G1231">
            <v>2000</v>
          </cell>
          <cell r="H1231">
            <v>2700</v>
          </cell>
          <cell r="I1231">
            <v>271</v>
          </cell>
          <cell r="K1231" t="str">
            <v>Porta esposas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 t="str">
            <v>Pieza</v>
          </cell>
          <cell r="T1231">
            <v>0</v>
          </cell>
          <cell r="V1231" t="str">
            <v>FC</v>
          </cell>
        </row>
        <row r="1232">
          <cell r="A1232">
            <v>151</v>
          </cell>
          <cell r="B1232">
            <v>2017</v>
          </cell>
          <cell r="C1232">
            <v>8300</v>
          </cell>
          <cell r="D1232">
            <v>2</v>
          </cell>
          <cell r="E1232">
            <v>3</v>
          </cell>
          <cell r="F1232">
            <v>3</v>
          </cell>
          <cell r="G1232">
            <v>2000</v>
          </cell>
          <cell r="H1232">
            <v>2700</v>
          </cell>
          <cell r="I1232">
            <v>271</v>
          </cell>
          <cell r="K1232" t="str">
            <v>Porta fusil táctico</v>
          </cell>
          <cell r="L1232">
            <v>0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 t="str">
            <v>Pieza</v>
          </cell>
          <cell r="T1232">
            <v>0</v>
          </cell>
          <cell r="V1232" t="str">
            <v>FC</v>
          </cell>
        </row>
        <row r="1233">
          <cell r="A1233">
            <v>152</v>
          </cell>
          <cell r="B1233">
            <v>2017</v>
          </cell>
          <cell r="C1233">
            <v>8300</v>
          </cell>
          <cell r="D1233">
            <v>2</v>
          </cell>
          <cell r="E1233">
            <v>3</v>
          </cell>
          <cell r="F1233">
            <v>3</v>
          </cell>
          <cell r="G1233">
            <v>2000</v>
          </cell>
          <cell r="H1233">
            <v>2700</v>
          </cell>
          <cell r="I1233">
            <v>271</v>
          </cell>
          <cell r="K1233" t="str">
            <v>Porta lámpara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 t="str">
            <v>Pieza</v>
          </cell>
          <cell r="T1233">
            <v>0</v>
          </cell>
          <cell r="V1233" t="str">
            <v>FC</v>
          </cell>
        </row>
        <row r="1234">
          <cell r="A1234">
            <v>153</v>
          </cell>
          <cell r="B1234">
            <v>2017</v>
          </cell>
          <cell r="C1234">
            <v>8300</v>
          </cell>
          <cell r="D1234">
            <v>2</v>
          </cell>
          <cell r="E1234">
            <v>3</v>
          </cell>
          <cell r="F1234">
            <v>3</v>
          </cell>
          <cell r="G1234">
            <v>2000</v>
          </cell>
          <cell r="H1234">
            <v>2700</v>
          </cell>
          <cell r="I1234">
            <v>271</v>
          </cell>
          <cell r="K1234" t="str">
            <v>Porta radio</v>
          </cell>
          <cell r="L1234">
            <v>0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 t="str">
            <v>Pieza</v>
          </cell>
          <cell r="T1234">
            <v>0</v>
          </cell>
          <cell r="V1234" t="str">
            <v>FC</v>
          </cell>
        </row>
        <row r="1235">
          <cell r="A1235">
            <v>154</v>
          </cell>
          <cell r="B1235">
            <v>2017</v>
          </cell>
          <cell r="C1235">
            <v>8300</v>
          </cell>
          <cell r="D1235">
            <v>2</v>
          </cell>
          <cell r="E1235">
            <v>3</v>
          </cell>
          <cell r="F1235">
            <v>3</v>
          </cell>
          <cell r="G1235">
            <v>2000</v>
          </cell>
          <cell r="H1235">
            <v>2700</v>
          </cell>
          <cell r="I1235">
            <v>271</v>
          </cell>
          <cell r="K1235" t="str">
            <v>Porta silbato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 t="str">
            <v>Pieza</v>
          </cell>
          <cell r="T1235">
            <v>0</v>
          </cell>
          <cell r="V1235" t="str">
            <v>FC</v>
          </cell>
        </row>
        <row r="1236">
          <cell r="A1236">
            <v>155</v>
          </cell>
          <cell r="B1236">
            <v>2017</v>
          </cell>
          <cell r="C1236">
            <v>8300</v>
          </cell>
          <cell r="D1236">
            <v>2</v>
          </cell>
          <cell r="E1236">
            <v>3</v>
          </cell>
          <cell r="F1236">
            <v>3</v>
          </cell>
          <cell r="G1236">
            <v>2000</v>
          </cell>
          <cell r="H1236">
            <v>2700</v>
          </cell>
          <cell r="I1236">
            <v>271</v>
          </cell>
          <cell r="K1236" t="str">
            <v>Rompevientos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 t="str">
            <v>Pieza</v>
          </cell>
          <cell r="T1236">
            <v>0</v>
          </cell>
          <cell r="V1236" t="str">
            <v>FC</v>
          </cell>
        </row>
        <row r="1237">
          <cell r="A1237">
            <v>156</v>
          </cell>
          <cell r="B1237">
            <v>2017</v>
          </cell>
          <cell r="C1237">
            <v>8300</v>
          </cell>
          <cell r="D1237">
            <v>2</v>
          </cell>
          <cell r="E1237">
            <v>3</v>
          </cell>
          <cell r="F1237">
            <v>3</v>
          </cell>
          <cell r="G1237">
            <v>2000</v>
          </cell>
          <cell r="H1237">
            <v>2700</v>
          </cell>
          <cell r="I1237">
            <v>271</v>
          </cell>
          <cell r="K1237" t="str">
            <v>Saco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 t="str">
            <v>Pieza</v>
          </cell>
          <cell r="T1237">
            <v>0</v>
          </cell>
          <cell r="V1237" t="str">
            <v>FC</v>
          </cell>
        </row>
        <row r="1238">
          <cell r="A1238">
            <v>157</v>
          </cell>
          <cell r="B1238">
            <v>2017</v>
          </cell>
          <cell r="C1238">
            <v>8300</v>
          </cell>
          <cell r="D1238">
            <v>2</v>
          </cell>
          <cell r="E1238">
            <v>3</v>
          </cell>
          <cell r="F1238">
            <v>3</v>
          </cell>
          <cell r="G1238">
            <v>2000</v>
          </cell>
          <cell r="H1238">
            <v>2700</v>
          </cell>
          <cell r="I1238">
            <v>271</v>
          </cell>
          <cell r="K1238" t="str">
            <v>Short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 t="str">
            <v>Pieza</v>
          </cell>
          <cell r="T1238">
            <v>0</v>
          </cell>
          <cell r="V1238" t="str">
            <v>FC</v>
          </cell>
        </row>
        <row r="1239">
          <cell r="A1239">
            <v>158</v>
          </cell>
          <cell r="B1239">
            <v>2017</v>
          </cell>
          <cell r="C1239">
            <v>8300</v>
          </cell>
          <cell r="D1239">
            <v>2</v>
          </cell>
          <cell r="E1239">
            <v>3</v>
          </cell>
          <cell r="F1239">
            <v>3</v>
          </cell>
          <cell r="G1239">
            <v>2000</v>
          </cell>
          <cell r="H1239">
            <v>2700</v>
          </cell>
          <cell r="I1239">
            <v>271</v>
          </cell>
          <cell r="K1239" t="str">
            <v>Sudadera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 t="str">
            <v>Pieza</v>
          </cell>
          <cell r="T1239">
            <v>0</v>
          </cell>
          <cell r="V1239" t="str">
            <v>FC</v>
          </cell>
        </row>
        <row r="1240">
          <cell r="A1240">
            <v>159</v>
          </cell>
          <cell r="B1240">
            <v>2017</v>
          </cell>
          <cell r="C1240">
            <v>8300</v>
          </cell>
          <cell r="D1240">
            <v>2</v>
          </cell>
          <cell r="E1240">
            <v>3</v>
          </cell>
          <cell r="F1240">
            <v>3</v>
          </cell>
          <cell r="G1240">
            <v>2000</v>
          </cell>
          <cell r="H1240">
            <v>2700</v>
          </cell>
          <cell r="I1240">
            <v>271</v>
          </cell>
          <cell r="K1240" t="str">
            <v>Tenis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 t="str">
            <v>Par</v>
          </cell>
          <cell r="T1240">
            <v>0</v>
          </cell>
          <cell r="V1240" t="str">
            <v>FC</v>
          </cell>
        </row>
        <row r="1241">
          <cell r="A1241">
            <v>160</v>
          </cell>
          <cell r="B1241">
            <v>2017</v>
          </cell>
          <cell r="C1241">
            <v>8300</v>
          </cell>
          <cell r="D1241">
            <v>2</v>
          </cell>
          <cell r="E1241">
            <v>3</v>
          </cell>
          <cell r="F1241">
            <v>3</v>
          </cell>
          <cell r="G1241">
            <v>2000</v>
          </cell>
          <cell r="H1241">
            <v>2700</v>
          </cell>
          <cell r="I1241">
            <v>271</v>
          </cell>
          <cell r="K1241" t="str">
            <v>Tocado con bordado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 t="str">
            <v>Pieza</v>
          </cell>
          <cell r="T1241">
            <v>0</v>
          </cell>
          <cell r="V1241" t="str">
            <v>FC</v>
          </cell>
        </row>
        <row r="1242">
          <cell r="A1242">
            <v>161</v>
          </cell>
          <cell r="B1242">
            <v>2017</v>
          </cell>
          <cell r="C1242">
            <v>8300</v>
          </cell>
          <cell r="D1242">
            <v>2</v>
          </cell>
          <cell r="E1242">
            <v>3</v>
          </cell>
          <cell r="F1242">
            <v>3</v>
          </cell>
          <cell r="G1242">
            <v>2000</v>
          </cell>
          <cell r="H1242">
            <v>2700</v>
          </cell>
          <cell r="I1242">
            <v>271</v>
          </cell>
          <cell r="K1242" t="str">
            <v>Traje de gala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 t="str">
            <v>Pieza</v>
          </cell>
          <cell r="T1242">
            <v>0</v>
          </cell>
          <cell r="V1242" t="str">
            <v>FC</v>
          </cell>
        </row>
        <row r="1243">
          <cell r="A1243">
            <v>162</v>
          </cell>
          <cell r="B1243">
            <v>2017</v>
          </cell>
          <cell r="C1243">
            <v>8300</v>
          </cell>
          <cell r="D1243">
            <v>2</v>
          </cell>
          <cell r="E1243">
            <v>3</v>
          </cell>
          <cell r="F1243">
            <v>3</v>
          </cell>
          <cell r="G1243">
            <v>2000</v>
          </cell>
          <cell r="H1243">
            <v>2700</v>
          </cell>
          <cell r="I1243">
            <v>271</v>
          </cell>
          <cell r="K1243" t="str">
            <v>Traje táctico completo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 t="str">
            <v>Pieza</v>
          </cell>
          <cell r="T1243">
            <v>0</v>
          </cell>
          <cell r="V1243" t="str">
            <v>FC</v>
          </cell>
        </row>
        <row r="1244">
          <cell r="A1244">
            <v>163</v>
          </cell>
          <cell r="B1244">
            <v>2017</v>
          </cell>
          <cell r="C1244">
            <v>8300</v>
          </cell>
          <cell r="D1244">
            <v>2</v>
          </cell>
          <cell r="E1244">
            <v>3</v>
          </cell>
          <cell r="F1244">
            <v>3</v>
          </cell>
          <cell r="G1244">
            <v>2000</v>
          </cell>
          <cell r="H1244">
            <v>2700</v>
          </cell>
          <cell r="I1244">
            <v>271</v>
          </cell>
          <cell r="K1244" t="str">
            <v>Zapato tipo choclo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 t="str">
            <v>Par</v>
          </cell>
          <cell r="T1244">
            <v>0</v>
          </cell>
          <cell r="V1244" t="str">
            <v>FC</v>
          </cell>
        </row>
        <row r="1245">
          <cell r="A1245">
            <v>164</v>
          </cell>
          <cell r="B1245">
            <v>2017</v>
          </cell>
          <cell r="C1245">
            <v>8300</v>
          </cell>
          <cell r="D1245">
            <v>2</v>
          </cell>
          <cell r="E1245">
            <v>3</v>
          </cell>
          <cell r="F1245">
            <v>3</v>
          </cell>
          <cell r="G1245">
            <v>2000</v>
          </cell>
          <cell r="H1245">
            <v>2700</v>
          </cell>
          <cell r="I1245">
            <v>275</v>
          </cell>
          <cell r="K1245" t="str">
            <v>Blancos y otros productos textiles, excepto prendas de vestir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T1245">
            <v>0</v>
          </cell>
        </row>
        <row r="1246">
          <cell r="A1246">
            <v>165</v>
          </cell>
          <cell r="B1246">
            <v>2017</v>
          </cell>
          <cell r="C1246">
            <v>8300</v>
          </cell>
          <cell r="D1246">
            <v>2</v>
          </cell>
          <cell r="E1246">
            <v>3</v>
          </cell>
          <cell r="F1246">
            <v>3</v>
          </cell>
          <cell r="G1246">
            <v>2000</v>
          </cell>
          <cell r="H1246">
            <v>2700</v>
          </cell>
          <cell r="I1246">
            <v>275</v>
          </cell>
          <cell r="J1246">
            <v>1</v>
          </cell>
          <cell r="K1246" t="str">
            <v xml:space="preserve">Blancos 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 t="str">
            <v>Pieza</v>
          </cell>
          <cell r="T1246">
            <v>0</v>
          </cell>
          <cell r="V1246" t="str">
            <v>FC</v>
          </cell>
        </row>
        <row r="1247">
          <cell r="A1247">
            <v>166</v>
          </cell>
          <cell r="B1247">
            <v>2017</v>
          </cell>
          <cell r="C1247">
            <v>8300</v>
          </cell>
          <cell r="D1247">
            <v>2</v>
          </cell>
          <cell r="E1247">
            <v>3</v>
          </cell>
          <cell r="F1247">
            <v>3</v>
          </cell>
          <cell r="G1247">
            <v>2000</v>
          </cell>
          <cell r="H1247">
            <v>2700</v>
          </cell>
          <cell r="I1247">
            <v>275</v>
          </cell>
          <cell r="J1247">
            <v>2</v>
          </cell>
          <cell r="K1247" t="str">
            <v>Colchones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 t="str">
            <v>Pieza</v>
          </cell>
          <cell r="T1247">
            <v>0</v>
          </cell>
          <cell r="V1247" t="str">
            <v>FC</v>
          </cell>
        </row>
        <row r="1248">
          <cell r="A1248">
            <v>167</v>
          </cell>
          <cell r="B1248">
            <v>2017</v>
          </cell>
          <cell r="C1248">
            <v>8300</v>
          </cell>
          <cell r="D1248">
            <v>2</v>
          </cell>
          <cell r="E1248">
            <v>3</v>
          </cell>
          <cell r="F1248">
            <v>3</v>
          </cell>
          <cell r="G1248">
            <v>2000</v>
          </cell>
          <cell r="H1248">
            <v>2800</v>
          </cell>
          <cell r="K1248" t="str">
            <v>Materiales y Suministros para Seguridad</v>
          </cell>
          <cell r="L1248">
            <v>1950000</v>
          </cell>
          <cell r="M1248">
            <v>0</v>
          </cell>
          <cell r="N1248">
            <v>1950000</v>
          </cell>
          <cell r="O1248">
            <v>0</v>
          </cell>
          <cell r="P1248">
            <v>0</v>
          </cell>
          <cell r="Q1248">
            <v>0</v>
          </cell>
          <cell r="R1248">
            <v>1950000</v>
          </cell>
          <cell r="T1248">
            <v>0</v>
          </cell>
        </row>
        <row r="1249">
          <cell r="A1249">
            <v>168</v>
          </cell>
          <cell r="B1249">
            <v>2017</v>
          </cell>
          <cell r="C1249">
            <v>8300</v>
          </cell>
          <cell r="D1249">
            <v>2</v>
          </cell>
          <cell r="E1249">
            <v>3</v>
          </cell>
          <cell r="F1249">
            <v>3</v>
          </cell>
          <cell r="G1249">
            <v>2000</v>
          </cell>
          <cell r="H1249">
            <v>2800</v>
          </cell>
          <cell r="I1249">
            <v>282</v>
          </cell>
          <cell r="K1249" t="str">
            <v xml:space="preserve">Materiales de seguridad </v>
          </cell>
          <cell r="L1249">
            <v>1950000</v>
          </cell>
          <cell r="M1249">
            <v>0</v>
          </cell>
          <cell r="N1249">
            <v>1950000</v>
          </cell>
          <cell r="O1249">
            <v>0</v>
          </cell>
          <cell r="P1249">
            <v>0</v>
          </cell>
          <cell r="Q1249">
            <v>0</v>
          </cell>
          <cell r="R1249">
            <v>1950000</v>
          </cell>
          <cell r="S1249" t="str">
            <v xml:space="preserve"> </v>
          </cell>
          <cell r="T1249">
            <v>0</v>
          </cell>
          <cell r="V1249" t="str">
            <v xml:space="preserve"> </v>
          </cell>
        </row>
        <row r="1250">
          <cell r="A1250">
            <v>169</v>
          </cell>
          <cell r="B1250">
            <v>2017</v>
          </cell>
          <cell r="C1250">
            <v>8300</v>
          </cell>
          <cell r="D1250">
            <v>2</v>
          </cell>
          <cell r="E1250">
            <v>3</v>
          </cell>
          <cell r="F1250">
            <v>3</v>
          </cell>
          <cell r="G1250">
            <v>2000</v>
          </cell>
          <cell r="H1250">
            <v>2800</v>
          </cell>
          <cell r="I1250">
            <v>282</v>
          </cell>
          <cell r="J1250">
            <v>1</v>
          </cell>
          <cell r="K1250" t="str">
            <v>Materiales de seguridad para Secretaría de Seguridad Pública Estatal</v>
          </cell>
          <cell r="L1250">
            <v>0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 t="str">
            <v>Pieza</v>
          </cell>
          <cell r="V1250" t="str">
            <v>FC</v>
          </cell>
        </row>
        <row r="1251">
          <cell r="A1251">
            <v>170</v>
          </cell>
          <cell r="B1251">
            <v>2017</v>
          </cell>
          <cell r="C1251">
            <v>8300</v>
          </cell>
          <cell r="D1251">
            <v>2</v>
          </cell>
          <cell r="E1251">
            <v>3</v>
          </cell>
          <cell r="F1251">
            <v>3</v>
          </cell>
          <cell r="G1251">
            <v>2000</v>
          </cell>
          <cell r="H1251">
            <v>2800</v>
          </cell>
          <cell r="I1251">
            <v>282</v>
          </cell>
          <cell r="K1251" t="str">
            <v>Cargador de arma corta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 t="str">
            <v>Pieza</v>
          </cell>
          <cell r="T1251">
            <v>0</v>
          </cell>
          <cell r="V1251" t="str">
            <v>FC</v>
          </cell>
        </row>
        <row r="1252">
          <cell r="A1252">
            <v>171</v>
          </cell>
          <cell r="B1252">
            <v>2017</v>
          </cell>
          <cell r="C1252">
            <v>8300</v>
          </cell>
          <cell r="D1252">
            <v>2</v>
          </cell>
          <cell r="E1252">
            <v>3</v>
          </cell>
          <cell r="F1252">
            <v>3</v>
          </cell>
          <cell r="G1252">
            <v>2000</v>
          </cell>
          <cell r="H1252">
            <v>2800</v>
          </cell>
          <cell r="I1252">
            <v>282</v>
          </cell>
          <cell r="K1252" t="str">
            <v>Cargador de arma larga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 t="str">
            <v>Pieza</v>
          </cell>
          <cell r="T1252">
            <v>0</v>
          </cell>
          <cell r="V1252" t="str">
            <v>FC</v>
          </cell>
        </row>
        <row r="1253">
          <cell r="A1253">
            <v>172</v>
          </cell>
          <cell r="B1253">
            <v>2017</v>
          </cell>
          <cell r="C1253">
            <v>8300</v>
          </cell>
          <cell r="D1253">
            <v>2</v>
          </cell>
          <cell r="E1253">
            <v>3</v>
          </cell>
          <cell r="F1253">
            <v>3</v>
          </cell>
          <cell r="G1253">
            <v>2000</v>
          </cell>
          <cell r="H1253">
            <v>2800</v>
          </cell>
          <cell r="I1253">
            <v>282</v>
          </cell>
          <cell r="K1253" t="str">
            <v>Gas lacrimógeno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 t="str">
            <v>Pieza</v>
          </cell>
          <cell r="T1253">
            <v>0</v>
          </cell>
          <cell r="V1253" t="str">
            <v>FC</v>
          </cell>
        </row>
        <row r="1254">
          <cell r="A1254">
            <v>173</v>
          </cell>
          <cell r="B1254">
            <v>2017</v>
          </cell>
          <cell r="C1254">
            <v>8300</v>
          </cell>
          <cell r="D1254">
            <v>2</v>
          </cell>
          <cell r="E1254">
            <v>3</v>
          </cell>
          <cell r="F1254">
            <v>3</v>
          </cell>
          <cell r="G1254">
            <v>2000</v>
          </cell>
          <cell r="H1254">
            <v>2800</v>
          </cell>
          <cell r="I1254">
            <v>282</v>
          </cell>
          <cell r="K1254" t="str">
            <v>Granada de humo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 t="str">
            <v>Pieza</v>
          </cell>
          <cell r="T1254">
            <v>0</v>
          </cell>
          <cell r="V1254" t="str">
            <v>FC</v>
          </cell>
        </row>
        <row r="1255">
          <cell r="A1255">
            <v>174</v>
          </cell>
          <cell r="B1255">
            <v>2017</v>
          </cell>
          <cell r="C1255">
            <v>8300</v>
          </cell>
          <cell r="D1255">
            <v>2</v>
          </cell>
          <cell r="E1255">
            <v>3</v>
          </cell>
          <cell r="F1255">
            <v>3</v>
          </cell>
          <cell r="G1255">
            <v>2000</v>
          </cell>
          <cell r="H1255">
            <v>2800</v>
          </cell>
          <cell r="I1255">
            <v>282</v>
          </cell>
          <cell r="K1255" t="str">
            <v>Municiones para arma corta</v>
          </cell>
          <cell r="S1255" t="str">
            <v>Pieza</v>
          </cell>
          <cell r="V1255" t="str">
            <v>FC</v>
          </cell>
        </row>
        <row r="1256">
          <cell r="A1256">
            <v>175</v>
          </cell>
          <cell r="B1256">
            <v>2017</v>
          </cell>
          <cell r="C1256">
            <v>8300</v>
          </cell>
          <cell r="D1256">
            <v>2</v>
          </cell>
          <cell r="E1256">
            <v>3</v>
          </cell>
          <cell r="F1256">
            <v>3</v>
          </cell>
          <cell r="G1256">
            <v>2000</v>
          </cell>
          <cell r="H1256">
            <v>2800</v>
          </cell>
          <cell r="I1256">
            <v>282</v>
          </cell>
          <cell r="K1256" t="str">
            <v>Municiones para arma larga</v>
          </cell>
          <cell r="S1256" t="str">
            <v>Pieza</v>
          </cell>
          <cell r="V1256" t="str">
            <v>FC</v>
          </cell>
        </row>
        <row r="1257">
          <cell r="A1257">
            <v>176</v>
          </cell>
          <cell r="B1257">
            <v>2017</v>
          </cell>
          <cell r="C1257">
            <v>8300</v>
          </cell>
          <cell r="D1257">
            <v>2</v>
          </cell>
          <cell r="E1257">
            <v>3</v>
          </cell>
          <cell r="F1257">
            <v>3</v>
          </cell>
          <cell r="G1257">
            <v>2000</v>
          </cell>
          <cell r="H1257">
            <v>2800</v>
          </cell>
          <cell r="I1257">
            <v>282</v>
          </cell>
          <cell r="J1257">
            <v>2</v>
          </cell>
          <cell r="K1257" t="str">
            <v>Materiales de seguridad para Secretaría de Seguridad Pública Municipal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 t="str">
            <v>Pieza</v>
          </cell>
          <cell r="T1257">
            <v>0</v>
          </cell>
          <cell r="V1257" t="str">
            <v>FC/FM</v>
          </cell>
        </row>
        <row r="1258">
          <cell r="A1258">
            <v>177</v>
          </cell>
          <cell r="B1258">
            <v>2017</v>
          </cell>
          <cell r="C1258">
            <v>8300</v>
          </cell>
          <cell r="D1258">
            <v>2</v>
          </cell>
          <cell r="E1258">
            <v>3</v>
          </cell>
          <cell r="F1258">
            <v>3</v>
          </cell>
          <cell r="G1258">
            <v>2000</v>
          </cell>
          <cell r="H1258">
            <v>2800</v>
          </cell>
          <cell r="I1258">
            <v>282</v>
          </cell>
          <cell r="K1258" t="str">
            <v>Cargador de arma corta</v>
          </cell>
          <cell r="L1258">
            <v>0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 t="str">
            <v>Pieza</v>
          </cell>
          <cell r="T1258">
            <v>0</v>
          </cell>
          <cell r="V1258" t="str">
            <v>FC/FM</v>
          </cell>
        </row>
        <row r="1259">
          <cell r="A1259">
            <v>178</v>
          </cell>
          <cell r="B1259">
            <v>2017</v>
          </cell>
          <cell r="C1259">
            <v>8300</v>
          </cell>
          <cell r="D1259">
            <v>2</v>
          </cell>
          <cell r="E1259">
            <v>3</v>
          </cell>
          <cell r="F1259">
            <v>3</v>
          </cell>
          <cell r="G1259">
            <v>2000</v>
          </cell>
          <cell r="H1259">
            <v>2800</v>
          </cell>
          <cell r="I1259">
            <v>282</v>
          </cell>
          <cell r="K1259" t="str">
            <v>Cargador de arma larga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 t="str">
            <v>Pieza</v>
          </cell>
          <cell r="T1259">
            <v>0</v>
          </cell>
          <cell r="V1259" t="str">
            <v>FC/FM</v>
          </cell>
        </row>
        <row r="1260">
          <cell r="A1260">
            <v>179</v>
          </cell>
          <cell r="B1260">
            <v>2017</v>
          </cell>
          <cell r="C1260">
            <v>8300</v>
          </cell>
          <cell r="D1260">
            <v>2</v>
          </cell>
          <cell r="E1260">
            <v>3</v>
          </cell>
          <cell r="F1260">
            <v>3</v>
          </cell>
          <cell r="G1260">
            <v>2000</v>
          </cell>
          <cell r="H1260">
            <v>2800</v>
          </cell>
          <cell r="I1260">
            <v>282</v>
          </cell>
          <cell r="K1260" t="str">
            <v>Gas lacrimógeno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 t="str">
            <v>Pieza</v>
          </cell>
          <cell r="T1260">
            <v>0</v>
          </cell>
          <cell r="V1260" t="str">
            <v>FC/FM</v>
          </cell>
        </row>
        <row r="1261">
          <cell r="A1261">
            <v>180</v>
          </cell>
          <cell r="B1261">
            <v>2017</v>
          </cell>
          <cell r="C1261">
            <v>8300</v>
          </cell>
          <cell r="D1261">
            <v>2</v>
          </cell>
          <cell r="E1261">
            <v>3</v>
          </cell>
          <cell r="F1261">
            <v>3</v>
          </cell>
          <cell r="G1261">
            <v>2000</v>
          </cell>
          <cell r="H1261">
            <v>2800</v>
          </cell>
          <cell r="I1261">
            <v>282</v>
          </cell>
          <cell r="K1261" t="str">
            <v>Granada de humo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 t="str">
            <v>Pieza</v>
          </cell>
          <cell r="T1261">
            <v>0</v>
          </cell>
          <cell r="V1261" t="str">
            <v>FC/FM</v>
          </cell>
        </row>
        <row r="1262">
          <cell r="A1262">
            <v>181</v>
          </cell>
          <cell r="B1262">
            <v>2017</v>
          </cell>
          <cell r="C1262">
            <v>8300</v>
          </cell>
          <cell r="D1262">
            <v>2</v>
          </cell>
          <cell r="E1262">
            <v>3</v>
          </cell>
          <cell r="F1262">
            <v>3</v>
          </cell>
          <cell r="G1262">
            <v>2000</v>
          </cell>
          <cell r="H1262">
            <v>2800</v>
          </cell>
          <cell r="I1262">
            <v>282</v>
          </cell>
          <cell r="K1262" t="str">
            <v>Municiones para arma corta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 t="str">
            <v>Pieza</v>
          </cell>
          <cell r="T1262">
            <v>0</v>
          </cell>
          <cell r="V1262" t="str">
            <v>FC/FM</v>
          </cell>
        </row>
        <row r="1263">
          <cell r="A1263">
            <v>182</v>
          </cell>
          <cell r="B1263">
            <v>2017</v>
          </cell>
          <cell r="C1263">
            <v>8300</v>
          </cell>
          <cell r="D1263">
            <v>2</v>
          </cell>
          <cell r="E1263">
            <v>3</v>
          </cell>
          <cell r="F1263">
            <v>3</v>
          </cell>
          <cell r="G1263">
            <v>2000</v>
          </cell>
          <cell r="H1263">
            <v>2800</v>
          </cell>
          <cell r="I1263">
            <v>282</v>
          </cell>
          <cell r="K1263" t="str">
            <v>Municiones para arma larga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 t="str">
            <v>Pieza</v>
          </cell>
          <cell r="T1263">
            <v>0</v>
          </cell>
          <cell r="V1263" t="str">
            <v>FC/FM</v>
          </cell>
        </row>
        <row r="1264">
          <cell r="A1264">
            <v>183</v>
          </cell>
          <cell r="B1264">
            <v>2017</v>
          </cell>
          <cell r="C1264">
            <v>8300</v>
          </cell>
          <cell r="D1264">
            <v>2</v>
          </cell>
          <cell r="E1264">
            <v>3</v>
          </cell>
          <cell r="F1264">
            <v>3</v>
          </cell>
          <cell r="G1264">
            <v>2000</v>
          </cell>
          <cell r="H1264">
            <v>2800</v>
          </cell>
          <cell r="I1264">
            <v>282</v>
          </cell>
          <cell r="J1264">
            <v>3</v>
          </cell>
          <cell r="K1264" t="str">
            <v>Materiales de seguridad para Procuración de Justicia</v>
          </cell>
          <cell r="L1264">
            <v>1950000</v>
          </cell>
          <cell r="M1264">
            <v>0</v>
          </cell>
          <cell r="N1264">
            <v>1950000</v>
          </cell>
          <cell r="O1264">
            <v>0</v>
          </cell>
          <cell r="P1264">
            <v>0</v>
          </cell>
          <cell r="Q1264">
            <v>0</v>
          </cell>
          <cell r="R1264">
            <v>1950000</v>
          </cell>
          <cell r="S1264" t="str">
            <v>Pieza</v>
          </cell>
          <cell r="T1264">
            <v>0</v>
          </cell>
          <cell r="V1264" t="str">
            <v>FC</v>
          </cell>
        </row>
        <row r="1265">
          <cell r="A1265">
            <v>184</v>
          </cell>
          <cell r="B1265">
            <v>2017</v>
          </cell>
          <cell r="C1265">
            <v>8300</v>
          </cell>
          <cell r="D1265">
            <v>2</v>
          </cell>
          <cell r="E1265">
            <v>3</v>
          </cell>
          <cell r="F1265">
            <v>3</v>
          </cell>
          <cell r="G1265">
            <v>2000</v>
          </cell>
          <cell r="H1265">
            <v>2800</v>
          </cell>
          <cell r="I1265">
            <v>282</v>
          </cell>
          <cell r="K1265" t="str">
            <v>Cargador de arma corta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 t="str">
            <v>Pieza</v>
          </cell>
          <cell r="T1265">
            <v>0</v>
          </cell>
          <cell r="V1265" t="str">
            <v>FC</v>
          </cell>
        </row>
        <row r="1266">
          <cell r="A1266">
            <v>185</v>
          </cell>
          <cell r="B1266">
            <v>2017</v>
          </cell>
          <cell r="C1266">
            <v>8300</v>
          </cell>
          <cell r="D1266">
            <v>2</v>
          </cell>
          <cell r="E1266">
            <v>3</v>
          </cell>
          <cell r="F1266">
            <v>3</v>
          </cell>
          <cell r="G1266">
            <v>2000</v>
          </cell>
          <cell r="H1266">
            <v>2800</v>
          </cell>
          <cell r="I1266">
            <v>282</v>
          </cell>
          <cell r="K1266" t="str">
            <v>Cargador de arma larga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 t="str">
            <v>Pieza</v>
          </cell>
          <cell r="T1266">
            <v>0</v>
          </cell>
          <cell r="V1266" t="str">
            <v>FC</v>
          </cell>
        </row>
        <row r="1267">
          <cell r="A1267">
            <v>186</v>
          </cell>
          <cell r="B1267">
            <v>2017</v>
          </cell>
          <cell r="C1267">
            <v>8300</v>
          </cell>
          <cell r="D1267">
            <v>2</v>
          </cell>
          <cell r="E1267">
            <v>3</v>
          </cell>
          <cell r="F1267">
            <v>3</v>
          </cell>
          <cell r="G1267">
            <v>2000</v>
          </cell>
          <cell r="H1267">
            <v>2800</v>
          </cell>
          <cell r="I1267">
            <v>282</v>
          </cell>
          <cell r="K1267" t="str">
            <v>Gas lacrimógeno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 t="str">
            <v>Pieza</v>
          </cell>
          <cell r="T1267">
            <v>0</v>
          </cell>
          <cell r="V1267" t="str">
            <v>FC</v>
          </cell>
        </row>
        <row r="1268">
          <cell r="A1268">
            <v>187</v>
          </cell>
          <cell r="B1268">
            <v>2017</v>
          </cell>
          <cell r="C1268">
            <v>8300</v>
          </cell>
          <cell r="D1268">
            <v>2</v>
          </cell>
          <cell r="E1268">
            <v>3</v>
          </cell>
          <cell r="F1268">
            <v>3</v>
          </cell>
          <cell r="G1268">
            <v>2000</v>
          </cell>
          <cell r="H1268">
            <v>2800</v>
          </cell>
          <cell r="I1268">
            <v>282</v>
          </cell>
          <cell r="K1268" t="str">
            <v>Granada de humo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 t="str">
            <v>Pieza</v>
          </cell>
          <cell r="T1268">
            <v>0</v>
          </cell>
          <cell r="V1268" t="str">
            <v>FC</v>
          </cell>
        </row>
        <row r="1269">
          <cell r="A1269">
            <v>188</v>
          </cell>
          <cell r="B1269">
            <v>2017</v>
          </cell>
          <cell r="C1269">
            <v>8300</v>
          </cell>
          <cell r="D1269">
            <v>2</v>
          </cell>
          <cell r="E1269">
            <v>3</v>
          </cell>
          <cell r="F1269">
            <v>3</v>
          </cell>
          <cell r="G1269">
            <v>2000</v>
          </cell>
          <cell r="H1269">
            <v>2800</v>
          </cell>
          <cell r="I1269">
            <v>282</v>
          </cell>
          <cell r="K1269" t="str">
            <v>Municiones para arma corta</v>
          </cell>
          <cell r="L1269">
            <v>700000</v>
          </cell>
          <cell r="M1269">
            <v>0</v>
          </cell>
          <cell r="N1269">
            <v>700000</v>
          </cell>
          <cell r="O1269">
            <v>0</v>
          </cell>
          <cell r="P1269">
            <v>0</v>
          </cell>
          <cell r="Q1269">
            <v>0</v>
          </cell>
          <cell r="R1269">
            <v>700000</v>
          </cell>
          <cell r="S1269" t="str">
            <v>Pieza</v>
          </cell>
          <cell r="T1269">
            <v>100000</v>
          </cell>
          <cell r="V1269" t="str">
            <v>FC</v>
          </cell>
        </row>
        <row r="1270">
          <cell r="A1270">
            <v>189</v>
          </cell>
          <cell r="B1270">
            <v>2017</v>
          </cell>
          <cell r="C1270">
            <v>8300</v>
          </cell>
          <cell r="D1270">
            <v>2</v>
          </cell>
          <cell r="E1270">
            <v>3</v>
          </cell>
          <cell r="F1270">
            <v>3</v>
          </cell>
          <cell r="G1270">
            <v>2000</v>
          </cell>
          <cell r="H1270">
            <v>2800</v>
          </cell>
          <cell r="I1270">
            <v>282</v>
          </cell>
          <cell r="K1270" t="str">
            <v>Municiones para arma larga</v>
          </cell>
          <cell r="L1270">
            <v>1250000</v>
          </cell>
          <cell r="M1270">
            <v>0</v>
          </cell>
          <cell r="N1270">
            <v>1250000</v>
          </cell>
          <cell r="O1270">
            <v>0</v>
          </cell>
          <cell r="P1270">
            <v>0</v>
          </cell>
          <cell r="Q1270">
            <v>0</v>
          </cell>
          <cell r="R1270">
            <v>1250000</v>
          </cell>
          <cell r="S1270" t="str">
            <v>Pieza</v>
          </cell>
          <cell r="T1270">
            <v>100000</v>
          </cell>
          <cell r="V1270" t="str">
            <v>FC</v>
          </cell>
        </row>
        <row r="1271">
          <cell r="A1271">
            <v>190</v>
          </cell>
          <cell r="B1271">
            <v>2017</v>
          </cell>
          <cell r="C1271">
            <v>8300</v>
          </cell>
          <cell r="D1271">
            <v>2</v>
          </cell>
          <cell r="E1271">
            <v>3</v>
          </cell>
          <cell r="F1271">
            <v>3</v>
          </cell>
          <cell r="G1271">
            <v>2000</v>
          </cell>
          <cell r="H1271">
            <v>2800</v>
          </cell>
          <cell r="I1271">
            <v>283</v>
          </cell>
          <cell r="K1271" t="str">
            <v xml:space="preserve">Prendas de protección 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 t="str">
            <v xml:space="preserve"> </v>
          </cell>
          <cell r="V1271" t="str">
            <v xml:space="preserve"> </v>
          </cell>
        </row>
        <row r="1272">
          <cell r="A1272">
            <v>191</v>
          </cell>
          <cell r="B1272">
            <v>2017</v>
          </cell>
          <cell r="C1272">
            <v>8300</v>
          </cell>
          <cell r="D1272">
            <v>2</v>
          </cell>
          <cell r="E1272">
            <v>3</v>
          </cell>
          <cell r="F1272">
            <v>3</v>
          </cell>
          <cell r="G1272">
            <v>2000</v>
          </cell>
          <cell r="H1272">
            <v>2800</v>
          </cell>
          <cell r="I1272">
            <v>283</v>
          </cell>
          <cell r="J1272">
            <v>1</v>
          </cell>
          <cell r="K1272" t="str">
            <v>Prendas de protección para Secretaría de Seguridad Pública Estatal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 t="str">
            <v>Pieza</v>
          </cell>
          <cell r="V1272" t="str">
            <v>FC</v>
          </cell>
        </row>
        <row r="1273">
          <cell r="A1273">
            <v>192</v>
          </cell>
          <cell r="B1273">
            <v>2017</v>
          </cell>
          <cell r="C1273">
            <v>8300</v>
          </cell>
          <cell r="D1273">
            <v>2</v>
          </cell>
          <cell r="E1273">
            <v>3</v>
          </cell>
          <cell r="F1273">
            <v>3</v>
          </cell>
          <cell r="G1273">
            <v>2000</v>
          </cell>
          <cell r="H1273">
            <v>2800</v>
          </cell>
          <cell r="I1273">
            <v>283</v>
          </cell>
          <cell r="K1273" t="str">
            <v>Arnés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 t="str">
            <v>Pieza</v>
          </cell>
          <cell r="T1273">
            <v>0</v>
          </cell>
          <cell r="V1273" t="str">
            <v>FC</v>
          </cell>
        </row>
        <row r="1274">
          <cell r="A1274">
            <v>193</v>
          </cell>
          <cell r="B1274">
            <v>2017</v>
          </cell>
          <cell r="C1274">
            <v>8300</v>
          </cell>
          <cell r="D1274">
            <v>2</v>
          </cell>
          <cell r="E1274">
            <v>3</v>
          </cell>
          <cell r="F1274">
            <v>3</v>
          </cell>
          <cell r="G1274">
            <v>2000</v>
          </cell>
          <cell r="H1274">
            <v>2800</v>
          </cell>
          <cell r="I1274">
            <v>283</v>
          </cell>
          <cell r="K1274" t="str">
            <v>Bata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 t="str">
            <v>Pieza</v>
          </cell>
          <cell r="T1274">
            <v>0</v>
          </cell>
          <cell r="V1274" t="str">
            <v>FC</v>
          </cell>
        </row>
        <row r="1275">
          <cell r="A1275">
            <v>194</v>
          </cell>
          <cell r="B1275">
            <v>2017</v>
          </cell>
          <cell r="C1275">
            <v>8300</v>
          </cell>
          <cell r="D1275">
            <v>2</v>
          </cell>
          <cell r="E1275">
            <v>3</v>
          </cell>
          <cell r="F1275">
            <v>3</v>
          </cell>
          <cell r="G1275">
            <v>2000</v>
          </cell>
          <cell r="H1275">
            <v>2800</v>
          </cell>
          <cell r="I1275">
            <v>283</v>
          </cell>
          <cell r="K1275" t="str">
            <v>Bastón retráctil con porta bastón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 t="str">
            <v>Pieza</v>
          </cell>
          <cell r="T1275">
            <v>0</v>
          </cell>
          <cell r="V1275" t="str">
            <v>FC</v>
          </cell>
        </row>
        <row r="1276">
          <cell r="A1276">
            <v>195</v>
          </cell>
          <cell r="B1276">
            <v>2017</v>
          </cell>
          <cell r="C1276">
            <v>8300</v>
          </cell>
          <cell r="D1276">
            <v>2</v>
          </cell>
          <cell r="E1276">
            <v>3</v>
          </cell>
          <cell r="F1276">
            <v>3</v>
          </cell>
          <cell r="G1276">
            <v>2000</v>
          </cell>
          <cell r="H1276">
            <v>2800</v>
          </cell>
          <cell r="I1276">
            <v>283</v>
          </cell>
          <cell r="K1276" t="str">
            <v>Candado de mano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 t="str">
            <v>Pieza</v>
          </cell>
          <cell r="T1276">
            <v>0</v>
          </cell>
          <cell r="V1276" t="str">
            <v>FC</v>
          </cell>
        </row>
        <row r="1277">
          <cell r="A1277">
            <v>196</v>
          </cell>
          <cell r="B1277">
            <v>2017</v>
          </cell>
          <cell r="C1277">
            <v>8300</v>
          </cell>
          <cell r="D1277">
            <v>2</v>
          </cell>
          <cell r="E1277">
            <v>3</v>
          </cell>
          <cell r="F1277">
            <v>3</v>
          </cell>
          <cell r="G1277">
            <v>2000</v>
          </cell>
          <cell r="H1277">
            <v>2800</v>
          </cell>
          <cell r="I1277">
            <v>283</v>
          </cell>
          <cell r="K1277" t="str">
            <v>Casco antimotín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 t="str">
            <v>Pieza</v>
          </cell>
          <cell r="T1277">
            <v>0</v>
          </cell>
          <cell r="V1277" t="str">
            <v>FC</v>
          </cell>
        </row>
        <row r="1278">
          <cell r="A1278">
            <v>197</v>
          </cell>
          <cell r="B1278">
            <v>2017</v>
          </cell>
          <cell r="C1278">
            <v>8300</v>
          </cell>
          <cell r="D1278">
            <v>2</v>
          </cell>
          <cell r="E1278">
            <v>3</v>
          </cell>
          <cell r="F1278">
            <v>3</v>
          </cell>
          <cell r="G1278">
            <v>2000</v>
          </cell>
          <cell r="H1278">
            <v>2800</v>
          </cell>
          <cell r="I1278">
            <v>283</v>
          </cell>
          <cell r="K1278" t="str">
            <v>Casco balístico mínimo nivel III-A, con careta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 t="str">
            <v>Pieza</v>
          </cell>
          <cell r="T1278">
            <v>0</v>
          </cell>
          <cell r="V1278" t="str">
            <v>FC</v>
          </cell>
        </row>
        <row r="1279">
          <cell r="A1279">
            <v>198</v>
          </cell>
          <cell r="B1279">
            <v>2017</v>
          </cell>
          <cell r="C1279">
            <v>8300</v>
          </cell>
          <cell r="D1279">
            <v>2</v>
          </cell>
          <cell r="E1279">
            <v>3</v>
          </cell>
          <cell r="F1279">
            <v>3</v>
          </cell>
          <cell r="G1279">
            <v>2000</v>
          </cell>
          <cell r="H1279">
            <v>2800</v>
          </cell>
          <cell r="I1279">
            <v>283</v>
          </cell>
          <cell r="K1279" t="str">
            <v>Casco para ciclista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 t="str">
            <v>Pieza</v>
          </cell>
          <cell r="T1279">
            <v>0</v>
          </cell>
          <cell r="V1279" t="str">
            <v>FC</v>
          </cell>
        </row>
        <row r="1280">
          <cell r="A1280">
            <v>199</v>
          </cell>
          <cell r="B1280">
            <v>2017</v>
          </cell>
          <cell r="C1280">
            <v>8300</v>
          </cell>
          <cell r="D1280">
            <v>2</v>
          </cell>
          <cell r="E1280">
            <v>3</v>
          </cell>
          <cell r="F1280">
            <v>3</v>
          </cell>
          <cell r="G1280">
            <v>2000</v>
          </cell>
          <cell r="H1280">
            <v>2800</v>
          </cell>
          <cell r="I1280">
            <v>283</v>
          </cell>
          <cell r="K1280" t="str">
            <v>Casco para motociclista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 t="str">
            <v>Pieza</v>
          </cell>
          <cell r="T1280">
            <v>0</v>
          </cell>
          <cell r="V1280" t="str">
            <v>FC</v>
          </cell>
        </row>
        <row r="1281">
          <cell r="A1281">
            <v>200</v>
          </cell>
          <cell r="B1281">
            <v>2017</v>
          </cell>
          <cell r="C1281">
            <v>8300</v>
          </cell>
          <cell r="D1281">
            <v>2</v>
          </cell>
          <cell r="E1281">
            <v>3</v>
          </cell>
          <cell r="F1281">
            <v>3</v>
          </cell>
          <cell r="G1281">
            <v>2000</v>
          </cell>
          <cell r="H1281">
            <v>2800</v>
          </cell>
          <cell r="I1281">
            <v>283</v>
          </cell>
          <cell r="K1281" t="str">
            <v>Chaleco balístico mínimo nivel III-A, con dos placas balísticas para escalar a nivel IV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 t="str">
            <v>Pieza</v>
          </cell>
          <cell r="T1281">
            <v>0</v>
          </cell>
          <cell r="V1281" t="str">
            <v>FC</v>
          </cell>
        </row>
        <row r="1282">
          <cell r="A1282">
            <v>201</v>
          </cell>
          <cell r="B1282">
            <v>2017</v>
          </cell>
          <cell r="C1282">
            <v>8300</v>
          </cell>
          <cell r="D1282">
            <v>2</v>
          </cell>
          <cell r="E1282">
            <v>3</v>
          </cell>
          <cell r="F1282">
            <v>3</v>
          </cell>
          <cell r="G1282">
            <v>2000</v>
          </cell>
          <cell r="H1282">
            <v>2800</v>
          </cell>
          <cell r="I1282">
            <v>283</v>
          </cell>
          <cell r="K1282" t="str">
            <v>Chaleco antipunta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 t="str">
            <v>Pieza</v>
          </cell>
          <cell r="T1282">
            <v>0</v>
          </cell>
          <cell r="V1282" t="str">
            <v>FC</v>
          </cell>
        </row>
        <row r="1283">
          <cell r="A1283">
            <v>202</v>
          </cell>
          <cell r="B1283">
            <v>2017</v>
          </cell>
          <cell r="C1283">
            <v>8300</v>
          </cell>
          <cell r="D1283">
            <v>2</v>
          </cell>
          <cell r="E1283">
            <v>3</v>
          </cell>
          <cell r="F1283">
            <v>3</v>
          </cell>
          <cell r="G1283">
            <v>2000</v>
          </cell>
          <cell r="H1283">
            <v>2800</v>
          </cell>
          <cell r="I1283">
            <v>283</v>
          </cell>
          <cell r="K1283" t="str">
            <v>Coderas tácticas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 t="str">
            <v>Pieza</v>
          </cell>
          <cell r="T1283">
            <v>0</v>
          </cell>
          <cell r="V1283" t="str">
            <v>FC</v>
          </cell>
        </row>
        <row r="1284">
          <cell r="A1284">
            <v>203</v>
          </cell>
          <cell r="B1284">
            <v>2017</v>
          </cell>
          <cell r="C1284">
            <v>8300</v>
          </cell>
          <cell r="D1284">
            <v>2</v>
          </cell>
          <cell r="E1284">
            <v>3</v>
          </cell>
          <cell r="F1284">
            <v>3</v>
          </cell>
          <cell r="G1284">
            <v>2000</v>
          </cell>
          <cell r="H1284">
            <v>2800</v>
          </cell>
          <cell r="I1284">
            <v>283</v>
          </cell>
          <cell r="K1284" t="str">
            <v>Cuerdas de rapel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 t="str">
            <v>Pieza</v>
          </cell>
          <cell r="T1284">
            <v>0</v>
          </cell>
          <cell r="V1284" t="str">
            <v>FC</v>
          </cell>
        </row>
        <row r="1285">
          <cell r="A1285">
            <v>204</v>
          </cell>
          <cell r="B1285">
            <v>2017</v>
          </cell>
          <cell r="C1285">
            <v>8300</v>
          </cell>
          <cell r="D1285">
            <v>2</v>
          </cell>
          <cell r="E1285">
            <v>3</v>
          </cell>
          <cell r="F1285">
            <v>3</v>
          </cell>
          <cell r="G1285">
            <v>2000</v>
          </cell>
          <cell r="H1285">
            <v>2800</v>
          </cell>
          <cell r="I1285">
            <v>283</v>
          </cell>
          <cell r="K1285" t="str">
            <v>Descensor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 t="str">
            <v>Pieza</v>
          </cell>
          <cell r="T1285">
            <v>0</v>
          </cell>
          <cell r="V1285" t="str">
            <v>FC</v>
          </cell>
        </row>
        <row r="1286">
          <cell r="A1286">
            <v>205</v>
          </cell>
          <cell r="B1286">
            <v>2017</v>
          </cell>
          <cell r="C1286">
            <v>8300</v>
          </cell>
          <cell r="D1286">
            <v>2</v>
          </cell>
          <cell r="E1286">
            <v>3</v>
          </cell>
          <cell r="F1286">
            <v>3</v>
          </cell>
          <cell r="G1286">
            <v>2000</v>
          </cell>
          <cell r="H1286">
            <v>2800</v>
          </cell>
          <cell r="I1286">
            <v>283</v>
          </cell>
          <cell r="K1286" t="str">
            <v>Escudo antimotín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 t="str">
            <v>Pieza</v>
          </cell>
          <cell r="T1286">
            <v>0</v>
          </cell>
          <cell r="V1286" t="str">
            <v>FC</v>
          </cell>
        </row>
        <row r="1287">
          <cell r="A1287">
            <v>206</v>
          </cell>
          <cell r="B1287">
            <v>2017</v>
          </cell>
          <cell r="C1287">
            <v>8300</v>
          </cell>
          <cell r="D1287">
            <v>2</v>
          </cell>
          <cell r="E1287">
            <v>3</v>
          </cell>
          <cell r="F1287">
            <v>3</v>
          </cell>
          <cell r="G1287">
            <v>2000</v>
          </cell>
          <cell r="H1287">
            <v>2800</v>
          </cell>
          <cell r="I1287">
            <v>283</v>
          </cell>
          <cell r="K1287" t="str">
            <v>Escudo balístico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 t="str">
            <v>Pieza</v>
          </cell>
          <cell r="T1287">
            <v>0</v>
          </cell>
          <cell r="V1287" t="str">
            <v>FC</v>
          </cell>
        </row>
        <row r="1288">
          <cell r="A1288">
            <v>207</v>
          </cell>
          <cell r="B1288">
            <v>2017</v>
          </cell>
          <cell r="C1288">
            <v>8300</v>
          </cell>
          <cell r="D1288">
            <v>2</v>
          </cell>
          <cell r="E1288">
            <v>3</v>
          </cell>
          <cell r="F1288">
            <v>3</v>
          </cell>
          <cell r="G1288">
            <v>2000</v>
          </cell>
          <cell r="H1288">
            <v>2800</v>
          </cell>
          <cell r="I1288">
            <v>283</v>
          </cell>
          <cell r="K1288" t="str">
            <v>Escudo policarbonato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 t="str">
            <v>Pieza</v>
          </cell>
          <cell r="T1288">
            <v>0</v>
          </cell>
          <cell r="V1288" t="str">
            <v>FC</v>
          </cell>
        </row>
        <row r="1289">
          <cell r="A1289">
            <v>208</v>
          </cell>
          <cell r="B1289">
            <v>2017</v>
          </cell>
          <cell r="C1289">
            <v>8300</v>
          </cell>
          <cell r="D1289">
            <v>2</v>
          </cell>
          <cell r="E1289">
            <v>3</v>
          </cell>
          <cell r="F1289">
            <v>3</v>
          </cell>
          <cell r="G1289">
            <v>2000</v>
          </cell>
          <cell r="H1289">
            <v>2800</v>
          </cell>
          <cell r="I1289">
            <v>283</v>
          </cell>
          <cell r="K1289" t="str">
            <v>Espejo táctico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 t="str">
            <v>Pieza</v>
          </cell>
          <cell r="T1289">
            <v>0</v>
          </cell>
          <cell r="V1289" t="str">
            <v>FC</v>
          </cell>
        </row>
        <row r="1290">
          <cell r="A1290">
            <v>209</v>
          </cell>
          <cell r="B1290">
            <v>2017</v>
          </cell>
          <cell r="C1290">
            <v>8300</v>
          </cell>
          <cell r="D1290">
            <v>2</v>
          </cell>
          <cell r="E1290">
            <v>3</v>
          </cell>
          <cell r="F1290">
            <v>3</v>
          </cell>
          <cell r="G1290">
            <v>2000</v>
          </cell>
          <cell r="H1290">
            <v>2800</v>
          </cell>
          <cell r="I1290">
            <v>283</v>
          </cell>
          <cell r="K1290" t="str">
            <v>Esposas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 t="str">
            <v>Pieza</v>
          </cell>
          <cell r="T1290">
            <v>0</v>
          </cell>
          <cell r="V1290" t="str">
            <v>FC</v>
          </cell>
        </row>
        <row r="1291">
          <cell r="A1291">
            <v>210</v>
          </cell>
          <cell r="B1291">
            <v>2017</v>
          </cell>
          <cell r="C1291">
            <v>8300</v>
          </cell>
          <cell r="D1291">
            <v>2</v>
          </cell>
          <cell r="E1291">
            <v>3</v>
          </cell>
          <cell r="F1291">
            <v>3</v>
          </cell>
          <cell r="G1291">
            <v>2000</v>
          </cell>
          <cell r="H1291">
            <v>2800</v>
          </cell>
          <cell r="I1291">
            <v>283</v>
          </cell>
          <cell r="K1291" t="str">
            <v>Goggle táctico</v>
          </cell>
          <cell r="S1291" t="str">
            <v>Pieza</v>
          </cell>
          <cell r="V1291" t="str">
            <v>FC</v>
          </cell>
        </row>
        <row r="1292">
          <cell r="A1292">
            <v>211</v>
          </cell>
          <cell r="B1292">
            <v>2017</v>
          </cell>
          <cell r="C1292">
            <v>8300</v>
          </cell>
          <cell r="D1292">
            <v>2</v>
          </cell>
          <cell r="E1292">
            <v>3</v>
          </cell>
          <cell r="F1292">
            <v>3</v>
          </cell>
          <cell r="G1292">
            <v>2000</v>
          </cell>
          <cell r="H1292">
            <v>2800</v>
          </cell>
          <cell r="I1292">
            <v>283</v>
          </cell>
          <cell r="K1292" t="str">
            <v>Guantes normal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 t="str">
            <v>Pieza</v>
          </cell>
          <cell r="T1292">
            <v>0</v>
          </cell>
          <cell r="V1292" t="str">
            <v>FC</v>
          </cell>
        </row>
        <row r="1293">
          <cell r="A1293">
            <v>212</v>
          </cell>
          <cell r="B1293">
            <v>2017</v>
          </cell>
          <cell r="C1293">
            <v>8300</v>
          </cell>
          <cell r="D1293">
            <v>2</v>
          </cell>
          <cell r="E1293">
            <v>3</v>
          </cell>
          <cell r="F1293">
            <v>3</v>
          </cell>
          <cell r="G1293">
            <v>2000</v>
          </cell>
          <cell r="H1293">
            <v>2800</v>
          </cell>
          <cell r="I1293">
            <v>283</v>
          </cell>
          <cell r="K1293" t="str">
            <v>Guantes tácticos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 t="str">
            <v>Pieza</v>
          </cell>
          <cell r="T1293">
            <v>0</v>
          </cell>
          <cell r="V1293" t="str">
            <v>FC</v>
          </cell>
        </row>
        <row r="1294">
          <cell r="A1294">
            <v>213</v>
          </cell>
          <cell r="B1294">
            <v>2017</v>
          </cell>
          <cell r="C1294">
            <v>8300</v>
          </cell>
          <cell r="D1294">
            <v>2</v>
          </cell>
          <cell r="E1294">
            <v>3</v>
          </cell>
          <cell r="F1294">
            <v>3</v>
          </cell>
          <cell r="G1294">
            <v>2000</v>
          </cell>
          <cell r="H1294">
            <v>2800</v>
          </cell>
          <cell r="I1294">
            <v>283</v>
          </cell>
          <cell r="K1294" t="str">
            <v>Máscara antigás</v>
          </cell>
          <cell r="S1294" t="str">
            <v>Pieza</v>
          </cell>
          <cell r="V1294" t="str">
            <v>FC</v>
          </cell>
        </row>
        <row r="1295">
          <cell r="A1295">
            <v>214</v>
          </cell>
          <cell r="B1295">
            <v>2017</v>
          </cell>
          <cell r="C1295">
            <v>8300</v>
          </cell>
          <cell r="D1295">
            <v>2</v>
          </cell>
          <cell r="E1295">
            <v>3</v>
          </cell>
          <cell r="F1295">
            <v>3</v>
          </cell>
          <cell r="G1295">
            <v>2000</v>
          </cell>
          <cell r="H1295">
            <v>2800</v>
          </cell>
          <cell r="I1295">
            <v>283</v>
          </cell>
          <cell r="K1295" t="str">
            <v>Mosquetón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 t="str">
            <v>Pieza</v>
          </cell>
          <cell r="T1295">
            <v>0</v>
          </cell>
          <cell r="V1295" t="str">
            <v>FC</v>
          </cell>
        </row>
        <row r="1296">
          <cell r="A1296">
            <v>215</v>
          </cell>
          <cell r="B1296">
            <v>2017</v>
          </cell>
          <cell r="C1296">
            <v>8300</v>
          </cell>
          <cell r="D1296">
            <v>2</v>
          </cell>
          <cell r="E1296">
            <v>3</v>
          </cell>
          <cell r="F1296">
            <v>3</v>
          </cell>
          <cell r="G1296">
            <v>2000</v>
          </cell>
          <cell r="H1296">
            <v>2800</v>
          </cell>
          <cell r="I1296">
            <v>283</v>
          </cell>
          <cell r="K1296" t="str">
            <v>Ocho de rescate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 t="str">
            <v>Pieza</v>
          </cell>
          <cell r="T1296">
            <v>0</v>
          </cell>
          <cell r="V1296" t="str">
            <v>FC</v>
          </cell>
        </row>
        <row r="1297">
          <cell r="A1297">
            <v>216</v>
          </cell>
          <cell r="B1297">
            <v>2017</v>
          </cell>
          <cell r="C1297">
            <v>8300</v>
          </cell>
          <cell r="D1297">
            <v>2</v>
          </cell>
          <cell r="E1297">
            <v>3</v>
          </cell>
          <cell r="F1297">
            <v>3</v>
          </cell>
          <cell r="G1297">
            <v>2000</v>
          </cell>
          <cell r="H1297">
            <v>2800</v>
          </cell>
          <cell r="I1297">
            <v>283</v>
          </cell>
          <cell r="K1297" t="str">
            <v>Placas balísticas mínimo nivel IV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 t="str">
            <v>Pieza</v>
          </cell>
          <cell r="T1297">
            <v>0</v>
          </cell>
          <cell r="V1297" t="str">
            <v>FC</v>
          </cell>
        </row>
        <row r="1298">
          <cell r="A1298">
            <v>217</v>
          </cell>
          <cell r="B1298">
            <v>2017</v>
          </cell>
          <cell r="C1298">
            <v>8300</v>
          </cell>
          <cell r="D1298">
            <v>2</v>
          </cell>
          <cell r="E1298">
            <v>3</v>
          </cell>
          <cell r="F1298">
            <v>3</v>
          </cell>
          <cell r="G1298">
            <v>2000</v>
          </cell>
          <cell r="H1298">
            <v>2800</v>
          </cell>
          <cell r="I1298">
            <v>283</v>
          </cell>
          <cell r="K1298" t="str">
            <v>Equipo antimotín (contempla casco con careta, protectores de pecho, espalda, codos, antebrazos, cadera, ingles, coxis, muslos, rodilleras, espinillas, empeines, guantes, escudo de policarbonato, máscara antigás y tolete)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 t="str">
            <v>Pieza</v>
          </cell>
          <cell r="T1298">
            <v>0</v>
          </cell>
          <cell r="V1298" t="str">
            <v>FC</v>
          </cell>
        </row>
        <row r="1299">
          <cell r="A1299">
            <v>218</v>
          </cell>
          <cell r="B1299">
            <v>2017</v>
          </cell>
          <cell r="C1299">
            <v>8300</v>
          </cell>
          <cell r="D1299">
            <v>2</v>
          </cell>
          <cell r="E1299">
            <v>3</v>
          </cell>
          <cell r="F1299">
            <v>3</v>
          </cell>
          <cell r="G1299">
            <v>2000</v>
          </cell>
          <cell r="H1299">
            <v>2800</v>
          </cell>
          <cell r="I1299">
            <v>283</v>
          </cell>
          <cell r="K1299" t="str">
            <v>Rodilleras tácticas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 t="str">
            <v>Pieza</v>
          </cell>
          <cell r="T1299">
            <v>0</v>
          </cell>
          <cell r="V1299" t="str">
            <v>FC</v>
          </cell>
        </row>
        <row r="1300">
          <cell r="A1300">
            <v>219</v>
          </cell>
          <cell r="B1300">
            <v>2017</v>
          </cell>
          <cell r="C1300">
            <v>8300</v>
          </cell>
          <cell r="D1300">
            <v>2</v>
          </cell>
          <cell r="E1300">
            <v>3</v>
          </cell>
          <cell r="F1300">
            <v>3</v>
          </cell>
          <cell r="G1300">
            <v>2000</v>
          </cell>
          <cell r="H1300">
            <v>2800</v>
          </cell>
          <cell r="I1300">
            <v>283</v>
          </cell>
          <cell r="K1300" t="str">
            <v>Tolete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 t="str">
            <v>Pieza</v>
          </cell>
          <cell r="T1300">
            <v>0</v>
          </cell>
          <cell r="V1300" t="str">
            <v>FC</v>
          </cell>
        </row>
        <row r="1301">
          <cell r="A1301">
            <v>220</v>
          </cell>
          <cell r="B1301">
            <v>2017</v>
          </cell>
          <cell r="C1301">
            <v>8300</v>
          </cell>
          <cell r="D1301">
            <v>2</v>
          </cell>
          <cell r="E1301">
            <v>3</v>
          </cell>
          <cell r="F1301">
            <v>3</v>
          </cell>
          <cell r="G1301">
            <v>2000</v>
          </cell>
          <cell r="H1301">
            <v>2800</v>
          </cell>
          <cell r="I1301">
            <v>283</v>
          </cell>
          <cell r="J1301">
            <v>2</v>
          </cell>
          <cell r="K1301" t="str">
            <v>Prendas de protección para Secretaría de Seguridad Pública Municipal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 t="str">
            <v>Pieza</v>
          </cell>
          <cell r="T1301">
            <v>0</v>
          </cell>
          <cell r="V1301" t="str">
            <v>FC/FM</v>
          </cell>
        </row>
        <row r="1302">
          <cell r="A1302">
            <v>221</v>
          </cell>
          <cell r="B1302">
            <v>2017</v>
          </cell>
          <cell r="C1302">
            <v>8300</v>
          </cell>
          <cell r="D1302">
            <v>2</v>
          </cell>
          <cell r="E1302">
            <v>3</v>
          </cell>
          <cell r="F1302">
            <v>3</v>
          </cell>
          <cell r="G1302">
            <v>2000</v>
          </cell>
          <cell r="H1302">
            <v>2800</v>
          </cell>
          <cell r="I1302">
            <v>283</v>
          </cell>
          <cell r="K1302" t="str">
            <v>Arnés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 t="str">
            <v>Pieza</v>
          </cell>
          <cell r="T1302">
            <v>0</v>
          </cell>
          <cell r="V1302" t="str">
            <v>FC/FM</v>
          </cell>
        </row>
        <row r="1303">
          <cell r="A1303">
            <v>222</v>
          </cell>
          <cell r="B1303">
            <v>2017</v>
          </cell>
          <cell r="C1303">
            <v>8300</v>
          </cell>
          <cell r="D1303">
            <v>2</v>
          </cell>
          <cell r="E1303">
            <v>3</v>
          </cell>
          <cell r="F1303">
            <v>3</v>
          </cell>
          <cell r="G1303">
            <v>2000</v>
          </cell>
          <cell r="H1303">
            <v>2800</v>
          </cell>
          <cell r="I1303">
            <v>283</v>
          </cell>
          <cell r="K1303" t="str">
            <v>Bata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 t="str">
            <v>Pieza</v>
          </cell>
          <cell r="T1303">
            <v>0</v>
          </cell>
          <cell r="V1303" t="str">
            <v>FC/FM</v>
          </cell>
        </row>
        <row r="1304">
          <cell r="A1304">
            <v>223</v>
          </cell>
          <cell r="B1304">
            <v>2017</v>
          </cell>
          <cell r="C1304">
            <v>8300</v>
          </cell>
          <cell r="D1304">
            <v>2</v>
          </cell>
          <cell r="E1304">
            <v>3</v>
          </cell>
          <cell r="F1304">
            <v>3</v>
          </cell>
          <cell r="G1304">
            <v>2000</v>
          </cell>
          <cell r="H1304">
            <v>2800</v>
          </cell>
          <cell r="I1304">
            <v>283</v>
          </cell>
          <cell r="K1304" t="str">
            <v>Bastón retráctil con porta bastón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 t="str">
            <v>Pieza</v>
          </cell>
          <cell r="T1304">
            <v>0</v>
          </cell>
          <cell r="V1304" t="str">
            <v>FC/FM</v>
          </cell>
        </row>
        <row r="1305">
          <cell r="A1305">
            <v>224</v>
          </cell>
          <cell r="B1305">
            <v>2017</v>
          </cell>
          <cell r="C1305">
            <v>8300</v>
          </cell>
          <cell r="D1305">
            <v>2</v>
          </cell>
          <cell r="E1305">
            <v>3</v>
          </cell>
          <cell r="F1305">
            <v>3</v>
          </cell>
          <cell r="G1305">
            <v>2000</v>
          </cell>
          <cell r="H1305">
            <v>2800</v>
          </cell>
          <cell r="I1305">
            <v>283</v>
          </cell>
          <cell r="K1305" t="str">
            <v>Candado de mano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 t="str">
            <v>Pieza</v>
          </cell>
          <cell r="T1305">
            <v>0</v>
          </cell>
          <cell r="V1305" t="str">
            <v>FC/FM</v>
          </cell>
        </row>
        <row r="1306">
          <cell r="A1306">
            <v>225</v>
          </cell>
          <cell r="B1306">
            <v>2017</v>
          </cell>
          <cell r="C1306">
            <v>8300</v>
          </cell>
          <cell r="D1306">
            <v>2</v>
          </cell>
          <cell r="E1306">
            <v>3</v>
          </cell>
          <cell r="F1306">
            <v>3</v>
          </cell>
          <cell r="G1306">
            <v>2000</v>
          </cell>
          <cell r="H1306">
            <v>2800</v>
          </cell>
          <cell r="I1306">
            <v>283</v>
          </cell>
          <cell r="K1306" t="str">
            <v>Casco antimotín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 t="str">
            <v>Pieza</v>
          </cell>
          <cell r="T1306">
            <v>0</v>
          </cell>
          <cell r="V1306" t="str">
            <v>FC/FM</v>
          </cell>
        </row>
        <row r="1307">
          <cell r="A1307">
            <v>226</v>
          </cell>
          <cell r="B1307">
            <v>2017</v>
          </cell>
          <cell r="C1307">
            <v>8300</v>
          </cell>
          <cell r="D1307">
            <v>2</v>
          </cell>
          <cell r="E1307">
            <v>3</v>
          </cell>
          <cell r="F1307">
            <v>3</v>
          </cell>
          <cell r="G1307">
            <v>2000</v>
          </cell>
          <cell r="H1307">
            <v>2800</v>
          </cell>
          <cell r="I1307">
            <v>283</v>
          </cell>
          <cell r="K1307" t="str">
            <v>Casco balístico mínimo nivel III-A, con careta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 t="str">
            <v>Pieza</v>
          </cell>
          <cell r="T1307">
            <v>0</v>
          </cell>
          <cell r="V1307" t="str">
            <v>FC/FM</v>
          </cell>
        </row>
        <row r="1308">
          <cell r="A1308">
            <v>227</v>
          </cell>
          <cell r="B1308">
            <v>2017</v>
          </cell>
          <cell r="C1308">
            <v>8300</v>
          </cell>
          <cell r="D1308">
            <v>2</v>
          </cell>
          <cell r="E1308">
            <v>3</v>
          </cell>
          <cell r="F1308">
            <v>3</v>
          </cell>
          <cell r="G1308">
            <v>2000</v>
          </cell>
          <cell r="H1308">
            <v>2800</v>
          </cell>
          <cell r="I1308">
            <v>283</v>
          </cell>
          <cell r="K1308" t="str">
            <v>Casco para ciclista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 t="str">
            <v>Pieza</v>
          </cell>
          <cell r="T1308">
            <v>0</v>
          </cell>
          <cell r="V1308" t="str">
            <v>FC/FM</v>
          </cell>
        </row>
        <row r="1309">
          <cell r="A1309">
            <v>228</v>
          </cell>
          <cell r="B1309">
            <v>2017</v>
          </cell>
          <cell r="C1309">
            <v>8300</v>
          </cell>
          <cell r="D1309">
            <v>2</v>
          </cell>
          <cell r="E1309">
            <v>3</v>
          </cell>
          <cell r="F1309">
            <v>3</v>
          </cell>
          <cell r="G1309">
            <v>2000</v>
          </cell>
          <cell r="H1309">
            <v>2800</v>
          </cell>
          <cell r="I1309">
            <v>283</v>
          </cell>
          <cell r="K1309" t="str">
            <v>Casco para motociclista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 t="str">
            <v>Pieza</v>
          </cell>
          <cell r="T1309">
            <v>0</v>
          </cell>
          <cell r="V1309" t="str">
            <v>FC/FM</v>
          </cell>
        </row>
        <row r="1310">
          <cell r="A1310">
            <v>229</v>
          </cell>
          <cell r="B1310">
            <v>2017</v>
          </cell>
          <cell r="C1310">
            <v>8300</v>
          </cell>
          <cell r="D1310">
            <v>2</v>
          </cell>
          <cell r="E1310">
            <v>3</v>
          </cell>
          <cell r="F1310">
            <v>3</v>
          </cell>
          <cell r="G1310">
            <v>2000</v>
          </cell>
          <cell r="H1310">
            <v>2800</v>
          </cell>
          <cell r="I1310">
            <v>283</v>
          </cell>
          <cell r="K1310" t="str">
            <v>Chaleco balístico mínimo nivel III-A, con dos placas balísticas para escalar a nivel IV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 t="str">
            <v>Pieza</v>
          </cell>
          <cell r="T1310">
            <v>0</v>
          </cell>
          <cell r="V1310" t="str">
            <v>FC/FM</v>
          </cell>
        </row>
        <row r="1311">
          <cell r="A1311">
            <v>230</v>
          </cell>
          <cell r="B1311">
            <v>2017</v>
          </cell>
          <cell r="C1311">
            <v>8300</v>
          </cell>
          <cell r="D1311">
            <v>2</v>
          </cell>
          <cell r="E1311">
            <v>3</v>
          </cell>
          <cell r="F1311">
            <v>3</v>
          </cell>
          <cell r="G1311">
            <v>2000</v>
          </cell>
          <cell r="H1311">
            <v>2800</v>
          </cell>
          <cell r="I1311">
            <v>283</v>
          </cell>
          <cell r="K1311" t="str">
            <v>Chaleco antipunta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 t="str">
            <v>Pieza</v>
          </cell>
          <cell r="T1311">
            <v>0</v>
          </cell>
          <cell r="V1311" t="str">
            <v>FC/FM</v>
          </cell>
        </row>
        <row r="1312">
          <cell r="A1312">
            <v>231</v>
          </cell>
          <cell r="B1312">
            <v>2017</v>
          </cell>
          <cell r="C1312">
            <v>8300</v>
          </cell>
          <cell r="D1312">
            <v>2</v>
          </cell>
          <cell r="E1312">
            <v>3</v>
          </cell>
          <cell r="F1312">
            <v>3</v>
          </cell>
          <cell r="G1312">
            <v>2000</v>
          </cell>
          <cell r="H1312">
            <v>2800</v>
          </cell>
          <cell r="I1312">
            <v>283</v>
          </cell>
          <cell r="K1312" t="str">
            <v>Coderas tácticas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 t="str">
            <v>Pieza</v>
          </cell>
          <cell r="T1312">
            <v>0</v>
          </cell>
          <cell r="V1312" t="str">
            <v>FC/FM</v>
          </cell>
        </row>
        <row r="1313">
          <cell r="A1313">
            <v>232</v>
          </cell>
          <cell r="B1313">
            <v>2017</v>
          </cell>
          <cell r="C1313">
            <v>8300</v>
          </cell>
          <cell r="D1313">
            <v>2</v>
          </cell>
          <cell r="E1313">
            <v>3</v>
          </cell>
          <cell r="F1313">
            <v>3</v>
          </cell>
          <cell r="G1313">
            <v>2000</v>
          </cell>
          <cell r="H1313">
            <v>2800</v>
          </cell>
          <cell r="I1313">
            <v>283</v>
          </cell>
          <cell r="K1313" t="str">
            <v>Cuerdas de rapel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 t="str">
            <v>Pieza</v>
          </cell>
          <cell r="T1313">
            <v>0</v>
          </cell>
          <cell r="V1313" t="str">
            <v>FC/FM</v>
          </cell>
        </row>
        <row r="1314">
          <cell r="A1314">
            <v>233</v>
          </cell>
          <cell r="B1314">
            <v>2017</v>
          </cell>
          <cell r="C1314">
            <v>8300</v>
          </cell>
          <cell r="D1314">
            <v>2</v>
          </cell>
          <cell r="E1314">
            <v>3</v>
          </cell>
          <cell r="F1314">
            <v>3</v>
          </cell>
          <cell r="G1314">
            <v>2000</v>
          </cell>
          <cell r="H1314">
            <v>2800</v>
          </cell>
          <cell r="I1314">
            <v>283</v>
          </cell>
          <cell r="K1314" t="str">
            <v>Descensor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 t="str">
            <v>Pieza</v>
          </cell>
          <cell r="T1314">
            <v>0</v>
          </cell>
          <cell r="V1314" t="str">
            <v>FC/FM</v>
          </cell>
        </row>
        <row r="1315">
          <cell r="A1315">
            <v>234</v>
          </cell>
          <cell r="B1315">
            <v>2017</v>
          </cell>
          <cell r="C1315">
            <v>8300</v>
          </cell>
          <cell r="D1315">
            <v>2</v>
          </cell>
          <cell r="E1315">
            <v>3</v>
          </cell>
          <cell r="F1315">
            <v>3</v>
          </cell>
          <cell r="G1315">
            <v>2000</v>
          </cell>
          <cell r="H1315">
            <v>2800</v>
          </cell>
          <cell r="I1315">
            <v>283</v>
          </cell>
          <cell r="K1315" t="str">
            <v>Escudo antimotín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 t="str">
            <v>Pieza</v>
          </cell>
          <cell r="T1315">
            <v>0</v>
          </cell>
          <cell r="V1315" t="str">
            <v>FC/FM</v>
          </cell>
        </row>
        <row r="1316">
          <cell r="A1316">
            <v>235</v>
          </cell>
          <cell r="B1316">
            <v>2017</v>
          </cell>
          <cell r="C1316">
            <v>8300</v>
          </cell>
          <cell r="D1316">
            <v>2</v>
          </cell>
          <cell r="E1316">
            <v>3</v>
          </cell>
          <cell r="F1316">
            <v>3</v>
          </cell>
          <cell r="G1316">
            <v>2000</v>
          </cell>
          <cell r="H1316">
            <v>2800</v>
          </cell>
          <cell r="I1316">
            <v>283</v>
          </cell>
          <cell r="K1316" t="str">
            <v>Escudo balístico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 t="str">
            <v>Pieza</v>
          </cell>
          <cell r="V1316" t="str">
            <v>FC/FM</v>
          </cell>
        </row>
        <row r="1317">
          <cell r="A1317">
            <v>236</v>
          </cell>
          <cell r="B1317">
            <v>2017</v>
          </cell>
          <cell r="C1317">
            <v>8300</v>
          </cell>
          <cell r="D1317">
            <v>2</v>
          </cell>
          <cell r="E1317">
            <v>3</v>
          </cell>
          <cell r="F1317">
            <v>3</v>
          </cell>
          <cell r="G1317">
            <v>2000</v>
          </cell>
          <cell r="H1317">
            <v>2800</v>
          </cell>
          <cell r="I1317">
            <v>283</v>
          </cell>
          <cell r="K1317" t="str">
            <v>Escudo policarbonato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 t="str">
            <v>Pieza</v>
          </cell>
          <cell r="V1317" t="str">
            <v>FC/FM</v>
          </cell>
        </row>
        <row r="1318">
          <cell r="A1318">
            <v>237</v>
          </cell>
          <cell r="B1318">
            <v>2017</v>
          </cell>
          <cell r="C1318">
            <v>8300</v>
          </cell>
          <cell r="D1318">
            <v>2</v>
          </cell>
          <cell r="E1318">
            <v>3</v>
          </cell>
          <cell r="F1318">
            <v>3</v>
          </cell>
          <cell r="G1318">
            <v>2000</v>
          </cell>
          <cell r="H1318">
            <v>2800</v>
          </cell>
          <cell r="I1318">
            <v>283</v>
          </cell>
          <cell r="K1318" t="str">
            <v>Espejo táctico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 t="str">
            <v>Pieza</v>
          </cell>
          <cell r="V1318" t="str">
            <v>FC/FM</v>
          </cell>
        </row>
        <row r="1319">
          <cell r="A1319">
            <v>238</v>
          </cell>
          <cell r="B1319">
            <v>2017</v>
          </cell>
          <cell r="C1319">
            <v>8300</v>
          </cell>
          <cell r="D1319">
            <v>2</v>
          </cell>
          <cell r="E1319">
            <v>3</v>
          </cell>
          <cell r="F1319">
            <v>3</v>
          </cell>
          <cell r="G1319">
            <v>2000</v>
          </cell>
          <cell r="H1319">
            <v>2800</v>
          </cell>
          <cell r="I1319">
            <v>283</v>
          </cell>
          <cell r="K1319" t="str">
            <v>Esposas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 t="str">
            <v>Pieza</v>
          </cell>
          <cell r="V1319" t="str">
            <v>FC/FM</v>
          </cell>
        </row>
        <row r="1320">
          <cell r="A1320">
            <v>239</v>
          </cell>
          <cell r="B1320">
            <v>2017</v>
          </cell>
          <cell r="C1320">
            <v>8300</v>
          </cell>
          <cell r="D1320">
            <v>2</v>
          </cell>
          <cell r="E1320">
            <v>3</v>
          </cell>
          <cell r="F1320">
            <v>3</v>
          </cell>
          <cell r="G1320">
            <v>2000</v>
          </cell>
          <cell r="H1320">
            <v>2800</v>
          </cell>
          <cell r="I1320">
            <v>283</v>
          </cell>
          <cell r="K1320" t="str">
            <v>Goggle táctico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 t="str">
            <v>Pieza</v>
          </cell>
          <cell r="V1320" t="str">
            <v>FC/FM</v>
          </cell>
        </row>
        <row r="1321">
          <cell r="A1321">
            <v>240</v>
          </cell>
          <cell r="B1321">
            <v>2017</v>
          </cell>
          <cell r="C1321">
            <v>8300</v>
          </cell>
          <cell r="D1321">
            <v>2</v>
          </cell>
          <cell r="E1321">
            <v>3</v>
          </cell>
          <cell r="F1321">
            <v>3</v>
          </cell>
          <cell r="G1321">
            <v>2000</v>
          </cell>
          <cell r="H1321">
            <v>2800</v>
          </cell>
          <cell r="I1321">
            <v>283</v>
          </cell>
          <cell r="K1321" t="str">
            <v>Guantes normal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 t="str">
            <v>Pieza</v>
          </cell>
          <cell r="V1321" t="str">
            <v>FC/FM</v>
          </cell>
        </row>
        <row r="1322">
          <cell r="A1322">
            <v>241</v>
          </cell>
          <cell r="B1322">
            <v>2017</v>
          </cell>
          <cell r="C1322">
            <v>8300</v>
          </cell>
          <cell r="D1322">
            <v>2</v>
          </cell>
          <cell r="E1322">
            <v>3</v>
          </cell>
          <cell r="F1322">
            <v>3</v>
          </cell>
          <cell r="G1322">
            <v>2000</v>
          </cell>
          <cell r="H1322">
            <v>2800</v>
          </cell>
          <cell r="I1322">
            <v>283</v>
          </cell>
          <cell r="K1322" t="str">
            <v>Guantes tácticos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 t="str">
            <v>Pieza</v>
          </cell>
          <cell r="V1322" t="str">
            <v>FC/FM</v>
          </cell>
        </row>
        <row r="1323">
          <cell r="A1323">
            <v>242</v>
          </cell>
          <cell r="B1323">
            <v>2017</v>
          </cell>
          <cell r="C1323">
            <v>8300</v>
          </cell>
          <cell r="D1323">
            <v>2</v>
          </cell>
          <cell r="E1323">
            <v>3</v>
          </cell>
          <cell r="F1323">
            <v>3</v>
          </cell>
          <cell r="G1323">
            <v>2000</v>
          </cell>
          <cell r="H1323">
            <v>2800</v>
          </cell>
          <cell r="I1323">
            <v>283</v>
          </cell>
          <cell r="K1323" t="str">
            <v>Máscara antigás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 t="str">
            <v>Pieza</v>
          </cell>
          <cell r="V1323" t="str">
            <v>FC/FM</v>
          </cell>
        </row>
        <row r="1324">
          <cell r="A1324">
            <v>243</v>
          </cell>
          <cell r="B1324">
            <v>2017</v>
          </cell>
          <cell r="C1324">
            <v>8300</v>
          </cell>
          <cell r="D1324">
            <v>2</v>
          </cell>
          <cell r="E1324">
            <v>3</v>
          </cell>
          <cell r="F1324">
            <v>3</v>
          </cell>
          <cell r="G1324">
            <v>2000</v>
          </cell>
          <cell r="H1324">
            <v>2800</v>
          </cell>
          <cell r="I1324">
            <v>283</v>
          </cell>
          <cell r="K1324" t="str">
            <v>Mosquetón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 t="str">
            <v>Pieza</v>
          </cell>
          <cell r="V1324" t="str">
            <v>FC/FM</v>
          </cell>
        </row>
        <row r="1325">
          <cell r="A1325">
            <v>244</v>
          </cell>
          <cell r="B1325">
            <v>2017</v>
          </cell>
          <cell r="C1325">
            <v>8300</v>
          </cell>
          <cell r="D1325">
            <v>2</v>
          </cell>
          <cell r="E1325">
            <v>3</v>
          </cell>
          <cell r="F1325">
            <v>3</v>
          </cell>
          <cell r="G1325">
            <v>2000</v>
          </cell>
          <cell r="H1325">
            <v>2800</v>
          </cell>
          <cell r="I1325">
            <v>283</v>
          </cell>
          <cell r="K1325" t="str">
            <v>Ocho de rescate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 t="str">
            <v>Pieza</v>
          </cell>
          <cell r="V1325" t="str">
            <v>FC/FM</v>
          </cell>
        </row>
        <row r="1326">
          <cell r="A1326">
            <v>245</v>
          </cell>
          <cell r="B1326">
            <v>2017</v>
          </cell>
          <cell r="C1326">
            <v>8300</v>
          </cell>
          <cell r="D1326">
            <v>2</v>
          </cell>
          <cell r="E1326">
            <v>3</v>
          </cell>
          <cell r="F1326">
            <v>3</v>
          </cell>
          <cell r="G1326">
            <v>2000</v>
          </cell>
          <cell r="H1326">
            <v>2800</v>
          </cell>
          <cell r="I1326">
            <v>283</v>
          </cell>
          <cell r="K1326" t="str">
            <v>Placas balísticas mínimo nivel IV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 t="str">
            <v>Pieza</v>
          </cell>
          <cell r="V1326" t="str">
            <v>FC/FM</v>
          </cell>
        </row>
        <row r="1327">
          <cell r="A1327">
            <v>246</v>
          </cell>
          <cell r="B1327">
            <v>2017</v>
          </cell>
          <cell r="C1327">
            <v>8300</v>
          </cell>
          <cell r="D1327">
            <v>2</v>
          </cell>
          <cell r="E1327">
            <v>3</v>
          </cell>
          <cell r="F1327">
            <v>3</v>
          </cell>
          <cell r="G1327">
            <v>2000</v>
          </cell>
          <cell r="H1327">
            <v>2800</v>
          </cell>
          <cell r="I1327">
            <v>283</v>
          </cell>
          <cell r="K1327" t="str">
            <v>Equipo antimotín (contempla casco con careta, protectores de pecho, espalda, codos, antebrazos, cadera, ingles, coxis, muslos, rodilleras, espinillas, empeines, guantes, escudo de policarbonato, máscara antigás y tolete)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 t="str">
            <v>Pieza</v>
          </cell>
          <cell r="V1327" t="str">
            <v>FC/FM</v>
          </cell>
        </row>
        <row r="1328">
          <cell r="A1328">
            <v>247</v>
          </cell>
          <cell r="B1328">
            <v>2017</v>
          </cell>
          <cell r="C1328">
            <v>8300</v>
          </cell>
          <cell r="D1328">
            <v>2</v>
          </cell>
          <cell r="E1328">
            <v>3</v>
          </cell>
          <cell r="F1328">
            <v>3</v>
          </cell>
          <cell r="G1328">
            <v>2000</v>
          </cell>
          <cell r="H1328">
            <v>2800</v>
          </cell>
          <cell r="I1328">
            <v>283</v>
          </cell>
          <cell r="K1328" t="str">
            <v>Rodilleras tácticas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 t="str">
            <v>Pieza</v>
          </cell>
          <cell r="V1328" t="str">
            <v>FC/FM</v>
          </cell>
        </row>
        <row r="1329">
          <cell r="A1329">
            <v>248</v>
          </cell>
          <cell r="B1329">
            <v>2017</v>
          </cell>
          <cell r="C1329">
            <v>8300</v>
          </cell>
          <cell r="D1329">
            <v>2</v>
          </cell>
          <cell r="E1329">
            <v>3</v>
          </cell>
          <cell r="F1329">
            <v>3</v>
          </cell>
          <cell r="G1329">
            <v>2000</v>
          </cell>
          <cell r="H1329">
            <v>2800</v>
          </cell>
          <cell r="I1329">
            <v>283</v>
          </cell>
          <cell r="K1329" t="str">
            <v>Tolete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 t="str">
            <v>Pieza</v>
          </cell>
          <cell r="V1329" t="str">
            <v>FC/FM</v>
          </cell>
        </row>
        <row r="1330">
          <cell r="A1330">
            <v>249</v>
          </cell>
          <cell r="B1330">
            <v>2017</v>
          </cell>
          <cell r="C1330">
            <v>8300</v>
          </cell>
          <cell r="D1330">
            <v>2</v>
          </cell>
          <cell r="E1330">
            <v>3</v>
          </cell>
          <cell r="F1330">
            <v>3</v>
          </cell>
          <cell r="G1330">
            <v>2000</v>
          </cell>
          <cell r="H1330">
            <v>2800</v>
          </cell>
          <cell r="I1330">
            <v>283</v>
          </cell>
          <cell r="J1330">
            <v>3</v>
          </cell>
          <cell r="K1330" t="str">
            <v>Prendas de protección para Procuración de Justicia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 t="str">
            <v>Pieza</v>
          </cell>
          <cell r="V1330" t="str">
            <v>FC</v>
          </cell>
        </row>
        <row r="1331">
          <cell r="A1331">
            <v>250</v>
          </cell>
          <cell r="B1331">
            <v>2017</v>
          </cell>
          <cell r="C1331">
            <v>8300</v>
          </cell>
          <cell r="D1331">
            <v>2</v>
          </cell>
          <cell r="E1331">
            <v>3</v>
          </cell>
          <cell r="F1331">
            <v>3</v>
          </cell>
          <cell r="G1331">
            <v>2000</v>
          </cell>
          <cell r="H1331">
            <v>2800</v>
          </cell>
          <cell r="I1331">
            <v>283</v>
          </cell>
          <cell r="K1331" t="str">
            <v>Arnés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 t="str">
            <v>Pieza</v>
          </cell>
          <cell r="V1331" t="str">
            <v>FC</v>
          </cell>
        </row>
        <row r="1332">
          <cell r="A1332">
            <v>251</v>
          </cell>
          <cell r="B1332">
            <v>2017</v>
          </cell>
          <cell r="C1332">
            <v>8300</v>
          </cell>
          <cell r="D1332">
            <v>2</v>
          </cell>
          <cell r="E1332">
            <v>3</v>
          </cell>
          <cell r="F1332">
            <v>3</v>
          </cell>
          <cell r="G1332">
            <v>2000</v>
          </cell>
          <cell r="H1332">
            <v>2800</v>
          </cell>
          <cell r="I1332">
            <v>283</v>
          </cell>
          <cell r="K1332" t="str">
            <v>Bata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 t="str">
            <v>Pieza</v>
          </cell>
          <cell r="V1332" t="str">
            <v>FC</v>
          </cell>
        </row>
        <row r="1333">
          <cell r="A1333">
            <v>252</v>
          </cell>
          <cell r="B1333">
            <v>2017</v>
          </cell>
          <cell r="C1333">
            <v>8300</v>
          </cell>
          <cell r="D1333">
            <v>2</v>
          </cell>
          <cell r="E1333">
            <v>3</v>
          </cell>
          <cell r="F1333">
            <v>3</v>
          </cell>
          <cell r="G1333">
            <v>2000</v>
          </cell>
          <cell r="H1333">
            <v>2800</v>
          </cell>
          <cell r="I1333">
            <v>283</v>
          </cell>
          <cell r="K1333" t="str">
            <v>Bastón retráctil con porta bastón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 t="str">
            <v>Pieza</v>
          </cell>
          <cell r="V1333" t="str">
            <v>FC</v>
          </cell>
        </row>
        <row r="1334">
          <cell r="A1334">
            <v>253</v>
          </cell>
          <cell r="B1334">
            <v>2017</v>
          </cell>
          <cell r="C1334">
            <v>8300</v>
          </cell>
          <cell r="D1334">
            <v>2</v>
          </cell>
          <cell r="E1334">
            <v>3</v>
          </cell>
          <cell r="F1334">
            <v>3</v>
          </cell>
          <cell r="G1334">
            <v>2000</v>
          </cell>
          <cell r="H1334">
            <v>2800</v>
          </cell>
          <cell r="I1334">
            <v>283</v>
          </cell>
          <cell r="K1334" t="str">
            <v>Candado de mano</v>
          </cell>
          <cell r="L1334">
            <v>0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 t="str">
            <v>Pieza</v>
          </cell>
          <cell r="V1334" t="str">
            <v>FC</v>
          </cell>
        </row>
        <row r="1335">
          <cell r="A1335">
            <v>254</v>
          </cell>
          <cell r="B1335">
            <v>2017</v>
          </cell>
          <cell r="C1335">
            <v>8300</v>
          </cell>
          <cell r="D1335">
            <v>2</v>
          </cell>
          <cell r="E1335">
            <v>3</v>
          </cell>
          <cell r="F1335">
            <v>3</v>
          </cell>
          <cell r="G1335">
            <v>2000</v>
          </cell>
          <cell r="H1335">
            <v>2800</v>
          </cell>
          <cell r="I1335">
            <v>283</v>
          </cell>
          <cell r="K1335" t="str">
            <v>Casco antimotín</v>
          </cell>
          <cell r="L1335">
            <v>0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 t="str">
            <v>Pieza</v>
          </cell>
          <cell r="V1335" t="str">
            <v>FC</v>
          </cell>
        </row>
        <row r="1336">
          <cell r="A1336">
            <v>255</v>
          </cell>
          <cell r="B1336">
            <v>2017</v>
          </cell>
          <cell r="C1336">
            <v>8300</v>
          </cell>
          <cell r="D1336">
            <v>2</v>
          </cell>
          <cell r="E1336">
            <v>3</v>
          </cell>
          <cell r="F1336">
            <v>3</v>
          </cell>
          <cell r="G1336">
            <v>2000</v>
          </cell>
          <cell r="H1336">
            <v>2800</v>
          </cell>
          <cell r="I1336">
            <v>283</v>
          </cell>
          <cell r="K1336" t="str">
            <v>Casco balístico mínimo nivel III-A, con careta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 t="str">
            <v>Pieza</v>
          </cell>
          <cell r="V1336" t="str">
            <v>FC</v>
          </cell>
        </row>
        <row r="1337">
          <cell r="A1337">
            <v>256</v>
          </cell>
          <cell r="B1337">
            <v>2017</v>
          </cell>
          <cell r="C1337">
            <v>8300</v>
          </cell>
          <cell r="D1337">
            <v>2</v>
          </cell>
          <cell r="E1337">
            <v>3</v>
          </cell>
          <cell r="F1337">
            <v>3</v>
          </cell>
          <cell r="G1337">
            <v>2000</v>
          </cell>
          <cell r="H1337">
            <v>2800</v>
          </cell>
          <cell r="I1337">
            <v>283</v>
          </cell>
          <cell r="K1337" t="str">
            <v>Casco para motociclista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 t="str">
            <v>Pieza</v>
          </cell>
          <cell r="V1337" t="str">
            <v>FC</v>
          </cell>
        </row>
        <row r="1338">
          <cell r="A1338">
            <v>257</v>
          </cell>
          <cell r="B1338">
            <v>2017</v>
          </cell>
          <cell r="C1338">
            <v>8300</v>
          </cell>
          <cell r="D1338">
            <v>2</v>
          </cell>
          <cell r="E1338">
            <v>3</v>
          </cell>
          <cell r="F1338">
            <v>3</v>
          </cell>
          <cell r="G1338">
            <v>2000</v>
          </cell>
          <cell r="H1338">
            <v>2800</v>
          </cell>
          <cell r="I1338">
            <v>283</v>
          </cell>
          <cell r="K1338" t="str">
            <v>Chaleco balístico mínimo nivel III-A, con dos placas balisticas para escalar a nivel IV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 t="str">
            <v>Pieza</v>
          </cell>
          <cell r="V1338" t="str">
            <v>FC</v>
          </cell>
        </row>
        <row r="1339">
          <cell r="A1339">
            <v>258</v>
          </cell>
          <cell r="B1339">
            <v>2017</v>
          </cell>
          <cell r="C1339">
            <v>8300</v>
          </cell>
          <cell r="D1339">
            <v>2</v>
          </cell>
          <cell r="E1339">
            <v>3</v>
          </cell>
          <cell r="F1339">
            <v>3</v>
          </cell>
          <cell r="G1339">
            <v>2000</v>
          </cell>
          <cell r="H1339">
            <v>2800</v>
          </cell>
          <cell r="I1339">
            <v>283</v>
          </cell>
          <cell r="K1339" t="str">
            <v>Chaleco antipunta</v>
          </cell>
          <cell r="L1339">
            <v>0</v>
          </cell>
          <cell r="M1339">
            <v>0</v>
          </cell>
          <cell r="N1339">
            <v>0</v>
          </cell>
          <cell r="O1339">
            <v>0</v>
          </cell>
          <cell r="P1339">
            <v>0</v>
          </cell>
          <cell r="Q1339">
            <v>0</v>
          </cell>
          <cell r="R1339">
            <v>0</v>
          </cell>
          <cell r="S1339" t="str">
            <v>Pieza</v>
          </cell>
          <cell r="V1339" t="str">
            <v>FC</v>
          </cell>
        </row>
        <row r="1340">
          <cell r="A1340">
            <v>259</v>
          </cell>
          <cell r="B1340">
            <v>2017</v>
          </cell>
          <cell r="C1340">
            <v>8300</v>
          </cell>
          <cell r="D1340">
            <v>2</v>
          </cell>
          <cell r="E1340">
            <v>3</v>
          </cell>
          <cell r="F1340">
            <v>3</v>
          </cell>
          <cell r="G1340">
            <v>2000</v>
          </cell>
          <cell r="H1340">
            <v>2800</v>
          </cell>
          <cell r="I1340">
            <v>283</v>
          </cell>
          <cell r="K1340" t="str">
            <v>Coderas tácticas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 t="str">
            <v>Pieza</v>
          </cell>
          <cell r="V1340" t="str">
            <v>FC</v>
          </cell>
        </row>
        <row r="1341">
          <cell r="A1341">
            <v>260</v>
          </cell>
          <cell r="B1341">
            <v>2017</v>
          </cell>
          <cell r="C1341">
            <v>8300</v>
          </cell>
          <cell r="D1341">
            <v>2</v>
          </cell>
          <cell r="E1341">
            <v>3</v>
          </cell>
          <cell r="F1341">
            <v>3</v>
          </cell>
          <cell r="G1341">
            <v>2000</v>
          </cell>
          <cell r="H1341">
            <v>2800</v>
          </cell>
          <cell r="I1341">
            <v>283</v>
          </cell>
          <cell r="K1341" t="str">
            <v>Cuerdas de rapel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 t="str">
            <v>Pieza</v>
          </cell>
          <cell r="V1341" t="str">
            <v>FC</v>
          </cell>
        </row>
        <row r="1342">
          <cell r="A1342">
            <v>261</v>
          </cell>
          <cell r="B1342">
            <v>2017</v>
          </cell>
          <cell r="C1342">
            <v>8300</v>
          </cell>
          <cell r="D1342">
            <v>2</v>
          </cell>
          <cell r="E1342">
            <v>3</v>
          </cell>
          <cell r="F1342">
            <v>3</v>
          </cell>
          <cell r="G1342">
            <v>2000</v>
          </cell>
          <cell r="H1342">
            <v>2800</v>
          </cell>
          <cell r="I1342">
            <v>283</v>
          </cell>
          <cell r="K1342" t="str">
            <v>Descensor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 t="str">
            <v>Pieza</v>
          </cell>
          <cell r="V1342" t="str">
            <v>FC</v>
          </cell>
        </row>
        <row r="1343">
          <cell r="A1343">
            <v>262</v>
          </cell>
          <cell r="B1343">
            <v>2017</v>
          </cell>
          <cell r="C1343">
            <v>8300</v>
          </cell>
          <cell r="D1343">
            <v>2</v>
          </cell>
          <cell r="E1343">
            <v>3</v>
          </cell>
          <cell r="F1343">
            <v>3</v>
          </cell>
          <cell r="G1343">
            <v>2000</v>
          </cell>
          <cell r="H1343">
            <v>2800</v>
          </cell>
          <cell r="I1343">
            <v>283</v>
          </cell>
          <cell r="K1343" t="str">
            <v>Escudo antimotín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 t="str">
            <v>Pieza</v>
          </cell>
          <cell r="V1343" t="str">
            <v>FC</v>
          </cell>
        </row>
        <row r="1344">
          <cell r="A1344">
            <v>263</v>
          </cell>
          <cell r="B1344">
            <v>2017</v>
          </cell>
          <cell r="C1344">
            <v>8300</v>
          </cell>
          <cell r="D1344">
            <v>2</v>
          </cell>
          <cell r="E1344">
            <v>3</v>
          </cell>
          <cell r="F1344">
            <v>3</v>
          </cell>
          <cell r="G1344">
            <v>2000</v>
          </cell>
          <cell r="H1344">
            <v>2800</v>
          </cell>
          <cell r="I1344">
            <v>283</v>
          </cell>
          <cell r="K1344" t="str">
            <v>Escudo balístico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 t="str">
            <v>Pieza</v>
          </cell>
          <cell r="V1344" t="str">
            <v>FC</v>
          </cell>
        </row>
        <row r="1345">
          <cell r="A1345">
            <v>264</v>
          </cell>
          <cell r="B1345">
            <v>2017</v>
          </cell>
          <cell r="C1345">
            <v>8300</v>
          </cell>
          <cell r="D1345">
            <v>2</v>
          </cell>
          <cell r="E1345">
            <v>3</v>
          </cell>
          <cell r="F1345">
            <v>3</v>
          </cell>
          <cell r="G1345">
            <v>2000</v>
          </cell>
          <cell r="H1345">
            <v>2800</v>
          </cell>
          <cell r="I1345">
            <v>283</v>
          </cell>
          <cell r="K1345" t="str">
            <v>Escudo policarbonato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 t="str">
            <v>Pieza</v>
          </cell>
          <cell r="V1345" t="str">
            <v>FC</v>
          </cell>
        </row>
        <row r="1346">
          <cell r="A1346">
            <v>265</v>
          </cell>
          <cell r="B1346">
            <v>2017</v>
          </cell>
          <cell r="C1346">
            <v>8300</v>
          </cell>
          <cell r="D1346">
            <v>2</v>
          </cell>
          <cell r="E1346">
            <v>3</v>
          </cell>
          <cell r="F1346">
            <v>3</v>
          </cell>
          <cell r="G1346">
            <v>2000</v>
          </cell>
          <cell r="H1346">
            <v>2800</v>
          </cell>
          <cell r="I1346">
            <v>283</v>
          </cell>
          <cell r="K1346" t="str">
            <v>Espejo táctico</v>
          </cell>
          <cell r="L1346">
            <v>0</v>
          </cell>
          <cell r="M1346">
            <v>0</v>
          </cell>
          <cell r="N1346">
            <v>0</v>
          </cell>
          <cell r="O1346">
            <v>0</v>
          </cell>
          <cell r="P1346">
            <v>0</v>
          </cell>
          <cell r="Q1346">
            <v>0</v>
          </cell>
          <cell r="R1346">
            <v>0</v>
          </cell>
          <cell r="S1346" t="str">
            <v>Pieza</v>
          </cell>
          <cell r="V1346" t="str">
            <v>FC</v>
          </cell>
        </row>
        <row r="1347">
          <cell r="A1347">
            <v>266</v>
          </cell>
          <cell r="B1347">
            <v>2017</v>
          </cell>
          <cell r="C1347">
            <v>8300</v>
          </cell>
          <cell r="D1347">
            <v>2</v>
          </cell>
          <cell r="E1347">
            <v>3</v>
          </cell>
          <cell r="F1347">
            <v>3</v>
          </cell>
          <cell r="G1347">
            <v>2000</v>
          </cell>
          <cell r="H1347">
            <v>2800</v>
          </cell>
          <cell r="I1347">
            <v>283</v>
          </cell>
          <cell r="K1347" t="str">
            <v>Esposas</v>
          </cell>
          <cell r="L1347">
            <v>0</v>
          </cell>
          <cell r="M1347">
            <v>0</v>
          </cell>
          <cell r="N1347">
            <v>0</v>
          </cell>
          <cell r="O1347">
            <v>0</v>
          </cell>
          <cell r="P1347">
            <v>0</v>
          </cell>
          <cell r="Q1347">
            <v>0</v>
          </cell>
          <cell r="R1347">
            <v>0</v>
          </cell>
          <cell r="S1347" t="str">
            <v>Pieza</v>
          </cell>
          <cell r="V1347" t="str">
            <v>FC</v>
          </cell>
        </row>
        <row r="1348">
          <cell r="A1348">
            <v>267</v>
          </cell>
          <cell r="B1348">
            <v>2017</v>
          </cell>
          <cell r="C1348">
            <v>8300</v>
          </cell>
          <cell r="D1348">
            <v>2</v>
          </cell>
          <cell r="E1348">
            <v>3</v>
          </cell>
          <cell r="F1348">
            <v>3</v>
          </cell>
          <cell r="G1348">
            <v>2000</v>
          </cell>
          <cell r="H1348">
            <v>2800</v>
          </cell>
          <cell r="I1348">
            <v>283</v>
          </cell>
          <cell r="K1348" t="str">
            <v>Goggle táctico</v>
          </cell>
          <cell r="L1348">
            <v>0</v>
          </cell>
          <cell r="M1348">
            <v>0</v>
          </cell>
          <cell r="N1348">
            <v>0</v>
          </cell>
          <cell r="O1348">
            <v>0</v>
          </cell>
          <cell r="P1348">
            <v>0</v>
          </cell>
          <cell r="Q1348">
            <v>0</v>
          </cell>
          <cell r="R1348">
            <v>0</v>
          </cell>
          <cell r="S1348" t="str">
            <v>Pieza</v>
          </cell>
          <cell r="V1348" t="str">
            <v>FC</v>
          </cell>
        </row>
        <row r="1349">
          <cell r="A1349">
            <v>268</v>
          </cell>
          <cell r="B1349">
            <v>2017</v>
          </cell>
          <cell r="C1349">
            <v>8300</v>
          </cell>
          <cell r="D1349">
            <v>2</v>
          </cell>
          <cell r="E1349">
            <v>3</v>
          </cell>
          <cell r="F1349">
            <v>3</v>
          </cell>
          <cell r="G1349">
            <v>2000</v>
          </cell>
          <cell r="H1349">
            <v>2800</v>
          </cell>
          <cell r="I1349">
            <v>283</v>
          </cell>
          <cell r="K1349" t="str">
            <v>Guantes normal</v>
          </cell>
          <cell r="L1349">
            <v>0</v>
          </cell>
          <cell r="M1349">
            <v>0</v>
          </cell>
          <cell r="N1349">
            <v>0</v>
          </cell>
          <cell r="O1349">
            <v>0</v>
          </cell>
          <cell r="P1349">
            <v>0</v>
          </cell>
          <cell r="Q1349">
            <v>0</v>
          </cell>
          <cell r="R1349">
            <v>0</v>
          </cell>
          <cell r="S1349" t="str">
            <v>Pieza</v>
          </cell>
          <cell r="V1349" t="str">
            <v>FC</v>
          </cell>
        </row>
        <row r="1350">
          <cell r="A1350">
            <v>269</v>
          </cell>
          <cell r="B1350">
            <v>2017</v>
          </cell>
          <cell r="C1350">
            <v>8300</v>
          </cell>
          <cell r="D1350">
            <v>2</v>
          </cell>
          <cell r="E1350">
            <v>3</v>
          </cell>
          <cell r="F1350">
            <v>3</v>
          </cell>
          <cell r="G1350">
            <v>2000</v>
          </cell>
          <cell r="H1350">
            <v>2800</v>
          </cell>
          <cell r="I1350">
            <v>283</v>
          </cell>
          <cell r="K1350" t="str">
            <v>Guantes tácticos</v>
          </cell>
          <cell r="L1350">
            <v>0</v>
          </cell>
          <cell r="M1350">
            <v>0</v>
          </cell>
          <cell r="N1350">
            <v>0</v>
          </cell>
          <cell r="O1350">
            <v>0</v>
          </cell>
          <cell r="P1350">
            <v>0</v>
          </cell>
          <cell r="Q1350">
            <v>0</v>
          </cell>
          <cell r="R1350">
            <v>0</v>
          </cell>
          <cell r="S1350" t="str">
            <v>Pieza</v>
          </cell>
          <cell r="V1350" t="str">
            <v>FC</v>
          </cell>
        </row>
        <row r="1351">
          <cell r="A1351">
            <v>270</v>
          </cell>
          <cell r="B1351">
            <v>2017</v>
          </cell>
          <cell r="C1351">
            <v>8300</v>
          </cell>
          <cell r="D1351">
            <v>2</v>
          </cell>
          <cell r="E1351">
            <v>3</v>
          </cell>
          <cell r="F1351">
            <v>3</v>
          </cell>
          <cell r="G1351">
            <v>2000</v>
          </cell>
          <cell r="H1351">
            <v>2800</v>
          </cell>
          <cell r="I1351">
            <v>283</v>
          </cell>
          <cell r="K1351" t="str">
            <v>Máscara antigás</v>
          </cell>
          <cell r="L1351">
            <v>0</v>
          </cell>
          <cell r="M1351">
            <v>0</v>
          </cell>
          <cell r="N1351">
            <v>0</v>
          </cell>
          <cell r="O1351">
            <v>0</v>
          </cell>
          <cell r="P1351">
            <v>0</v>
          </cell>
          <cell r="Q1351">
            <v>0</v>
          </cell>
          <cell r="R1351">
            <v>0</v>
          </cell>
          <cell r="S1351" t="str">
            <v>Pieza</v>
          </cell>
          <cell r="V1351" t="str">
            <v>FC</v>
          </cell>
        </row>
        <row r="1352">
          <cell r="A1352">
            <v>271</v>
          </cell>
          <cell r="B1352">
            <v>2017</v>
          </cell>
          <cell r="C1352">
            <v>8300</v>
          </cell>
          <cell r="D1352">
            <v>2</v>
          </cell>
          <cell r="E1352">
            <v>3</v>
          </cell>
          <cell r="F1352">
            <v>3</v>
          </cell>
          <cell r="G1352">
            <v>2000</v>
          </cell>
          <cell r="H1352">
            <v>2800</v>
          </cell>
          <cell r="I1352">
            <v>283</v>
          </cell>
          <cell r="K1352" t="str">
            <v>Mosquetón</v>
          </cell>
          <cell r="L1352">
            <v>0</v>
          </cell>
          <cell r="M1352">
            <v>0</v>
          </cell>
          <cell r="N1352">
            <v>0</v>
          </cell>
          <cell r="O1352">
            <v>0</v>
          </cell>
          <cell r="P1352">
            <v>0</v>
          </cell>
          <cell r="Q1352">
            <v>0</v>
          </cell>
          <cell r="R1352">
            <v>0</v>
          </cell>
          <cell r="S1352" t="str">
            <v>Pieza</v>
          </cell>
          <cell r="V1352" t="str">
            <v>FC</v>
          </cell>
        </row>
        <row r="1353">
          <cell r="A1353">
            <v>272</v>
          </cell>
          <cell r="B1353">
            <v>2017</v>
          </cell>
          <cell r="C1353">
            <v>8300</v>
          </cell>
          <cell r="D1353">
            <v>2</v>
          </cell>
          <cell r="E1353">
            <v>3</v>
          </cell>
          <cell r="F1353">
            <v>3</v>
          </cell>
          <cell r="G1353">
            <v>2000</v>
          </cell>
          <cell r="H1353">
            <v>2800</v>
          </cell>
          <cell r="I1353">
            <v>283</v>
          </cell>
          <cell r="K1353" t="str">
            <v>Ocho de rescate</v>
          </cell>
          <cell r="L1353">
            <v>0</v>
          </cell>
          <cell r="M1353">
            <v>0</v>
          </cell>
          <cell r="N1353">
            <v>0</v>
          </cell>
          <cell r="O1353">
            <v>0</v>
          </cell>
          <cell r="P1353">
            <v>0</v>
          </cell>
          <cell r="Q1353">
            <v>0</v>
          </cell>
          <cell r="R1353">
            <v>0</v>
          </cell>
          <cell r="S1353" t="str">
            <v>Pieza</v>
          </cell>
          <cell r="V1353" t="str">
            <v>FC</v>
          </cell>
        </row>
        <row r="1354">
          <cell r="A1354">
            <v>273</v>
          </cell>
          <cell r="B1354">
            <v>2017</v>
          </cell>
          <cell r="C1354">
            <v>8300</v>
          </cell>
          <cell r="D1354">
            <v>2</v>
          </cell>
          <cell r="E1354">
            <v>3</v>
          </cell>
          <cell r="F1354">
            <v>3</v>
          </cell>
          <cell r="G1354">
            <v>2000</v>
          </cell>
          <cell r="H1354">
            <v>2800</v>
          </cell>
          <cell r="I1354">
            <v>283</v>
          </cell>
          <cell r="K1354" t="str">
            <v>Placas balísticas mínimo nivel IV</v>
          </cell>
          <cell r="L1354">
            <v>0</v>
          </cell>
          <cell r="M1354">
            <v>0</v>
          </cell>
          <cell r="N1354">
            <v>0</v>
          </cell>
          <cell r="O1354">
            <v>0</v>
          </cell>
          <cell r="P1354">
            <v>0</v>
          </cell>
          <cell r="Q1354">
            <v>0</v>
          </cell>
          <cell r="R1354">
            <v>0</v>
          </cell>
          <cell r="S1354" t="str">
            <v>Pieza</v>
          </cell>
          <cell r="V1354" t="str">
            <v>FC</v>
          </cell>
        </row>
        <row r="1355">
          <cell r="A1355">
            <v>274</v>
          </cell>
          <cell r="B1355">
            <v>2017</v>
          </cell>
          <cell r="C1355">
            <v>8300</v>
          </cell>
          <cell r="D1355">
            <v>2</v>
          </cell>
          <cell r="E1355">
            <v>3</v>
          </cell>
          <cell r="F1355">
            <v>3</v>
          </cell>
          <cell r="G1355">
            <v>2000</v>
          </cell>
          <cell r="H1355">
            <v>2800</v>
          </cell>
          <cell r="I1355">
            <v>283</v>
          </cell>
          <cell r="K1355" t="str">
            <v>Rodilleras tácticas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 t="str">
            <v>Pieza</v>
          </cell>
          <cell r="V1355" t="str">
            <v>FC</v>
          </cell>
        </row>
        <row r="1356">
          <cell r="A1356">
            <v>275</v>
          </cell>
          <cell r="B1356">
            <v>2017</v>
          </cell>
          <cell r="C1356">
            <v>8300</v>
          </cell>
          <cell r="D1356">
            <v>2</v>
          </cell>
          <cell r="E1356">
            <v>3</v>
          </cell>
          <cell r="F1356">
            <v>3</v>
          </cell>
          <cell r="G1356">
            <v>2000</v>
          </cell>
          <cell r="H1356">
            <v>2800</v>
          </cell>
          <cell r="I1356">
            <v>283</v>
          </cell>
          <cell r="K1356" t="str">
            <v>Pierneras tácticas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 t="str">
            <v>Pieza</v>
          </cell>
          <cell r="V1356" t="str">
            <v>FC</v>
          </cell>
        </row>
        <row r="1357">
          <cell r="A1357">
            <v>276</v>
          </cell>
          <cell r="B1357">
            <v>2017</v>
          </cell>
          <cell r="C1357">
            <v>8300</v>
          </cell>
          <cell r="D1357">
            <v>2</v>
          </cell>
          <cell r="E1357">
            <v>3</v>
          </cell>
          <cell r="F1357">
            <v>3</v>
          </cell>
          <cell r="G1357">
            <v>2000</v>
          </cell>
          <cell r="H1357">
            <v>2800</v>
          </cell>
          <cell r="I1357">
            <v>283</v>
          </cell>
          <cell r="K1357" t="str">
            <v>Espinilleras tácticas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 t="str">
            <v>Pieza</v>
          </cell>
          <cell r="V1357" t="str">
            <v>FC</v>
          </cell>
        </row>
        <row r="1358">
          <cell r="A1358">
            <v>277</v>
          </cell>
          <cell r="B1358">
            <v>2017</v>
          </cell>
          <cell r="C1358">
            <v>8300</v>
          </cell>
          <cell r="D1358">
            <v>2</v>
          </cell>
          <cell r="E1358">
            <v>3</v>
          </cell>
          <cell r="F1358">
            <v>3</v>
          </cell>
          <cell r="G1358">
            <v>2000</v>
          </cell>
          <cell r="H1358">
            <v>2800</v>
          </cell>
          <cell r="I1358">
            <v>283</v>
          </cell>
          <cell r="K1358" t="str">
            <v>Linterna para arma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 t="str">
            <v>Pieza</v>
          </cell>
          <cell r="V1358" t="str">
            <v>FC</v>
          </cell>
        </row>
        <row r="1359">
          <cell r="A1359">
            <v>278</v>
          </cell>
          <cell r="B1359">
            <v>2017</v>
          </cell>
          <cell r="C1359">
            <v>8300</v>
          </cell>
          <cell r="D1359">
            <v>2</v>
          </cell>
          <cell r="E1359">
            <v>3</v>
          </cell>
          <cell r="F1359">
            <v>3</v>
          </cell>
          <cell r="G1359">
            <v>2000</v>
          </cell>
          <cell r="H1359">
            <v>2800</v>
          </cell>
          <cell r="I1359">
            <v>283</v>
          </cell>
          <cell r="K1359" t="str">
            <v>Lámpara táctica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 t="str">
            <v>Pieza</v>
          </cell>
          <cell r="V1359" t="str">
            <v>FC</v>
          </cell>
        </row>
        <row r="1360">
          <cell r="A1360">
            <v>279</v>
          </cell>
          <cell r="B1360">
            <v>2017</v>
          </cell>
          <cell r="C1360">
            <v>8300</v>
          </cell>
          <cell r="D1360">
            <v>2</v>
          </cell>
          <cell r="E1360">
            <v>3</v>
          </cell>
          <cell r="F1360">
            <v>3</v>
          </cell>
          <cell r="G1360">
            <v>2000</v>
          </cell>
          <cell r="H1360">
            <v>2900</v>
          </cell>
          <cell r="K1360" t="str">
            <v>Herramientas, refacciones y accesorios menores</v>
          </cell>
          <cell r="L1360">
            <v>0</v>
          </cell>
          <cell r="M1360">
            <v>0</v>
          </cell>
          <cell r="N1360">
            <v>0</v>
          </cell>
          <cell r="O1360">
            <v>0</v>
          </cell>
          <cell r="P1360">
            <v>0</v>
          </cell>
          <cell r="Q1360">
            <v>0</v>
          </cell>
          <cell r="R1360">
            <v>0</v>
          </cell>
        </row>
        <row r="1361">
          <cell r="A1361">
            <v>280</v>
          </cell>
          <cell r="B1361">
            <v>2017</v>
          </cell>
          <cell r="C1361">
            <v>8300</v>
          </cell>
          <cell r="D1361">
            <v>2</v>
          </cell>
          <cell r="E1361">
            <v>3</v>
          </cell>
          <cell r="F1361">
            <v>3</v>
          </cell>
          <cell r="G1361">
            <v>2000</v>
          </cell>
          <cell r="H1361">
            <v>2900</v>
          </cell>
          <cell r="I1361">
            <v>297</v>
          </cell>
          <cell r="K1361" t="str">
            <v>Refacciones y accesorios menores de equipo de defensa y seguridad</v>
          </cell>
          <cell r="L1361">
            <v>0</v>
          </cell>
          <cell r="M1361">
            <v>0</v>
          </cell>
          <cell r="N1361">
            <v>0</v>
          </cell>
          <cell r="O1361">
            <v>0</v>
          </cell>
          <cell r="P1361">
            <v>0</v>
          </cell>
          <cell r="Q1361">
            <v>0</v>
          </cell>
          <cell r="R1361">
            <v>0</v>
          </cell>
          <cell r="S1361" t="str">
            <v xml:space="preserve"> </v>
          </cell>
          <cell r="V1361" t="str">
            <v xml:space="preserve"> </v>
          </cell>
        </row>
        <row r="1362">
          <cell r="A1362">
            <v>281</v>
          </cell>
          <cell r="B1362">
            <v>2017</v>
          </cell>
          <cell r="C1362">
            <v>8300</v>
          </cell>
          <cell r="D1362">
            <v>2</v>
          </cell>
          <cell r="E1362">
            <v>3</v>
          </cell>
          <cell r="F1362">
            <v>3</v>
          </cell>
          <cell r="G1362">
            <v>2000</v>
          </cell>
          <cell r="H1362">
            <v>2900</v>
          </cell>
          <cell r="I1362">
            <v>297</v>
          </cell>
          <cell r="J1362">
            <v>1</v>
          </cell>
          <cell r="K1362" t="str">
            <v>Refacciones y accesorios menores de equipo de defensa y seguridad</v>
          </cell>
          <cell r="L1362">
            <v>0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 t="str">
            <v>Pieza</v>
          </cell>
          <cell r="V1362" t="str">
            <v>AE</v>
          </cell>
        </row>
        <row r="1363">
          <cell r="A1363">
            <v>282</v>
          </cell>
          <cell r="B1363">
            <v>2017</v>
          </cell>
          <cell r="C1363">
            <v>8300</v>
          </cell>
          <cell r="D1363">
            <v>2</v>
          </cell>
          <cell r="E1363">
            <v>3</v>
          </cell>
          <cell r="F1363">
            <v>3</v>
          </cell>
          <cell r="G1363">
            <v>3000</v>
          </cell>
          <cell r="K1363" t="str">
            <v>SERVICIOS GENERALES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</row>
        <row r="1364">
          <cell r="A1364">
            <v>283</v>
          </cell>
          <cell r="B1364">
            <v>2017</v>
          </cell>
          <cell r="C1364">
            <v>8300</v>
          </cell>
          <cell r="D1364">
            <v>2</v>
          </cell>
          <cell r="E1364">
            <v>3</v>
          </cell>
          <cell r="F1364">
            <v>3</v>
          </cell>
          <cell r="G1364">
            <v>3000</v>
          </cell>
          <cell r="H1364">
            <v>3200</v>
          </cell>
          <cell r="K1364" t="str">
            <v>Servicios de Arrendamiento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</row>
        <row r="1365">
          <cell r="A1365">
            <v>284</v>
          </cell>
          <cell r="B1365">
            <v>2017</v>
          </cell>
          <cell r="C1365">
            <v>8300</v>
          </cell>
          <cell r="D1365">
            <v>2</v>
          </cell>
          <cell r="E1365">
            <v>3</v>
          </cell>
          <cell r="F1365">
            <v>3</v>
          </cell>
          <cell r="G1365">
            <v>3000</v>
          </cell>
          <cell r="H1365">
            <v>3200</v>
          </cell>
          <cell r="I1365">
            <v>325</v>
          </cell>
          <cell r="K1365" t="str">
            <v>Arrendamiento de Equipo de Transporte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</row>
        <row r="1366">
          <cell r="A1366">
            <v>285</v>
          </cell>
          <cell r="B1366">
            <v>2017</v>
          </cell>
          <cell r="C1366">
            <v>8300</v>
          </cell>
          <cell r="D1366">
            <v>2</v>
          </cell>
          <cell r="E1366">
            <v>3</v>
          </cell>
          <cell r="F1366">
            <v>3</v>
          </cell>
          <cell r="G1366">
            <v>3000</v>
          </cell>
          <cell r="H1366">
            <v>3200</v>
          </cell>
          <cell r="I1366">
            <v>325</v>
          </cell>
          <cell r="J1366">
            <v>1</v>
          </cell>
          <cell r="K1366" t="str">
            <v xml:space="preserve">Arrendamiento de unidades 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 t="str">
            <v>Servicio</v>
          </cell>
          <cell r="V1366" t="str">
            <v>FC</v>
          </cell>
        </row>
        <row r="1367">
          <cell r="A1367">
            <v>286</v>
          </cell>
          <cell r="B1367">
            <v>2017</v>
          </cell>
          <cell r="C1367">
            <v>8300</v>
          </cell>
          <cell r="D1367">
            <v>2</v>
          </cell>
          <cell r="E1367">
            <v>3</v>
          </cell>
          <cell r="F1367">
            <v>3</v>
          </cell>
          <cell r="G1367">
            <v>3000</v>
          </cell>
          <cell r="H1367">
            <v>3300</v>
          </cell>
          <cell r="K1367" t="str">
            <v>Servicios Profesionales, Científicos, Técnicos y Otros Servicios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</row>
        <row r="1368">
          <cell r="A1368">
            <v>287</v>
          </cell>
          <cell r="B1368">
            <v>2017</v>
          </cell>
          <cell r="C1368">
            <v>8300</v>
          </cell>
          <cell r="D1368">
            <v>2</v>
          </cell>
          <cell r="E1368">
            <v>3</v>
          </cell>
          <cell r="F1368">
            <v>3</v>
          </cell>
          <cell r="G1368">
            <v>3000</v>
          </cell>
          <cell r="H1368">
            <v>3300</v>
          </cell>
          <cell r="I1368">
            <v>337</v>
          </cell>
          <cell r="K1368" t="str">
            <v>Servicios de protección y seguridad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</row>
        <row r="1369">
          <cell r="A1369">
            <v>288</v>
          </cell>
          <cell r="B1369">
            <v>2017</v>
          </cell>
          <cell r="C1369">
            <v>8300</v>
          </cell>
          <cell r="D1369">
            <v>2</v>
          </cell>
          <cell r="E1369">
            <v>3</v>
          </cell>
          <cell r="F1369">
            <v>3</v>
          </cell>
          <cell r="G1369">
            <v>3000</v>
          </cell>
          <cell r="H1369">
            <v>3300</v>
          </cell>
          <cell r="I1369">
            <v>337</v>
          </cell>
          <cell r="J1369">
            <v>1</v>
          </cell>
          <cell r="K1369" t="str">
            <v>Gastos de seguridad pública y nacional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 t="str">
            <v>Servicio</v>
          </cell>
          <cell r="V1369" t="str">
            <v>AE</v>
          </cell>
        </row>
        <row r="1370">
          <cell r="A1370">
            <v>289</v>
          </cell>
          <cell r="B1370">
            <v>2017</v>
          </cell>
          <cell r="C1370">
            <v>8300</v>
          </cell>
          <cell r="D1370">
            <v>2</v>
          </cell>
          <cell r="E1370">
            <v>3</v>
          </cell>
          <cell r="F1370">
            <v>3</v>
          </cell>
          <cell r="G1370">
            <v>5000</v>
          </cell>
          <cell r="K1370" t="str">
            <v>BIENES MUEBLES, INMUEBLES E INTANGIBLES</v>
          </cell>
          <cell r="L1370">
            <v>0</v>
          </cell>
          <cell r="M1370">
            <v>0</v>
          </cell>
          <cell r="N1370">
            <v>0</v>
          </cell>
          <cell r="O1370">
            <v>0</v>
          </cell>
          <cell r="P1370">
            <v>0</v>
          </cell>
          <cell r="Q1370">
            <v>0</v>
          </cell>
          <cell r="R1370">
            <v>0</v>
          </cell>
        </row>
        <row r="1371">
          <cell r="A1371">
            <v>290</v>
          </cell>
          <cell r="C1371">
            <v>8300</v>
          </cell>
          <cell r="D1371">
            <v>2</v>
          </cell>
          <cell r="E1371">
            <v>3</v>
          </cell>
          <cell r="F1371">
            <v>3</v>
          </cell>
          <cell r="K1371" t="str">
            <v>Secretaría de Seguridad Pública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</row>
        <row r="1372">
          <cell r="A1372">
            <v>291</v>
          </cell>
          <cell r="B1372">
            <v>2017</v>
          </cell>
          <cell r="C1372">
            <v>8300</v>
          </cell>
          <cell r="D1372">
            <v>2</v>
          </cell>
          <cell r="E1372">
            <v>3</v>
          </cell>
          <cell r="F1372">
            <v>3</v>
          </cell>
          <cell r="G1372">
            <v>5000</v>
          </cell>
          <cell r="H1372">
            <v>5100</v>
          </cell>
          <cell r="K1372" t="str">
            <v>Mobiliario y Equipo de Administración</v>
          </cell>
          <cell r="L1372">
            <v>0</v>
          </cell>
          <cell r="M1372">
            <v>0</v>
          </cell>
          <cell r="N1372">
            <v>0</v>
          </cell>
          <cell r="O1372">
            <v>0</v>
          </cell>
          <cell r="P1372">
            <v>0</v>
          </cell>
          <cell r="Q1372">
            <v>0</v>
          </cell>
          <cell r="R1372">
            <v>0</v>
          </cell>
        </row>
        <row r="1373">
          <cell r="A1373">
            <v>292</v>
          </cell>
          <cell r="B1373">
            <v>2017</v>
          </cell>
          <cell r="C1373">
            <v>8300</v>
          </cell>
          <cell r="D1373">
            <v>2</v>
          </cell>
          <cell r="E1373">
            <v>3</v>
          </cell>
          <cell r="F1373">
            <v>3</v>
          </cell>
          <cell r="G1373">
            <v>5000</v>
          </cell>
          <cell r="H1373">
            <v>5100</v>
          </cell>
          <cell r="I1373">
            <v>511</v>
          </cell>
          <cell r="K1373" t="str">
            <v>Muebles de oficina y estantería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</row>
        <row r="1374">
          <cell r="A1374">
            <v>293</v>
          </cell>
          <cell r="B1374">
            <v>2017</v>
          </cell>
          <cell r="C1374">
            <v>8300</v>
          </cell>
          <cell r="D1374">
            <v>2</v>
          </cell>
          <cell r="E1374">
            <v>3</v>
          </cell>
          <cell r="F1374">
            <v>3</v>
          </cell>
          <cell r="G1374">
            <v>5000</v>
          </cell>
          <cell r="H1374">
            <v>5100</v>
          </cell>
          <cell r="I1374">
            <v>511</v>
          </cell>
          <cell r="J1374">
            <v>1</v>
          </cell>
          <cell r="K1374" t="str">
            <v xml:space="preserve">Anaquel   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 t="str">
            <v>Pieza</v>
          </cell>
          <cell r="T1374">
            <v>0</v>
          </cell>
          <cell r="V1374" t="str">
            <v>FC</v>
          </cell>
        </row>
        <row r="1375">
          <cell r="A1375">
            <v>294</v>
          </cell>
          <cell r="B1375">
            <v>2017</v>
          </cell>
          <cell r="C1375">
            <v>8300</v>
          </cell>
          <cell r="D1375">
            <v>2</v>
          </cell>
          <cell r="E1375">
            <v>3</v>
          </cell>
          <cell r="F1375">
            <v>3</v>
          </cell>
          <cell r="G1375">
            <v>5000</v>
          </cell>
          <cell r="H1375">
            <v>5100</v>
          </cell>
          <cell r="I1375">
            <v>511</v>
          </cell>
          <cell r="J1375">
            <v>2</v>
          </cell>
          <cell r="K1375" t="str">
            <v>Archivero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 t="str">
            <v>Pieza</v>
          </cell>
          <cell r="T1375">
            <v>0</v>
          </cell>
          <cell r="V1375" t="str">
            <v>FC</v>
          </cell>
        </row>
        <row r="1376">
          <cell r="A1376">
            <v>295</v>
          </cell>
          <cell r="B1376">
            <v>2017</v>
          </cell>
          <cell r="C1376">
            <v>8300</v>
          </cell>
          <cell r="D1376">
            <v>2</v>
          </cell>
          <cell r="E1376">
            <v>3</v>
          </cell>
          <cell r="F1376">
            <v>3</v>
          </cell>
          <cell r="G1376">
            <v>5000</v>
          </cell>
          <cell r="H1376">
            <v>5100</v>
          </cell>
          <cell r="I1376">
            <v>511</v>
          </cell>
          <cell r="J1376">
            <v>3</v>
          </cell>
          <cell r="K1376" t="str">
            <v>Armario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 t="str">
            <v>Pieza</v>
          </cell>
          <cell r="T1376">
            <v>0</v>
          </cell>
          <cell r="V1376" t="str">
            <v>FC</v>
          </cell>
        </row>
        <row r="1377">
          <cell r="A1377">
            <v>296</v>
          </cell>
          <cell r="B1377">
            <v>2017</v>
          </cell>
          <cell r="C1377">
            <v>8300</v>
          </cell>
          <cell r="D1377">
            <v>2</v>
          </cell>
          <cell r="E1377">
            <v>3</v>
          </cell>
          <cell r="F1377">
            <v>3</v>
          </cell>
          <cell r="G1377">
            <v>5000</v>
          </cell>
          <cell r="H1377">
            <v>5100</v>
          </cell>
          <cell r="I1377">
            <v>511</v>
          </cell>
          <cell r="J1377">
            <v>4</v>
          </cell>
          <cell r="K1377" t="str">
            <v>Banca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 t="str">
            <v>Pieza</v>
          </cell>
          <cell r="T1377">
            <v>0</v>
          </cell>
          <cell r="V1377" t="str">
            <v>FC</v>
          </cell>
        </row>
        <row r="1378">
          <cell r="A1378">
            <v>297</v>
          </cell>
          <cell r="B1378">
            <v>2017</v>
          </cell>
          <cell r="C1378">
            <v>8300</v>
          </cell>
          <cell r="D1378">
            <v>2</v>
          </cell>
          <cell r="E1378">
            <v>3</v>
          </cell>
          <cell r="F1378">
            <v>3</v>
          </cell>
          <cell r="G1378">
            <v>5000</v>
          </cell>
          <cell r="H1378">
            <v>5100</v>
          </cell>
          <cell r="I1378">
            <v>511</v>
          </cell>
          <cell r="J1378">
            <v>5</v>
          </cell>
          <cell r="K1378" t="str">
            <v>Butaca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 t="str">
            <v>Pieza</v>
          </cell>
          <cell r="T1378">
            <v>0</v>
          </cell>
          <cell r="V1378" t="str">
            <v>FC</v>
          </cell>
        </row>
        <row r="1379">
          <cell r="A1379">
            <v>298</v>
          </cell>
          <cell r="B1379">
            <v>2017</v>
          </cell>
          <cell r="C1379">
            <v>8300</v>
          </cell>
          <cell r="D1379">
            <v>2</v>
          </cell>
          <cell r="E1379">
            <v>3</v>
          </cell>
          <cell r="F1379">
            <v>3</v>
          </cell>
          <cell r="G1379">
            <v>5000</v>
          </cell>
          <cell r="H1379">
            <v>5100</v>
          </cell>
          <cell r="I1379">
            <v>511</v>
          </cell>
          <cell r="J1379">
            <v>6</v>
          </cell>
          <cell r="K1379" t="str">
            <v>Comedor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 t="str">
            <v>Pieza</v>
          </cell>
          <cell r="T1379">
            <v>0</v>
          </cell>
          <cell r="V1379" t="str">
            <v>FC</v>
          </cell>
        </row>
        <row r="1380">
          <cell r="A1380">
            <v>299</v>
          </cell>
          <cell r="B1380">
            <v>2017</v>
          </cell>
          <cell r="C1380">
            <v>8300</v>
          </cell>
          <cell r="D1380">
            <v>2</v>
          </cell>
          <cell r="E1380">
            <v>3</v>
          </cell>
          <cell r="F1380">
            <v>3</v>
          </cell>
          <cell r="G1380">
            <v>5000</v>
          </cell>
          <cell r="H1380">
            <v>5100</v>
          </cell>
          <cell r="I1380">
            <v>511</v>
          </cell>
          <cell r="J1380">
            <v>7</v>
          </cell>
          <cell r="K1380" t="str">
            <v xml:space="preserve">Conjunto 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 t="str">
            <v>Pieza</v>
          </cell>
          <cell r="T1380">
            <v>0</v>
          </cell>
          <cell r="V1380" t="str">
            <v>FC</v>
          </cell>
        </row>
        <row r="1381">
          <cell r="A1381">
            <v>300</v>
          </cell>
          <cell r="B1381">
            <v>2017</v>
          </cell>
          <cell r="C1381">
            <v>8300</v>
          </cell>
          <cell r="D1381">
            <v>2</v>
          </cell>
          <cell r="E1381">
            <v>3</v>
          </cell>
          <cell r="F1381">
            <v>3</v>
          </cell>
          <cell r="G1381">
            <v>5000</v>
          </cell>
          <cell r="H1381">
            <v>5100</v>
          </cell>
          <cell r="I1381">
            <v>511</v>
          </cell>
          <cell r="J1381">
            <v>8</v>
          </cell>
          <cell r="K1381" t="str">
            <v>Credenza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 t="str">
            <v>Pieza</v>
          </cell>
          <cell r="T1381">
            <v>0</v>
          </cell>
          <cell r="V1381" t="str">
            <v>FC</v>
          </cell>
        </row>
        <row r="1382">
          <cell r="A1382">
            <v>301</v>
          </cell>
          <cell r="B1382">
            <v>2017</v>
          </cell>
          <cell r="C1382">
            <v>8300</v>
          </cell>
          <cell r="D1382">
            <v>2</v>
          </cell>
          <cell r="E1382">
            <v>3</v>
          </cell>
          <cell r="F1382">
            <v>3</v>
          </cell>
          <cell r="G1382">
            <v>5000</v>
          </cell>
          <cell r="H1382">
            <v>5100</v>
          </cell>
          <cell r="I1382">
            <v>511</v>
          </cell>
          <cell r="J1382">
            <v>9</v>
          </cell>
          <cell r="K1382" t="str">
            <v>Escritorio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 t="str">
            <v>Pieza</v>
          </cell>
          <cell r="T1382">
            <v>0</v>
          </cell>
          <cell r="V1382" t="str">
            <v>FC</v>
          </cell>
        </row>
        <row r="1383">
          <cell r="A1383">
            <v>302</v>
          </cell>
          <cell r="B1383">
            <v>2017</v>
          </cell>
          <cell r="C1383">
            <v>8300</v>
          </cell>
          <cell r="D1383">
            <v>2</v>
          </cell>
          <cell r="E1383">
            <v>3</v>
          </cell>
          <cell r="F1383">
            <v>3</v>
          </cell>
          <cell r="G1383">
            <v>5000</v>
          </cell>
          <cell r="H1383">
            <v>5100</v>
          </cell>
          <cell r="I1383">
            <v>511</v>
          </cell>
          <cell r="J1383">
            <v>10</v>
          </cell>
          <cell r="K1383" t="str">
            <v>Estación de trabajo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 t="str">
            <v>Pieza</v>
          </cell>
          <cell r="T1383">
            <v>0</v>
          </cell>
          <cell r="V1383" t="str">
            <v>FC</v>
          </cell>
        </row>
        <row r="1384">
          <cell r="A1384">
            <v>303</v>
          </cell>
          <cell r="B1384">
            <v>2017</v>
          </cell>
          <cell r="C1384">
            <v>8300</v>
          </cell>
          <cell r="D1384">
            <v>2</v>
          </cell>
          <cell r="E1384">
            <v>3</v>
          </cell>
          <cell r="F1384">
            <v>3</v>
          </cell>
          <cell r="G1384">
            <v>5000</v>
          </cell>
          <cell r="H1384">
            <v>5100</v>
          </cell>
          <cell r="I1384">
            <v>511</v>
          </cell>
          <cell r="J1384">
            <v>11</v>
          </cell>
          <cell r="K1384" t="str">
            <v>Estante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 t="str">
            <v>Pieza</v>
          </cell>
          <cell r="T1384">
            <v>0</v>
          </cell>
          <cell r="V1384" t="str">
            <v>FC</v>
          </cell>
        </row>
        <row r="1385">
          <cell r="A1385">
            <v>304</v>
          </cell>
          <cell r="B1385">
            <v>2017</v>
          </cell>
          <cell r="C1385">
            <v>8300</v>
          </cell>
          <cell r="D1385">
            <v>2</v>
          </cell>
          <cell r="E1385">
            <v>3</v>
          </cell>
          <cell r="F1385">
            <v>3</v>
          </cell>
          <cell r="G1385">
            <v>5000</v>
          </cell>
          <cell r="H1385">
            <v>5100</v>
          </cell>
          <cell r="I1385">
            <v>511</v>
          </cell>
          <cell r="J1385">
            <v>12</v>
          </cell>
          <cell r="K1385" t="str">
            <v>Gabinete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 t="str">
            <v>Pieza</v>
          </cell>
          <cell r="T1385">
            <v>0</v>
          </cell>
          <cell r="V1385" t="str">
            <v>FC</v>
          </cell>
        </row>
        <row r="1386">
          <cell r="A1386">
            <v>305</v>
          </cell>
          <cell r="B1386">
            <v>2017</v>
          </cell>
          <cell r="C1386">
            <v>8300</v>
          </cell>
          <cell r="D1386">
            <v>2</v>
          </cell>
          <cell r="E1386">
            <v>3</v>
          </cell>
          <cell r="F1386">
            <v>3</v>
          </cell>
          <cell r="G1386">
            <v>5000</v>
          </cell>
          <cell r="H1386">
            <v>5100</v>
          </cell>
          <cell r="I1386">
            <v>511</v>
          </cell>
          <cell r="J1386">
            <v>13</v>
          </cell>
          <cell r="K1386" t="str">
            <v xml:space="preserve">Juego de mesa 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 t="str">
            <v>Pieza</v>
          </cell>
          <cell r="T1386">
            <v>0</v>
          </cell>
          <cell r="V1386" t="str">
            <v>FC</v>
          </cell>
        </row>
        <row r="1387">
          <cell r="A1387">
            <v>306</v>
          </cell>
          <cell r="B1387">
            <v>2017</v>
          </cell>
          <cell r="C1387">
            <v>8300</v>
          </cell>
          <cell r="D1387">
            <v>2</v>
          </cell>
          <cell r="E1387">
            <v>3</v>
          </cell>
          <cell r="F1387">
            <v>3</v>
          </cell>
          <cell r="G1387">
            <v>5000</v>
          </cell>
          <cell r="H1387">
            <v>5100</v>
          </cell>
          <cell r="I1387">
            <v>511</v>
          </cell>
          <cell r="J1387">
            <v>14</v>
          </cell>
          <cell r="K1387" t="str">
            <v xml:space="preserve">Lámpara 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 t="str">
            <v>Pieza</v>
          </cell>
          <cell r="T1387">
            <v>0</v>
          </cell>
          <cell r="V1387" t="str">
            <v>FC</v>
          </cell>
        </row>
        <row r="1388">
          <cell r="A1388">
            <v>307</v>
          </cell>
          <cell r="B1388">
            <v>2017</v>
          </cell>
          <cell r="C1388">
            <v>8300</v>
          </cell>
          <cell r="D1388">
            <v>2</v>
          </cell>
          <cell r="E1388">
            <v>3</v>
          </cell>
          <cell r="F1388">
            <v>3</v>
          </cell>
          <cell r="G1388">
            <v>5000</v>
          </cell>
          <cell r="H1388">
            <v>5100</v>
          </cell>
          <cell r="I1388">
            <v>511</v>
          </cell>
          <cell r="J1388">
            <v>15</v>
          </cell>
          <cell r="K1388" t="str">
            <v>Librero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 t="str">
            <v>Pieza</v>
          </cell>
          <cell r="T1388">
            <v>0</v>
          </cell>
          <cell r="V1388" t="str">
            <v>FC</v>
          </cell>
        </row>
        <row r="1389">
          <cell r="A1389">
            <v>308</v>
          </cell>
          <cell r="B1389">
            <v>2017</v>
          </cell>
          <cell r="C1389">
            <v>8300</v>
          </cell>
          <cell r="D1389">
            <v>2</v>
          </cell>
          <cell r="E1389">
            <v>3</v>
          </cell>
          <cell r="F1389">
            <v>3</v>
          </cell>
          <cell r="G1389">
            <v>5000</v>
          </cell>
          <cell r="H1389">
            <v>5100</v>
          </cell>
          <cell r="I1389">
            <v>511</v>
          </cell>
          <cell r="J1389">
            <v>16</v>
          </cell>
          <cell r="K1389" t="str">
            <v>Locker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 t="str">
            <v>Pieza</v>
          </cell>
          <cell r="T1389">
            <v>0</v>
          </cell>
          <cell r="V1389" t="str">
            <v>FC</v>
          </cell>
        </row>
        <row r="1390">
          <cell r="A1390">
            <v>309</v>
          </cell>
          <cell r="B1390">
            <v>2017</v>
          </cell>
          <cell r="C1390">
            <v>8300</v>
          </cell>
          <cell r="D1390">
            <v>2</v>
          </cell>
          <cell r="E1390">
            <v>3</v>
          </cell>
          <cell r="F1390">
            <v>3</v>
          </cell>
          <cell r="G1390">
            <v>5000</v>
          </cell>
          <cell r="H1390">
            <v>5100</v>
          </cell>
          <cell r="I1390">
            <v>511</v>
          </cell>
          <cell r="J1390">
            <v>17</v>
          </cell>
          <cell r="K1390" t="str">
            <v>Mesa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 t="str">
            <v>Pieza</v>
          </cell>
          <cell r="T1390">
            <v>0</v>
          </cell>
          <cell r="V1390" t="str">
            <v>FC</v>
          </cell>
        </row>
        <row r="1391">
          <cell r="A1391">
            <v>310</v>
          </cell>
          <cell r="B1391">
            <v>2017</v>
          </cell>
          <cell r="C1391">
            <v>8300</v>
          </cell>
          <cell r="D1391">
            <v>2</v>
          </cell>
          <cell r="E1391">
            <v>3</v>
          </cell>
          <cell r="F1391">
            <v>3</v>
          </cell>
          <cell r="G1391">
            <v>5000</v>
          </cell>
          <cell r="H1391">
            <v>5100</v>
          </cell>
          <cell r="I1391">
            <v>511</v>
          </cell>
          <cell r="J1391">
            <v>18</v>
          </cell>
          <cell r="K1391" t="str">
            <v xml:space="preserve">Módulo 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 t="str">
            <v>Pieza</v>
          </cell>
          <cell r="T1391">
            <v>0</v>
          </cell>
          <cell r="V1391" t="str">
            <v>FC</v>
          </cell>
        </row>
        <row r="1392">
          <cell r="A1392">
            <v>311</v>
          </cell>
          <cell r="B1392">
            <v>2017</v>
          </cell>
          <cell r="C1392">
            <v>8300</v>
          </cell>
          <cell r="D1392">
            <v>2</v>
          </cell>
          <cell r="E1392">
            <v>3</v>
          </cell>
          <cell r="F1392">
            <v>3</v>
          </cell>
          <cell r="G1392">
            <v>5000</v>
          </cell>
          <cell r="H1392">
            <v>5100</v>
          </cell>
          <cell r="I1392">
            <v>511</v>
          </cell>
          <cell r="J1392">
            <v>19</v>
          </cell>
          <cell r="K1392" t="str">
            <v>Mostrador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 t="str">
            <v>Pieza</v>
          </cell>
          <cell r="T1392">
            <v>0</v>
          </cell>
          <cell r="V1392" t="str">
            <v>FC</v>
          </cell>
        </row>
        <row r="1393">
          <cell r="A1393">
            <v>312</v>
          </cell>
          <cell r="B1393">
            <v>2017</v>
          </cell>
          <cell r="C1393">
            <v>8300</v>
          </cell>
          <cell r="D1393">
            <v>2</v>
          </cell>
          <cell r="E1393">
            <v>3</v>
          </cell>
          <cell r="F1393">
            <v>3</v>
          </cell>
          <cell r="G1393">
            <v>5000</v>
          </cell>
          <cell r="H1393">
            <v>5100</v>
          </cell>
          <cell r="I1393">
            <v>511</v>
          </cell>
          <cell r="J1393">
            <v>20</v>
          </cell>
          <cell r="K1393" t="str">
            <v>Sala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 t="str">
            <v>Pieza</v>
          </cell>
          <cell r="T1393">
            <v>0</v>
          </cell>
          <cell r="V1393" t="str">
            <v>FC</v>
          </cell>
        </row>
        <row r="1394">
          <cell r="A1394">
            <v>313</v>
          </cell>
          <cell r="B1394">
            <v>2017</v>
          </cell>
          <cell r="C1394">
            <v>8300</v>
          </cell>
          <cell r="D1394">
            <v>2</v>
          </cell>
          <cell r="E1394">
            <v>3</v>
          </cell>
          <cell r="F1394">
            <v>3</v>
          </cell>
          <cell r="G1394">
            <v>5000</v>
          </cell>
          <cell r="H1394">
            <v>5100</v>
          </cell>
          <cell r="I1394">
            <v>511</v>
          </cell>
          <cell r="J1394">
            <v>21</v>
          </cell>
          <cell r="K1394" t="str">
            <v>Silla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 t="str">
            <v>Pieza</v>
          </cell>
          <cell r="T1394">
            <v>0</v>
          </cell>
          <cell r="V1394" t="str">
            <v>FC</v>
          </cell>
        </row>
        <row r="1395">
          <cell r="A1395">
            <v>314</v>
          </cell>
          <cell r="B1395">
            <v>2017</v>
          </cell>
          <cell r="C1395">
            <v>8300</v>
          </cell>
          <cell r="D1395">
            <v>2</v>
          </cell>
          <cell r="E1395">
            <v>3</v>
          </cell>
          <cell r="F1395">
            <v>3</v>
          </cell>
          <cell r="G1395">
            <v>5000</v>
          </cell>
          <cell r="H1395">
            <v>5100</v>
          </cell>
          <cell r="I1395">
            <v>511</v>
          </cell>
          <cell r="J1395">
            <v>22</v>
          </cell>
          <cell r="K1395" t="str">
            <v>Sillón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 t="str">
            <v>Pieza</v>
          </cell>
          <cell r="T1395">
            <v>0</v>
          </cell>
          <cell r="V1395" t="str">
            <v>FC</v>
          </cell>
        </row>
        <row r="1396">
          <cell r="A1396">
            <v>315</v>
          </cell>
          <cell r="B1396">
            <v>2017</v>
          </cell>
          <cell r="C1396">
            <v>8300</v>
          </cell>
          <cell r="D1396">
            <v>2</v>
          </cell>
          <cell r="E1396">
            <v>3</v>
          </cell>
          <cell r="F1396">
            <v>3</v>
          </cell>
          <cell r="G1396">
            <v>5000</v>
          </cell>
          <cell r="H1396">
            <v>5100</v>
          </cell>
          <cell r="I1396">
            <v>512</v>
          </cell>
          <cell r="K1396" t="str">
            <v>Muebles, excepto de oficina y estantería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T1396">
            <v>0</v>
          </cell>
        </row>
        <row r="1397">
          <cell r="A1397">
            <v>316</v>
          </cell>
          <cell r="B1397">
            <v>2017</v>
          </cell>
          <cell r="C1397">
            <v>8300</v>
          </cell>
          <cell r="D1397">
            <v>2</v>
          </cell>
          <cell r="E1397">
            <v>3</v>
          </cell>
          <cell r="F1397">
            <v>3</v>
          </cell>
          <cell r="G1397">
            <v>5000</v>
          </cell>
          <cell r="H1397">
            <v>5100</v>
          </cell>
          <cell r="I1397">
            <v>512</v>
          </cell>
          <cell r="J1397">
            <v>1</v>
          </cell>
          <cell r="K1397" t="str">
            <v>Banco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 t="str">
            <v>Pieza</v>
          </cell>
          <cell r="T1397">
            <v>0</v>
          </cell>
          <cell r="V1397" t="str">
            <v>FC</v>
          </cell>
        </row>
        <row r="1398">
          <cell r="A1398">
            <v>317</v>
          </cell>
          <cell r="B1398">
            <v>2017</v>
          </cell>
          <cell r="C1398">
            <v>8300</v>
          </cell>
          <cell r="D1398">
            <v>2</v>
          </cell>
          <cell r="E1398">
            <v>3</v>
          </cell>
          <cell r="F1398">
            <v>3</v>
          </cell>
          <cell r="G1398">
            <v>5000</v>
          </cell>
          <cell r="H1398">
            <v>5100</v>
          </cell>
          <cell r="I1398">
            <v>512</v>
          </cell>
          <cell r="J1398">
            <v>2</v>
          </cell>
          <cell r="K1398" t="str">
            <v>Bote de arena (armero)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 t="str">
            <v>Pieza</v>
          </cell>
          <cell r="T1398">
            <v>0</v>
          </cell>
          <cell r="V1398" t="str">
            <v>AE</v>
          </cell>
        </row>
        <row r="1399">
          <cell r="A1399">
            <v>318</v>
          </cell>
          <cell r="B1399">
            <v>2017</v>
          </cell>
          <cell r="C1399">
            <v>8300</v>
          </cell>
          <cell r="D1399">
            <v>2</v>
          </cell>
          <cell r="E1399">
            <v>3</v>
          </cell>
          <cell r="F1399">
            <v>3</v>
          </cell>
          <cell r="G1399">
            <v>5000</v>
          </cell>
          <cell r="H1399">
            <v>5100</v>
          </cell>
          <cell r="I1399">
            <v>512</v>
          </cell>
          <cell r="J1399">
            <v>3</v>
          </cell>
          <cell r="K1399" t="str">
            <v>Buró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 t="str">
            <v>Pieza</v>
          </cell>
          <cell r="T1399">
            <v>0</v>
          </cell>
          <cell r="V1399" t="str">
            <v>FC</v>
          </cell>
        </row>
        <row r="1400">
          <cell r="A1400">
            <v>319</v>
          </cell>
          <cell r="B1400">
            <v>2017</v>
          </cell>
          <cell r="C1400">
            <v>8300</v>
          </cell>
          <cell r="D1400">
            <v>2</v>
          </cell>
          <cell r="E1400">
            <v>3</v>
          </cell>
          <cell r="F1400">
            <v>3</v>
          </cell>
          <cell r="G1400">
            <v>5000</v>
          </cell>
          <cell r="H1400">
            <v>5100</v>
          </cell>
          <cell r="I1400">
            <v>512</v>
          </cell>
          <cell r="J1400">
            <v>4</v>
          </cell>
          <cell r="K1400" t="str">
            <v>Cama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 t="str">
            <v>Pieza</v>
          </cell>
          <cell r="T1400">
            <v>0</v>
          </cell>
          <cell r="V1400" t="str">
            <v>FC</v>
          </cell>
        </row>
        <row r="1401">
          <cell r="A1401">
            <v>320</v>
          </cell>
          <cell r="B1401">
            <v>2017</v>
          </cell>
          <cell r="C1401">
            <v>8300</v>
          </cell>
          <cell r="D1401">
            <v>2</v>
          </cell>
          <cell r="E1401">
            <v>3</v>
          </cell>
          <cell r="F1401">
            <v>3</v>
          </cell>
          <cell r="G1401">
            <v>5000</v>
          </cell>
          <cell r="H1401">
            <v>5100</v>
          </cell>
          <cell r="I1401">
            <v>512</v>
          </cell>
          <cell r="J1401">
            <v>5</v>
          </cell>
          <cell r="K1401" t="str">
            <v>Juego de mesa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 t="str">
            <v>Pieza</v>
          </cell>
          <cell r="T1401">
            <v>0</v>
          </cell>
          <cell r="V1401" t="str">
            <v>FC</v>
          </cell>
        </row>
        <row r="1402">
          <cell r="A1402">
            <v>321</v>
          </cell>
          <cell r="B1402">
            <v>2017</v>
          </cell>
          <cell r="C1402">
            <v>8300</v>
          </cell>
          <cell r="D1402">
            <v>2</v>
          </cell>
          <cell r="E1402">
            <v>3</v>
          </cell>
          <cell r="F1402">
            <v>3</v>
          </cell>
          <cell r="G1402">
            <v>5000</v>
          </cell>
          <cell r="H1402">
            <v>5100</v>
          </cell>
          <cell r="I1402">
            <v>512</v>
          </cell>
          <cell r="J1402">
            <v>6</v>
          </cell>
          <cell r="K1402" t="str">
            <v>Litera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 t="str">
            <v>Pieza</v>
          </cell>
          <cell r="T1402">
            <v>0</v>
          </cell>
          <cell r="V1402" t="str">
            <v>FC</v>
          </cell>
        </row>
        <row r="1403">
          <cell r="A1403">
            <v>322</v>
          </cell>
          <cell r="B1403">
            <v>2017</v>
          </cell>
          <cell r="C1403">
            <v>8300</v>
          </cell>
          <cell r="D1403">
            <v>2</v>
          </cell>
          <cell r="E1403">
            <v>3</v>
          </cell>
          <cell r="F1403">
            <v>3</v>
          </cell>
          <cell r="G1403">
            <v>5000</v>
          </cell>
          <cell r="H1403">
            <v>5100</v>
          </cell>
          <cell r="I1403">
            <v>512</v>
          </cell>
          <cell r="J1403">
            <v>7</v>
          </cell>
          <cell r="K1403" t="str">
            <v>Rack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 t="str">
            <v>Pieza</v>
          </cell>
          <cell r="T1403">
            <v>0</v>
          </cell>
          <cell r="V1403" t="str">
            <v>AE</v>
          </cell>
        </row>
        <row r="1404">
          <cell r="A1404">
            <v>323</v>
          </cell>
          <cell r="B1404">
            <v>2017</v>
          </cell>
          <cell r="C1404">
            <v>8300</v>
          </cell>
          <cell r="D1404">
            <v>2</v>
          </cell>
          <cell r="E1404">
            <v>3</v>
          </cell>
          <cell r="F1404">
            <v>3</v>
          </cell>
          <cell r="G1404">
            <v>5000</v>
          </cell>
          <cell r="H1404">
            <v>5100</v>
          </cell>
          <cell r="I1404">
            <v>515</v>
          </cell>
          <cell r="K1404" t="str">
            <v>Equipo de cómputo y de tecnologías de la información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T1404">
            <v>0</v>
          </cell>
        </row>
        <row r="1405">
          <cell r="A1405">
            <v>324</v>
          </cell>
          <cell r="B1405">
            <v>2017</v>
          </cell>
          <cell r="C1405">
            <v>8300</v>
          </cell>
          <cell r="D1405">
            <v>2</v>
          </cell>
          <cell r="E1405">
            <v>3</v>
          </cell>
          <cell r="F1405">
            <v>3</v>
          </cell>
          <cell r="G1405">
            <v>5000</v>
          </cell>
          <cell r="H1405">
            <v>5100</v>
          </cell>
          <cell r="I1405">
            <v>515</v>
          </cell>
          <cell r="J1405">
            <v>1</v>
          </cell>
          <cell r="K1405" t="str">
            <v>Computadora de escritorio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 t="str">
            <v>Pieza</v>
          </cell>
          <cell r="T1405">
            <v>0</v>
          </cell>
          <cell r="V1405" t="str">
            <v>FC</v>
          </cell>
        </row>
        <row r="1406">
          <cell r="A1406">
            <v>325</v>
          </cell>
          <cell r="B1406">
            <v>2017</v>
          </cell>
          <cell r="C1406">
            <v>8300</v>
          </cell>
          <cell r="D1406">
            <v>2</v>
          </cell>
          <cell r="E1406">
            <v>3</v>
          </cell>
          <cell r="F1406">
            <v>3</v>
          </cell>
          <cell r="G1406">
            <v>5000</v>
          </cell>
          <cell r="H1406">
            <v>5100</v>
          </cell>
          <cell r="I1406">
            <v>515</v>
          </cell>
          <cell r="J1406">
            <v>2</v>
          </cell>
          <cell r="K1406" t="str">
            <v>Computadora portátil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 t="str">
            <v>Pieza</v>
          </cell>
          <cell r="T1406">
            <v>0</v>
          </cell>
          <cell r="V1406" t="str">
            <v>FC</v>
          </cell>
        </row>
        <row r="1407">
          <cell r="A1407">
            <v>326</v>
          </cell>
          <cell r="B1407">
            <v>2017</v>
          </cell>
          <cell r="C1407">
            <v>8300</v>
          </cell>
          <cell r="D1407">
            <v>2</v>
          </cell>
          <cell r="E1407">
            <v>3</v>
          </cell>
          <cell r="F1407">
            <v>3</v>
          </cell>
          <cell r="G1407">
            <v>5000</v>
          </cell>
          <cell r="H1407">
            <v>5100</v>
          </cell>
          <cell r="I1407">
            <v>515</v>
          </cell>
          <cell r="J1407">
            <v>3</v>
          </cell>
          <cell r="K1407" t="str">
            <v>Concentrador (HUB)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 t="str">
            <v>Pieza</v>
          </cell>
          <cell r="T1407">
            <v>0</v>
          </cell>
          <cell r="V1407" t="str">
            <v>FC</v>
          </cell>
        </row>
        <row r="1408">
          <cell r="A1408">
            <v>327</v>
          </cell>
          <cell r="B1408">
            <v>2017</v>
          </cell>
          <cell r="C1408">
            <v>8300</v>
          </cell>
          <cell r="D1408">
            <v>2</v>
          </cell>
          <cell r="E1408">
            <v>3</v>
          </cell>
          <cell r="F1408">
            <v>3</v>
          </cell>
          <cell r="G1408">
            <v>5000</v>
          </cell>
          <cell r="H1408">
            <v>5100</v>
          </cell>
          <cell r="I1408">
            <v>515</v>
          </cell>
          <cell r="J1408">
            <v>4</v>
          </cell>
          <cell r="K1408" t="str">
            <v>Digitalizador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 t="str">
            <v>Pieza</v>
          </cell>
          <cell r="T1408">
            <v>0</v>
          </cell>
          <cell r="V1408" t="str">
            <v>FC</v>
          </cell>
        </row>
        <row r="1409">
          <cell r="A1409">
            <v>328</v>
          </cell>
          <cell r="B1409">
            <v>2017</v>
          </cell>
          <cell r="C1409">
            <v>8300</v>
          </cell>
          <cell r="D1409">
            <v>2</v>
          </cell>
          <cell r="E1409">
            <v>3</v>
          </cell>
          <cell r="F1409">
            <v>3</v>
          </cell>
          <cell r="G1409">
            <v>5000</v>
          </cell>
          <cell r="H1409">
            <v>5100</v>
          </cell>
          <cell r="I1409">
            <v>515</v>
          </cell>
          <cell r="J1409">
            <v>5</v>
          </cell>
          <cell r="K1409" t="str">
            <v>Equipo de seguridad para filtrar información (firewall)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 t="str">
            <v>Pieza</v>
          </cell>
          <cell r="T1409">
            <v>0</v>
          </cell>
          <cell r="V1409" t="str">
            <v>FC</v>
          </cell>
        </row>
        <row r="1410">
          <cell r="A1410">
            <v>329</v>
          </cell>
          <cell r="B1410">
            <v>2017</v>
          </cell>
          <cell r="C1410">
            <v>8300</v>
          </cell>
          <cell r="D1410">
            <v>2</v>
          </cell>
          <cell r="E1410">
            <v>3</v>
          </cell>
          <cell r="F1410">
            <v>3</v>
          </cell>
          <cell r="G1410">
            <v>5000</v>
          </cell>
          <cell r="H1410">
            <v>5100</v>
          </cell>
          <cell r="I1410">
            <v>515</v>
          </cell>
          <cell r="J1410">
            <v>6</v>
          </cell>
          <cell r="K1410" t="str">
            <v>Escáner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 t="str">
            <v>Pieza</v>
          </cell>
          <cell r="T1410">
            <v>0</v>
          </cell>
          <cell r="V1410" t="str">
            <v>FC</v>
          </cell>
        </row>
        <row r="1411">
          <cell r="A1411">
            <v>330</v>
          </cell>
          <cell r="B1411">
            <v>2017</v>
          </cell>
          <cell r="C1411">
            <v>8300</v>
          </cell>
          <cell r="D1411">
            <v>2</v>
          </cell>
          <cell r="E1411">
            <v>3</v>
          </cell>
          <cell r="F1411">
            <v>3</v>
          </cell>
          <cell r="G1411">
            <v>5000</v>
          </cell>
          <cell r="H1411">
            <v>5100</v>
          </cell>
          <cell r="I1411">
            <v>515</v>
          </cell>
          <cell r="J1411">
            <v>7</v>
          </cell>
          <cell r="K1411" t="str">
            <v>Impresora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 t="str">
            <v>Pieza</v>
          </cell>
          <cell r="T1411">
            <v>0</v>
          </cell>
          <cell r="V1411" t="str">
            <v>FC</v>
          </cell>
        </row>
        <row r="1412">
          <cell r="A1412">
            <v>331</v>
          </cell>
          <cell r="B1412">
            <v>2017</v>
          </cell>
          <cell r="C1412">
            <v>8300</v>
          </cell>
          <cell r="D1412">
            <v>2</v>
          </cell>
          <cell r="E1412">
            <v>3</v>
          </cell>
          <cell r="F1412">
            <v>3</v>
          </cell>
          <cell r="G1412">
            <v>5000</v>
          </cell>
          <cell r="H1412">
            <v>5100</v>
          </cell>
          <cell r="I1412">
            <v>515</v>
          </cell>
          <cell r="J1412">
            <v>8</v>
          </cell>
          <cell r="K1412" t="str">
            <v xml:space="preserve">Lector biométrico 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 t="str">
            <v>Pieza</v>
          </cell>
          <cell r="T1412">
            <v>0</v>
          </cell>
          <cell r="V1412" t="str">
            <v>FC</v>
          </cell>
        </row>
        <row r="1413">
          <cell r="A1413">
            <v>332</v>
          </cell>
          <cell r="B1413">
            <v>2017</v>
          </cell>
          <cell r="C1413">
            <v>8300</v>
          </cell>
          <cell r="D1413">
            <v>2</v>
          </cell>
          <cell r="E1413">
            <v>3</v>
          </cell>
          <cell r="F1413">
            <v>3</v>
          </cell>
          <cell r="G1413">
            <v>5000</v>
          </cell>
          <cell r="H1413">
            <v>5100</v>
          </cell>
          <cell r="I1413">
            <v>515</v>
          </cell>
          <cell r="J1413">
            <v>9</v>
          </cell>
          <cell r="K1413" t="str">
            <v>Monitor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 t="str">
            <v>Pieza</v>
          </cell>
          <cell r="T1413">
            <v>0</v>
          </cell>
          <cell r="V1413" t="str">
            <v>FC</v>
          </cell>
        </row>
        <row r="1414">
          <cell r="A1414">
            <v>333</v>
          </cell>
          <cell r="B1414">
            <v>2017</v>
          </cell>
          <cell r="C1414">
            <v>8300</v>
          </cell>
          <cell r="D1414">
            <v>2</v>
          </cell>
          <cell r="E1414">
            <v>3</v>
          </cell>
          <cell r="F1414">
            <v>3</v>
          </cell>
          <cell r="G1414">
            <v>5000</v>
          </cell>
          <cell r="H1414">
            <v>5100</v>
          </cell>
          <cell r="I1414">
            <v>515</v>
          </cell>
          <cell r="J1414">
            <v>10</v>
          </cell>
          <cell r="K1414" t="str">
            <v>Multifuncional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 t="str">
            <v>Pieza</v>
          </cell>
          <cell r="T1414">
            <v>0</v>
          </cell>
          <cell r="V1414" t="str">
            <v>FC</v>
          </cell>
        </row>
        <row r="1415">
          <cell r="A1415">
            <v>334</v>
          </cell>
          <cell r="B1415">
            <v>2017</v>
          </cell>
          <cell r="C1415">
            <v>8300</v>
          </cell>
          <cell r="D1415">
            <v>2</v>
          </cell>
          <cell r="E1415">
            <v>3</v>
          </cell>
          <cell r="F1415">
            <v>3</v>
          </cell>
          <cell r="G1415">
            <v>5000</v>
          </cell>
          <cell r="H1415">
            <v>5100</v>
          </cell>
          <cell r="I1415">
            <v>515</v>
          </cell>
          <cell r="J1415">
            <v>11</v>
          </cell>
          <cell r="K1415" t="str">
            <v>Plotter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 t="str">
            <v>Pieza</v>
          </cell>
          <cell r="T1415">
            <v>0</v>
          </cell>
          <cell r="V1415" t="str">
            <v>FC</v>
          </cell>
        </row>
        <row r="1416">
          <cell r="A1416">
            <v>335</v>
          </cell>
          <cell r="B1416">
            <v>2017</v>
          </cell>
          <cell r="C1416">
            <v>8300</v>
          </cell>
          <cell r="D1416">
            <v>2</v>
          </cell>
          <cell r="E1416">
            <v>3</v>
          </cell>
          <cell r="F1416">
            <v>3</v>
          </cell>
          <cell r="G1416">
            <v>5000</v>
          </cell>
          <cell r="H1416">
            <v>5100</v>
          </cell>
          <cell r="I1416">
            <v>515</v>
          </cell>
          <cell r="J1416">
            <v>12</v>
          </cell>
          <cell r="K1416" t="str">
            <v>Regulador de voltaje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 t="str">
            <v>Pieza</v>
          </cell>
          <cell r="T1416">
            <v>0</v>
          </cell>
          <cell r="V1416" t="str">
            <v>FC</v>
          </cell>
        </row>
        <row r="1417">
          <cell r="A1417">
            <v>336</v>
          </cell>
          <cell r="B1417">
            <v>2017</v>
          </cell>
          <cell r="C1417">
            <v>8300</v>
          </cell>
          <cell r="D1417">
            <v>2</v>
          </cell>
          <cell r="E1417">
            <v>3</v>
          </cell>
          <cell r="F1417">
            <v>3</v>
          </cell>
          <cell r="G1417">
            <v>5000</v>
          </cell>
          <cell r="H1417">
            <v>5100</v>
          </cell>
          <cell r="I1417">
            <v>515</v>
          </cell>
          <cell r="J1417">
            <v>13</v>
          </cell>
          <cell r="K1417" t="str">
            <v xml:space="preserve">Teléfono 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 t="str">
            <v>Pieza</v>
          </cell>
          <cell r="T1417">
            <v>0</v>
          </cell>
          <cell r="V1417" t="str">
            <v>FC</v>
          </cell>
        </row>
        <row r="1418">
          <cell r="A1418">
            <v>337</v>
          </cell>
          <cell r="B1418">
            <v>2017</v>
          </cell>
          <cell r="C1418">
            <v>8300</v>
          </cell>
          <cell r="D1418">
            <v>2</v>
          </cell>
          <cell r="E1418">
            <v>3</v>
          </cell>
          <cell r="F1418">
            <v>3</v>
          </cell>
          <cell r="G1418">
            <v>5000</v>
          </cell>
          <cell r="H1418">
            <v>5100</v>
          </cell>
          <cell r="I1418">
            <v>515</v>
          </cell>
          <cell r="J1418">
            <v>14</v>
          </cell>
          <cell r="K1418" t="str">
            <v>Unidad de protección y respaldo de energía (UPS)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 t="str">
            <v>Pieza</v>
          </cell>
          <cell r="T1418">
            <v>0</v>
          </cell>
          <cell r="V1418" t="str">
            <v>FC</v>
          </cell>
        </row>
        <row r="1419">
          <cell r="A1419">
            <v>338</v>
          </cell>
          <cell r="B1419">
            <v>2017</v>
          </cell>
          <cell r="C1419">
            <v>8300</v>
          </cell>
          <cell r="D1419">
            <v>2</v>
          </cell>
          <cell r="E1419">
            <v>3</v>
          </cell>
          <cell r="F1419">
            <v>3</v>
          </cell>
          <cell r="G1419">
            <v>5000</v>
          </cell>
          <cell r="H1419">
            <v>5100</v>
          </cell>
          <cell r="I1419">
            <v>515</v>
          </cell>
          <cell r="J1419">
            <v>15</v>
          </cell>
          <cell r="K1419" t="str">
            <v>Tablet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 t="str">
            <v>Pieza</v>
          </cell>
          <cell r="T1419">
            <v>0</v>
          </cell>
          <cell r="V1419" t="str">
            <v>AE</v>
          </cell>
        </row>
        <row r="1420">
          <cell r="A1420">
            <v>339</v>
          </cell>
          <cell r="B1420">
            <v>2017</v>
          </cell>
          <cell r="C1420">
            <v>8300</v>
          </cell>
          <cell r="D1420">
            <v>2</v>
          </cell>
          <cell r="E1420">
            <v>3</v>
          </cell>
          <cell r="F1420">
            <v>3</v>
          </cell>
          <cell r="G1420">
            <v>5000</v>
          </cell>
          <cell r="H1420">
            <v>5100</v>
          </cell>
          <cell r="I1420">
            <v>519</v>
          </cell>
          <cell r="K1420" t="str">
            <v>Otros mobiliarios y equipos de administración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T1420">
            <v>0</v>
          </cell>
        </row>
        <row r="1421">
          <cell r="A1421">
            <v>340</v>
          </cell>
          <cell r="B1421">
            <v>2017</v>
          </cell>
          <cell r="C1421">
            <v>8300</v>
          </cell>
          <cell r="D1421">
            <v>2</v>
          </cell>
          <cell r="E1421">
            <v>3</v>
          </cell>
          <cell r="F1421">
            <v>3</v>
          </cell>
          <cell r="G1421">
            <v>5000</v>
          </cell>
          <cell r="H1421">
            <v>5100</v>
          </cell>
          <cell r="I1421">
            <v>519</v>
          </cell>
          <cell r="J1421">
            <v>1</v>
          </cell>
          <cell r="K1421" t="str">
            <v>Aire acondicionado</v>
          </cell>
          <cell r="S1421" t="str">
            <v>Pieza</v>
          </cell>
          <cell r="T1421">
            <v>0</v>
          </cell>
          <cell r="V1421" t="str">
            <v>FC</v>
          </cell>
        </row>
        <row r="1422">
          <cell r="A1422">
            <v>341</v>
          </cell>
          <cell r="B1422">
            <v>2017</v>
          </cell>
          <cell r="C1422">
            <v>8300</v>
          </cell>
          <cell r="D1422">
            <v>2</v>
          </cell>
          <cell r="E1422">
            <v>3</v>
          </cell>
          <cell r="F1422">
            <v>3</v>
          </cell>
          <cell r="G1422">
            <v>5000</v>
          </cell>
          <cell r="H1422">
            <v>5100</v>
          </cell>
          <cell r="I1422">
            <v>519</v>
          </cell>
          <cell r="J1422">
            <v>2</v>
          </cell>
          <cell r="K1422" t="str">
            <v>Circuito Cerrado de Televisión (CCTV)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 t="str">
            <v>Pieza</v>
          </cell>
          <cell r="T1422">
            <v>0</v>
          </cell>
          <cell r="V1422" t="str">
            <v>AE</v>
          </cell>
        </row>
        <row r="1423">
          <cell r="A1423">
            <v>342</v>
          </cell>
          <cell r="B1423">
            <v>2017</v>
          </cell>
          <cell r="C1423">
            <v>8300</v>
          </cell>
          <cell r="D1423">
            <v>2</v>
          </cell>
          <cell r="E1423">
            <v>3</v>
          </cell>
          <cell r="F1423">
            <v>3</v>
          </cell>
          <cell r="G1423">
            <v>5000</v>
          </cell>
          <cell r="H1423">
            <v>5100</v>
          </cell>
          <cell r="I1423">
            <v>519</v>
          </cell>
          <cell r="J1423">
            <v>3</v>
          </cell>
          <cell r="K1423" t="str">
            <v>Enfriador vertical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 t="str">
            <v>Pieza</v>
          </cell>
          <cell r="T1423">
            <v>0</v>
          </cell>
          <cell r="V1423" t="str">
            <v>FC</v>
          </cell>
        </row>
        <row r="1424">
          <cell r="A1424">
            <v>343</v>
          </cell>
          <cell r="B1424">
            <v>2017</v>
          </cell>
          <cell r="C1424">
            <v>8300</v>
          </cell>
          <cell r="D1424">
            <v>2</v>
          </cell>
          <cell r="E1424">
            <v>3</v>
          </cell>
          <cell r="F1424">
            <v>3</v>
          </cell>
          <cell r="G1424">
            <v>5000</v>
          </cell>
          <cell r="H1424">
            <v>5100</v>
          </cell>
          <cell r="I1424">
            <v>519</v>
          </cell>
          <cell r="J1424">
            <v>4</v>
          </cell>
          <cell r="K1424" t="str">
            <v xml:space="preserve">Enfriador y calentador de agua   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 t="str">
            <v>Pieza</v>
          </cell>
          <cell r="T1424">
            <v>0</v>
          </cell>
          <cell r="V1424" t="str">
            <v>AE</v>
          </cell>
        </row>
        <row r="1425">
          <cell r="A1425">
            <v>344</v>
          </cell>
          <cell r="B1425">
            <v>2017</v>
          </cell>
          <cell r="C1425">
            <v>8300</v>
          </cell>
          <cell r="D1425">
            <v>2</v>
          </cell>
          <cell r="E1425">
            <v>3</v>
          </cell>
          <cell r="F1425">
            <v>3</v>
          </cell>
          <cell r="G1425">
            <v>5000</v>
          </cell>
          <cell r="H1425">
            <v>5100</v>
          </cell>
          <cell r="I1425">
            <v>519</v>
          </cell>
          <cell r="J1425">
            <v>5</v>
          </cell>
          <cell r="K1425" t="str">
            <v>Fotocopiadora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 t="str">
            <v>Pieza</v>
          </cell>
          <cell r="T1425">
            <v>0</v>
          </cell>
          <cell r="V1425" t="str">
            <v>FC</v>
          </cell>
        </row>
        <row r="1426">
          <cell r="A1426">
            <v>345</v>
          </cell>
          <cell r="B1426">
            <v>2017</v>
          </cell>
          <cell r="C1426">
            <v>8300</v>
          </cell>
          <cell r="D1426">
            <v>2</v>
          </cell>
          <cell r="E1426">
            <v>3</v>
          </cell>
          <cell r="F1426">
            <v>3</v>
          </cell>
          <cell r="G1426">
            <v>5000</v>
          </cell>
          <cell r="H1426">
            <v>5100</v>
          </cell>
          <cell r="I1426">
            <v>519</v>
          </cell>
          <cell r="J1426">
            <v>6</v>
          </cell>
          <cell r="K1426" t="str">
            <v xml:space="preserve">Pantalla para proyector   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 t="str">
            <v>Pieza</v>
          </cell>
          <cell r="T1426">
            <v>0</v>
          </cell>
          <cell r="V1426" t="str">
            <v>FC</v>
          </cell>
        </row>
        <row r="1427">
          <cell r="A1427">
            <v>346</v>
          </cell>
          <cell r="B1427">
            <v>2017</v>
          </cell>
          <cell r="C1427">
            <v>8300</v>
          </cell>
          <cell r="D1427">
            <v>2</v>
          </cell>
          <cell r="E1427">
            <v>3</v>
          </cell>
          <cell r="F1427">
            <v>3</v>
          </cell>
          <cell r="G1427">
            <v>5000</v>
          </cell>
          <cell r="H1427">
            <v>5100</v>
          </cell>
          <cell r="I1427">
            <v>519</v>
          </cell>
          <cell r="J1427">
            <v>7</v>
          </cell>
          <cell r="K1427" t="str">
            <v>Refrigerador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 t="str">
            <v>Pieza</v>
          </cell>
          <cell r="T1427">
            <v>0</v>
          </cell>
          <cell r="V1427" t="str">
            <v>FC</v>
          </cell>
        </row>
        <row r="1428">
          <cell r="A1428">
            <v>347</v>
          </cell>
          <cell r="B1428">
            <v>2017</v>
          </cell>
          <cell r="C1428">
            <v>8300</v>
          </cell>
          <cell r="D1428">
            <v>2</v>
          </cell>
          <cell r="E1428">
            <v>3</v>
          </cell>
          <cell r="F1428">
            <v>3</v>
          </cell>
          <cell r="G1428">
            <v>5000</v>
          </cell>
          <cell r="H1428">
            <v>5100</v>
          </cell>
          <cell r="I1428">
            <v>519</v>
          </cell>
          <cell r="J1428">
            <v>8</v>
          </cell>
          <cell r="K1428" t="str">
            <v>Triturador de papel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 t="str">
            <v>Pieza</v>
          </cell>
          <cell r="T1428">
            <v>0</v>
          </cell>
          <cell r="V1428" t="str">
            <v>FC</v>
          </cell>
        </row>
        <row r="1429">
          <cell r="A1429">
            <v>348</v>
          </cell>
          <cell r="B1429">
            <v>2017</v>
          </cell>
          <cell r="C1429">
            <v>8300</v>
          </cell>
          <cell r="D1429">
            <v>2</v>
          </cell>
          <cell r="E1429">
            <v>3</v>
          </cell>
          <cell r="F1429">
            <v>3</v>
          </cell>
          <cell r="G1429">
            <v>5000</v>
          </cell>
          <cell r="H1429">
            <v>5100</v>
          </cell>
          <cell r="I1429">
            <v>519</v>
          </cell>
          <cell r="J1429">
            <v>9</v>
          </cell>
          <cell r="K1429" t="str">
            <v xml:space="preserve">Ventilador 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 t="str">
            <v>Pieza</v>
          </cell>
          <cell r="T1429">
            <v>0</v>
          </cell>
          <cell r="V1429" t="str">
            <v>FC</v>
          </cell>
        </row>
        <row r="1430">
          <cell r="A1430">
            <v>349</v>
          </cell>
          <cell r="B1430">
            <v>2017</v>
          </cell>
          <cell r="C1430">
            <v>8300</v>
          </cell>
          <cell r="D1430">
            <v>2</v>
          </cell>
          <cell r="E1430">
            <v>3</v>
          </cell>
          <cell r="F1430">
            <v>3</v>
          </cell>
          <cell r="G1430">
            <v>5000</v>
          </cell>
          <cell r="H1430">
            <v>5200</v>
          </cell>
          <cell r="K1430" t="str">
            <v>Mobiliario y Equipo Educacional y Recreativo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T1430">
            <v>0</v>
          </cell>
        </row>
        <row r="1431">
          <cell r="A1431">
            <v>350</v>
          </cell>
          <cell r="B1431">
            <v>2017</v>
          </cell>
          <cell r="C1431">
            <v>8300</v>
          </cell>
          <cell r="D1431">
            <v>2</v>
          </cell>
          <cell r="E1431">
            <v>3</v>
          </cell>
          <cell r="F1431">
            <v>3</v>
          </cell>
          <cell r="G1431">
            <v>5000</v>
          </cell>
          <cell r="H1431">
            <v>5200</v>
          </cell>
          <cell r="I1431">
            <v>521</v>
          </cell>
          <cell r="K1431" t="str">
            <v>Equipos y aparatos audiovisuales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T1431">
            <v>0</v>
          </cell>
        </row>
        <row r="1432">
          <cell r="A1432">
            <v>351</v>
          </cell>
          <cell r="B1432">
            <v>2017</v>
          </cell>
          <cell r="C1432">
            <v>8300</v>
          </cell>
          <cell r="D1432">
            <v>2</v>
          </cell>
          <cell r="E1432">
            <v>3</v>
          </cell>
          <cell r="F1432">
            <v>3</v>
          </cell>
          <cell r="G1432">
            <v>5000</v>
          </cell>
          <cell r="H1432">
            <v>5200</v>
          </cell>
          <cell r="I1432">
            <v>521</v>
          </cell>
          <cell r="J1432">
            <v>1</v>
          </cell>
          <cell r="K1432" t="str">
            <v xml:space="preserve">Equipo de sonido 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 t="str">
            <v>Equipo/
Pieza</v>
          </cell>
          <cell r="T1432">
            <v>0</v>
          </cell>
          <cell r="V1432" t="str">
            <v>FC</v>
          </cell>
        </row>
        <row r="1433">
          <cell r="A1433">
            <v>352</v>
          </cell>
          <cell r="B1433">
            <v>2017</v>
          </cell>
          <cell r="C1433">
            <v>8300</v>
          </cell>
          <cell r="D1433">
            <v>2</v>
          </cell>
          <cell r="E1433">
            <v>3</v>
          </cell>
          <cell r="F1433">
            <v>3</v>
          </cell>
          <cell r="G1433">
            <v>5000</v>
          </cell>
          <cell r="H1433">
            <v>5200</v>
          </cell>
          <cell r="I1433">
            <v>521</v>
          </cell>
          <cell r="J1433">
            <v>2</v>
          </cell>
          <cell r="K1433" t="str">
            <v xml:space="preserve">Grabadora 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 t="str">
            <v>Equipo/
Pieza</v>
          </cell>
          <cell r="T1433">
            <v>0</v>
          </cell>
          <cell r="V1433" t="str">
            <v>FC</v>
          </cell>
        </row>
        <row r="1434">
          <cell r="A1434">
            <v>353</v>
          </cell>
          <cell r="B1434">
            <v>2017</v>
          </cell>
          <cell r="C1434">
            <v>8300</v>
          </cell>
          <cell r="D1434">
            <v>2</v>
          </cell>
          <cell r="E1434">
            <v>3</v>
          </cell>
          <cell r="F1434">
            <v>3</v>
          </cell>
          <cell r="G1434">
            <v>5000</v>
          </cell>
          <cell r="H1434">
            <v>5200</v>
          </cell>
          <cell r="I1434">
            <v>521</v>
          </cell>
          <cell r="J1434">
            <v>3</v>
          </cell>
          <cell r="K1434" t="str">
            <v>Micrófono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 t="str">
            <v>Equipo/
Pieza</v>
          </cell>
          <cell r="T1434">
            <v>0</v>
          </cell>
          <cell r="V1434" t="str">
            <v>FC</v>
          </cell>
        </row>
        <row r="1435">
          <cell r="A1435">
            <v>354</v>
          </cell>
          <cell r="B1435">
            <v>2017</v>
          </cell>
          <cell r="C1435">
            <v>8300</v>
          </cell>
          <cell r="D1435">
            <v>2</v>
          </cell>
          <cell r="E1435">
            <v>3</v>
          </cell>
          <cell r="F1435">
            <v>3</v>
          </cell>
          <cell r="G1435">
            <v>5000</v>
          </cell>
          <cell r="H1435">
            <v>5200</v>
          </cell>
          <cell r="I1435">
            <v>521</v>
          </cell>
          <cell r="J1435">
            <v>4</v>
          </cell>
          <cell r="K1435" t="str">
            <v>Pantalla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 t="str">
            <v>Equipo/
Pieza</v>
          </cell>
          <cell r="T1435">
            <v>0</v>
          </cell>
          <cell r="V1435" t="str">
            <v>FC</v>
          </cell>
        </row>
        <row r="1436">
          <cell r="A1436">
            <v>355</v>
          </cell>
          <cell r="B1436">
            <v>2017</v>
          </cell>
          <cell r="C1436">
            <v>8300</v>
          </cell>
          <cell r="D1436">
            <v>2</v>
          </cell>
          <cell r="E1436">
            <v>3</v>
          </cell>
          <cell r="F1436">
            <v>3</v>
          </cell>
          <cell r="G1436">
            <v>5000</v>
          </cell>
          <cell r="H1436">
            <v>5200</v>
          </cell>
          <cell r="I1436">
            <v>521</v>
          </cell>
          <cell r="J1436">
            <v>5</v>
          </cell>
          <cell r="K1436" t="str">
            <v>Pedestal para micrófono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 t="str">
            <v>Equipo/
Pieza</v>
          </cell>
          <cell r="T1436">
            <v>0</v>
          </cell>
          <cell r="V1436" t="str">
            <v>FC</v>
          </cell>
        </row>
        <row r="1437">
          <cell r="A1437">
            <v>356</v>
          </cell>
          <cell r="B1437">
            <v>2017</v>
          </cell>
          <cell r="C1437">
            <v>8300</v>
          </cell>
          <cell r="D1437">
            <v>2</v>
          </cell>
          <cell r="E1437">
            <v>3</v>
          </cell>
          <cell r="F1437">
            <v>3</v>
          </cell>
          <cell r="G1437">
            <v>5000</v>
          </cell>
          <cell r="H1437">
            <v>5200</v>
          </cell>
          <cell r="I1437">
            <v>521</v>
          </cell>
          <cell r="J1437">
            <v>6</v>
          </cell>
          <cell r="K1437" t="str">
            <v>Reproductor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 t="str">
            <v>Equipo/
Pieza</v>
          </cell>
          <cell r="T1437">
            <v>0</v>
          </cell>
          <cell r="V1437" t="str">
            <v>FC</v>
          </cell>
        </row>
        <row r="1438">
          <cell r="A1438">
            <v>357</v>
          </cell>
          <cell r="B1438">
            <v>2017</v>
          </cell>
          <cell r="C1438">
            <v>8300</v>
          </cell>
          <cell r="D1438">
            <v>2</v>
          </cell>
          <cell r="E1438">
            <v>3</v>
          </cell>
          <cell r="F1438">
            <v>3</v>
          </cell>
          <cell r="G1438">
            <v>5000</v>
          </cell>
          <cell r="H1438">
            <v>5200</v>
          </cell>
          <cell r="I1438">
            <v>523</v>
          </cell>
          <cell r="K1438" t="str">
            <v>Cámaras fotográficas y de video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T1438">
            <v>0</v>
          </cell>
        </row>
        <row r="1439">
          <cell r="A1439">
            <v>358</v>
          </cell>
          <cell r="B1439">
            <v>2017</v>
          </cell>
          <cell r="C1439">
            <v>8300</v>
          </cell>
          <cell r="D1439">
            <v>2</v>
          </cell>
          <cell r="E1439">
            <v>3</v>
          </cell>
          <cell r="F1439">
            <v>3</v>
          </cell>
          <cell r="G1439">
            <v>5000</v>
          </cell>
          <cell r="H1439">
            <v>5200</v>
          </cell>
          <cell r="I1439">
            <v>523</v>
          </cell>
          <cell r="J1439">
            <v>1</v>
          </cell>
          <cell r="K1439" t="str">
            <v xml:space="preserve">Cámara 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 t="str">
            <v>Pieza</v>
          </cell>
          <cell r="T1439">
            <v>0</v>
          </cell>
          <cell r="V1439" t="str">
            <v>FC</v>
          </cell>
        </row>
        <row r="1440">
          <cell r="A1440">
            <v>359</v>
          </cell>
          <cell r="B1440">
            <v>2017</v>
          </cell>
          <cell r="C1440">
            <v>8300</v>
          </cell>
          <cell r="D1440">
            <v>2</v>
          </cell>
          <cell r="E1440">
            <v>3</v>
          </cell>
          <cell r="F1440">
            <v>3</v>
          </cell>
          <cell r="G1440">
            <v>5000</v>
          </cell>
          <cell r="H1440">
            <v>5200</v>
          </cell>
          <cell r="I1440">
            <v>523</v>
          </cell>
          <cell r="J1440">
            <v>2</v>
          </cell>
          <cell r="K1440" t="str">
            <v>Concentrador video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 t="str">
            <v>Pieza</v>
          </cell>
          <cell r="T1440">
            <v>0</v>
          </cell>
          <cell r="V1440" t="str">
            <v>FC</v>
          </cell>
        </row>
        <row r="1441">
          <cell r="A1441">
            <v>360</v>
          </cell>
          <cell r="B1441">
            <v>2017</v>
          </cell>
          <cell r="C1441">
            <v>8300</v>
          </cell>
          <cell r="D1441">
            <v>2</v>
          </cell>
          <cell r="E1441">
            <v>3</v>
          </cell>
          <cell r="F1441">
            <v>3</v>
          </cell>
          <cell r="G1441">
            <v>5000</v>
          </cell>
          <cell r="H1441">
            <v>5200</v>
          </cell>
          <cell r="I1441">
            <v>523</v>
          </cell>
          <cell r="J1441">
            <v>3</v>
          </cell>
          <cell r="K1441" t="str">
            <v xml:space="preserve">Consola 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 t="str">
            <v>Pieza</v>
          </cell>
          <cell r="T1441">
            <v>0</v>
          </cell>
          <cell r="V1441" t="str">
            <v>FC</v>
          </cell>
        </row>
        <row r="1442">
          <cell r="A1442">
            <v>361</v>
          </cell>
          <cell r="B1442">
            <v>2017</v>
          </cell>
          <cell r="C1442">
            <v>8300</v>
          </cell>
          <cell r="D1442">
            <v>2</v>
          </cell>
          <cell r="E1442">
            <v>3</v>
          </cell>
          <cell r="F1442">
            <v>3</v>
          </cell>
          <cell r="G1442">
            <v>5000</v>
          </cell>
          <cell r="H1442">
            <v>5200</v>
          </cell>
          <cell r="I1442">
            <v>523</v>
          </cell>
          <cell r="J1442">
            <v>4</v>
          </cell>
          <cell r="K1442" t="str">
            <v>Equipo para reproducción y grabación de video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 t="str">
            <v>Pieza</v>
          </cell>
          <cell r="T1442">
            <v>0</v>
          </cell>
          <cell r="V1442" t="str">
            <v>FC</v>
          </cell>
        </row>
        <row r="1443">
          <cell r="A1443">
            <v>362</v>
          </cell>
          <cell r="B1443">
            <v>2017</v>
          </cell>
          <cell r="C1443">
            <v>8300</v>
          </cell>
          <cell r="D1443">
            <v>2</v>
          </cell>
          <cell r="E1443">
            <v>3</v>
          </cell>
          <cell r="F1443">
            <v>3</v>
          </cell>
          <cell r="G1443">
            <v>5000</v>
          </cell>
          <cell r="H1443">
            <v>5200</v>
          </cell>
          <cell r="I1443">
            <v>523</v>
          </cell>
          <cell r="J1443">
            <v>5</v>
          </cell>
          <cell r="K1443" t="str">
            <v>Grabadora reproductora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 t="str">
            <v>Pieza</v>
          </cell>
          <cell r="T1443">
            <v>0</v>
          </cell>
          <cell r="V1443" t="str">
            <v>FC</v>
          </cell>
        </row>
        <row r="1444">
          <cell r="A1444">
            <v>363</v>
          </cell>
          <cell r="B1444">
            <v>2017</v>
          </cell>
          <cell r="C1444">
            <v>8300</v>
          </cell>
          <cell r="D1444">
            <v>2</v>
          </cell>
          <cell r="E1444">
            <v>3</v>
          </cell>
          <cell r="F1444">
            <v>3</v>
          </cell>
          <cell r="G1444">
            <v>5000</v>
          </cell>
          <cell r="H1444">
            <v>5200</v>
          </cell>
          <cell r="I1444">
            <v>523</v>
          </cell>
          <cell r="J1444">
            <v>6</v>
          </cell>
          <cell r="K1444" t="str">
            <v xml:space="preserve">Lámpara 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 t="str">
            <v>Pieza</v>
          </cell>
          <cell r="T1444">
            <v>0</v>
          </cell>
          <cell r="V1444" t="str">
            <v>FC</v>
          </cell>
        </row>
        <row r="1445">
          <cell r="A1445">
            <v>364</v>
          </cell>
          <cell r="B1445">
            <v>2017</v>
          </cell>
          <cell r="C1445">
            <v>8300</v>
          </cell>
          <cell r="D1445">
            <v>2</v>
          </cell>
          <cell r="E1445">
            <v>3</v>
          </cell>
          <cell r="F1445">
            <v>3</v>
          </cell>
          <cell r="G1445">
            <v>5000</v>
          </cell>
          <cell r="H1445">
            <v>5200</v>
          </cell>
          <cell r="I1445">
            <v>523</v>
          </cell>
          <cell r="J1445">
            <v>7</v>
          </cell>
          <cell r="K1445" t="str">
            <v>Lentes cámara y/o video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 t="str">
            <v>Pieza</v>
          </cell>
          <cell r="T1445">
            <v>0</v>
          </cell>
          <cell r="V1445" t="str">
            <v>FC</v>
          </cell>
        </row>
        <row r="1446">
          <cell r="A1446">
            <v>365</v>
          </cell>
          <cell r="B1446">
            <v>2017</v>
          </cell>
          <cell r="C1446">
            <v>8300</v>
          </cell>
          <cell r="D1446">
            <v>2</v>
          </cell>
          <cell r="E1446">
            <v>3</v>
          </cell>
          <cell r="F1446">
            <v>3</v>
          </cell>
          <cell r="G1446">
            <v>5000</v>
          </cell>
          <cell r="H1446">
            <v>5200</v>
          </cell>
          <cell r="I1446">
            <v>523</v>
          </cell>
          <cell r="J1446">
            <v>8</v>
          </cell>
          <cell r="K1446" t="str">
            <v>Sistema portátil de grabación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 t="str">
            <v>Pieza</v>
          </cell>
          <cell r="T1446">
            <v>0</v>
          </cell>
          <cell r="V1446" t="str">
            <v>FC</v>
          </cell>
        </row>
        <row r="1447">
          <cell r="A1447">
            <v>366</v>
          </cell>
          <cell r="B1447">
            <v>2017</v>
          </cell>
          <cell r="C1447">
            <v>8300</v>
          </cell>
          <cell r="D1447">
            <v>2</v>
          </cell>
          <cell r="E1447">
            <v>3</v>
          </cell>
          <cell r="F1447">
            <v>3</v>
          </cell>
          <cell r="G1447">
            <v>5000</v>
          </cell>
          <cell r="H1447">
            <v>5200</v>
          </cell>
          <cell r="I1447">
            <v>523</v>
          </cell>
          <cell r="J1447">
            <v>9</v>
          </cell>
          <cell r="K1447" t="str">
            <v>Tripié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 t="str">
            <v>Pieza</v>
          </cell>
          <cell r="T1447">
            <v>0</v>
          </cell>
          <cell r="V1447" t="str">
            <v>FC</v>
          </cell>
        </row>
        <row r="1448">
          <cell r="A1448">
            <v>367</v>
          </cell>
          <cell r="B1448">
            <v>2017</v>
          </cell>
          <cell r="C1448">
            <v>8300</v>
          </cell>
          <cell r="D1448">
            <v>2</v>
          </cell>
          <cell r="E1448">
            <v>3</v>
          </cell>
          <cell r="F1448">
            <v>3</v>
          </cell>
          <cell r="G1448">
            <v>5000</v>
          </cell>
          <cell r="H1448">
            <v>5200</v>
          </cell>
          <cell r="I1448">
            <v>523</v>
          </cell>
          <cell r="J1448">
            <v>10</v>
          </cell>
          <cell r="K1448" t="str">
            <v>Videoproyector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 t="str">
            <v>Pieza</v>
          </cell>
          <cell r="T1448">
            <v>0</v>
          </cell>
          <cell r="V1448" t="str">
            <v>FC</v>
          </cell>
        </row>
        <row r="1449">
          <cell r="A1449">
            <v>368</v>
          </cell>
          <cell r="B1449">
            <v>2017</v>
          </cell>
          <cell r="C1449">
            <v>8300</v>
          </cell>
          <cell r="D1449">
            <v>2</v>
          </cell>
          <cell r="E1449">
            <v>3</v>
          </cell>
          <cell r="F1449">
            <v>3</v>
          </cell>
          <cell r="G1449">
            <v>5000</v>
          </cell>
          <cell r="H1449">
            <v>5400</v>
          </cell>
          <cell r="K1449" t="str">
            <v>Vehículos y Equipo de Transporte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T1449">
            <v>0</v>
          </cell>
        </row>
        <row r="1450">
          <cell r="A1450">
            <v>369</v>
          </cell>
          <cell r="B1450">
            <v>2017</v>
          </cell>
          <cell r="C1450">
            <v>8300</v>
          </cell>
          <cell r="D1450">
            <v>2</v>
          </cell>
          <cell r="E1450">
            <v>3</v>
          </cell>
          <cell r="F1450">
            <v>3</v>
          </cell>
          <cell r="G1450">
            <v>5000</v>
          </cell>
          <cell r="H1450">
            <v>5400</v>
          </cell>
          <cell r="I1450">
            <v>541</v>
          </cell>
          <cell r="K1450" t="str">
            <v>Vehículos y equipo terrestre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</row>
        <row r="1451">
          <cell r="A1451">
            <v>370</v>
          </cell>
          <cell r="B1451">
            <v>2017</v>
          </cell>
          <cell r="C1451">
            <v>8300</v>
          </cell>
          <cell r="D1451">
            <v>2</v>
          </cell>
          <cell r="E1451">
            <v>3</v>
          </cell>
          <cell r="F1451">
            <v>3</v>
          </cell>
          <cell r="G1451">
            <v>5000</v>
          </cell>
          <cell r="H1451">
            <v>5400</v>
          </cell>
          <cell r="I1451">
            <v>541</v>
          </cell>
          <cell r="J1451">
            <v>1</v>
          </cell>
          <cell r="K1451" t="str">
            <v xml:space="preserve">Bicicleta 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 t="str">
            <v>Pieza</v>
          </cell>
          <cell r="T1451">
            <v>0</v>
          </cell>
          <cell r="V1451" t="str">
            <v>FC</v>
          </cell>
        </row>
        <row r="1452">
          <cell r="A1452">
            <v>371</v>
          </cell>
          <cell r="B1452">
            <v>2017</v>
          </cell>
          <cell r="C1452">
            <v>8300</v>
          </cell>
          <cell r="D1452">
            <v>2</v>
          </cell>
          <cell r="E1452">
            <v>3</v>
          </cell>
          <cell r="F1452">
            <v>3</v>
          </cell>
          <cell r="G1452">
            <v>5000</v>
          </cell>
          <cell r="H1452">
            <v>5400</v>
          </cell>
          <cell r="I1452">
            <v>541</v>
          </cell>
          <cell r="J1452">
            <v>2</v>
          </cell>
          <cell r="K1452" t="str">
            <v xml:space="preserve">Cuatrimoto 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 t="str">
            <v>Pieza</v>
          </cell>
          <cell r="T1452">
            <v>0</v>
          </cell>
          <cell r="V1452" t="str">
            <v>FC</v>
          </cell>
        </row>
        <row r="1453">
          <cell r="A1453">
            <v>372</v>
          </cell>
          <cell r="B1453">
            <v>2017</v>
          </cell>
          <cell r="C1453">
            <v>8300</v>
          </cell>
          <cell r="D1453">
            <v>2</v>
          </cell>
          <cell r="E1453">
            <v>3</v>
          </cell>
          <cell r="F1453">
            <v>3</v>
          </cell>
          <cell r="G1453">
            <v>5000</v>
          </cell>
          <cell r="H1453">
            <v>5400</v>
          </cell>
          <cell r="I1453">
            <v>541</v>
          </cell>
          <cell r="J1453">
            <v>3</v>
          </cell>
          <cell r="K1453" t="str">
            <v>Motocicleta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 t="str">
            <v>Pieza</v>
          </cell>
          <cell r="T1453">
            <v>0</v>
          </cell>
          <cell r="V1453" t="str">
            <v>FC</v>
          </cell>
        </row>
        <row r="1454">
          <cell r="A1454">
            <v>373</v>
          </cell>
          <cell r="B1454">
            <v>2017</v>
          </cell>
          <cell r="C1454">
            <v>8300</v>
          </cell>
          <cell r="D1454">
            <v>2</v>
          </cell>
          <cell r="E1454">
            <v>3</v>
          </cell>
          <cell r="F1454">
            <v>3</v>
          </cell>
          <cell r="G1454">
            <v>5000</v>
          </cell>
          <cell r="H1454">
            <v>5400</v>
          </cell>
          <cell r="I1454">
            <v>541</v>
          </cell>
          <cell r="J1454">
            <v>4</v>
          </cell>
          <cell r="K1454" t="str">
            <v xml:space="preserve">Vehículo </v>
          </cell>
          <cell r="S1454" t="str">
            <v>Pieza</v>
          </cell>
          <cell r="V1454" t="str">
            <v>FC</v>
          </cell>
        </row>
        <row r="1455">
          <cell r="A1455">
            <v>374</v>
          </cell>
          <cell r="B1455">
            <v>2017</v>
          </cell>
          <cell r="C1455">
            <v>8300</v>
          </cell>
          <cell r="D1455">
            <v>2</v>
          </cell>
          <cell r="E1455">
            <v>3</v>
          </cell>
          <cell r="F1455">
            <v>3</v>
          </cell>
          <cell r="G1455">
            <v>5000</v>
          </cell>
          <cell r="H1455">
            <v>5400</v>
          </cell>
          <cell r="I1455">
            <v>541</v>
          </cell>
          <cell r="J1455">
            <v>4</v>
          </cell>
          <cell r="K1455" t="str">
            <v>Vehículo sedan</v>
          </cell>
          <cell r="S1455" t="str">
            <v>Pieza</v>
          </cell>
        </row>
        <row r="1456">
          <cell r="A1456">
            <v>375</v>
          </cell>
          <cell r="B1456">
            <v>2017</v>
          </cell>
          <cell r="C1456">
            <v>8300</v>
          </cell>
          <cell r="D1456">
            <v>2</v>
          </cell>
          <cell r="E1456">
            <v>3</v>
          </cell>
          <cell r="F1456">
            <v>3</v>
          </cell>
          <cell r="G1456">
            <v>5000</v>
          </cell>
          <cell r="H1456">
            <v>5400</v>
          </cell>
          <cell r="I1456">
            <v>541</v>
          </cell>
          <cell r="J1456">
            <v>5</v>
          </cell>
          <cell r="K1456" t="str">
            <v>Bicicleta municipal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 t="str">
            <v>Pieza</v>
          </cell>
          <cell r="T1456">
            <v>0</v>
          </cell>
          <cell r="V1456" t="str">
            <v>FC/FM</v>
          </cell>
        </row>
        <row r="1457">
          <cell r="A1457">
            <v>376</v>
          </cell>
          <cell r="B1457">
            <v>2017</v>
          </cell>
          <cell r="C1457">
            <v>8300</v>
          </cell>
          <cell r="D1457">
            <v>2</v>
          </cell>
          <cell r="E1457">
            <v>3</v>
          </cell>
          <cell r="F1457">
            <v>3</v>
          </cell>
          <cell r="G1457">
            <v>5000</v>
          </cell>
          <cell r="H1457">
            <v>5400</v>
          </cell>
          <cell r="I1457">
            <v>541</v>
          </cell>
          <cell r="J1457">
            <v>6</v>
          </cell>
          <cell r="K1457" t="str">
            <v>Cuatrimoto municipal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 t="str">
            <v>Pieza</v>
          </cell>
          <cell r="T1457">
            <v>0</v>
          </cell>
          <cell r="V1457" t="str">
            <v>FC/FM</v>
          </cell>
        </row>
        <row r="1458">
          <cell r="A1458">
            <v>377</v>
          </cell>
          <cell r="B1458">
            <v>2017</v>
          </cell>
          <cell r="C1458">
            <v>8300</v>
          </cell>
          <cell r="D1458">
            <v>2</v>
          </cell>
          <cell r="E1458">
            <v>3</v>
          </cell>
          <cell r="F1458">
            <v>3</v>
          </cell>
          <cell r="G1458">
            <v>5000</v>
          </cell>
          <cell r="H1458">
            <v>5400</v>
          </cell>
          <cell r="I1458">
            <v>541</v>
          </cell>
          <cell r="J1458">
            <v>7</v>
          </cell>
          <cell r="K1458" t="str">
            <v>Motocicleta municipal</v>
          </cell>
          <cell r="S1458" t="str">
            <v>Pieza</v>
          </cell>
          <cell r="V1458" t="str">
            <v>FC/FM</v>
          </cell>
        </row>
        <row r="1459">
          <cell r="A1459">
            <v>378</v>
          </cell>
          <cell r="B1459">
            <v>2017</v>
          </cell>
          <cell r="C1459">
            <v>8300</v>
          </cell>
          <cell r="D1459">
            <v>2</v>
          </cell>
          <cell r="E1459">
            <v>3</v>
          </cell>
          <cell r="F1459">
            <v>3</v>
          </cell>
          <cell r="G1459">
            <v>5000</v>
          </cell>
          <cell r="H1459">
            <v>5400</v>
          </cell>
          <cell r="I1459">
            <v>541</v>
          </cell>
          <cell r="J1459">
            <v>8</v>
          </cell>
          <cell r="K1459" t="str">
            <v>Vehículo Municipal</v>
          </cell>
          <cell r="S1459" t="str">
            <v>Pieza</v>
          </cell>
          <cell r="V1459" t="str">
            <v>FC/FM</v>
          </cell>
        </row>
        <row r="1460">
          <cell r="A1460">
            <v>379</v>
          </cell>
          <cell r="B1460">
            <v>2017</v>
          </cell>
          <cell r="C1460">
            <v>8300</v>
          </cell>
          <cell r="D1460">
            <v>2</v>
          </cell>
          <cell r="E1460">
            <v>3</v>
          </cell>
          <cell r="F1460">
            <v>3</v>
          </cell>
          <cell r="G1460">
            <v>5000</v>
          </cell>
          <cell r="H1460">
            <v>5500</v>
          </cell>
          <cell r="K1460" t="str">
            <v>Equipo de Defensa y Seguridad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</row>
        <row r="1461">
          <cell r="A1461">
            <v>380</v>
          </cell>
          <cell r="B1461">
            <v>2017</v>
          </cell>
          <cell r="C1461">
            <v>8300</v>
          </cell>
          <cell r="D1461">
            <v>2</v>
          </cell>
          <cell r="E1461">
            <v>3</v>
          </cell>
          <cell r="F1461">
            <v>3</v>
          </cell>
          <cell r="G1461">
            <v>5000</v>
          </cell>
          <cell r="H1461">
            <v>5500</v>
          </cell>
          <cell r="I1461">
            <v>551</v>
          </cell>
          <cell r="K1461" t="str">
            <v>Equipo de defensa y seguridad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</row>
        <row r="1462">
          <cell r="A1462">
            <v>381</v>
          </cell>
          <cell r="B1462">
            <v>2017</v>
          </cell>
          <cell r="C1462">
            <v>8300</v>
          </cell>
          <cell r="D1462">
            <v>2</v>
          </cell>
          <cell r="E1462">
            <v>3</v>
          </cell>
          <cell r="F1462">
            <v>3</v>
          </cell>
          <cell r="G1462">
            <v>5000</v>
          </cell>
          <cell r="H1462">
            <v>5500</v>
          </cell>
          <cell r="I1462">
            <v>551</v>
          </cell>
          <cell r="J1462">
            <v>1</v>
          </cell>
          <cell r="K1462" t="str">
            <v xml:space="preserve">Ariete 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 t="str">
            <v>Pieza</v>
          </cell>
          <cell r="T1462">
            <v>0</v>
          </cell>
          <cell r="V1462" t="str">
            <v>FC</v>
          </cell>
        </row>
        <row r="1463">
          <cell r="A1463">
            <v>382</v>
          </cell>
          <cell r="B1463">
            <v>2017</v>
          </cell>
          <cell r="C1463">
            <v>8300</v>
          </cell>
          <cell r="D1463">
            <v>2</v>
          </cell>
          <cell r="E1463">
            <v>3</v>
          </cell>
          <cell r="F1463">
            <v>3</v>
          </cell>
          <cell r="G1463">
            <v>5000</v>
          </cell>
          <cell r="H1463">
            <v>5500</v>
          </cell>
          <cell r="I1463">
            <v>551</v>
          </cell>
          <cell r="J1463">
            <v>2</v>
          </cell>
          <cell r="K1463" t="str">
            <v>Arma corta</v>
          </cell>
          <cell r="S1463" t="str">
            <v>Pieza</v>
          </cell>
          <cell r="V1463" t="str">
            <v>FC</v>
          </cell>
        </row>
        <row r="1464">
          <cell r="A1464">
            <v>383</v>
          </cell>
          <cell r="B1464">
            <v>2017</v>
          </cell>
          <cell r="C1464">
            <v>8300</v>
          </cell>
          <cell r="D1464">
            <v>2</v>
          </cell>
          <cell r="E1464">
            <v>3</v>
          </cell>
          <cell r="F1464">
            <v>3</v>
          </cell>
          <cell r="G1464">
            <v>5000</v>
          </cell>
          <cell r="H1464">
            <v>5500</v>
          </cell>
          <cell r="I1464">
            <v>551</v>
          </cell>
          <cell r="J1464">
            <v>3</v>
          </cell>
          <cell r="K1464" t="str">
            <v>Arma corta municipal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 t="str">
            <v>Pieza</v>
          </cell>
          <cell r="T1464">
            <v>0</v>
          </cell>
          <cell r="V1464" t="str">
            <v>FC/FM</v>
          </cell>
        </row>
        <row r="1465">
          <cell r="A1465">
            <v>384</v>
          </cell>
          <cell r="B1465">
            <v>2017</v>
          </cell>
          <cell r="C1465">
            <v>8300</v>
          </cell>
          <cell r="D1465">
            <v>2</v>
          </cell>
          <cell r="E1465">
            <v>3</v>
          </cell>
          <cell r="F1465">
            <v>3</v>
          </cell>
          <cell r="G1465">
            <v>5000</v>
          </cell>
          <cell r="H1465">
            <v>5500</v>
          </cell>
          <cell r="I1465">
            <v>551</v>
          </cell>
          <cell r="J1465">
            <v>4</v>
          </cell>
          <cell r="K1465" t="str">
            <v>Arma larga</v>
          </cell>
          <cell r="S1465" t="str">
            <v>Pieza</v>
          </cell>
          <cell r="V1465" t="str">
            <v>FC</v>
          </cell>
        </row>
        <row r="1466">
          <cell r="A1466">
            <v>385</v>
          </cell>
          <cell r="B1466">
            <v>2017</v>
          </cell>
          <cell r="C1466">
            <v>8300</v>
          </cell>
          <cell r="D1466">
            <v>2</v>
          </cell>
          <cell r="E1466">
            <v>3</v>
          </cell>
          <cell r="F1466">
            <v>3</v>
          </cell>
          <cell r="G1466">
            <v>5000</v>
          </cell>
          <cell r="H1466">
            <v>5500</v>
          </cell>
          <cell r="I1466">
            <v>551</v>
          </cell>
          <cell r="J1466">
            <v>5</v>
          </cell>
          <cell r="K1466" t="str">
            <v>Arma larga municipal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 t="str">
            <v>Pieza</v>
          </cell>
          <cell r="T1466">
            <v>0</v>
          </cell>
          <cell r="V1466" t="str">
            <v>FC/FM</v>
          </cell>
        </row>
        <row r="1467">
          <cell r="A1467">
            <v>386</v>
          </cell>
          <cell r="B1467">
            <v>2017</v>
          </cell>
          <cell r="C1467">
            <v>8300</v>
          </cell>
          <cell r="D1467">
            <v>2</v>
          </cell>
          <cell r="E1467">
            <v>3</v>
          </cell>
          <cell r="F1467">
            <v>3</v>
          </cell>
          <cell r="G1467">
            <v>5000</v>
          </cell>
          <cell r="H1467">
            <v>5500</v>
          </cell>
          <cell r="I1467">
            <v>551</v>
          </cell>
          <cell r="J1467">
            <v>6</v>
          </cell>
          <cell r="K1467" t="str">
            <v xml:space="preserve">Binoculares 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 t="str">
            <v>Pieza</v>
          </cell>
          <cell r="T1467">
            <v>0</v>
          </cell>
          <cell r="V1467" t="str">
            <v>FC</v>
          </cell>
        </row>
        <row r="1468">
          <cell r="A1468">
            <v>387</v>
          </cell>
          <cell r="B1468">
            <v>2017</v>
          </cell>
          <cell r="C1468">
            <v>8300</v>
          </cell>
          <cell r="D1468">
            <v>2</v>
          </cell>
          <cell r="E1468">
            <v>3</v>
          </cell>
          <cell r="F1468">
            <v>3</v>
          </cell>
          <cell r="G1468">
            <v>5000</v>
          </cell>
          <cell r="H1468">
            <v>5500</v>
          </cell>
          <cell r="I1468">
            <v>551</v>
          </cell>
          <cell r="J1468">
            <v>7</v>
          </cell>
          <cell r="K1468" t="str">
            <v xml:space="preserve">Cargadores 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 t="str">
            <v>Pieza</v>
          </cell>
          <cell r="T1468">
            <v>0</v>
          </cell>
          <cell r="V1468" t="str">
            <v>FC</v>
          </cell>
        </row>
        <row r="1469">
          <cell r="A1469">
            <v>388</v>
          </cell>
          <cell r="B1469">
            <v>2017</v>
          </cell>
          <cell r="C1469">
            <v>8300</v>
          </cell>
          <cell r="D1469">
            <v>2</v>
          </cell>
          <cell r="E1469">
            <v>3</v>
          </cell>
          <cell r="F1469">
            <v>3</v>
          </cell>
          <cell r="G1469">
            <v>5000</v>
          </cell>
          <cell r="H1469">
            <v>5500</v>
          </cell>
          <cell r="I1469">
            <v>551</v>
          </cell>
          <cell r="J1469">
            <v>8</v>
          </cell>
          <cell r="K1469" t="str">
            <v>Cizalla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 t="str">
            <v>Pieza</v>
          </cell>
          <cell r="T1469">
            <v>0</v>
          </cell>
          <cell r="V1469" t="str">
            <v>FC</v>
          </cell>
        </row>
        <row r="1470">
          <cell r="A1470">
            <v>389</v>
          </cell>
          <cell r="B1470">
            <v>2017</v>
          </cell>
          <cell r="C1470">
            <v>8300</v>
          </cell>
          <cell r="D1470">
            <v>2</v>
          </cell>
          <cell r="E1470">
            <v>3</v>
          </cell>
          <cell r="F1470">
            <v>3</v>
          </cell>
          <cell r="G1470">
            <v>5000</v>
          </cell>
          <cell r="H1470">
            <v>5500</v>
          </cell>
          <cell r="I1470">
            <v>551</v>
          </cell>
          <cell r="J1470">
            <v>9</v>
          </cell>
          <cell r="K1470" t="str">
            <v xml:space="preserve">Cuña 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 t="str">
            <v>Pieza</v>
          </cell>
          <cell r="T1470">
            <v>0</v>
          </cell>
          <cell r="V1470" t="str">
            <v>FC</v>
          </cell>
        </row>
        <row r="1471">
          <cell r="A1471">
            <v>390</v>
          </cell>
          <cell r="B1471">
            <v>2017</v>
          </cell>
          <cell r="C1471">
            <v>8300</v>
          </cell>
          <cell r="D1471">
            <v>2</v>
          </cell>
          <cell r="E1471">
            <v>3</v>
          </cell>
          <cell r="F1471">
            <v>3</v>
          </cell>
          <cell r="G1471">
            <v>5000</v>
          </cell>
          <cell r="H1471">
            <v>5500</v>
          </cell>
          <cell r="I1471">
            <v>551</v>
          </cell>
          <cell r="J1471">
            <v>10</v>
          </cell>
          <cell r="K1471" t="str">
            <v xml:space="preserve">Equipo de Intervención 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 t="str">
            <v>Pieza</v>
          </cell>
          <cell r="T1471">
            <v>0</v>
          </cell>
          <cell r="V1471" t="str">
            <v>FC</v>
          </cell>
        </row>
        <row r="1472">
          <cell r="A1472">
            <v>391</v>
          </cell>
          <cell r="B1472">
            <v>2017</v>
          </cell>
          <cell r="C1472">
            <v>8300</v>
          </cell>
          <cell r="D1472">
            <v>2</v>
          </cell>
          <cell r="E1472">
            <v>3</v>
          </cell>
          <cell r="F1472">
            <v>3</v>
          </cell>
          <cell r="G1472">
            <v>5000</v>
          </cell>
          <cell r="H1472">
            <v>5500</v>
          </cell>
          <cell r="I1472">
            <v>551</v>
          </cell>
          <cell r="J1472">
            <v>11</v>
          </cell>
          <cell r="K1472" t="str">
            <v xml:space="preserve">Escalera 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 t="str">
            <v>Pieza</v>
          </cell>
          <cell r="T1472">
            <v>0</v>
          </cell>
          <cell r="V1472" t="str">
            <v>FC</v>
          </cell>
        </row>
        <row r="1473">
          <cell r="A1473">
            <v>392</v>
          </cell>
          <cell r="B1473">
            <v>2017</v>
          </cell>
          <cell r="C1473">
            <v>8300</v>
          </cell>
          <cell r="D1473">
            <v>2</v>
          </cell>
          <cell r="E1473">
            <v>3</v>
          </cell>
          <cell r="F1473">
            <v>3</v>
          </cell>
          <cell r="G1473">
            <v>5000</v>
          </cell>
          <cell r="H1473">
            <v>5500</v>
          </cell>
          <cell r="I1473">
            <v>551</v>
          </cell>
          <cell r="J1473">
            <v>12</v>
          </cell>
          <cell r="K1473" t="str">
            <v xml:space="preserve">Escudo balístico 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 t="str">
            <v>Pieza</v>
          </cell>
          <cell r="T1473">
            <v>0</v>
          </cell>
          <cell r="V1473" t="str">
            <v>FC</v>
          </cell>
        </row>
        <row r="1474">
          <cell r="A1474">
            <v>393</v>
          </cell>
          <cell r="B1474">
            <v>2017</v>
          </cell>
          <cell r="C1474">
            <v>8300</v>
          </cell>
          <cell r="D1474">
            <v>2</v>
          </cell>
          <cell r="E1474">
            <v>3</v>
          </cell>
          <cell r="F1474">
            <v>3</v>
          </cell>
          <cell r="G1474">
            <v>5000</v>
          </cell>
          <cell r="H1474">
            <v>5500</v>
          </cell>
          <cell r="I1474">
            <v>551</v>
          </cell>
          <cell r="J1474">
            <v>13</v>
          </cell>
          <cell r="K1474" t="str">
            <v>Implemento de visión nocturna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 t="str">
            <v>Pieza</v>
          </cell>
          <cell r="T1474">
            <v>0</v>
          </cell>
          <cell r="V1474" t="str">
            <v>FC</v>
          </cell>
        </row>
        <row r="1475">
          <cell r="A1475">
            <v>394</v>
          </cell>
          <cell r="B1475">
            <v>2017</v>
          </cell>
          <cell r="C1475">
            <v>8300</v>
          </cell>
          <cell r="D1475">
            <v>2</v>
          </cell>
          <cell r="E1475">
            <v>3</v>
          </cell>
          <cell r="F1475">
            <v>3</v>
          </cell>
          <cell r="G1475">
            <v>5000</v>
          </cell>
          <cell r="H1475">
            <v>5500</v>
          </cell>
          <cell r="I1475">
            <v>551</v>
          </cell>
          <cell r="J1475">
            <v>14</v>
          </cell>
          <cell r="K1475" t="str">
            <v>Implemento para abrir ventanas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 t="str">
            <v>Pieza</v>
          </cell>
          <cell r="T1475">
            <v>0</v>
          </cell>
          <cell r="V1475" t="str">
            <v>FC</v>
          </cell>
        </row>
        <row r="1476">
          <cell r="A1476">
            <v>395</v>
          </cell>
          <cell r="B1476">
            <v>2017</v>
          </cell>
          <cell r="C1476">
            <v>8300</v>
          </cell>
          <cell r="D1476">
            <v>2</v>
          </cell>
          <cell r="E1476">
            <v>3</v>
          </cell>
          <cell r="F1476">
            <v>3</v>
          </cell>
          <cell r="G1476">
            <v>5000</v>
          </cell>
          <cell r="H1476">
            <v>5500</v>
          </cell>
          <cell r="I1476">
            <v>551</v>
          </cell>
          <cell r="J1476">
            <v>15</v>
          </cell>
          <cell r="K1476" t="str">
            <v>Lanzagranadas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 t="str">
            <v>Pieza</v>
          </cell>
          <cell r="T1476">
            <v>0</v>
          </cell>
          <cell r="V1476" t="str">
            <v>FC</v>
          </cell>
        </row>
        <row r="1477">
          <cell r="A1477">
            <v>396</v>
          </cell>
          <cell r="B1477">
            <v>2017</v>
          </cell>
          <cell r="C1477">
            <v>8300</v>
          </cell>
          <cell r="D1477">
            <v>2</v>
          </cell>
          <cell r="E1477">
            <v>3</v>
          </cell>
          <cell r="F1477">
            <v>3</v>
          </cell>
          <cell r="G1477">
            <v>5000</v>
          </cell>
          <cell r="H1477">
            <v>5500</v>
          </cell>
          <cell r="I1477">
            <v>551</v>
          </cell>
          <cell r="J1477">
            <v>16</v>
          </cell>
          <cell r="K1477" t="str">
            <v xml:space="preserve">Marro 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 t="str">
            <v>Pieza</v>
          </cell>
          <cell r="T1477">
            <v>0</v>
          </cell>
          <cell r="V1477" t="str">
            <v>FC</v>
          </cell>
        </row>
        <row r="1478">
          <cell r="A1478">
            <v>397</v>
          </cell>
          <cell r="B1478">
            <v>2017</v>
          </cell>
          <cell r="C1478">
            <v>8300</v>
          </cell>
          <cell r="D1478">
            <v>2</v>
          </cell>
          <cell r="E1478">
            <v>3</v>
          </cell>
          <cell r="F1478">
            <v>3</v>
          </cell>
          <cell r="G1478">
            <v>5000</v>
          </cell>
          <cell r="H1478">
            <v>5500</v>
          </cell>
          <cell r="I1478">
            <v>551</v>
          </cell>
          <cell r="J1478">
            <v>17</v>
          </cell>
          <cell r="K1478" t="str">
            <v xml:space="preserve">Mira telescópica 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 t="str">
            <v>Pieza</v>
          </cell>
          <cell r="T1478">
            <v>0</v>
          </cell>
          <cell r="V1478" t="str">
            <v>FC</v>
          </cell>
        </row>
        <row r="1479">
          <cell r="A1479">
            <v>398</v>
          </cell>
          <cell r="B1479">
            <v>2017</v>
          </cell>
          <cell r="C1479">
            <v>8300</v>
          </cell>
          <cell r="D1479">
            <v>2</v>
          </cell>
          <cell r="E1479">
            <v>3</v>
          </cell>
          <cell r="F1479">
            <v>3</v>
          </cell>
          <cell r="G1479">
            <v>5000</v>
          </cell>
          <cell r="H1479">
            <v>5500</v>
          </cell>
          <cell r="I1479">
            <v>551</v>
          </cell>
          <cell r="J1479">
            <v>18</v>
          </cell>
          <cell r="K1479" t="str">
            <v>Monocular visión térmica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 t="str">
            <v>Pieza</v>
          </cell>
          <cell r="T1479">
            <v>0</v>
          </cell>
          <cell r="V1479" t="str">
            <v>FC</v>
          </cell>
        </row>
        <row r="1480">
          <cell r="A1480">
            <v>399</v>
          </cell>
          <cell r="B1480">
            <v>2017</v>
          </cell>
          <cell r="C1480">
            <v>8300</v>
          </cell>
          <cell r="D1480">
            <v>2</v>
          </cell>
          <cell r="E1480">
            <v>3</v>
          </cell>
          <cell r="F1480">
            <v>3</v>
          </cell>
          <cell r="G1480">
            <v>5000</v>
          </cell>
          <cell r="H1480">
            <v>5600</v>
          </cell>
          <cell r="K1480" t="str">
            <v>Maquinaria, otros equipos y herramientas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T1480">
            <v>0</v>
          </cell>
        </row>
        <row r="1481">
          <cell r="A1481">
            <v>400</v>
          </cell>
          <cell r="B1481">
            <v>2017</v>
          </cell>
          <cell r="C1481">
            <v>8300</v>
          </cell>
          <cell r="D1481">
            <v>2</v>
          </cell>
          <cell r="E1481">
            <v>3</v>
          </cell>
          <cell r="F1481">
            <v>3</v>
          </cell>
          <cell r="G1481">
            <v>5000</v>
          </cell>
          <cell r="H1481">
            <v>5600</v>
          </cell>
          <cell r="I1481">
            <v>562</v>
          </cell>
          <cell r="K1481" t="str">
            <v>Maquinaria y equipo industrial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T1481">
            <v>0</v>
          </cell>
        </row>
        <row r="1482">
          <cell r="A1482">
            <v>401</v>
          </cell>
          <cell r="B1482">
            <v>2017</v>
          </cell>
          <cell r="C1482">
            <v>8300</v>
          </cell>
          <cell r="D1482">
            <v>2</v>
          </cell>
          <cell r="E1482">
            <v>3</v>
          </cell>
          <cell r="F1482">
            <v>3</v>
          </cell>
          <cell r="G1482">
            <v>5000</v>
          </cell>
          <cell r="H1482">
            <v>5600</v>
          </cell>
          <cell r="I1482">
            <v>562</v>
          </cell>
          <cell r="J1482">
            <v>1</v>
          </cell>
          <cell r="K1482" t="str">
            <v xml:space="preserve">Campana 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 t="str">
            <v>Pieza</v>
          </cell>
          <cell r="T1482">
            <v>0</v>
          </cell>
          <cell r="V1482" t="str">
            <v>FC</v>
          </cell>
        </row>
        <row r="1483">
          <cell r="A1483">
            <v>402</v>
          </cell>
          <cell r="B1483">
            <v>2017</v>
          </cell>
          <cell r="C1483">
            <v>8300</v>
          </cell>
          <cell r="D1483">
            <v>2</v>
          </cell>
          <cell r="E1483">
            <v>3</v>
          </cell>
          <cell r="F1483">
            <v>3</v>
          </cell>
          <cell r="G1483">
            <v>5000</v>
          </cell>
          <cell r="H1483">
            <v>5600</v>
          </cell>
          <cell r="I1483">
            <v>562</v>
          </cell>
          <cell r="J1483">
            <v>2</v>
          </cell>
          <cell r="K1483" t="str">
            <v>Estufa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 t="str">
            <v>Pieza</v>
          </cell>
          <cell r="V1483" t="str">
            <v>FC</v>
          </cell>
        </row>
        <row r="1484">
          <cell r="A1484">
            <v>403</v>
          </cell>
          <cell r="B1484">
            <v>2017</v>
          </cell>
          <cell r="C1484">
            <v>8300</v>
          </cell>
          <cell r="D1484">
            <v>2</v>
          </cell>
          <cell r="E1484">
            <v>3</v>
          </cell>
          <cell r="F1484">
            <v>3</v>
          </cell>
          <cell r="G1484">
            <v>5000</v>
          </cell>
          <cell r="H1484">
            <v>5600</v>
          </cell>
          <cell r="I1484">
            <v>562</v>
          </cell>
          <cell r="J1484">
            <v>3</v>
          </cell>
          <cell r="K1484" t="str">
            <v xml:space="preserve">Horno 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 t="str">
            <v>Pieza</v>
          </cell>
          <cell r="V1484" t="str">
            <v>FC</v>
          </cell>
        </row>
        <row r="1485">
          <cell r="A1485">
            <v>404</v>
          </cell>
          <cell r="B1485">
            <v>2017</v>
          </cell>
          <cell r="C1485">
            <v>8300</v>
          </cell>
          <cell r="D1485">
            <v>2</v>
          </cell>
          <cell r="E1485">
            <v>3</v>
          </cell>
          <cell r="F1485">
            <v>3</v>
          </cell>
          <cell r="G1485">
            <v>5000</v>
          </cell>
          <cell r="H1485">
            <v>5600</v>
          </cell>
          <cell r="I1485">
            <v>562</v>
          </cell>
          <cell r="J1485">
            <v>4</v>
          </cell>
          <cell r="K1485" t="str">
            <v>Refrigerador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 t="str">
            <v>Pieza</v>
          </cell>
          <cell r="V1485" t="str">
            <v>FC</v>
          </cell>
        </row>
        <row r="1486">
          <cell r="A1486">
            <v>405</v>
          </cell>
          <cell r="B1486">
            <v>2017</v>
          </cell>
          <cell r="C1486">
            <v>8300</v>
          </cell>
          <cell r="D1486">
            <v>2</v>
          </cell>
          <cell r="E1486">
            <v>3</v>
          </cell>
          <cell r="F1486">
            <v>3</v>
          </cell>
          <cell r="G1486">
            <v>5000</v>
          </cell>
          <cell r="H1486">
            <v>5900</v>
          </cell>
          <cell r="K1486" t="str">
            <v>Activos Intangibles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</row>
        <row r="1487">
          <cell r="A1487">
            <v>406</v>
          </cell>
          <cell r="B1487">
            <v>2017</v>
          </cell>
          <cell r="C1487">
            <v>8300</v>
          </cell>
          <cell r="D1487">
            <v>2</v>
          </cell>
          <cell r="E1487">
            <v>3</v>
          </cell>
          <cell r="F1487">
            <v>3</v>
          </cell>
          <cell r="G1487">
            <v>5000</v>
          </cell>
          <cell r="H1487">
            <v>5900</v>
          </cell>
          <cell r="I1487">
            <v>591</v>
          </cell>
          <cell r="K1487" t="str">
            <v>Software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</row>
        <row r="1488">
          <cell r="A1488">
            <v>407</v>
          </cell>
          <cell r="B1488">
            <v>2017</v>
          </cell>
          <cell r="C1488">
            <v>8300</v>
          </cell>
          <cell r="D1488">
            <v>2</v>
          </cell>
          <cell r="E1488">
            <v>3</v>
          </cell>
          <cell r="F1488">
            <v>3</v>
          </cell>
          <cell r="G1488">
            <v>5000</v>
          </cell>
          <cell r="H1488">
            <v>5900</v>
          </cell>
          <cell r="I1488">
            <v>591</v>
          </cell>
          <cell r="J1488">
            <v>1</v>
          </cell>
          <cell r="K1488" t="str">
            <v>Software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 t="str">
            <v>Licencia</v>
          </cell>
          <cell r="V1488" t="str">
            <v>FC</v>
          </cell>
        </row>
        <row r="1489">
          <cell r="A1489">
            <v>408</v>
          </cell>
          <cell r="B1489">
            <v>2017</v>
          </cell>
          <cell r="C1489">
            <v>8300</v>
          </cell>
          <cell r="D1489">
            <v>2</v>
          </cell>
          <cell r="E1489">
            <v>3</v>
          </cell>
          <cell r="F1489">
            <v>3</v>
          </cell>
          <cell r="G1489">
            <v>5000</v>
          </cell>
          <cell r="K1489" t="str">
            <v>BIENES MUEBLES, INMUEBLES E INTANGIBLES</v>
          </cell>
          <cell r="L1489">
            <v>6459920</v>
          </cell>
          <cell r="M1489">
            <v>0</v>
          </cell>
          <cell r="N1489">
            <v>6459920</v>
          </cell>
          <cell r="O1489">
            <v>0</v>
          </cell>
          <cell r="P1489">
            <v>0</v>
          </cell>
          <cell r="Q1489">
            <v>0</v>
          </cell>
          <cell r="R1489">
            <v>6459920</v>
          </cell>
        </row>
        <row r="1490">
          <cell r="A1490">
            <v>409</v>
          </cell>
          <cell r="C1490">
            <v>8300</v>
          </cell>
          <cell r="D1490">
            <v>2</v>
          </cell>
          <cell r="E1490">
            <v>3</v>
          </cell>
          <cell r="F1490">
            <v>3</v>
          </cell>
          <cell r="K1490" t="str">
            <v>Procuración de Justicia</v>
          </cell>
          <cell r="L1490">
            <v>6459920</v>
          </cell>
          <cell r="M1490">
            <v>0</v>
          </cell>
          <cell r="N1490">
            <v>6459920</v>
          </cell>
          <cell r="O1490">
            <v>0</v>
          </cell>
          <cell r="P1490">
            <v>0</v>
          </cell>
          <cell r="Q1490">
            <v>0</v>
          </cell>
          <cell r="R1490">
            <v>6459920</v>
          </cell>
        </row>
        <row r="1491">
          <cell r="A1491">
            <v>410</v>
          </cell>
          <cell r="B1491">
            <v>2017</v>
          </cell>
          <cell r="C1491">
            <v>8300</v>
          </cell>
          <cell r="D1491">
            <v>2</v>
          </cell>
          <cell r="E1491">
            <v>3</v>
          </cell>
          <cell r="F1491">
            <v>3</v>
          </cell>
          <cell r="G1491">
            <v>5000</v>
          </cell>
          <cell r="H1491">
            <v>5100</v>
          </cell>
          <cell r="K1491" t="str">
            <v>Mobiliario y Equipo de Administración</v>
          </cell>
          <cell r="L1491">
            <v>333340</v>
          </cell>
          <cell r="M1491">
            <v>0</v>
          </cell>
          <cell r="N1491">
            <v>333340</v>
          </cell>
          <cell r="O1491">
            <v>0</v>
          </cell>
          <cell r="P1491">
            <v>0</v>
          </cell>
          <cell r="Q1491">
            <v>0</v>
          </cell>
          <cell r="R1491">
            <v>333340</v>
          </cell>
        </row>
        <row r="1492">
          <cell r="A1492">
            <v>411</v>
          </cell>
          <cell r="B1492">
            <v>2017</v>
          </cell>
          <cell r="C1492">
            <v>8300</v>
          </cell>
          <cell r="D1492">
            <v>2</v>
          </cell>
          <cell r="E1492">
            <v>3</v>
          </cell>
          <cell r="F1492">
            <v>3</v>
          </cell>
          <cell r="G1492">
            <v>5000</v>
          </cell>
          <cell r="H1492">
            <v>5100</v>
          </cell>
          <cell r="I1492">
            <v>511</v>
          </cell>
          <cell r="K1492" t="str">
            <v>Muebles de oficina y estantería</v>
          </cell>
          <cell r="L1492">
            <v>138340</v>
          </cell>
          <cell r="M1492">
            <v>0</v>
          </cell>
          <cell r="N1492">
            <v>138340</v>
          </cell>
          <cell r="O1492">
            <v>0</v>
          </cell>
          <cell r="P1492">
            <v>0</v>
          </cell>
          <cell r="Q1492">
            <v>0</v>
          </cell>
          <cell r="R1492">
            <v>138340</v>
          </cell>
        </row>
        <row r="1493">
          <cell r="A1493">
            <v>412</v>
          </cell>
          <cell r="B1493">
            <v>2017</v>
          </cell>
          <cell r="C1493">
            <v>8300</v>
          </cell>
          <cell r="D1493">
            <v>2</v>
          </cell>
          <cell r="E1493">
            <v>3</v>
          </cell>
          <cell r="F1493">
            <v>3</v>
          </cell>
          <cell r="G1493">
            <v>5000</v>
          </cell>
          <cell r="H1493">
            <v>5100</v>
          </cell>
          <cell r="I1493">
            <v>511</v>
          </cell>
          <cell r="J1493">
            <v>1</v>
          </cell>
          <cell r="K1493" t="str">
            <v xml:space="preserve">Anaquel   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 t="str">
            <v>Pieza</v>
          </cell>
          <cell r="V1493" t="str">
            <v>FC</v>
          </cell>
        </row>
        <row r="1494">
          <cell r="A1494">
            <v>413</v>
          </cell>
          <cell r="B1494">
            <v>2017</v>
          </cell>
          <cell r="C1494">
            <v>8300</v>
          </cell>
          <cell r="D1494">
            <v>2</v>
          </cell>
          <cell r="E1494">
            <v>3</v>
          </cell>
          <cell r="F1494">
            <v>3</v>
          </cell>
          <cell r="G1494">
            <v>5000</v>
          </cell>
          <cell r="H1494">
            <v>5100</v>
          </cell>
          <cell r="I1494">
            <v>511</v>
          </cell>
          <cell r="J1494">
            <v>2</v>
          </cell>
          <cell r="K1494" t="str">
            <v>Archivero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 t="str">
            <v>Pieza</v>
          </cell>
          <cell r="V1494" t="str">
            <v>FC</v>
          </cell>
        </row>
        <row r="1495">
          <cell r="A1495">
            <v>414</v>
          </cell>
          <cell r="B1495">
            <v>2017</v>
          </cell>
          <cell r="C1495">
            <v>8300</v>
          </cell>
          <cell r="D1495">
            <v>2</v>
          </cell>
          <cell r="E1495">
            <v>3</v>
          </cell>
          <cell r="F1495">
            <v>3</v>
          </cell>
          <cell r="G1495">
            <v>5000</v>
          </cell>
          <cell r="H1495">
            <v>5100</v>
          </cell>
          <cell r="I1495">
            <v>511</v>
          </cell>
          <cell r="J1495">
            <v>3</v>
          </cell>
          <cell r="K1495" t="str">
            <v>Armario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 t="str">
            <v>Pieza</v>
          </cell>
          <cell r="V1495" t="str">
            <v>FC</v>
          </cell>
        </row>
        <row r="1496">
          <cell r="A1496">
            <v>415</v>
          </cell>
          <cell r="B1496">
            <v>2017</v>
          </cell>
          <cell r="C1496">
            <v>8300</v>
          </cell>
          <cell r="D1496">
            <v>2</v>
          </cell>
          <cell r="E1496">
            <v>3</v>
          </cell>
          <cell r="F1496">
            <v>3</v>
          </cell>
          <cell r="G1496">
            <v>5000</v>
          </cell>
          <cell r="H1496">
            <v>5100</v>
          </cell>
          <cell r="I1496">
            <v>511</v>
          </cell>
          <cell r="J1496">
            <v>4</v>
          </cell>
          <cell r="K1496" t="str">
            <v>Banca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 t="str">
            <v>Pieza</v>
          </cell>
          <cell r="V1496" t="str">
            <v>FC</v>
          </cell>
        </row>
        <row r="1497">
          <cell r="A1497">
            <v>416</v>
          </cell>
          <cell r="B1497">
            <v>2017</v>
          </cell>
          <cell r="C1497">
            <v>8300</v>
          </cell>
          <cell r="D1497">
            <v>2</v>
          </cell>
          <cell r="E1497">
            <v>3</v>
          </cell>
          <cell r="F1497">
            <v>3</v>
          </cell>
          <cell r="G1497">
            <v>5000</v>
          </cell>
          <cell r="H1497">
            <v>5100</v>
          </cell>
          <cell r="I1497">
            <v>511</v>
          </cell>
          <cell r="J1497">
            <v>5</v>
          </cell>
          <cell r="K1497" t="str">
            <v>Butaca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 t="str">
            <v>Pieza</v>
          </cell>
          <cell r="V1497" t="str">
            <v>FC</v>
          </cell>
        </row>
        <row r="1498">
          <cell r="A1498">
            <v>417</v>
          </cell>
          <cell r="B1498">
            <v>2017</v>
          </cell>
          <cell r="C1498">
            <v>8300</v>
          </cell>
          <cell r="D1498">
            <v>2</v>
          </cell>
          <cell r="E1498">
            <v>3</v>
          </cell>
          <cell r="F1498">
            <v>3</v>
          </cell>
          <cell r="G1498">
            <v>5000</v>
          </cell>
          <cell r="H1498">
            <v>5100</v>
          </cell>
          <cell r="I1498">
            <v>511</v>
          </cell>
          <cell r="J1498">
            <v>6</v>
          </cell>
          <cell r="K1498" t="str">
            <v>Comedor</v>
          </cell>
          <cell r="L1498">
            <v>56840</v>
          </cell>
          <cell r="M1498">
            <v>0</v>
          </cell>
          <cell r="N1498">
            <v>56840</v>
          </cell>
          <cell r="O1498">
            <v>0</v>
          </cell>
          <cell r="P1498">
            <v>0</v>
          </cell>
          <cell r="Q1498">
            <v>0</v>
          </cell>
          <cell r="R1498">
            <v>56840</v>
          </cell>
          <cell r="S1498" t="str">
            <v>Pieza</v>
          </cell>
          <cell r="T1498">
            <v>6</v>
          </cell>
          <cell r="V1498" t="str">
            <v>FC</v>
          </cell>
        </row>
        <row r="1499">
          <cell r="A1499">
            <v>418</v>
          </cell>
          <cell r="B1499">
            <v>2017</v>
          </cell>
          <cell r="C1499">
            <v>8300</v>
          </cell>
          <cell r="D1499">
            <v>2</v>
          </cell>
          <cell r="E1499">
            <v>3</v>
          </cell>
          <cell r="F1499">
            <v>3</v>
          </cell>
          <cell r="G1499">
            <v>5000</v>
          </cell>
          <cell r="H1499">
            <v>5100</v>
          </cell>
          <cell r="I1499">
            <v>511</v>
          </cell>
          <cell r="J1499">
            <v>7</v>
          </cell>
          <cell r="K1499" t="str">
            <v xml:space="preserve">Conjunto 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 t="str">
            <v>Pieza</v>
          </cell>
          <cell r="V1499" t="str">
            <v>FC</v>
          </cell>
        </row>
        <row r="1500">
          <cell r="A1500">
            <v>419</v>
          </cell>
          <cell r="B1500">
            <v>2017</v>
          </cell>
          <cell r="C1500">
            <v>8300</v>
          </cell>
          <cell r="D1500">
            <v>2</v>
          </cell>
          <cell r="E1500">
            <v>3</v>
          </cell>
          <cell r="F1500">
            <v>3</v>
          </cell>
          <cell r="G1500">
            <v>5000</v>
          </cell>
          <cell r="H1500">
            <v>5100</v>
          </cell>
          <cell r="I1500">
            <v>511</v>
          </cell>
          <cell r="J1500">
            <v>8</v>
          </cell>
          <cell r="K1500" t="str">
            <v>Credenza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 t="str">
            <v>Pieza</v>
          </cell>
          <cell r="V1500" t="str">
            <v>FC</v>
          </cell>
        </row>
        <row r="1501">
          <cell r="A1501">
            <v>420</v>
          </cell>
          <cell r="B1501">
            <v>2017</v>
          </cell>
          <cell r="C1501">
            <v>8300</v>
          </cell>
          <cell r="D1501">
            <v>2</v>
          </cell>
          <cell r="E1501">
            <v>3</v>
          </cell>
          <cell r="F1501">
            <v>3</v>
          </cell>
          <cell r="G1501">
            <v>5000</v>
          </cell>
          <cell r="H1501">
            <v>5100</v>
          </cell>
          <cell r="I1501">
            <v>511</v>
          </cell>
          <cell r="J1501">
            <v>9</v>
          </cell>
          <cell r="K1501" t="str">
            <v>Escritorio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 t="str">
            <v>Pieza</v>
          </cell>
          <cell r="V1501" t="str">
            <v>FC</v>
          </cell>
        </row>
        <row r="1502">
          <cell r="A1502">
            <v>421</v>
          </cell>
          <cell r="B1502">
            <v>2017</v>
          </cell>
          <cell r="C1502">
            <v>8300</v>
          </cell>
          <cell r="D1502">
            <v>2</v>
          </cell>
          <cell r="E1502">
            <v>3</v>
          </cell>
          <cell r="F1502">
            <v>3</v>
          </cell>
          <cell r="G1502">
            <v>5000</v>
          </cell>
          <cell r="H1502">
            <v>5100</v>
          </cell>
          <cell r="I1502">
            <v>511</v>
          </cell>
          <cell r="J1502">
            <v>10</v>
          </cell>
          <cell r="K1502" t="str">
            <v>Estación de trabajo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 t="str">
            <v>Pieza</v>
          </cell>
          <cell r="V1502" t="str">
            <v>FC</v>
          </cell>
        </row>
        <row r="1503">
          <cell r="A1503">
            <v>422</v>
          </cell>
          <cell r="B1503">
            <v>2017</v>
          </cell>
          <cell r="C1503">
            <v>8300</v>
          </cell>
          <cell r="D1503">
            <v>2</v>
          </cell>
          <cell r="E1503">
            <v>3</v>
          </cell>
          <cell r="F1503">
            <v>3</v>
          </cell>
          <cell r="G1503">
            <v>5000</v>
          </cell>
          <cell r="H1503">
            <v>5100</v>
          </cell>
          <cell r="I1503">
            <v>511</v>
          </cell>
          <cell r="J1503">
            <v>11</v>
          </cell>
          <cell r="K1503" t="str">
            <v>Estante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 t="str">
            <v>Pieza</v>
          </cell>
          <cell r="V1503" t="str">
            <v>FC</v>
          </cell>
        </row>
        <row r="1504">
          <cell r="A1504">
            <v>423</v>
          </cell>
          <cell r="B1504">
            <v>2017</v>
          </cell>
          <cell r="C1504">
            <v>8300</v>
          </cell>
          <cell r="D1504">
            <v>2</v>
          </cell>
          <cell r="E1504">
            <v>3</v>
          </cell>
          <cell r="F1504">
            <v>3</v>
          </cell>
          <cell r="G1504">
            <v>5000</v>
          </cell>
          <cell r="H1504">
            <v>5100</v>
          </cell>
          <cell r="I1504">
            <v>511</v>
          </cell>
          <cell r="J1504">
            <v>12</v>
          </cell>
          <cell r="K1504" t="str">
            <v>Gabinete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 t="str">
            <v>Pieza</v>
          </cell>
          <cell r="V1504" t="str">
            <v>FC</v>
          </cell>
        </row>
        <row r="1505">
          <cell r="A1505">
            <v>424</v>
          </cell>
          <cell r="B1505">
            <v>2017</v>
          </cell>
          <cell r="C1505">
            <v>8300</v>
          </cell>
          <cell r="D1505">
            <v>2</v>
          </cell>
          <cell r="E1505">
            <v>3</v>
          </cell>
          <cell r="F1505">
            <v>3</v>
          </cell>
          <cell r="G1505">
            <v>5000</v>
          </cell>
          <cell r="H1505">
            <v>5100</v>
          </cell>
          <cell r="I1505">
            <v>511</v>
          </cell>
          <cell r="J1505">
            <v>13</v>
          </cell>
          <cell r="K1505" t="str">
            <v xml:space="preserve">Juego de mesa 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 t="str">
            <v>Pieza</v>
          </cell>
          <cell r="V1505" t="str">
            <v>FC</v>
          </cell>
        </row>
        <row r="1506">
          <cell r="A1506">
            <v>425</v>
          </cell>
          <cell r="B1506">
            <v>2017</v>
          </cell>
          <cell r="C1506">
            <v>8300</v>
          </cell>
          <cell r="D1506">
            <v>2</v>
          </cell>
          <cell r="E1506">
            <v>3</v>
          </cell>
          <cell r="F1506">
            <v>3</v>
          </cell>
          <cell r="G1506">
            <v>5000</v>
          </cell>
          <cell r="H1506">
            <v>5100</v>
          </cell>
          <cell r="I1506">
            <v>511</v>
          </cell>
          <cell r="J1506">
            <v>14</v>
          </cell>
          <cell r="K1506" t="str">
            <v xml:space="preserve">Lámpara 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 t="str">
            <v>Pieza</v>
          </cell>
          <cell r="V1506" t="str">
            <v>FC</v>
          </cell>
        </row>
        <row r="1507">
          <cell r="A1507">
            <v>426</v>
          </cell>
          <cell r="B1507">
            <v>2017</v>
          </cell>
          <cell r="C1507">
            <v>8300</v>
          </cell>
          <cell r="D1507">
            <v>2</v>
          </cell>
          <cell r="E1507">
            <v>3</v>
          </cell>
          <cell r="F1507">
            <v>3</v>
          </cell>
          <cell r="G1507">
            <v>5000</v>
          </cell>
          <cell r="H1507">
            <v>5100</v>
          </cell>
          <cell r="I1507">
            <v>511</v>
          </cell>
          <cell r="J1507">
            <v>15</v>
          </cell>
          <cell r="K1507" t="str">
            <v>Librero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 t="str">
            <v>Pieza</v>
          </cell>
          <cell r="V1507" t="str">
            <v>FC</v>
          </cell>
        </row>
        <row r="1508">
          <cell r="A1508">
            <v>427</v>
          </cell>
          <cell r="B1508">
            <v>2017</v>
          </cell>
          <cell r="C1508">
            <v>8300</v>
          </cell>
          <cell r="D1508">
            <v>2</v>
          </cell>
          <cell r="E1508">
            <v>3</v>
          </cell>
          <cell r="F1508">
            <v>3</v>
          </cell>
          <cell r="G1508">
            <v>5000</v>
          </cell>
          <cell r="H1508">
            <v>5100</v>
          </cell>
          <cell r="I1508">
            <v>511</v>
          </cell>
          <cell r="J1508">
            <v>16</v>
          </cell>
          <cell r="K1508" t="str">
            <v>Locker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 t="str">
            <v>Pieza</v>
          </cell>
          <cell r="V1508" t="str">
            <v>FC</v>
          </cell>
        </row>
        <row r="1509">
          <cell r="A1509">
            <v>428</v>
          </cell>
          <cell r="B1509">
            <v>2017</v>
          </cell>
          <cell r="C1509">
            <v>8300</v>
          </cell>
          <cell r="D1509">
            <v>2</v>
          </cell>
          <cell r="E1509">
            <v>3</v>
          </cell>
          <cell r="F1509">
            <v>3</v>
          </cell>
          <cell r="G1509">
            <v>5000</v>
          </cell>
          <cell r="H1509">
            <v>5100</v>
          </cell>
          <cell r="I1509">
            <v>511</v>
          </cell>
          <cell r="J1509">
            <v>17</v>
          </cell>
          <cell r="K1509" t="str">
            <v>Mesa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 t="str">
            <v>Pieza</v>
          </cell>
          <cell r="V1509" t="str">
            <v>FC</v>
          </cell>
        </row>
        <row r="1510">
          <cell r="A1510">
            <v>429</v>
          </cell>
          <cell r="B1510">
            <v>2017</v>
          </cell>
          <cell r="C1510">
            <v>8300</v>
          </cell>
          <cell r="D1510">
            <v>2</v>
          </cell>
          <cell r="E1510">
            <v>3</v>
          </cell>
          <cell r="F1510">
            <v>3</v>
          </cell>
          <cell r="G1510">
            <v>5000</v>
          </cell>
          <cell r="H1510">
            <v>5100</v>
          </cell>
          <cell r="I1510">
            <v>511</v>
          </cell>
          <cell r="J1510">
            <v>18</v>
          </cell>
          <cell r="K1510" t="str">
            <v xml:space="preserve">Módulo </v>
          </cell>
          <cell r="L1510">
            <v>81500</v>
          </cell>
          <cell r="M1510">
            <v>0</v>
          </cell>
          <cell r="N1510">
            <v>81500</v>
          </cell>
          <cell r="O1510">
            <v>0</v>
          </cell>
          <cell r="P1510">
            <v>0</v>
          </cell>
          <cell r="Q1510">
            <v>0</v>
          </cell>
          <cell r="R1510">
            <v>81500</v>
          </cell>
          <cell r="S1510" t="str">
            <v>Pieza</v>
          </cell>
          <cell r="T1510">
            <v>8</v>
          </cell>
          <cell r="V1510" t="str">
            <v>FC</v>
          </cell>
        </row>
        <row r="1511">
          <cell r="A1511">
            <v>430</v>
          </cell>
          <cell r="B1511">
            <v>2017</v>
          </cell>
          <cell r="C1511">
            <v>8300</v>
          </cell>
          <cell r="D1511">
            <v>2</v>
          </cell>
          <cell r="E1511">
            <v>3</v>
          </cell>
          <cell r="F1511">
            <v>3</v>
          </cell>
          <cell r="G1511">
            <v>5000</v>
          </cell>
          <cell r="H1511">
            <v>5100</v>
          </cell>
          <cell r="I1511">
            <v>511</v>
          </cell>
          <cell r="J1511">
            <v>19</v>
          </cell>
          <cell r="K1511" t="str">
            <v>Mostrador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 t="str">
            <v>Pieza</v>
          </cell>
          <cell r="V1511" t="str">
            <v>FC</v>
          </cell>
        </row>
        <row r="1512">
          <cell r="A1512">
            <v>431</v>
          </cell>
          <cell r="B1512">
            <v>2017</v>
          </cell>
          <cell r="C1512">
            <v>8300</v>
          </cell>
          <cell r="D1512">
            <v>2</v>
          </cell>
          <cell r="E1512">
            <v>3</v>
          </cell>
          <cell r="F1512">
            <v>3</v>
          </cell>
          <cell r="G1512">
            <v>5000</v>
          </cell>
          <cell r="H1512">
            <v>5100</v>
          </cell>
          <cell r="I1512">
            <v>511</v>
          </cell>
          <cell r="J1512">
            <v>20</v>
          </cell>
          <cell r="K1512" t="str">
            <v>Sala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 t="str">
            <v>Pieza</v>
          </cell>
          <cell r="V1512" t="str">
            <v>FC</v>
          </cell>
        </row>
        <row r="1513">
          <cell r="A1513">
            <v>432</v>
          </cell>
          <cell r="B1513">
            <v>2017</v>
          </cell>
          <cell r="C1513">
            <v>8300</v>
          </cell>
          <cell r="D1513">
            <v>2</v>
          </cell>
          <cell r="E1513">
            <v>3</v>
          </cell>
          <cell r="F1513">
            <v>3</v>
          </cell>
          <cell r="G1513">
            <v>5000</v>
          </cell>
          <cell r="H1513">
            <v>5100</v>
          </cell>
          <cell r="I1513">
            <v>511</v>
          </cell>
          <cell r="J1513">
            <v>21</v>
          </cell>
          <cell r="K1513" t="str">
            <v>Silla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 t="str">
            <v>Pieza</v>
          </cell>
          <cell r="V1513" t="str">
            <v>FC</v>
          </cell>
        </row>
        <row r="1514">
          <cell r="A1514">
            <v>433</v>
          </cell>
          <cell r="B1514">
            <v>2017</v>
          </cell>
          <cell r="C1514">
            <v>8300</v>
          </cell>
          <cell r="D1514">
            <v>2</v>
          </cell>
          <cell r="E1514">
            <v>3</v>
          </cell>
          <cell r="F1514">
            <v>3</v>
          </cell>
          <cell r="G1514">
            <v>5000</v>
          </cell>
          <cell r="H1514">
            <v>5100</v>
          </cell>
          <cell r="I1514">
            <v>511</v>
          </cell>
          <cell r="J1514">
            <v>22</v>
          </cell>
          <cell r="K1514" t="str">
            <v>Sillón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 t="str">
            <v>Pieza</v>
          </cell>
          <cell r="V1514" t="str">
            <v>FC</v>
          </cell>
        </row>
        <row r="1515">
          <cell r="A1515">
            <v>434</v>
          </cell>
          <cell r="B1515">
            <v>2017</v>
          </cell>
          <cell r="C1515">
            <v>8300</v>
          </cell>
          <cell r="D1515">
            <v>2</v>
          </cell>
          <cell r="E1515">
            <v>3</v>
          </cell>
          <cell r="F1515">
            <v>3</v>
          </cell>
          <cell r="G1515">
            <v>5000</v>
          </cell>
          <cell r="H1515">
            <v>5100</v>
          </cell>
          <cell r="I1515">
            <v>511</v>
          </cell>
          <cell r="J1515">
            <v>23</v>
          </cell>
          <cell r="K1515" t="str">
            <v>Vitrina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 t="str">
            <v>Pieza</v>
          </cell>
          <cell r="V1515" t="str">
            <v>FC</v>
          </cell>
        </row>
        <row r="1516">
          <cell r="A1516">
            <v>435</v>
          </cell>
          <cell r="B1516">
            <v>2017</v>
          </cell>
          <cell r="C1516">
            <v>8300</v>
          </cell>
          <cell r="D1516">
            <v>2</v>
          </cell>
          <cell r="E1516">
            <v>3</v>
          </cell>
          <cell r="F1516">
            <v>3</v>
          </cell>
          <cell r="G1516">
            <v>5000</v>
          </cell>
          <cell r="H1516">
            <v>5100</v>
          </cell>
          <cell r="I1516">
            <v>512</v>
          </cell>
          <cell r="K1516" t="str">
            <v>Muebles, excepto de oficina y estantería</v>
          </cell>
          <cell r="L1516">
            <v>55000</v>
          </cell>
          <cell r="M1516">
            <v>0</v>
          </cell>
          <cell r="N1516">
            <v>55000</v>
          </cell>
          <cell r="O1516">
            <v>0</v>
          </cell>
          <cell r="P1516">
            <v>0</v>
          </cell>
          <cell r="Q1516">
            <v>0</v>
          </cell>
          <cell r="R1516">
            <v>55000</v>
          </cell>
        </row>
        <row r="1517">
          <cell r="A1517">
            <v>436</v>
          </cell>
          <cell r="B1517">
            <v>2017</v>
          </cell>
          <cell r="C1517">
            <v>8300</v>
          </cell>
          <cell r="D1517">
            <v>2</v>
          </cell>
          <cell r="E1517">
            <v>3</v>
          </cell>
          <cell r="F1517">
            <v>3</v>
          </cell>
          <cell r="G1517">
            <v>5000</v>
          </cell>
          <cell r="H1517">
            <v>5100</v>
          </cell>
          <cell r="I1517">
            <v>512</v>
          </cell>
          <cell r="J1517">
            <v>1</v>
          </cell>
          <cell r="K1517" t="str">
            <v>Banco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 t="str">
            <v>Pieza</v>
          </cell>
          <cell r="V1517" t="str">
            <v>FC</v>
          </cell>
        </row>
        <row r="1518">
          <cell r="A1518">
            <v>437</v>
          </cell>
          <cell r="B1518">
            <v>2017</v>
          </cell>
          <cell r="C1518">
            <v>8300</v>
          </cell>
          <cell r="D1518">
            <v>2</v>
          </cell>
          <cell r="E1518">
            <v>3</v>
          </cell>
          <cell r="F1518">
            <v>3</v>
          </cell>
          <cell r="G1518">
            <v>5000</v>
          </cell>
          <cell r="H1518">
            <v>5100</v>
          </cell>
          <cell r="I1518">
            <v>512</v>
          </cell>
          <cell r="J1518">
            <v>2</v>
          </cell>
          <cell r="K1518" t="str">
            <v>Bote de arena (armero)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 t="str">
            <v>Pieza</v>
          </cell>
          <cell r="V1518" t="str">
            <v>AE</v>
          </cell>
        </row>
        <row r="1519">
          <cell r="A1519">
            <v>438</v>
          </cell>
          <cell r="B1519">
            <v>2017</v>
          </cell>
          <cell r="C1519">
            <v>8300</v>
          </cell>
          <cell r="D1519">
            <v>2</v>
          </cell>
          <cell r="E1519">
            <v>3</v>
          </cell>
          <cell r="F1519">
            <v>3</v>
          </cell>
          <cell r="G1519">
            <v>5000</v>
          </cell>
          <cell r="H1519">
            <v>5100</v>
          </cell>
          <cell r="I1519">
            <v>512</v>
          </cell>
          <cell r="J1519">
            <v>3</v>
          </cell>
          <cell r="K1519" t="str">
            <v>Buró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 t="str">
            <v>Pieza</v>
          </cell>
          <cell r="V1519" t="str">
            <v>FC</v>
          </cell>
        </row>
        <row r="1520">
          <cell r="A1520">
            <v>439</v>
          </cell>
          <cell r="B1520">
            <v>2017</v>
          </cell>
          <cell r="C1520">
            <v>8300</v>
          </cell>
          <cell r="D1520">
            <v>2</v>
          </cell>
          <cell r="E1520">
            <v>3</v>
          </cell>
          <cell r="F1520">
            <v>3</v>
          </cell>
          <cell r="G1520">
            <v>5000</v>
          </cell>
          <cell r="H1520">
            <v>5100</v>
          </cell>
          <cell r="I1520">
            <v>512</v>
          </cell>
          <cell r="J1520">
            <v>4</v>
          </cell>
          <cell r="K1520" t="str">
            <v>Cama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 t="str">
            <v>Pieza</v>
          </cell>
          <cell r="V1520" t="str">
            <v>FC</v>
          </cell>
        </row>
        <row r="1521">
          <cell r="A1521">
            <v>440</v>
          </cell>
          <cell r="B1521">
            <v>2017</v>
          </cell>
          <cell r="C1521">
            <v>8300</v>
          </cell>
          <cell r="D1521">
            <v>2</v>
          </cell>
          <cell r="E1521">
            <v>3</v>
          </cell>
          <cell r="F1521">
            <v>3</v>
          </cell>
          <cell r="G1521">
            <v>5000</v>
          </cell>
          <cell r="H1521">
            <v>5100</v>
          </cell>
          <cell r="I1521">
            <v>512</v>
          </cell>
          <cell r="J1521">
            <v>5</v>
          </cell>
          <cell r="K1521" t="str">
            <v>Juego de mesa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 t="str">
            <v>Pieza</v>
          </cell>
          <cell r="V1521" t="str">
            <v>FC</v>
          </cell>
        </row>
        <row r="1522">
          <cell r="A1522">
            <v>441</v>
          </cell>
          <cell r="B1522">
            <v>2017</v>
          </cell>
          <cell r="C1522">
            <v>8300</v>
          </cell>
          <cell r="D1522">
            <v>2</v>
          </cell>
          <cell r="E1522">
            <v>3</v>
          </cell>
          <cell r="F1522">
            <v>3</v>
          </cell>
          <cell r="G1522">
            <v>5000</v>
          </cell>
          <cell r="H1522">
            <v>5100</v>
          </cell>
          <cell r="I1522">
            <v>512</v>
          </cell>
          <cell r="J1522">
            <v>6</v>
          </cell>
          <cell r="K1522" t="str">
            <v>Litera</v>
          </cell>
          <cell r="L1522">
            <v>55000</v>
          </cell>
          <cell r="M1522">
            <v>0</v>
          </cell>
          <cell r="N1522">
            <v>55000</v>
          </cell>
          <cell r="O1522">
            <v>0</v>
          </cell>
          <cell r="P1522">
            <v>0</v>
          </cell>
          <cell r="Q1522">
            <v>0</v>
          </cell>
          <cell r="R1522">
            <v>55000</v>
          </cell>
          <cell r="S1522" t="str">
            <v>Pieza</v>
          </cell>
          <cell r="T1522">
            <v>10</v>
          </cell>
          <cell r="V1522" t="str">
            <v>FC</v>
          </cell>
        </row>
        <row r="1523">
          <cell r="A1523">
            <v>442</v>
          </cell>
          <cell r="B1523">
            <v>2017</v>
          </cell>
          <cell r="C1523">
            <v>8300</v>
          </cell>
          <cell r="D1523">
            <v>2</v>
          </cell>
          <cell r="E1523">
            <v>3</v>
          </cell>
          <cell r="F1523">
            <v>3</v>
          </cell>
          <cell r="G1523">
            <v>5000</v>
          </cell>
          <cell r="H1523">
            <v>5100</v>
          </cell>
          <cell r="I1523">
            <v>512</v>
          </cell>
          <cell r="J1523">
            <v>7</v>
          </cell>
          <cell r="K1523" t="str">
            <v>Rack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 t="str">
            <v>Pieza</v>
          </cell>
          <cell r="V1523" t="str">
            <v>AE</v>
          </cell>
        </row>
        <row r="1524">
          <cell r="A1524">
            <v>443</v>
          </cell>
          <cell r="B1524">
            <v>2017</v>
          </cell>
          <cell r="C1524">
            <v>8300</v>
          </cell>
          <cell r="D1524">
            <v>2</v>
          </cell>
          <cell r="E1524">
            <v>3</v>
          </cell>
          <cell r="F1524">
            <v>3</v>
          </cell>
          <cell r="G1524">
            <v>5000</v>
          </cell>
          <cell r="H1524">
            <v>5100</v>
          </cell>
          <cell r="I1524">
            <v>515</v>
          </cell>
          <cell r="K1524" t="str">
            <v>Equipo de cómputo y de tecnologías de la información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</row>
        <row r="1525">
          <cell r="A1525">
            <v>444</v>
          </cell>
          <cell r="B1525">
            <v>2017</v>
          </cell>
          <cell r="C1525">
            <v>8300</v>
          </cell>
          <cell r="D1525">
            <v>2</v>
          </cell>
          <cell r="E1525">
            <v>3</v>
          </cell>
          <cell r="F1525">
            <v>3</v>
          </cell>
          <cell r="G1525">
            <v>5000</v>
          </cell>
          <cell r="H1525">
            <v>5100</v>
          </cell>
          <cell r="I1525">
            <v>515</v>
          </cell>
          <cell r="J1525">
            <v>1</v>
          </cell>
          <cell r="K1525" t="str">
            <v>Computadora de escritorio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 t="str">
            <v>Pieza</v>
          </cell>
          <cell r="V1525" t="str">
            <v>FC</v>
          </cell>
        </row>
        <row r="1526">
          <cell r="A1526">
            <v>445</v>
          </cell>
          <cell r="B1526">
            <v>2017</v>
          </cell>
          <cell r="C1526">
            <v>8300</v>
          </cell>
          <cell r="D1526">
            <v>2</v>
          </cell>
          <cell r="E1526">
            <v>3</v>
          </cell>
          <cell r="F1526">
            <v>3</v>
          </cell>
          <cell r="G1526">
            <v>5000</v>
          </cell>
          <cell r="H1526">
            <v>5100</v>
          </cell>
          <cell r="I1526">
            <v>515</v>
          </cell>
          <cell r="J1526">
            <v>2</v>
          </cell>
          <cell r="K1526" t="str">
            <v>Computadora portátil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 t="str">
            <v>Pieza</v>
          </cell>
          <cell r="V1526" t="str">
            <v>FC</v>
          </cell>
        </row>
        <row r="1527">
          <cell r="A1527">
            <v>446</v>
          </cell>
          <cell r="B1527">
            <v>2017</v>
          </cell>
          <cell r="C1527">
            <v>8300</v>
          </cell>
          <cell r="D1527">
            <v>2</v>
          </cell>
          <cell r="E1527">
            <v>3</v>
          </cell>
          <cell r="F1527">
            <v>3</v>
          </cell>
          <cell r="G1527">
            <v>5000</v>
          </cell>
          <cell r="H1527">
            <v>5100</v>
          </cell>
          <cell r="I1527">
            <v>515</v>
          </cell>
          <cell r="J1527">
            <v>3</v>
          </cell>
          <cell r="K1527" t="str">
            <v>Concentrador (HUB)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 t="str">
            <v>Pieza</v>
          </cell>
          <cell r="V1527" t="str">
            <v>FC</v>
          </cell>
        </row>
        <row r="1528">
          <cell r="A1528">
            <v>447</v>
          </cell>
          <cell r="B1528">
            <v>2017</v>
          </cell>
          <cell r="C1528">
            <v>8300</v>
          </cell>
          <cell r="D1528">
            <v>2</v>
          </cell>
          <cell r="E1528">
            <v>3</v>
          </cell>
          <cell r="F1528">
            <v>3</v>
          </cell>
          <cell r="G1528">
            <v>5000</v>
          </cell>
          <cell r="H1528">
            <v>5100</v>
          </cell>
          <cell r="I1528">
            <v>515</v>
          </cell>
          <cell r="J1528">
            <v>4</v>
          </cell>
          <cell r="K1528" t="str">
            <v>Digitalizador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 t="str">
            <v>Pieza</v>
          </cell>
          <cell r="V1528" t="str">
            <v>FC</v>
          </cell>
        </row>
        <row r="1529">
          <cell r="A1529">
            <v>448</v>
          </cell>
          <cell r="B1529">
            <v>2017</v>
          </cell>
          <cell r="C1529">
            <v>8300</v>
          </cell>
          <cell r="D1529">
            <v>2</v>
          </cell>
          <cell r="E1529">
            <v>3</v>
          </cell>
          <cell r="F1529">
            <v>3</v>
          </cell>
          <cell r="G1529">
            <v>5000</v>
          </cell>
          <cell r="H1529">
            <v>5100</v>
          </cell>
          <cell r="I1529">
            <v>515</v>
          </cell>
          <cell r="J1529">
            <v>5</v>
          </cell>
          <cell r="K1529" t="str">
            <v>Equipo de seguridad para filtrar información (firewall)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 t="str">
            <v>Pieza</v>
          </cell>
          <cell r="V1529" t="str">
            <v>FC</v>
          </cell>
        </row>
        <row r="1530">
          <cell r="A1530">
            <v>449</v>
          </cell>
          <cell r="B1530">
            <v>2017</v>
          </cell>
          <cell r="C1530">
            <v>8300</v>
          </cell>
          <cell r="D1530">
            <v>2</v>
          </cell>
          <cell r="E1530">
            <v>3</v>
          </cell>
          <cell r="F1530">
            <v>3</v>
          </cell>
          <cell r="G1530">
            <v>5000</v>
          </cell>
          <cell r="H1530">
            <v>5100</v>
          </cell>
          <cell r="I1530">
            <v>515</v>
          </cell>
          <cell r="J1530">
            <v>6</v>
          </cell>
          <cell r="K1530" t="str">
            <v>Escáner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 t="str">
            <v>Pieza</v>
          </cell>
          <cell r="V1530" t="str">
            <v>FC</v>
          </cell>
        </row>
        <row r="1531">
          <cell r="A1531">
            <v>450</v>
          </cell>
          <cell r="B1531">
            <v>2017</v>
          </cell>
          <cell r="C1531">
            <v>8300</v>
          </cell>
          <cell r="D1531">
            <v>2</v>
          </cell>
          <cell r="E1531">
            <v>3</v>
          </cell>
          <cell r="F1531">
            <v>3</v>
          </cell>
          <cell r="G1531">
            <v>5000</v>
          </cell>
          <cell r="H1531">
            <v>5100</v>
          </cell>
          <cell r="I1531">
            <v>515</v>
          </cell>
          <cell r="J1531">
            <v>7</v>
          </cell>
          <cell r="K1531" t="str">
            <v>Impresora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 t="str">
            <v>Pieza</v>
          </cell>
          <cell r="V1531" t="str">
            <v>FC</v>
          </cell>
        </row>
        <row r="1532">
          <cell r="A1532">
            <v>451</v>
          </cell>
          <cell r="B1532">
            <v>2017</v>
          </cell>
          <cell r="C1532">
            <v>8300</v>
          </cell>
          <cell r="D1532">
            <v>2</v>
          </cell>
          <cell r="E1532">
            <v>3</v>
          </cell>
          <cell r="F1532">
            <v>3</v>
          </cell>
          <cell r="G1532">
            <v>5000</v>
          </cell>
          <cell r="H1532">
            <v>5100</v>
          </cell>
          <cell r="I1532">
            <v>515</v>
          </cell>
          <cell r="J1532">
            <v>8</v>
          </cell>
          <cell r="K1532" t="str">
            <v>Monitor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 t="str">
            <v>Pieza</v>
          </cell>
          <cell r="V1532" t="str">
            <v>FC</v>
          </cell>
        </row>
        <row r="1533">
          <cell r="A1533">
            <v>452</v>
          </cell>
          <cell r="B1533">
            <v>2017</v>
          </cell>
          <cell r="C1533">
            <v>8300</v>
          </cell>
          <cell r="D1533">
            <v>2</v>
          </cell>
          <cell r="E1533">
            <v>3</v>
          </cell>
          <cell r="F1533">
            <v>3</v>
          </cell>
          <cell r="G1533">
            <v>5000</v>
          </cell>
          <cell r="H1533">
            <v>5100</v>
          </cell>
          <cell r="I1533">
            <v>515</v>
          </cell>
          <cell r="J1533">
            <v>9</v>
          </cell>
          <cell r="K1533" t="str">
            <v>Multifuncional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0</v>
          </cell>
          <cell r="R1533">
            <v>0</v>
          </cell>
          <cell r="S1533" t="str">
            <v>Pieza</v>
          </cell>
          <cell r="V1533" t="str">
            <v>FC</v>
          </cell>
        </row>
        <row r="1534">
          <cell r="A1534">
            <v>453</v>
          </cell>
          <cell r="B1534">
            <v>2017</v>
          </cell>
          <cell r="C1534">
            <v>8300</v>
          </cell>
          <cell r="D1534">
            <v>2</v>
          </cell>
          <cell r="E1534">
            <v>3</v>
          </cell>
          <cell r="F1534">
            <v>3</v>
          </cell>
          <cell r="G1534">
            <v>5000</v>
          </cell>
          <cell r="H1534">
            <v>5100</v>
          </cell>
          <cell r="I1534">
            <v>515</v>
          </cell>
          <cell r="J1534">
            <v>10</v>
          </cell>
          <cell r="K1534" t="str">
            <v>Plotter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 t="str">
            <v>Pieza</v>
          </cell>
          <cell r="V1534" t="str">
            <v>FC</v>
          </cell>
        </row>
        <row r="1535">
          <cell r="A1535">
            <v>454</v>
          </cell>
          <cell r="B1535">
            <v>2017</v>
          </cell>
          <cell r="C1535">
            <v>8300</v>
          </cell>
          <cell r="D1535">
            <v>2</v>
          </cell>
          <cell r="E1535">
            <v>3</v>
          </cell>
          <cell r="F1535">
            <v>3</v>
          </cell>
          <cell r="G1535">
            <v>5000</v>
          </cell>
          <cell r="H1535">
            <v>5100</v>
          </cell>
          <cell r="I1535">
            <v>515</v>
          </cell>
          <cell r="J1535">
            <v>11</v>
          </cell>
          <cell r="K1535" t="str">
            <v>Regulador de voltaje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 t="str">
            <v>Pieza</v>
          </cell>
          <cell r="V1535" t="str">
            <v>FC</v>
          </cell>
        </row>
        <row r="1536">
          <cell r="A1536">
            <v>455</v>
          </cell>
          <cell r="B1536">
            <v>2017</v>
          </cell>
          <cell r="C1536">
            <v>8300</v>
          </cell>
          <cell r="D1536">
            <v>2</v>
          </cell>
          <cell r="E1536">
            <v>3</v>
          </cell>
          <cell r="F1536">
            <v>3</v>
          </cell>
          <cell r="G1536">
            <v>5000</v>
          </cell>
          <cell r="H1536">
            <v>5100</v>
          </cell>
          <cell r="I1536">
            <v>515</v>
          </cell>
          <cell r="J1536">
            <v>12</v>
          </cell>
          <cell r="K1536" t="str">
            <v>Servidor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 t="str">
            <v>Pieza</v>
          </cell>
          <cell r="V1536" t="str">
            <v>FC</v>
          </cell>
        </row>
        <row r="1537">
          <cell r="A1537">
            <v>456</v>
          </cell>
          <cell r="B1537">
            <v>2017</v>
          </cell>
          <cell r="C1537">
            <v>8300</v>
          </cell>
          <cell r="D1537">
            <v>2</v>
          </cell>
          <cell r="E1537">
            <v>3</v>
          </cell>
          <cell r="F1537">
            <v>3</v>
          </cell>
          <cell r="G1537">
            <v>5000</v>
          </cell>
          <cell r="H1537">
            <v>5100</v>
          </cell>
          <cell r="I1537">
            <v>515</v>
          </cell>
          <cell r="J1537">
            <v>13</v>
          </cell>
          <cell r="K1537" t="str">
            <v xml:space="preserve">Teléfono 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 t="str">
            <v>Pieza</v>
          </cell>
          <cell r="V1537" t="str">
            <v>FC</v>
          </cell>
        </row>
        <row r="1538">
          <cell r="A1538">
            <v>457</v>
          </cell>
          <cell r="B1538">
            <v>2017</v>
          </cell>
          <cell r="C1538">
            <v>8300</v>
          </cell>
          <cell r="D1538">
            <v>2</v>
          </cell>
          <cell r="E1538">
            <v>3</v>
          </cell>
          <cell r="F1538">
            <v>3</v>
          </cell>
          <cell r="G1538">
            <v>5000</v>
          </cell>
          <cell r="H1538">
            <v>5100</v>
          </cell>
          <cell r="I1538">
            <v>515</v>
          </cell>
          <cell r="J1538">
            <v>14</v>
          </cell>
          <cell r="K1538" t="str">
            <v>Unidad de protección y respaldo de energía (UPS)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 t="str">
            <v>Pieza</v>
          </cell>
          <cell r="V1538" t="str">
            <v>FC</v>
          </cell>
        </row>
        <row r="1539">
          <cell r="A1539">
            <v>458</v>
          </cell>
          <cell r="B1539">
            <v>2017</v>
          </cell>
          <cell r="C1539">
            <v>8300</v>
          </cell>
          <cell r="D1539">
            <v>2</v>
          </cell>
          <cell r="E1539">
            <v>3</v>
          </cell>
          <cell r="F1539">
            <v>3</v>
          </cell>
          <cell r="G1539">
            <v>5000</v>
          </cell>
          <cell r="H1539">
            <v>5100</v>
          </cell>
          <cell r="I1539">
            <v>519</v>
          </cell>
          <cell r="K1539" t="str">
            <v>Otros mobiliarios y equipos de administración</v>
          </cell>
          <cell r="L1539">
            <v>140000</v>
          </cell>
          <cell r="M1539">
            <v>0</v>
          </cell>
          <cell r="N1539">
            <v>140000</v>
          </cell>
          <cell r="O1539">
            <v>0</v>
          </cell>
          <cell r="P1539">
            <v>0</v>
          </cell>
          <cell r="Q1539">
            <v>0</v>
          </cell>
          <cell r="R1539">
            <v>140000</v>
          </cell>
        </row>
        <row r="1540">
          <cell r="A1540">
            <v>459</v>
          </cell>
          <cell r="B1540">
            <v>2017</v>
          </cell>
          <cell r="C1540">
            <v>8300</v>
          </cell>
          <cell r="D1540">
            <v>2</v>
          </cell>
          <cell r="E1540">
            <v>3</v>
          </cell>
          <cell r="F1540">
            <v>3</v>
          </cell>
          <cell r="G1540">
            <v>5000</v>
          </cell>
          <cell r="H1540">
            <v>5100</v>
          </cell>
          <cell r="I1540">
            <v>519</v>
          </cell>
          <cell r="J1540">
            <v>1</v>
          </cell>
          <cell r="K1540" t="str">
            <v xml:space="preserve">Aire acondicionado </v>
          </cell>
          <cell r="L1540">
            <v>140000</v>
          </cell>
          <cell r="M1540">
            <v>0</v>
          </cell>
          <cell r="N1540">
            <v>140000</v>
          </cell>
          <cell r="O1540">
            <v>0</v>
          </cell>
          <cell r="P1540">
            <v>0</v>
          </cell>
          <cell r="Q1540">
            <v>0</v>
          </cell>
          <cell r="R1540">
            <v>140000</v>
          </cell>
          <cell r="S1540" t="str">
            <v>Pieza</v>
          </cell>
          <cell r="T1540">
            <v>6</v>
          </cell>
          <cell r="V1540" t="str">
            <v>FC</v>
          </cell>
        </row>
        <row r="1541">
          <cell r="A1541">
            <v>460</v>
          </cell>
          <cell r="B1541">
            <v>2017</v>
          </cell>
          <cell r="C1541">
            <v>8300</v>
          </cell>
          <cell r="D1541">
            <v>2</v>
          </cell>
          <cell r="E1541">
            <v>3</v>
          </cell>
          <cell r="F1541">
            <v>3</v>
          </cell>
          <cell r="G1541">
            <v>5000</v>
          </cell>
          <cell r="H1541">
            <v>5100</v>
          </cell>
          <cell r="I1541">
            <v>519</v>
          </cell>
          <cell r="J1541">
            <v>2</v>
          </cell>
          <cell r="K1541" t="str">
            <v>Circuito Cerrado de Televisión (CCTV)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 t="str">
            <v>Pieza</v>
          </cell>
          <cell r="V1541" t="str">
            <v>AE</v>
          </cell>
        </row>
        <row r="1542">
          <cell r="A1542">
            <v>461</v>
          </cell>
          <cell r="B1542">
            <v>2017</v>
          </cell>
          <cell r="C1542">
            <v>8300</v>
          </cell>
          <cell r="D1542">
            <v>2</v>
          </cell>
          <cell r="E1542">
            <v>3</v>
          </cell>
          <cell r="F1542">
            <v>3</v>
          </cell>
          <cell r="G1542">
            <v>5000</v>
          </cell>
          <cell r="H1542">
            <v>5100</v>
          </cell>
          <cell r="I1542">
            <v>519</v>
          </cell>
          <cell r="J1542">
            <v>3</v>
          </cell>
          <cell r="K1542" t="str">
            <v xml:space="preserve">Enfriador y calentador de agua   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 t="str">
            <v>Pieza</v>
          </cell>
          <cell r="V1542" t="str">
            <v>AE</v>
          </cell>
        </row>
        <row r="1543">
          <cell r="A1543">
            <v>462</v>
          </cell>
          <cell r="B1543">
            <v>2017</v>
          </cell>
          <cell r="C1543">
            <v>8300</v>
          </cell>
          <cell r="D1543">
            <v>2</v>
          </cell>
          <cell r="E1543">
            <v>3</v>
          </cell>
          <cell r="F1543">
            <v>3</v>
          </cell>
          <cell r="G1543">
            <v>5000</v>
          </cell>
          <cell r="H1543">
            <v>5100</v>
          </cell>
          <cell r="I1543">
            <v>519</v>
          </cell>
          <cell r="J1543">
            <v>4</v>
          </cell>
          <cell r="K1543" t="str">
            <v>Fotocopiadora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 t="str">
            <v>Pieza</v>
          </cell>
          <cell r="V1543" t="str">
            <v>FC</v>
          </cell>
        </row>
        <row r="1544">
          <cell r="A1544">
            <v>463</v>
          </cell>
          <cell r="B1544">
            <v>2017</v>
          </cell>
          <cell r="C1544">
            <v>8300</v>
          </cell>
          <cell r="D1544">
            <v>2</v>
          </cell>
          <cell r="E1544">
            <v>3</v>
          </cell>
          <cell r="F1544">
            <v>3</v>
          </cell>
          <cell r="G1544">
            <v>5000</v>
          </cell>
          <cell r="H1544">
            <v>5100</v>
          </cell>
          <cell r="I1544">
            <v>519</v>
          </cell>
          <cell r="J1544">
            <v>5</v>
          </cell>
          <cell r="K1544" t="str">
            <v xml:space="preserve">Pantalla para proyector   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 t="str">
            <v>Pieza</v>
          </cell>
          <cell r="V1544" t="str">
            <v>FC</v>
          </cell>
        </row>
        <row r="1545">
          <cell r="A1545">
            <v>464</v>
          </cell>
          <cell r="B1545">
            <v>2017</v>
          </cell>
          <cell r="C1545">
            <v>8300</v>
          </cell>
          <cell r="D1545">
            <v>2</v>
          </cell>
          <cell r="E1545">
            <v>3</v>
          </cell>
          <cell r="F1545">
            <v>3</v>
          </cell>
          <cell r="G1545">
            <v>5000</v>
          </cell>
          <cell r="H1545">
            <v>5100</v>
          </cell>
          <cell r="I1545">
            <v>519</v>
          </cell>
          <cell r="J1545">
            <v>6</v>
          </cell>
          <cell r="K1545" t="str">
            <v>Refrigerador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 t="str">
            <v>Pieza</v>
          </cell>
          <cell r="V1545" t="str">
            <v>FC</v>
          </cell>
        </row>
        <row r="1546">
          <cell r="A1546">
            <v>465</v>
          </cell>
          <cell r="B1546">
            <v>2017</v>
          </cell>
          <cell r="C1546">
            <v>8300</v>
          </cell>
          <cell r="D1546">
            <v>2</v>
          </cell>
          <cell r="E1546">
            <v>3</v>
          </cell>
          <cell r="F1546">
            <v>3</v>
          </cell>
          <cell r="G1546">
            <v>5000</v>
          </cell>
          <cell r="H1546">
            <v>5100</v>
          </cell>
          <cell r="I1546">
            <v>519</v>
          </cell>
          <cell r="J1546">
            <v>7</v>
          </cell>
          <cell r="K1546" t="str">
            <v>Triturador de papel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 t="str">
            <v>Pieza</v>
          </cell>
          <cell r="V1546" t="str">
            <v>FC</v>
          </cell>
        </row>
        <row r="1547">
          <cell r="A1547">
            <v>466</v>
          </cell>
          <cell r="B1547">
            <v>2017</v>
          </cell>
          <cell r="C1547">
            <v>8300</v>
          </cell>
          <cell r="D1547">
            <v>2</v>
          </cell>
          <cell r="E1547">
            <v>3</v>
          </cell>
          <cell r="F1547">
            <v>3</v>
          </cell>
          <cell r="G1547">
            <v>5000</v>
          </cell>
          <cell r="H1547">
            <v>5100</v>
          </cell>
          <cell r="I1547">
            <v>519</v>
          </cell>
          <cell r="J1547">
            <v>8</v>
          </cell>
          <cell r="K1547" t="str">
            <v xml:space="preserve">Ventilador 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 t="str">
            <v>Pieza</v>
          </cell>
          <cell r="V1547" t="str">
            <v>FC</v>
          </cell>
        </row>
        <row r="1548">
          <cell r="A1548">
            <v>467</v>
          </cell>
          <cell r="B1548">
            <v>2017</v>
          </cell>
          <cell r="C1548">
            <v>8300</v>
          </cell>
          <cell r="D1548">
            <v>2</v>
          </cell>
          <cell r="E1548">
            <v>3</v>
          </cell>
          <cell r="F1548">
            <v>3</v>
          </cell>
          <cell r="G1548">
            <v>5000</v>
          </cell>
          <cell r="H1548">
            <v>5200</v>
          </cell>
          <cell r="K1548" t="str">
            <v>Mobiliario y Equipo Educacional y Recreativo</v>
          </cell>
          <cell r="L1548">
            <v>40000</v>
          </cell>
          <cell r="M1548">
            <v>0</v>
          </cell>
          <cell r="N1548">
            <v>40000</v>
          </cell>
          <cell r="O1548">
            <v>0</v>
          </cell>
          <cell r="P1548">
            <v>0</v>
          </cell>
          <cell r="Q1548">
            <v>0</v>
          </cell>
          <cell r="R1548">
            <v>40000</v>
          </cell>
        </row>
        <row r="1549">
          <cell r="A1549">
            <v>468</v>
          </cell>
          <cell r="B1549">
            <v>2017</v>
          </cell>
          <cell r="C1549">
            <v>8300</v>
          </cell>
          <cell r="D1549">
            <v>2</v>
          </cell>
          <cell r="E1549">
            <v>3</v>
          </cell>
          <cell r="F1549">
            <v>3</v>
          </cell>
          <cell r="G1549">
            <v>5000</v>
          </cell>
          <cell r="H1549">
            <v>5200</v>
          </cell>
          <cell r="I1549">
            <v>521</v>
          </cell>
          <cell r="K1549" t="str">
            <v>Equipos y aparatos audiovisuales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</row>
        <row r="1550">
          <cell r="A1550">
            <v>469</v>
          </cell>
          <cell r="B1550">
            <v>2017</v>
          </cell>
          <cell r="C1550">
            <v>8300</v>
          </cell>
          <cell r="D1550">
            <v>2</v>
          </cell>
          <cell r="E1550">
            <v>3</v>
          </cell>
          <cell r="F1550">
            <v>3</v>
          </cell>
          <cell r="G1550">
            <v>5000</v>
          </cell>
          <cell r="H1550">
            <v>5200</v>
          </cell>
          <cell r="I1550">
            <v>521</v>
          </cell>
          <cell r="J1550">
            <v>1</v>
          </cell>
          <cell r="K1550" t="str">
            <v xml:space="preserve">Equipo de sonido 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 t="str">
            <v>Equipo/
Pieza</v>
          </cell>
          <cell r="V1550" t="str">
            <v>FC</v>
          </cell>
        </row>
        <row r="1551">
          <cell r="A1551">
            <v>470</v>
          </cell>
          <cell r="B1551">
            <v>2017</v>
          </cell>
          <cell r="C1551">
            <v>8300</v>
          </cell>
          <cell r="D1551">
            <v>2</v>
          </cell>
          <cell r="E1551">
            <v>3</v>
          </cell>
          <cell r="F1551">
            <v>3</v>
          </cell>
          <cell r="G1551">
            <v>5000</v>
          </cell>
          <cell r="H1551">
            <v>5200</v>
          </cell>
          <cell r="I1551">
            <v>521</v>
          </cell>
          <cell r="J1551">
            <v>2</v>
          </cell>
          <cell r="K1551" t="str">
            <v xml:space="preserve">Grabadora 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 t="str">
            <v>Equipo/
Pieza</v>
          </cell>
          <cell r="V1551" t="str">
            <v>FC</v>
          </cell>
        </row>
        <row r="1552">
          <cell r="A1552">
            <v>471</v>
          </cell>
          <cell r="B1552">
            <v>2017</v>
          </cell>
          <cell r="C1552">
            <v>8300</v>
          </cell>
          <cell r="D1552">
            <v>2</v>
          </cell>
          <cell r="E1552">
            <v>3</v>
          </cell>
          <cell r="F1552">
            <v>3</v>
          </cell>
          <cell r="G1552">
            <v>5000</v>
          </cell>
          <cell r="H1552">
            <v>5200</v>
          </cell>
          <cell r="I1552">
            <v>521</v>
          </cell>
          <cell r="J1552">
            <v>3</v>
          </cell>
          <cell r="K1552" t="str">
            <v>Micrófono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 t="str">
            <v>Equipo/
Pieza</v>
          </cell>
          <cell r="V1552" t="str">
            <v>FC</v>
          </cell>
        </row>
        <row r="1553">
          <cell r="A1553">
            <v>472</v>
          </cell>
          <cell r="B1553">
            <v>2017</v>
          </cell>
          <cell r="C1553">
            <v>8300</v>
          </cell>
          <cell r="D1553">
            <v>2</v>
          </cell>
          <cell r="E1553">
            <v>3</v>
          </cell>
          <cell r="F1553">
            <v>3</v>
          </cell>
          <cell r="G1553">
            <v>5000</v>
          </cell>
          <cell r="H1553">
            <v>5200</v>
          </cell>
          <cell r="I1553">
            <v>521</v>
          </cell>
          <cell r="J1553">
            <v>4</v>
          </cell>
          <cell r="K1553" t="str">
            <v>Pantalla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 t="str">
            <v>Equipo/
Pieza</v>
          </cell>
          <cell r="V1553" t="str">
            <v>FC</v>
          </cell>
        </row>
        <row r="1554">
          <cell r="A1554">
            <v>473</v>
          </cell>
          <cell r="B1554">
            <v>2017</v>
          </cell>
          <cell r="C1554">
            <v>8300</v>
          </cell>
          <cell r="D1554">
            <v>2</v>
          </cell>
          <cell r="E1554">
            <v>3</v>
          </cell>
          <cell r="F1554">
            <v>3</v>
          </cell>
          <cell r="G1554">
            <v>5000</v>
          </cell>
          <cell r="H1554">
            <v>5200</v>
          </cell>
          <cell r="I1554">
            <v>521</v>
          </cell>
          <cell r="J1554">
            <v>5</v>
          </cell>
          <cell r="K1554" t="str">
            <v>Pedestal para micrófono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 t="str">
            <v>Equipo/
Pieza</v>
          </cell>
          <cell r="V1554" t="str">
            <v>FC</v>
          </cell>
        </row>
        <row r="1555">
          <cell r="A1555">
            <v>474</v>
          </cell>
          <cell r="B1555">
            <v>2017</v>
          </cell>
          <cell r="C1555">
            <v>8300</v>
          </cell>
          <cell r="D1555">
            <v>2</v>
          </cell>
          <cell r="E1555">
            <v>3</v>
          </cell>
          <cell r="F1555">
            <v>3</v>
          </cell>
          <cell r="G1555">
            <v>5000</v>
          </cell>
          <cell r="H1555">
            <v>5200</v>
          </cell>
          <cell r="I1555">
            <v>521</v>
          </cell>
          <cell r="J1555">
            <v>6</v>
          </cell>
          <cell r="K1555" t="str">
            <v>Reproductor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 t="str">
            <v>Equipo/
Pieza</v>
          </cell>
          <cell r="V1555" t="str">
            <v>FC</v>
          </cell>
        </row>
        <row r="1556">
          <cell r="A1556">
            <v>475</v>
          </cell>
          <cell r="B1556">
            <v>2017</v>
          </cell>
          <cell r="C1556">
            <v>8300</v>
          </cell>
          <cell r="D1556">
            <v>2</v>
          </cell>
          <cell r="E1556">
            <v>3</v>
          </cell>
          <cell r="F1556">
            <v>3</v>
          </cell>
          <cell r="G1556">
            <v>5000</v>
          </cell>
          <cell r="H1556">
            <v>5200</v>
          </cell>
          <cell r="I1556">
            <v>523</v>
          </cell>
          <cell r="K1556" t="str">
            <v>Cámaras fotográficas y de video</v>
          </cell>
          <cell r="L1556">
            <v>40000</v>
          </cell>
          <cell r="M1556">
            <v>0</v>
          </cell>
          <cell r="N1556">
            <v>40000</v>
          </cell>
          <cell r="O1556">
            <v>0</v>
          </cell>
          <cell r="P1556">
            <v>0</v>
          </cell>
          <cell r="Q1556">
            <v>0</v>
          </cell>
          <cell r="R1556">
            <v>40000</v>
          </cell>
        </row>
        <row r="1557">
          <cell r="A1557">
            <v>476</v>
          </cell>
          <cell r="B1557">
            <v>2017</v>
          </cell>
          <cell r="C1557">
            <v>8300</v>
          </cell>
          <cell r="D1557">
            <v>2</v>
          </cell>
          <cell r="E1557">
            <v>3</v>
          </cell>
          <cell r="F1557">
            <v>3</v>
          </cell>
          <cell r="G1557">
            <v>5000</v>
          </cell>
          <cell r="H1557">
            <v>5200</v>
          </cell>
          <cell r="I1557">
            <v>523</v>
          </cell>
          <cell r="J1557">
            <v>1</v>
          </cell>
          <cell r="K1557" t="str">
            <v xml:space="preserve">Cámara </v>
          </cell>
          <cell r="L1557">
            <v>40000</v>
          </cell>
          <cell r="M1557">
            <v>0</v>
          </cell>
          <cell r="N1557">
            <v>40000</v>
          </cell>
          <cell r="O1557">
            <v>0</v>
          </cell>
          <cell r="P1557">
            <v>0</v>
          </cell>
          <cell r="Q1557">
            <v>0</v>
          </cell>
          <cell r="R1557">
            <v>40000</v>
          </cell>
          <cell r="S1557" t="str">
            <v>Pieza</v>
          </cell>
          <cell r="T1557">
            <v>1</v>
          </cell>
          <cell r="V1557" t="str">
            <v>FC</v>
          </cell>
        </row>
        <row r="1558">
          <cell r="A1558">
            <v>477</v>
          </cell>
          <cell r="B1558">
            <v>2017</v>
          </cell>
          <cell r="C1558">
            <v>8300</v>
          </cell>
          <cell r="D1558">
            <v>2</v>
          </cell>
          <cell r="E1558">
            <v>3</v>
          </cell>
          <cell r="F1558">
            <v>3</v>
          </cell>
          <cell r="G1558">
            <v>5000</v>
          </cell>
          <cell r="H1558">
            <v>5200</v>
          </cell>
          <cell r="I1558">
            <v>523</v>
          </cell>
          <cell r="J1558">
            <v>2</v>
          </cell>
          <cell r="K1558" t="str">
            <v xml:space="preserve">Concentrador 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 t="str">
            <v>Pieza</v>
          </cell>
          <cell r="V1558" t="str">
            <v>FC</v>
          </cell>
        </row>
        <row r="1559">
          <cell r="A1559">
            <v>478</v>
          </cell>
          <cell r="B1559">
            <v>2017</v>
          </cell>
          <cell r="C1559">
            <v>8300</v>
          </cell>
          <cell r="D1559">
            <v>2</v>
          </cell>
          <cell r="E1559">
            <v>3</v>
          </cell>
          <cell r="F1559">
            <v>3</v>
          </cell>
          <cell r="G1559">
            <v>5000</v>
          </cell>
          <cell r="H1559">
            <v>5200</v>
          </cell>
          <cell r="I1559">
            <v>523</v>
          </cell>
          <cell r="J1559">
            <v>3</v>
          </cell>
          <cell r="K1559" t="str">
            <v xml:space="preserve">Consola 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 t="str">
            <v>Pieza</v>
          </cell>
          <cell r="V1559" t="str">
            <v>FC</v>
          </cell>
        </row>
        <row r="1560">
          <cell r="A1560">
            <v>479</v>
          </cell>
          <cell r="B1560">
            <v>2017</v>
          </cell>
          <cell r="C1560">
            <v>8300</v>
          </cell>
          <cell r="D1560">
            <v>2</v>
          </cell>
          <cell r="E1560">
            <v>3</v>
          </cell>
          <cell r="F1560">
            <v>3</v>
          </cell>
          <cell r="G1560">
            <v>5000</v>
          </cell>
          <cell r="H1560">
            <v>5200</v>
          </cell>
          <cell r="I1560">
            <v>523</v>
          </cell>
          <cell r="J1560">
            <v>4</v>
          </cell>
          <cell r="K1560" t="str">
            <v>Equipo para reproducción y grabación de video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 t="str">
            <v>Pieza</v>
          </cell>
          <cell r="V1560" t="str">
            <v>FC</v>
          </cell>
        </row>
        <row r="1561">
          <cell r="A1561">
            <v>480</v>
          </cell>
          <cell r="B1561">
            <v>2017</v>
          </cell>
          <cell r="C1561">
            <v>8300</v>
          </cell>
          <cell r="D1561">
            <v>2</v>
          </cell>
          <cell r="E1561">
            <v>3</v>
          </cell>
          <cell r="F1561">
            <v>3</v>
          </cell>
          <cell r="G1561">
            <v>5000</v>
          </cell>
          <cell r="H1561">
            <v>5200</v>
          </cell>
          <cell r="I1561">
            <v>523</v>
          </cell>
          <cell r="J1561">
            <v>5</v>
          </cell>
          <cell r="K1561" t="str">
            <v>Grabadora reproductora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 t="str">
            <v>Pieza</v>
          </cell>
          <cell r="V1561" t="str">
            <v>FC</v>
          </cell>
        </row>
        <row r="1562">
          <cell r="A1562">
            <v>481</v>
          </cell>
          <cell r="B1562">
            <v>2017</v>
          </cell>
          <cell r="C1562">
            <v>8300</v>
          </cell>
          <cell r="D1562">
            <v>2</v>
          </cell>
          <cell r="E1562">
            <v>3</v>
          </cell>
          <cell r="F1562">
            <v>3</v>
          </cell>
          <cell r="G1562">
            <v>5000</v>
          </cell>
          <cell r="H1562">
            <v>5200</v>
          </cell>
          <cell r="I1562">
            <v>523</v>
          </cell>
          <cell r="J1562">
            <v>6</v>
          </cell>
          <cell r="K1562" t="str">
            <v xml:space="preserve">Lámpara 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 t="str">
            <v>Pieza</v>
          </cell>
          <cell r="V1562" t="str">
            <v>FC</v>
          </cell>
        </row>
        <row r="1563">
          <cell r="A1563">
            <v>482</v>
          </cell>
          <cell r="B1563">
            <v>2017</v>
          </cell>
          <cell r="C1563">
            <v>8300</v>
          </cell>
          <cell r="D1563">
            <v>2</v>
          </cell>
          <cell r="E1563">
            <v>3</v>
          </cell>
          <cell r="F1563">
            <v>3</v>
          </cell>
          <cell r="G1563">
            <v>5000</v>
          </cell>
          <cell r="H1563">
            <v>5200</v>
          </cell>
          <cell r="I1563">
            <v>523</v>
          </cell>
          <cell r="J1563">
            <v>7</v>
          </cell>
          <cell r="K1563" t="str">
            <v>Lentes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 t="str">
            <v>Pieza</v>
          </cell>
          <cell r="V1563" t="str">
            <v>FC</v>
          </cell>
        </row>
        <row r="1564">
          <cell r="A1564">
            <v>483</v>
          </cell>
          <cell r="B1564">
            <v>2017</v>
          </cell>
          <cell r="C1564">
            <v>8300</v>
          </cell>
          <cell r="D1564">
            <v>2</v>
          </cell>
          <cell r="E1564">
            <v>3</v>
          </cell>
          <cell r="F1564">
            <v>3</v>
          </cell>
          <cell r="G1564">
            <v>5000</v>
          </cell>
          <cell r="H1564">
            <v>5200</v>
          </cell>
          <cell r="I1564">
            <v>523</v>
          </cell>
          <cell r="J1564">
            <v>8</v>
          </cell>
          <cell r="K1564" t="str">
            <v>Sistema portátil de grabación</v>
          </cell>
          <cell r="L1564">
            <v>0</v>
          </cell>
          <cell r="M1564">
            <v>0</v>
          </cell>
          <cell r="N1564">
            <v>0</v>
          </cell>
          <cell r="O1564">
            <v>0</v>
          </cell>
          <cell r="P1564">
            <v>0</v>
          </cell>
          <cell r="Q1564">
            <v>0</v>
          </cell>
          <cell r="R1564">
            <v>0</v>
          </cell>
          <cell r="S1564" t="str">
            <v>Pieza</v>
          </cell>
          <cell r="V1564" t="str">
            <v>FC</v>
          </cell>
        </row>
        <row r="1565">
          <cell r="A1565">
            <v>484</v>
          </cell>
          <cell r="B1565">
            <v>2017</v>
          </cell>
          <cell r="C1565">
            <v>8300</v>
          </cell>
          <cell r="D1565">
            <v>2</v>
          </cell>
          <cell r="E1565">
            <v>3</v>
          </cell>
          <cell r="F1565">
            <v>3</v>
          </cell>
          <cell r="G1565">
            <v>5000</v>
          </cell>
          <cell r="H1565">
            <v>5200</v>
          </cell>
          <cell r="I1565">
            <v>523</v>
          </cell>
          <cell r="J1565">
            <v>9</v>
          </cell>
          <cell r="K1565" t="str">
            <v>Tripié</v>
          </cell>
          <cell r="L1565">
            <v>0</v>
          </cell>
          <cell r="M1565">
            <v>0</v>
          </cell>
          <cell r="N1565">
            <v>0</v>
          </cell>
          <cell r="O1565">
            <v>0</v>
          </cell>
          <cell r="P1565">
            <v>0</v>
          </cell>
          <cell r="Q1565">
            <v>0</v>
          </cell>
          <cell r="R1565">
            <v>0</v>
          </cell>
          <cell r="S1565" t="str">
            <v>Pieza</v>
          </cell>
          <cell r="V1565" t="str">
            <v>FC</v>
          </cell>
        </row>
        <row r="1566">
          <cell r="A1566">
            <v>485</v>
          </cell>
          <cell r="B1566">
            <v>2017</v>
          </cell>
          <cell r="C1566">
            <v>8300</v>
          </cell>
          <cell r="D1566">
            <v>2</v>
          </cell>
          <cell r="E1566">
            <v>3</v>
          </cell>
          <cell r="F1566">
            <v>3</v>
          </cell>
          <cell r="G1566">
            <v>5000</v>
          </cell>
          <cell r="H1566">
            <v>5200</v>
          </cell>
          <cell r="I1566">
            <v>523</v>
          </cell>
          <cell r="J1566">
            <v>10</v>
          </cell>
          <cell r="K1566" t="str">
            <v>Videoproyector</v>
          </cell>
          <cell r="L1566">
            <v>0</v>
          </cell>
          <cell r="M1566">
            <v>0</v>
          </cell>
          <cell r="N1566">
            <v>0</v>
          </cell>
          <cell r="O1566">
            <v>0</v>
          </cell>
          <cell r="P1566">
            <v>0</v>
          </cell>
          <cell r="Q1566">
            <v>0</v>
          </cell>
          <cell r="R1566">
            <v>0</v>
          </cell>
          <cell r="S1566" t="str">
            <v>Pieza</v>
          </cell>
          <cell r="V1566" t="str">
            <v>FC</v>
          </cell>
        </row>
        <row r="1567">
          <cell r="A1567">
            <v>486</v>
          </cell>
          <cell r="B1567">
            <v>2017</v>
          </cell>
          <cell r="C1567">
            <v>8300</v>
          </cell>
          <cell r="D1567">
            <v>2</v>
          </cell>
          <cell r="E1567">
            <v>3</v>
          </cell>
          <cell r="F1567">
            <v>3</v>
          </cell>
          <cell r="G1567">
            <v>5000</v>
          </cell>
          <cell r="H1567">
            <v>5400</v>
          </cell>
          <cell r="K1567" t="str">
            <v>Vehículos y Equipo de Transporte</v>
          </cell>
          <cell r="L1567">
            <v>3070000</v>
          </cell>
          <cell r="M1567">
            <v>0</v>
          </cell>
          <cell r="N1567">
            <v>3070000</v>
          </cell>
          <cell r="O1567">
            <v>0</v>
          </cell>
          <cell r="P1567">
            <v>0</v>
          </cell>
          <cell r="Q1567">
            <v>0</v>
          </cell>
          <cell r="R1567">
            <v>3070000</v>
          </cell>
        </row>
        <row r="1568">
          <cell r="A1568">
            <v>487</v>
          </cell>
          <cell r="B1568">
            <v>2017</v>
          </cell>
          <cell r="C1568">
            <v>8300</v>
          </cell>
          <cell r="D1568">
            <v>2</v>
          </cell>
          <cell r="E1568">
            <v>3</v>
          </cell>
          <cell r="F1568">
            <v>3</v>
          </cell>
          <cell r="G1568">
            <v>5000</v>
          </cell>
          <cell r="H1568">
            <v>5400</v>
          </cell>
          <cell r="I1568">
            <v>541</v>
          </cell>
          <cell r="K1568" t="str">
            <v>Vehículos y equipo terrestre</v>
          </cell>
          <cell r="L1568">
            <v>3070000</v>
          </cell>
          <cell r="M1568">
            <v>0</v>
          </cell>
          <cell r="N1568">
            <v>3070000</v>
          </cell>
          <cell r="O1568">
            <v>0</v>
          </cell>
          <cell r="P1568">
            <v>0</v>
          </cell>
          <cell r="Q1568">
            <v>0</v>
          </cell>
          <cell r="R1568">
            <v>3070000</v>
          </cell>
        </row>
        <row r="1569">
          <cell r="A1569">
            <v>488</v>
          </cell>
          <cell r="B1569">
            <v>2017</v>
          </cell>
          <cell r="C1569">
            <v>8300</v>
          </cell>
          <cell r="D1569">
            <v>2</v>
          </cell>
          <cell r="E1569">
            <v>3</v>
          </cell>
          <cell r="F1569">
            <v>3</v>
          </cell>
          <cell r="G1569">
            <v>5000</v>
          </cell>
          <cell r="H1569">
            <v>5400</v>
          </cell>
          <cell r="I1569">
            <v>541</v>
          </cell>
          <cell r="J1569">
            <v>1</v>
          </cell>
          <cell r="K1569" t="str">
            <v>Vehículo (SEDAN 2, PICK UP DOBLE CABINA 7)</v>
          </cell>
          <cell r="L1569">
            <v>3070000</v>
          </cell>
          <cell r="M1569">
            <v>0</v>
          </cell>
          <cell r="N1569">
            <v>3070000</v>
          </cell>
          <cell r="O1569">
            <v>0</v>
          </cell>
          <cell r="P1569">
            <v>0</v>
          </cell>
          <cell r="Q1569">
            <v>0</v>
          </cell>
          <cell r="R1569">
            <v>3070000</v>
          </cell>
          <cell r="S1569" t="str">
            <v>Pieza</v>
          </cell>
          <cell r="T1569">
            <v>9</v>
          </cell>
          <cell r="V1569" t="str">
            <v>FC</v>
          </cell>
        </row>
        <row r="1570">
          <cell r="A1570">
            <v>489</v>
          </cell>
          <cell r="B1570">
            <v>2017</v>
          </cell>
          <cell r="C1570">
            <v>8300</v>
          </cell>
          <cell r="D1570">
            <v>2</v>
          </cell>
          <cell r="E1570">
            <v>3</v>
          </cell>
          <cell r="F1570">
            <v>3</v>
          </cell>
          <cell r="G1570">
            <v>5000</v>
          </cell>
          <cell r="H1570">
            <v>5500</v>
          </cell>
          <cell r="K1570" t="str">
            <v>Equipo de Defensa y Seguridad</v>
          </cell>
          <cell r="L1570">
            <v>2295000</v>
          </cell>
          <cell r="M1570">
            <v>0</v>
          </cell>
          <cell r="N1570">
            <v>2295000</v>
          </cell>
          <cell r="O1570">
            <v>0</v>
          </cell>
          <cell r="P1570">
            <v>0</v>
          </cell>
          <cell r="Q1570">
            <v>0</v>
          </cell>
          <cell r="R1570">
            <v>2295000</v>
          </cell>
        </row>
        <row r="1571">
          <cell r="A1571">
            <v>490</v>
          </cell>
          <cell r="B1571">
            <v>2017</v>
          </cell>
          <cell r="C1571">
            <v>8300</v>
          </cell>
          <cell r="D1571">
            <v>2</v>
          </cell>
          <cell r="E1571">
            <v>3</v>
          </cell>
          <cell r="F1571">
            <v>3</v>
          </cell>
          <cell r="G1571">
            <v>5000</v>
          </cell>
          <cell r="H1571">
            <v>5500</v>
          </cell>
          <cell r="I1571">
            <v>551</v>
          </cell>
          <cell r="K1571" t="str">
            <v>Equipo de defensa y seguridad</v>
          </cell>
          <cell r="L1571">
            <v>2295000</v>
          </cell>
          <cell r="M1571">
            <v>0</v>
          </cell>
          <cell r="N1571">
            <v>2295000</v>
          </cell>
          <cell r="O1571">
            <v>0</v>
          </cell>
          <cell r="P1571">
            <v>0</v>
          </cell>
          <cell r="Q1571">
            <v>0</v>
          </cell>
          <cell r="R1571">
            <v>2295000</v>
          </cell>
        </row>
        <row r="1572">
          <cell r="A1572">
            <v>491</v>
          </cell>
          <cell r="B1572">
            <v>2017</v>
          </cell>
          <cell r="C1572">
            <v>8300</v>
          </cell>
          <cell r="D1572">
            <v>2</v>
          </cell>
          <cell r="E1572">
            <v>3</v>
          </cell>
          <cell r="F1572">
            <v>3</v>
          </cell>
          <cell r="G1572">
            <v>5000</v>
          </cell>
          <cell r="H1572">
            <v>5500</v>
          </cell>
          <cell r="I1572">
            <v>551</v>
          </cell>
          <cell r="J1572">
            <v>1</v>
          </cell>
          <cell r="K1572" t="str">
            <v xml:space="preserve">Ariete </v>
          </cell>
          <cell r="L1572">
            <v>0</v>
          </cell>
          <cell r="M1572">
            <v>0</v>
          </cell>
          <cell r="N1572">
            <v>0</v>
          </cell>
          <cell r="O1572">
            <v>0</v>
          </cell>
          <cell r="P1572">
            <v>0</v>
          </cell>
          <cell r="Q1572">
            <v>0</v>
          </cell>
          <cell r="R1572">
            <v>0</v>
          </cell>
          <cell r="S1572" t="str">
            <v>Pieza</v>
          </cell>
          <cell r="V1572" t="str">
            <v>FC</v>
          </cell>
        </row>
        <row r="1573">
          <cell r="A1573">
            <v>492</v>
          </cell>
          <cell r="B1573">
            <v>2017</v>
          </cell>
          <cell r="C1573">
            <v>8300</v>
          </cell>
          <cell r="D1573">
            <v>2</v>
          </cell>
          <cell r="E1573">
            <v>3</v>
          </cell>
          <cell r="F1573">
            <v>3</v>
          </cell>
          <cell r="G1573">
            <v>5000</v>
          </cell>
          <cell r="H1573">
            <v>5500</v>
          </cell>
          <cell r="I1573">
            <v>551</v>
          </cell>
          <cell r="J1573">
            <v>2</v>
          </cell>
          <cell r="K1573" t="str">
            <v>Arma corta</v>
          </cell>
          <cell r="L1573">
            <v>1710000</v>
          </cell>
          <cell r="M1573">
            <v>0</v>
          </cell>
          <cell r="N1573">
            <v>1710000</v>
          </cell>
          <cell r="O1573">
            <v>0</v>
          </cell>
          <cell r="P1573">
            <v>0</v>
          </cell>
          <cell r="Q1573">
            <v>0</v>
          </cell>
          <cell r="R1573">
            <v>1710000</v>
          </cell>
          <cell r="S1573" t="str">
            <v>Pieza</v>
          </cell>
          <cell r="T1573">
            <v>2</v>
          </cell>
          <cell r="V1573" t="str">
            <v>FC</v>
          </cell>
        </row>
        <row r="1574">
          <cell r="A1574">
            <v>493</v>
          </cell>
          <cell r="B1574">
            <v>2017</v>
          </cell>
          <cell r="C1574">
            <v>8300</v>
          </cell>
          <cell r="D1574">
            <v>2</v>
          </cell>
          <cell r="E1574">
            <v>3</v>
          </cell>
          <cell r="F1574">
            <v>3</v>
          </cell>
          <cell r="G1574">
            <v>5000</v>
          </cell>
          <cell r="H1574">
            <v>5500</v>
          </cell>
          <cell r="I1574">
            <v>551</v>
          </cell>
          <cell r="J1574">
            <v>3</v>
          </cell>
          <cell r="K1574" t="str">
            <v>Arma larga</v>
          </cell>
          <cell r="L1574">
            <v>585000</v>
          </cell>
          <cell r="M1574">
            <v>0</v>
          </cell>
          <cell r="N1574">
            <v>585000</v>
          </cell>
          <cell r="O1574">
            <v>0</v>
          </cell>
          <cell r="P1574">
            <v>0</v>
          </cell>
          <cell r="Q1574">
            <v>0</v>
          </cell>
          <cell r="R1574">
            <v>585000</v>
          </cell>
          <cell r="S1574" t="str">
            <v>Pieza</v>
          </cell>
          <cell r="T1574">
            <v>7</v>
          </cell>
          <cell r="V1574" t="str">
            <v>FC</v>
          </cell>
        </row>
        <row r="1575">
          <cell r="A1575">
            <v>494</v>
          </cell>
          <cell r="B1575">
            <v>2017</v>
          </cell>
          <cell r="C1575">
            <v>8300</v>
          </cell>
          <cell r="D1575">
            <v>2</v>
          </cell>
          <cell r="E1575">
            <v>3</v>
          </cell>
          <cell r="F1575">
            <v>3</v>
          </cell>
          <cell r="G1575">
            <v>5000</v>
          </cell>
          <cell r="H1575">
            <v>5500</v>
          </cell>
          <cell r="I1575">
            <v>551</v>
          </cell>
          <cell r="J1575">
            <v>4</v>
          </cell>
          <cell r="K1575" t="str">
            <v xml:space="preserve">Binoculares </v>
          </cell>
          <cell r="L1575">
            <v>0</v>
          </cell>
          <cell r="M1575">
            <v>0</v>
          </cell>
          <cell r="N1575">
            <v>0</v>
          </cell>
          <cell r="O1575">
            <v>0</v>
          </cell>
          <cell r="P1575">
            <v>0</v>
          </cell>
          <cell r="Q1575">
            <v>0</v>
          </cell>
          <cell r="R1575">
            <v>0</v>
          </cell>
          <cell r="S1575" t="str">
            <v>Pieza</v>
          </cell>
          <cell r="V1575" t="str">
            <v>FC</v>
          </cell>
        </row>
        <row r="1576">
          <cell r="A1576">
            <v>495</v>
          </cell>
          <cell r="B1576">
            <v>2017</v>
          </cell>
          <cell r="C1576">
            <v>8300</v>
          </cell>
          <cell r="D1576">
            <v>2</v>
          </cell>
          <cell r="E1576">
            <v>3</v>
          </cell>
          <cell r="F1576">
            <v>3</v>
          </cell>
          <cell r="G1576">
            <v>5000</v>
          </cell>
          <cell r="H1576">
            <v>5500</v>
          </cell>
          <cell r="I1576">
            <v>551</v>
          </cell>
          <cell r="J1576">
            <v>5</v>
          </cell>
          <cell r="K1576" t="str">
            <v xml:space="preserve">Cargadores </v>
          </cell>
          <cell r="L1576">
            <v>0</v>
          </cell>
          <cell r="M1576">
            <v>0</v>
          </cell>
          <cell r="N1576">
            <v>0</v>
          </cell>
          <cell r="O1576">
            <v>0</v>
          </cell>
          <cell r="P1576">
            <v>0</v>
          </cell>
          <cell r="Q1576">
            <v>0</v>
          </cell>
          <cell r="R1576">
            <v>0</v>
          </cell>
          <cell r="S1576" t="str">
            <v>Pieza</v>
          </cell>
          <cell r="V1576" t="str">
            <v>FC</v>
          </cell>
        </row>
        <row r="1577">
          <cell r="A1577">
            <v>496</v>
          </cell>
          <cell r="B1577">
            <v>2017</v>
          </cell>
          <cell r="C1577">
            <v>8300</v>
          </cell>
          <cell r="D1577">
            <v>2</v>
          </cell>
          <cell r="E1577">
            <v>3</v>
          </cell>
          <cell r="F1577">
            <v>3</v>
          </cell>
          <cell r="G1577">
            <v>5000</v>
          </cell>
          <cell r="H1577">
            <v>5500</v>
          </cell>
          <cell r="I1577">
            <v>551</v>
          </cell>
          <cell r="J1577">
            <v>6</v>
          </cell>
          <cell r="K1577" t="str">
            <v>Cizalla</v>
          </cell>
          <cell r="L1577">
            <v>0</v>
          </cell>
          <cell r="M1577">
            <v>0</v>
          </cell>
          <cell r="N1577">
            <v>0</v>
          </cell>
          <cell r="O1577">
            <v>0</v>
          </cell>
          <cell r="P1577">
            <v>0</v>
          </cell>
          <cell r="Q1577">
            <v>0</v>
          </cell>
          <cell r="R1577">
            <v>0</v>
          </cell>
          <cell r="S1577" t="str">
            <v>Pieza</v>
          </cell>
          <cell r="V1577" t="str">
            <v>FC</v>
          </cell>
        </row>
        <row r="1578">
          <cell r="A1578">
            <v>497</v>
          </cell>
          <cell r="B1578">
            <v>2017</v>
          </cell>
          <cell r="C1578">
            <v>8300</v>
          </cell>
          <cell r="D1578">
            <v>2</v>
          </cell>
          <cell r="E1578">
            <v>3</v>
          </cell>
          <cell r="F1578">
            <v>3</v>
          </cell>
          <cell r="G1578">
            <v>5000</v>
          </cell>
          <cell r="H1578">
            <v>5500</v>
          </cell>
          <cell r="I1578">
            <v>551</v>
          </cell>
          <cell r="J1578">
            <v>7</v>
          </cell>
          <cell r="K1578" t="str">
            <v>Cuña</v>
          </cell>
          <cell r="L1578">
            <v>0</v>
          </cell>
          <cell r="M1578">
            <v>0</v>
          </cell>
          <cell r="N1578">
            <v>0</v>
          </cell>
          <cell r="O1578">
            <v>0</v>
          </cell>
          <cell r="P1578">
            <v>0</v>
          </cell>
          <cell r="Q1578">
            <v>0</v>
          </cell>
          <cell r="R1578">
            <v>0</v>
          </cell>
          <cell r="S1578" t="str">
            <v>Pieza</v>
          </cell>
          <cell r="V1578" t="str">
            <v>FC</v>
          </cell>
        </row>
        <row r="1579">
          <cell r="A1579">
            <v>498</v>
          </cell>
          <cell r="B1579">
            <v>2017</v>
          </cell>
          <cell r="C1579">
            <v>8300</v>
          </cell>
          <cell r="D1579">
            <v>2</v>
          </cell>
          <cell r="E1579">
            <v>3</v>
          </cell>
          <cell r="F1579">
            <v>3</v>
          </cell>
          <cell r="G1579">
            <v>5000</v>
          </cell>
          <cell r="H1579">
            <v>5500</v>
          </cell>
          <cell r="I1579">
            <v>551</v>
          </cell>
          <cell r="J1579">
            <v>8</v>
          </cell>
          <cell r="K1579" t="str">
            <v>Detector de explosivos</v>
          </cell>
          <cell r="L1579">
            <v>0</v>
          </cell>
          <cell r="M1579">
            <v>0</v>
          </cell>
          <cell r="N1579">
            <v>0</v>
          </cell>
          <cell r="O1579">
            <v>0</v>
          </cell>
          <cell r="P1579">
            <v>0</v>
          </cell>
          <cell r="Q1579">
            <v>0</v>
          </cell>
          <cell r="R1579">
            <v>0</v>
          </cell>
          <cell r="S1579" t="str">
            <v>Pieza</v>
          </cell>
          <cell r="V1579" t="str">
            <v>FC</v>
          </cell>
        </row>
        <row r="1580">
          <cell r="A1580">
            <v>499</v>
          </cell>
          <cell r="B1580">
            <v>2017</v>
          </cell>
          <cell r="C1580">
            <v>8300</v>
          </cell>
          <cell r="D1580">
            <v>2</v>
          </cell>
          <cell r="E1580">
            <v>3</v>
          </cell>
          <cell r="F1580">
            <v>3</v>
          </cell>
          <cell r="G1580">
            <v>5000</v>
          </cell>
          <cell r="H1580">
            <v>5500</v>
          </cell>
          <cell r="I1580">
            <v>551</v>
          </cell>
          <cell r="J1580">
            <v>9</v>
          </cell>
          <cell r="K1580" t="str">
            <v xml:space="preserve">Equipo de Intervención </v>
          </cell>
          <cell r="L1580">
            <v>0</v>
          </cell>
          <cell r="M1580">
            <v>0</v>
          </cell>
          <cell r="N1580">
            <v>0</v>
          </cell>
          <cell r="O1580">
            <v>0</v>
          </cell>
          <cell r="P1580">
            <v>0</v>
          </cell>
          <cell r="Q1580">
            <v>0</v>
          </cell>
          <cell r="R1580">
            <v>0</v>
          </cell>
          <cell r="S1580" t="str">
            <v>Pieza</v>
          </cell>
          <cell r="V1580" t="str">
            <v>FC</v>
          </cell>
        </row>
        <row r="1581">
          <cell r="A1581">
            <v>500</v>
          </cell>
          <cell r="B1581">
            <v>2017</v>
          </cell>
          <cell r="C1581">
            <v>8300</v>
          </cell>
          <cell r="D1581">
            <v>2</v>
          </cell>
          <cell r="E1581">
            <v>3</v>
          </cell>
          <cell r="F1581">
            <v>3</v>
          </cell>
          <cell r="G1581">
            <v>5000</v>
          </cell>
          <cell r="H1581">
            <v>5500</v>
          </cell>
          <cell r="I1581">
            <v>551</v>
          </cell>
          <cell r="J1581">
            <v>10</v>
          </cell>
          <cell r="K1581" t="str">
            <v xml:space="preserve">Escalera </v>
          </cell>
          <cell r="L1581">
            <v>0</v>
          </cell>
          <cell r="M1581">
            <v>0</v>
          </cell>
          <cell r="N1581">
            <v>0</v>
          </cell>
          <cell r="O1581">
            <v>0</v>
          </cell>
          <cell r="P1581">
            <v>0</v>
          </cell>
          <cell r="Q1581">
            <v>0</v>
          </cell>
          <cell r="R1581">
            <v>0</v>
          </cell>
          <cell r="S1581" t="str">
            <v>Pieza</v>
          </cell>
          <cell r="V1581" t="str">
            <v>FC</v>
          </cell>
        </row>
        <row r="1582">
          <cell r="A1582">
            <v>501</v>
          </cell>
          <cell r="B1582">
            <v>2017</v>
          </cell>
          <cell r="C1582">
            <v>8300</v>
          </cell>
          <cell r="D1582">
            <v>2</v>
          </cell>
          <cell r="E1582">
            <v>3</v>
          </cell>
          <cell r="F1582">
            <v>3</v>
          </cell>
          <cell r="G1582">
            <v>5000</v>
          </cell>
          <cell r="H1582">
            <v>5500</v>
          </cell>
          <cell r="I1582">
            <v>551</v>
          </cell>
          <cell r="J1582">
            <v>11</v>
          </cell>
          <cell r="K1582" t="str">
            <v xml:space="preserve">Escudo balístico </v>
          </cell>
          <cell r="L1582">
            <v>0</v>
          </cell>
          <cell r="M1582">
            <v>0</v>
          </cell>
          <cell r="N1582">
            <v>0</v>
          </cell>
          <cell r="O1582">
            <v>0</v>
          </cell>
          <cell r="P1582">
            <v>0</v>
          </cell>
          <cell r="Q1582">
            <v>0</v>
          </cell>
          <cell r="R1582">
            <v>0</v>
          </cell>
          <cell r="S1582" t="str">
            <v>Pieza</v>
          </cell>
          <cell r="V1582" t="str">
            <v>FC</v>
          </cell>
        </row>
        <row r="1583">
          <cell r="A1583">
            <v>502</v>
          </cell>
          <cell r="B1583">
            <v>2017</v>
          </cell>
          <cell r="C1583">
            <v>8300</v>
          </cell>
          <cell r="D1583">
            <v>2</v>
          </cell>
          <cell r="E1583">
            <v>3</v>
          </cell>
          <cell r="F1583">
            <v>3</v>
          </cell>
          <cell r="G1583">
            <v>5000</v>
          </cell>
          <cell r="H1583">
            <v>5500</v>
          </cell>
          <cell r="I1583">
            <v>551</v>
          </cell>
          <cell r="J1583">
            <v>12</v>
          </cell>
          <cell r="K1583" t="str">
            <v>Implemento de visión nocturna</v>
          </cell>
          <cell r="L1583">
            <v>0</v>
          </cell>
          <cell r="M1583">
            <v>0</v>
          </cell>
          <cell r="N1583">
            <v>0</v>
          </cell>
          <cell r="O1583">
            <v>0</v>
          </cell>
          <cell r="P1583">
            <v>0</v>
          </cell>
          <cell r="Q1583">
            <v>0</v>
          </cell>
          <cell r="R1583">
            <v>0</v>
          </cell>
          <cell r="S1583" t="str">
            <v>Pieza</v>
          </cell>
          <cell r="V1583" t="str">
            <v>FC</v>
          </cell>
        </row>
        <row r="1584">
          <cell r="A1584">
            <v>503</v>
          </cell>
          <cell r="B1584">
            <v>2017</v>
          </cell>
          <cell r="C1584">
            <v>8300</v>
          </cell>
          <cell r="D1584">
            <v>2</v>
          </cell>
          <cell r="E1584">
            <v>3</v>
          </cell>
          <cell r="F1584">
            <v>3</v>
          </cell>
          <cell r="G1584">
            <v>5000</v>
          </cell>
          <cell r="H1584">
            <v>5500</v>
          </cell>
          <cell r="I1584">
            <v>551</v>
          </cell>
          <cell r="J1584">
            <v>13</v>
          </cell>
          <cell r="K1584" t="str">
            <v>Implemento para abrir ventanas</v>
          </cell>
          <cell r="L1584">
            <v>0</v>
          </cell>
          <cell r="M1584">
            <v>0</v>
          </cell>
          <cell r="N1584">
            <v>0</v>
          </cell>
          <cell r="O1584">
            <v>0</v>
          </cell>
          <cell r="P1584">
            <v>0</v>
          </cell>
          <cell r="Q1584">
            <v>0</v>
          </cell>
          <cell r="R1584">
            <v>0</v>
          </cell>
          <cell r="S1584" t="str">
            <v>Pieza</v>
          </cell>
          <cell r="V1584" t="str">
            <v>FC</v>
          </cell>
        </row>
        <row r="1585">
          <cell r="A1585">
            <v>504</v>
          </cell>
          <cell r="B1585">
            <v>2017</v>
          </cell>
          <cell r="C1585">
            <v>8300</v>
          </cell>
          <cell r="D1585">
            <v>2</v>
          </cell>
          <cell r="E1585">
            <v>3</v>
          </cell>
          <cell r="F1585">
            <v>3</v>
          </cell>
          <cell r="G1585">
            <v>5000</v>
          </cell>
          <cell r="H1585">
            <v>5500</v>
          </cell>
          <cell r="I1585">
            <v>551</v>
          </cell>
          <cell r="J1585">
            <v>14</v>
          </cell>
          <cell r="K1585" t="str">
            <v>Manta antiexplosivos</v>
          </cell>
          <cell r="L1585">
            <v>0</v>
          </cell>
          <cell r="M1585">
            <v>0</v>
          </cell>
          <cell r="N1585">
            <v>0</v>
          </cell>
          <cell r="O1585">
            <v>0</v>
          </cell>
          <cell r="P1585">
            <v>0</v>
          </cell>
          <cell r="Q1585">
            <v>0</v>
          </cell>
          <cell r="R1585">
            <v>0</v>
          </cell>
          <cell r="S1585" t="str">
            <v>Pieza</v>
          </cell>
          <cell r="V1585" t="str">
            <v>FC</v>
          </cell>
        </row>
        <row r="1586">
          <cell r="A1586">
            <v>505</v>
          </cell>
          <cell r="B1586">
            <v>2017</v>
          </cell>
          <cell r="C1586">
            <v>8300</v>
          </cell>
          <cell r="D1586">
            <v>2</v>
          </cell>
          <cell r="E1586">
            <v>3</v>
          </cell>
          <cell r="F1586">
            <v>3</v>
          </cell>
          <cell r="G1586">
            <v>5000</v>
          </cell>
          <cell r="H1586">
            <v>5500</v>
          </cell>
          <cell r="I1586">
            <v>551</v>
          </cell>
          <cell r="J1586">
            <v>15</v>
          </cell>
          <cell r="K1586" t="str">
            <v xml:space="preserve">Marro </v>
          </cell>
          <cell r="L1586">
            <v>0</v>
          </cell>
          <cell r="M1586">
            <v>0</v>
          </cell>
          <cell r="N1586">
            <v>0</v>
          </cell>
          <cell r="O1586">
            <v>0</v>
          </cell>
          <cell r="P1586">
            <v>0</v>
          </cell>
          <cell r="Q1586">
            <v>0</v>
          </cell>
          <cell r="R1586">
            <v>0</v>
          </cell>
          <cell r="S1586" t="str">
            <v>Pieza</v>
          </cell>
          <cell r="V1586" t="str">
            <v>FC</v>
          </cell>
        </row>
        <row r="1587">
          <cell r="A1587">
            <v>506</v>
          </cell>
          <cell r="B1587">
            <v>2017</v>
          </cell>
          <cell r="C1587">
            <v>8300</v>
          </cell>
          <cell r="D1587">
            <v>2</v>
          </cell>
          <cell r="E1587">
            <v>3</v>
          </cell>
          <cell r="F1587">
            <v>3</v>
          </cell>
          <cell r="G1587">
            <v>5000</v>
          </cell>
          <cell r="H1587">
            <v>5500</v>
          </cell>
          <cell r="I1587">
            <v>551</v>
          </cell>
          <cell r="J1587">
            <v>16</v>
          </cell>
          <cell r="K1587" t="str">
            <v xml:space="preserve">Mira telescópica </v>
          </cell>
          <cell r="L1587">
            <v>0</v>
          </cell>
          <cell r="M1587">
            <v>0</v>
          </cell>
          <cell r="N1587">
            <v>0</v>
          </cell>
          <cell r="O1587">
            <v>0</v>
          </cell>
          <cell r="P1587">
            <v>0</v>
          </cell>
          <cell r="Q1587">
            <v>0</v>
          </cell>
          <cell r="R1587">
            <v>0</v>
          </cell>
          <cell r="S1587" t="str">
            <v>Pieza</v>
          </cell>
          <cell r="V1587" t="str">
            <v>FC</v>
          </cell>
        </row>
        <row r="1588">
          <cell r="A1588">
            <v>507</v>
          </cell>
          <cell r="B1588">
            <v>2017</v>
          </cell>
          <cell r="C1588">
            <v>8300</v>
          </cell>
          <cell r="D1588">
            <v>2</v>
          </cell>
          <cell r="E1588">
            <v>3</v>
          </cell>
          <cell r="F1588">
            <v>3</v>
          </cell>
          <cell r="G1588">
            <v>5000</v>
          </cell>
          <cell r="H1588">
            <v>5600</v>
          </cell>
          <cell r="K1588" t="str">
            <v>Maquinaria, otros equipos y herramientas</v>
          </cell>
          <cell r="L1588">
            <v>721580</v>
          </cell>
          <cell r="M1588">
            <v>0</v>
          </cell>
          <cell r="N1588">
            <v>721580</v>
          </cell>
          <cell r="O1588">
            <v>0</v>
          </cell>
          <cell r="P1588">
            <v>0</v>
          </cell>
          <cell r="Q1588">
            <v>0</v>
          </cell>
          <cell r="R1588">
            <v>721580</v>
          </cell>
        </row>
        <row r="1589">
          <cell r="A1589">
            <v>508</v>
          </cell>
          <cell r="B1589">
            <v>2017</v>
          </cell>
          <cell r="C1589">
            <v>8300</v>
          </cell>
          <cell r="D1589">
            <v>2</v>
          </cell>
          <cell r="E1589">
            <v>3</v>
          </cell>
          <cell r="F1589">
            <v>3</v>
          </cell>
          <cell r="G1589">
            <v>5000</v>
          </cell>
          <cell r="H1589">
            <v>5600</v>
          </cell>
          <cell r="I1589">
            <v>561</v>
          </cell>
          <cell r="K1589" t="str">
            <v>Maquinaria y equipo industrial</v>
          </cell>
          <cell r="L1589">
            <v>26100</v>
          </cell>
          <cell r="M1589">
            <v>0</v>
          </cell>
          <cell r="N1589">
            <v>26100</v>
          </cell>
          <cell r="O1589">
            <v>0</v>
          </cell>
          <cell r="P1589">
            <v>0</v>
          </cell>
          <cell r="Q1589">
            <v>0</v>
          </cell>
          <cell r="R1589">
            <v>26100</v>
          </cell>
        </row>
        <row r="1590">
          <cell r="A1590">
            <v>509</v>
          </cell>
          <cell r="B1590">
            <v>2017</v>
          </cell>
          <cell r="C1590">
            <v>8300</v>
          </cell>
          <cell r="D1590">
            <v>2</v>
          </cell>
          <cell r="E1590">
            <v>3</v>
          </cell>
          <cell r="F1590">
            <v>3</v>
          </cell>
          <cell r="G1590">
            <v>5000</v>
          </cell>
          <cell r="H1590">
            <v>5600</v>
          </cell>
          <cell r="I1590">
            <v>561</v>
          </cell>
          <cell r="K1590" t="str">
            <v>Detector de Metal</v>
          </cell>
          <cell r="L1590">
            <v>26100</v>
          </cell>
          <cell r="M1590">
            <v>0</v>
          </cell>
          <cell r="N1590">
            <v>26100</v>
          </cell>
          <cell r="O1590">
            <v>0</v>
          </cell>
          <cell r="P1590">
            <v>0</v>
          </cell>
          <cell r="Q1590">
            <v>0</v>
          </cell>
          <cell r="R1590">
            <v>26100</v>
          </cell>
          <cell r="S1590" t="str">
            <v>Pieza</v>
          </cell>
          <cell r="T1590">
            <v>5</v>
          </cell>
          <cell r="V1590" t="str">
            <v>FC</v>
          </cell>
        </row>
        <row r="1591">
          <cell r="A1591">
            <v>510</v>
          </cell>
          <cell r="B1591">
            <v>2017</v>
          </cell>
          <cell r="C1591">
            <v>8300</v>
          </cell>
          <cell r="D1591">
            <v>2</v>
          </cell>
          <cell r="E1591">
            <v>3</v>
          </cell>
          <cell r="F1591">
            <v>3</v>
          </cell>
          <cell r="G1591">
            <v>5000</v>
          </cell>
          <cell r="H1591">
            <v>5600</v>
          </cell>
          <cell r="I1591">
            <v>565</v>
          </cell>
          <cell r="K1591" t="str">
            <v>Equipo de comunicación y telecomunicación</v>
          </cell>
          <cell r="L1591">
            <v>90480</v>
          </cell>
          <cell r="M1591">
            <v>0</v>
          </cell>
          <cell r="N1591">
            <v>90480</v>
          </cell>
          <cell r="O1591">
            <v>0</v>
          </cell>
          <cell r="P1591">
            <v>0</v>
          </cell>
          <cell r="Q1591">
            <v>0</v>
          </cell>
          <cell r="R1591">
            <v>90480</v>
          </cell>
        </row>
        <row r="1592">
          <cell r="A1592">
            <v>511</v>
          </cell>
          <cell r="B1592">
            <v>2017</v>
          </cell>
          <cell r="C1592">
            <v>8300</v>
          </cell>
          <cell r="D1592">
            <v>2</v>
          </cell>
          <cell r="E1592">
            <v>3</v>
          </cell>
          <cell r="F1592">
            <v>3</v>
          </cell>
          <cell r="G1592">
            <v>5000</v>
          </cell>
          <cell r="H1592">
            <v>5600</v>
          </cell>
          <cell r="I1592">
            <v>565</v>
          </cell>
          <cell r="K1592" t="str">
            <v>GPS</v>
          </cell>
          <cell r="L1592">
            <v>90480</v>
          </cell>
          <cell r="M1592">
            <v>0</v>
          </cell>
          <cell r="N1592">
            <v>90480</v>
          </cell>
          <cell r="O1592">
            <v>0</v>
          </cell>
          <cell r="P1592">
            <v>0</v>
          </cell>
          <cell r="Q1592">
            <v>0</v>
          </cell>
          <cell r="R1592">
            <v>90480</v>
          </cell>
          <cell r="S1592" t="str">
            <v>Pieza</v>
          </cell>
          <cell r="T1592">
            <v>30</v>
          </cell>
          <cell r="V1592" t="str">
            <v>FC</v>
          </cell>
        </row>
        <row r="1593">
          <cell r="A1593">
            <v>512</v>
          </cell>
          <cell r="B1593">
            <v>2017</v>
          </cell>
          <cell r="C1593">
            <v>8300</v>
          </cell>
          <cell r="D1593">
            <v>2</v>
          </cell>
          <cell r="E1593">
            <v>3</v>
          </cell>
          <cell r="F1593">
            <v>3</v>
          </cell>
          <cell r="G1593">
            <v>5000</v>
          </cell>
          <cell r="H1593">
            <v>5600</v>
          </cell>
          <cell r="I1593">
            <v>566</v>
          </cell>
          <cell r="K1593" t="str">
            <v>Equipos de generación eléctrica, aparatos y accesorios eléctricos</v>
          </cell>
          <cell r="L1593">
            <v>605000</v>
          </cell>
          <cell r="M1593">
            <v>0</v>
          </cell>
          <cell r="N1593">
            <v>605000</v>
          </cell>
          <cell r="O1593">
            <v>0</v>
          </cell>
          <cell r="P1593">
            <v>0</v>
          </cell>
          <cell r="Q1593">
            <v>0</v>
          </cell>
          <cell r="R1593">
            <v>605000</v>
          </cell>
        </row>
        <row r="1594">
          <cell r="A1594">
            <v>513</v>
          </cell>
          <cell r="B1594">
            <v>2017</v>
          </cell>
          <cell r="C1594">
            <v>8300</v>
          </cell>
          <cell r="D1594">
            <v>2</v>
          </cell>
          <cell r="E1594">
            <v>3</v>
          </cell>
          <cell r="F1594">
            <v>3</v>
          </cell>
          <cell r="G1594">
            <v>5000</v>
          </cell>
          <cell r="H1594">
            <v>5600</v>
          </cell>
          <cell r="I1594">
            <v>566</v>
          </cell>
          <cell r="K1594" t="str">
            <v>Planta de Energía Eléctrica</v>
          </cell>
          <cell r="L1594">
            <v>605000</v>
          </cell>
          <cell r="M1594">
            <v>0</v>
          </cell>
          <cell r="N1594">
            <v>605000</v>
          </cell>
          <cell r="O1594">
            <v>0</v>
          </cell>
          <cell r="P1594">
            <v>0</v>
          </cell>
          <cell r="Q1594">
            <v>0</v>
          </cell>
          <cell r="R1594">
            <v>605000</v>
          </cell>
          <cell r="S1594" t="str">
            <v>Pieza</v>
          </cell>
          <cell r="T1594">
            <v>1</v>
          </cell>
          <cell r="V1594" t="str">
            <v>FC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EN"/>
      <sheetName val="Hoja6"/>
      <sheetName val="Hoja7"/>
      <sheetName val="Hoja1"/>
      <sheetName val="PROG 2 PART 511"/>
      <sheetName val="PROGRAMA 3 PART 511"/>
      <sheetName val="2015 ESTRUCTURA"/>
      <sheetName val="CESP"/>
      <sheetName val="Hoja2"/>
      <sheetName val="2015 "/>
      <sheetName val="SSP "/>
      <sheetName val="EVALUACIONES"/>
      <sheetName val="FGE"/>
      <sheetName val="HTSJ"/>
      <sheetName val="JULIO 16 "/>
      <sheetName val="JUNIO 16 "/>
      <sheetName val="MAYO 16"/>
      <sheetName val="ABRIL 16"/>
      <sheetName val="MARZ 16"/>
      <sheetName val="FEB 16"/>
      <sheetName val="ENERO 16"/>
      <sheetName val="DIC 15"/>
      <sheetName val="NOV 15"/>
      <sheetName val="OCT 15"/>
      <sheetName val="SEP 15"/>
      <sheetName val="AGTO 15"/>
      <sheetName val="JUL 15"/>
      <sheetName val="JUN 15"/>
      <sheetName val="MAYO 15"/>
      <sheetName val="ABRIL 15"/>
      <sheetName val="Hoja4"/>
      <sheetName val="Hoja3"/>
      <sheetName val="Hoja8"/>
      <sheetName val="dat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INAL 2018 "/>
      <sheetName val="24 San Luis Potosi"/>
      <sheetName val="25 Sinaloa"/>
      <sheetName val="26 Sonora"/>
      <sheetName val="28 Tamaulipas"/>
      <sheetName val="Evaluacion del Desempeño"/>
      <sheetName val="Formacion Inicial"/>
      <sheetName val="Control de Confianza"/>
      <sheetName val="InformacionCUP"/>
      <sheetName val="Competencias Basicas"/>
      <sheetName val="Nivel de Mando"/>
      <sheetName val="Puesto"/>
      <sheetName val="Centro de Trabajo"/>
      <sheetName val="Escolaridad"/>
      <sheetName val="Listas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INAL 2018 "/>
      <sheetName val="24 San Luis Potosi"/>
      <sheetName val="25 Sinaloa"/>
      <sheetName val="26 Sonora"/>
      <sheetName val="28 Tamaulipas"/>
      <sheetName val="Evaluacion del Desempeño"/>
      <sheetName val="Formacion Inicial"/>
      <sheetName val="Control de Confianza"/>
      <sheetName val="InformacionCUP"/>
      <sheetName val="Competencias Basicas"/>
      <sheetName val="Nivel de Mando"/>
      <sheetName val="Puesto"/>
      <sheetName val="Centro de Trabajo"/>
      <sheetName val="Escolaridad"/>
      <sheetName val="Listas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Personalizado 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91C32"/>
      </a:accent1>
      <a:accent2>
        <a:srgbClr val="9F2241"/>
      </a:accent2>
      <a:accent3>
        <a:srgbClr val="10312B"/>
      </a:accent3>
      <a:accent4>
        <a:srgbClr val="235B4E"/>
      </a:accent4>
      <a:accent5>
        <a:srgbClr val="BC955C"/>
      </a:accent5>
      <a:accent6>
        <a:srgbClr val="DDC9A3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3C69D-7783-4A38-98FE-08EDBAA39118}">
  <dimension ref="A1:O37"/>
  <sheetViews>
    <sheetView showGridLines="0" tabSelected="1" zoomScale="90" zoomScaleNormal="90" workbookViewId="0">
      <selection activeCell="L23" sqref="L23"/>
    </sheetView>
  </sheetViews>
  <sheetFormatPr baseColWidth="10" defaultColWidth="0" defaultRowHeight="15" zeroHeight="1" x14ac:dyDescent="0.25"/>
  <cols>
    <col min="1" max="1" width="20.140625" customWidth="1"/>
    <col min="2" max="8" width="13.85546875" bestFit="1" customWidth="1"/>
    <col min="9" max="13" width="11.42578125" customWidth="1"/>
    <col min="14" max="14" width="13.85546875" bestFit="1" customWidth="1"/>
    <col min="15" max="15" width="11.42578125" customWidth="1"/>
    <col min="16" max="16384" width="11.42578125" hidden="1"/>
  </cols>
  <sheetData>
    <row r="1" spans="1:14" ht="45" customHeight="1" x14ac:dyDescent="0.25">
      <c r="A1" s="78" t="s">
        <v>77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9" t="s">
        <v>36</v>
      </c>
    </row>
    <row r="2" spans="1:14" x14ac:dyDescent="0.25">
      <c r="A2" s="23" t="s">
        <v>42</v>
      </c>
      <c r="B2" s="23" t="s">
        <v>43</v>
      </c>
      <c r="C2" s="23" t="s">
        <v>44</v>
      </c>
      <c r="D2" s="23" t="s">
        <v>45</v>
      </c>
      <c r="E2" s="23" t="s">
        <v>46</v>
      </c>
      <c r="F2" s="23" t="s">
        <v>47</v>
      </c>
      <c r="G2" s="23" t="s">
        <v>48</v>
      </c>
      <c r="H2" s="23" t="s">
        <v>49</v>
      </c>
      <c r="I2" s="23" t="s">
        <v>50</v>
      </c>
      <c r="J2" s="23" t="s">
        <v>51</v>
      </c>
      <c r="K2" s="23" t="s">
        <v>52</v>
      </c>
      <c r="L2" s="23" t="s">
        <v>53</v>
      </c>
      <c r="M2" s="23" t="s">
        <v>54</v>
      </c>
      <c r="N2" s="79"/>
    </row>
    <row r="3" spans="1:14" x14ac:dyDescent="0.25">
      <c r="A3" s="21" t="s">
        <v>1</v>
      </c>
      <c r="B3" s="38">
        <v>23471</v>
      </c>
      <c r="C3" s="38">
        <v>23289</v>
      </c>
      <c r="D3" s="38">
        <v>26868</v>
      </c>
      <c r="E3" s="38">
        <v>26640</v>
      </c>
      <c r="F3" s="38">
        <v>28035</v>
      </c>
      <c r="G3" s="38">
        <v>23155</v>
      </c>
      <c r="H3" s="38">
        <v>25198</v>
      </c>
      <c r="I3" s="22"/>
      <c r="J3" s="22"/>
      <c r="K3" s="22"/>
      <c r="L3" s="22"/>
      <c r="M3" s="22"/>
      <c r="N3" s="39">
        <f>+SUM(B3:M3)</f>
        <v>176656</v>
      </c>
    </row>
    <row r="4" spans="1:14" x14ac:dyDescent="0.25">
      <c r="A4" s="21" t="s">
        <v>32</v>
      </c>
      <c r="B4" s="38">
        <v>91143</v>
      </c>
      <c r="C4" s="38">
        <v>88035</v>
      </c>
      <c r="D4" s="38">
        <v>95533</v>
      </c>
      <c r="E4" s="38">
        <v>86315</v>
      </c>
      <c r="F4" s="38">
        <v>96211</v>
      </c>
      <c r="G4" s="38">
        <v>91503</v>
      </c>
      <c r="H4" s="38">
        <v>95014</v>
      </c>
      <c r="I4" s="22"/>
      <c r="J4" s="22"/>
      <c r="K4" s="22"/>
      <c r="L4" s="22"/>
      <c r="M4" s="22"/>
      <c r="N4" s="39">
        <f t="shared" ref="N4:N35" si="0">+SUM(B4:M4)</f>
        <v>643754</v>
      </c>
    </row>
    <row r="5" spans="1:14" x14ac:dyDescent="0.25">
      <c r="A5" s="21" t="s">
        <v>3</v>
      </c>
      <c r="B5" s="38">
        <v>10952</v>
      </c>
      <c r="C5" s="38">
        <v>10117</v>
      </c>
      <c r="D5" s="38">
        <v>11606</v>
      </c>
      <c r="E5" s="38">
        <v>11116</v>
      </c>
      <c r="F5" s="38">
        <v>11689</v>
      </c>
      <c r="G5" s="38">
        <v>10231</v>
      </c>
      <c r="H5" s="38">
        <v>12505</v>
      </c>
      <c r="I5" s="22"/>
      <c r="J5" s="22"/>
      <c r="K5" s="22"/>
      <c r="L5" s="22"/>
      <c r="M5" s="22"/>
      <c r="N5" s="39">
        <f t="shared" si="0"/>
        <v>78216</v>
      </c>
    </row>
    <row r="6" spans="1:14" x14ac:dyDescent="0.25">
      <c r="A6" s="21" t="s">
        <v>4</v>
      </c>
      <c r="B6" s="38">
        <v>11888</v>
      </c>
      <c r="C6" s="38">
        <v>11328</v>
      </c>
      <c r="D6" s="38">
        <v>13112</v>
      </c>
      <c r="E6" s="38">
        <v>13027</v>
      </c>
      <c r="F6" s="38">
        <v>14058</v>
      </c>
      <c r="G6" s="38">
        <v>12579</v>
      </c>
      <c r="H6" s="38">
        <v>12056</v>
      </c>
      <c r="I6" s="22"/>
      <c r="J6" s="22"/>
      <c r="K6" s="22"/>
      <c r="L6" s="22"/>
      <c r="M6" s="22"/>
      <c r="N6" s="39">
        <f t="shared" si="0"/>
        <v>88048</v>
      </c>
    </row>
    <row r="7" spans="1:14" x14ac:dyDescent="0.25">
      <c r="A7" s="21" t="s">
        <v>5</v>
      </c>
      <c r="B7" s="38">
        <v>7767</v>
      </c>
      <c r="C7" s="38">
        <v>15179</v>
      </c>
      <c r="D7" s="38">
        <v>8553</v>
      </c>
      <c r="E7" s="38">
        <v>8612</v>
      </c>
      <c r="F7" s="38">
        <v>9760</v>
      </c>
      <c r="G7" s="38">
        <v>9351</v>
      </c>
      <c r="H7" s="38">
        <v>9880</v>
      </c>
      <c r="I7" s="22"/>
      <c r="J7" s="22"/>
      <c r="K7" s="22"/>
      <c r="L7" s="22"/>
      <c r="M7" s="22"/>
      <c r="N7" s="39">
        <f t="shared" si="0"/>
        <v>69102</v>
      </c>
    </row>
    <row r="8" spans="1:14" x14ac:dyDescent="0.25">
      <c r="A8" s="21" t="s">
        <v>6</v>
      </c>
      <c r="B8" s="38">
        <v>64099</v>
      </c>
      <c r="C8" s="38">
        <v>64151</v>
      </c>
      <c r="D8" s="38">
        <v>78614</v>
      </c>
      <c r="E8" s="38">
        <v>73724</v>
      </c>
      <c r="F8" s="38">
        <v>80605</v>
      </c>
      <c r="G8" s="38">
        <v>80704</v>
      </c>
      <c r="H8" s="38">
        <v>78305</v>
      </c>
      <c r="I8" s="22"/>
      <c r="J8" s="22"/>
      <c r="K8" s="22"/>
      <c r="L8" s="22"/>
      <c r="M8" s="22"/>
      <c r="N8" s="39">
        <f t="shared" si="0"/>
        <v>520202</v>
      </c>
    </row>
    <row r="9" spans="1:14" x14ac:dyDescent="0.25">
      <c r="A9" s="21" t="s">
        <v>7</v>
      </c>
      <c r="B9" s="38">
        <v>109771</v>
      </c>
      <c r="C9" s="38">
        <v>104156</v>
      </c>
      <c r="D9" s="38">
        <v>109088</v>
      </c>
      <c r="E9" s="38">
        <v>107781</v>
      </c>
      <c r="F9" s="38">
        <v>115543</v>
      </c>
      <c r="G9" s="38">
        <v>115291</v>
      </c>
      <c r="H9" s="38">
        <v>120901</v>
      </c>
      <c r="I9" s="22"/>
      <c r="J9" s="22"/>
      <c r="K9" s="22"/>
      <c r="L9" s="22"/>
      <c r="M9" s="22"/>
      <c r="N9" s="39">
        <f t="shared" si="0"/>
        <v>782531</v>
      </c>
    </row>
    <row r="10" spans="1:14" x14ac:dyDescent="0.25">
      <c r="A10" s="21" t="s">
        <v>33</v>
      </c>
      <c r="B10" s="38">
        <v>35363</v>
      </c>
      <c r="C10" s="38">
        <v>38213</v>
      </c>
      <c r="D10" s="38">
        <v>42957</v>
      </c>
      <c r="E10" s="38">
        <v>39205</v>
      </c>
      <c r="F10" s="38">
        <v>41143</v>
      </c>
      <c r="G10" s="38">
        <v>40883</v>
      </c>
      <c r="H10" s="38">
        <v>42616</v>
      </c>
      <c r="I10" s="22"/>
      <c r="J10" s="22"/>
      <c r="K10" s="22"/>
      <c r="L10" s="22"/>
      <c r="M10" s="22"/>
      <c r="N10" s="39">
        <f t="shared" si="0"/>
        <v>280380</v>
      </c>
    </row>
    <row r="11" spans="1:14" x14ac:dyDescent="0.25">
      <c r="A11" s="21" t="s">
        <v>8</v>
      </c>
      <c r="B11" s="38">
        <v>15016</v>
      </c>
      <c r="C11" s="38">
        <v>13829</v>
      </c>
      <c r="D11" s="38">
        <v>15848</v>
      </c>
      <c r="E11" s="38">
        <v>14886</v>
      </c>
      <c r="F11" s="38">
        <v>16583</v>
      </c>
      <c r="G11" s="38">
        <v>16141</v>
      </c>
      <c r="H11" s="38">
        <v>15664</v>
      </c>
      <c r="I11" s="22"/>
      <c r="J11" s="22"/>
      <c r="K11" s="22"/>
      <c r="L11" s="22"/>
      <c r="M11" s="22"/>
      <c r="N11" s="39">
        <f t="shared" si="0"/>
        <v>107967</v>
      </c>
    </row>
    <row r="12" spans="1:14" x14ac:dyDescent="0.25">
      <c r="A12" s="21" t="s">
        <v>9</v>
      </c>
      <c r="B12" s="38">
        <v>14924</v>
      </c>
      <c r="C12" s="38">
        <v>13237</v>
      </c>
      <c r="D12" s="38">
        <v>15318</v>
      </c>
      <c r="E12" s="38">
        <v>17026</v>
      </c>
      <c r="F12" s="38">
        <v>18410</v>
      </c>
      <c r="G12" s="38">
        <v>18146</v>
      </c>
      <c r="H12" s="38">
        <v>17527</v>
      </c>
      <c r="I12" s="22"/>
      <c r="J12" s="22"/>
      <c r="K12" s="22"/>
      <c r="L12" s="22"/>
      <c r="M12" s="22"/>
      <c r="N12" s="39">
        <f t="shared" si="0"/>
        <v>114588</v>
      </c>
    </row>
    <row r="13" spans="1:14" x14ac:dyDescent="0.25">
      <c r="A13" s="21" t="s">
        <v>10</v>
      </c>
      <c r="B13" s="38">
        <v>97322</v>
      </c>
      <c r="C13" s="38">
        <v>96225</v>
      </c>
      <c r="D13" s="38">
        <v>109763</v>
      </c>
      <c r="E13" s="38">
        <v>108500</v>
      </c>
      <c r="F13" s="38">
        <v>113409</v>
      </c>
      <c r="G13" s="38">
        <v>99904</v>
      </c>
      <c r="H13" s="38">
        <v>103908</v>
      </c>
      <c r="I13" s="22"/>
      <c r="J13" s="22"/>
      <c r="K13" s="22"/>
      <c r="L13" s="22"/>
      <c r="M13" s="22"/>
      <c r="N13" s="39">
        <f t="shared" si="0"/>
        <v>729031</v>
      </c>
    </row>
    <row r="14" spans="1:14" x14ac:dyDescent="0.25">
      <c r="A14" s="21" t="s">
        <v>11</v>
      </c>
      <c r="B14" s="38">
        <v>15652</v>
      </c>
      <c r="C14" s="38">
        <v>15184</v>
      </c>
      <c r="D14" s="38">
        <v>15089</v>
      </c>
      <c r="E14" s="38">
        <v>19733</v>
      </c>
      <c r="F14" s="38">
        <v>20672</v>
      </c>
      <c r="G14" s="38">
        <v>13664</v>
      </c>
      <c r="H14" s="38">
        <v>14522</v>
      </c>
      <c r="I14" s="22"/>
      <c r="J14" s="22"/>
      <c r="K14" s="22"/>
      <c r="L14" s="22"/>
      <c r="M14" s="22"/>
      <c r="N14" s="39">
        <f t="shared" si="0"/>
        <v>114516</v>
      </c>
    </row>
    <row r="15" spans="1:14" x14ac:dyDescent="0.25">
      <c r="A15" s="21" t="s">
        <v>12</v>
      </c>
      <c r="B15" s="38">
        <v>32330</v>
      </c>
      <c r="C15" s="38">
        <v>32992</v>
      </c>
      <c r="D15" s="38">
        <v>33866</v>
      </c>
      <c r="E15" s="38">
        <v>34088</v>
      </c>
      <c r="F15" s="38">
        <v>36475</v>
      </c>
      <c r="G15" s="38">
        <v>33257</v>
      </c>
      <c r="H15" s="38">
        <v>35344</v>
      </c>
      <c r="I15" s="22"/>
      <c r="J15" s="22"/>
      <c r="K15" s="22"/>
      <c r="L15" s="22"/>
      <c r="M15" s="22"/>
      <c r="N15" s="39">
        <f t="shared" si="0"/>
        <v>238352</v>
      </c>
    </row>
    <row r="16" spans="1:14" x14ac:dyDescent="0.25">
      <c r="A16" s="21" t="s">
        <v>13</v>
      </c>
      <c r="B16" s="38">
        <v>71493</v>
      </c>
      <c r="C16" s="38">
        <v>71169</v>
      </c>
      <c r="D16" s="38">
        <v>78599</v>
      </c>
      <c r="E16" s="38">
        <v>73969</v>
      </c>
      <c r="F16" s="38">
        <v>76082</v>
      </c>
      <c r="G16" s="38">
        <v>67353</v>
      </c>
      <c r="H16" s="38">
        <v>72291</v>
      </c>
      <c r="I16" s="22"/>
      <c r="J16" s="22"/>
      <c r="K16" s="22"/>
      <c r="L16" s="22"/>
      <c r="M16" s="22"/>
      <c r="N16" s="39">
        <f t="shared" si="0"/>
        <v>510956</v>
      </c>
    </row>
    <row r="17" spans="1:14" x14ac:dyDescent="0.25">
      <c r="A17" s="21" t="s">
        <v>34</v>
      </c>
      <c r="B17" s="38">
        <v>67813</v>
      </c>
      <c r="C17" s="38">
        <v>67050</v>
      </c>
      <c r="D17" s="38">
        <v>75118</v>
      </c>
      <c r="E17" s="38">
        <v>77312</v>
      </c>
      <c r="F17" s="38">
        <v>77510</v>
      </c>
      <c r="G17" s="38">
        <v>75061</v>
      </c>
      <c r="H17" s="38">
        <v>77946</v>
      </c>
      <c r="I17" s="22"/>
      <c r="J17" s="22"/>
      <c r="K17" s="22"/>
      <c r="L17" s="22"/>
      <c r="M17" s="22"/>
      <c r="N17" s="39">
        <f t="shared" si="0"/>
        <v>517810</v>
      </c>
    </row>
    <row r="18" spans="1:14" x14ac:dyDescent="0.25">
      <c r="A18" s="21" t="s">
        <v>15</v>
      </c>
      <c r="B18" s="38">
        <v>22024</v>
      </c>
      <c r="C18" s="38">
        <v>22294</v>
      </c>
      <c r="D18" s="38">
        <v>25618</v>
      </c>
      <c r="E18" s="38">
        <v>24721</v>
      </c>
      <c r="F18" s="38">
        <v>25197</v>
      </c>
      <c r="G18" s="38">
        <v>23411</v>
      </c>
      <c r="H18" s="38">
        <v>23816</v>
      </c>
      <c r="I18" s="22"/>
      <c r="J18" s="22"/>
      <c r="K18" s="22"/>
      <c r="L18" s="22"/>
      <c r="M18" s="22"/>
      <c r="N18" s="39">
        <f t="shared" si="0"/>
        <v>167081</v>
      </c>
    </row>
    <row r="19" spans="1:14" x14ac:dyDescent="0.25">
      <c r="A19" s="21" t="s">
        <v>16</v>
      </c>
      <c r="B19" s="38">
        <v>14191</v>
      </c>
      <c r="C19" s="38">
        <v>12318</v>
      </c>
      <c r="D19" s="38">
        <v>13694</v>
      </c>
      <c r="E19" s="38">
        <v>15025</v>
      </c>
      <c r="F19" s="38">
        <v>18537</v>
      </c>
      <c r="G19" s="38">
        <v>17010</v>
      </c>
      <c r="H19" s="38">
        <v>17232</v>
      </c>
      <c r="I19" s="22"/>
      <c r="J19" s="22"/>
      <c r="K19" s="22"/>
      <c r="L19" s="22"/>
      <c r="M19" s="22"/>
      <c r="N19" s="39">
        <f t="shared" si="0"/>
        <v>108007</v>
      </c>
    </row>
    <row r="20" spans="1:14" x14ac:dyDescent="0.25">
      <c r="A20" s="21" t="s">
        <v>17</v>
      </c>
      <c r="B20" s="38">
        <v>8235</v>
      </c>
      <c r="C20" s="38">
        <v>7812</v>
      </c>
      <c r="D20" s="38">
        <v>8867</v>
      </c>
      <c r="E20" s="38">
        <v>8632</v>
      </c>
      <c r="F20" s="38">
        <v>8949</v>
      </c>
      <c r="G20" s="38">
        <v>8337</v>
      </c>
      <c r="H20" s="38">
        <v>8732</v>
      </c>
      <c r="I20" s="22"/>
      <c r="J20" s="22"/>
      <c r="K20" s="22"/>
      <c r="L20" s="22"/>
      <c r="M20" s="22"/>
      <c r="N20" s="39">
        <f t="shared" si="0"/>
        <v>59564</v>
      </c>
    </row>
    <row r="21" spans="1:14" x14ac:dyDescent="0.25">
      <c r="A21" s="21" t="s">
        <v>35</v>
      </c>
      <c r="B21" s="38">
        <v>68824</v>
      </c>
      <c r="C21" s="38">
        <v>93263</v>
      </c>
      <c r="D21" s="38">
        <v>103892</v>
      </c>
      <c r="E21" s="38">
        <v>88364</v>
      </c>
      <c r="F21" s="38">
        <v>97778</v>
      </c>
      <c r="G21" s="38">
        <v>104488</v>
      </c>
      <c r="H21" s="38">
        <v>98580</v>
      </c>
      <c r="I21" s="22"/>
      <c r="J21" s="22"/>
      <c r="K21" s="22"/>
      <c r="L21" s="22"/>
      <c r="M21" s="22"/>
      <c r="N21" s="39">
        <f t="shared" si="0"/>
        <v>655189</v>
      </c>
    </row>
    <row r="22" spans="1:14" x14ac:dyDescent="0.25">
      <c r="A22" s="21" t="s">
        <v>19</v>
      </c>
      <c r="B22" s="38">
        <v>20026</v>
      </c>
      <c r="C22" s="38">
        <v>18878</v>
      </c>
      <c r="D22" s="38">
        <v>21950</v>
      </c>
      <c r="E22" s="38">
        <v>22347</v>
      </c>
      <c r="F22" s="38">
        <v>24423</v>
      </c>
      <c r="G22" s="38">
        <v>20936</v>
      </c>
      <c r="H22" s="38">
        <v>21300</v>
      </c>
      <c r="I22" s="22"/>
      <c r="J22" s="22"/>
      <c r="K22" s="22"/>
      <c r="L22" s="22"/>
      <c r="M22" s="22"/>
      <c r="N22" s="39">
        <f t="shared" si="0"/>
        <v>149860</v>
      </c>
    </row>
    <row r="23" spans="1:14" x14ac:dyDescent="0.25">
      <c r="A23" s="21" t="s">
        <v>20</v>
      </c>
      <c r="B23" s="38">
        <v>50382</v>
      </c>
      <c r="C23" s="38">
        <v>45667</v>
      </c>
      <c r="D23" s="38">
        <v>46346</v>
      </c>
      <c r="E23" s="38">
        <v>15607</v>
      </c>
      <c r="F23" s="38">
        <v>41245</v>
      </c>
      <c r="G23" s="38">
        <v>43323</v>
      </c>
      <c r="H23" s="38">
        <v>44627</v>
      </c>
      <c r="I23" s="22"/>
      <c r="J23" s="22"/>
      <c r="K23" s="22"/>
      <c r="L23" s="22"/>
      <c r="M23" s="22"/>
      <c r="N23" s="39">
        <f t="shared" si="0"/>
        <v>287197</v>
      </c>
    </row>
    <row r="24" spans="1:14" x14ac:dyDescent="0.25">
      <c r="A24" s="21" t="s">
        <v>21</v>
      </c>
      <c r="B24" s="38">
        <v>44462</v>
      </c>
      <c r="C24" s="38">
        <v>43715</v>
      </c>
      <c r="D24" s="38">
        <v>48952</v>
      </c>
      <c r="E24" s="38">
        <v>46086</v>
      </c>
      <c r="F24" s="38">
        <v>49442</v>
      </c>
      <c r="G24" s="38">
        <v>42468</v>
      </c>
      <c r="H24" s="38">
        <v>42904</v>
      </c>
      <c r="I24" s="22"/>
      <c r="J24" s="22"/>
      <c r="K24" s="22"/>
      <c r="L24" s="22"/>
      <c r="M24" s="22"/>
      <c r="N24" s="39">
        <f t="shared" si="0"/>
        <v>318029</v>
      </c>
    </row>
    <row r="25" spans="1:14" x14ac:dyDescent="0.25">
      <c r="A25" s="21" t="s">
        <v>22</v>
      </c>
      <c r="B25" s="38">
        <v>34886</v>
      </c>
      <c r="C25" s="38">
        <v>32565</v>
      </c>
      <c r="D25" s="38">
        <v>37361</v>
      </c>
      <c r="E25" s="38">
        <v>37220</v>
      </c>
      <c r="F25" s="38">
        <v>39817</v>
      </c>
      <c r="G25" s="38">
        <v>51290</v>
      </c>
      <c r="H25" s="38">
        <v>43991</v>
      </c>
      <c r="I25" s="22"/>
      <c r="J25" s="22"/>
      <c r="K25" s="22"/>
      <c r="L25" s="22"/>
      <c r="M25" s="22"/>
      <c r="N25" s="39">
        <f t="shared" si="0"/>
        <v>277130</v>
      </c>
    </row>
    <row r="26" spans="1:14" x14ac:dyDescent="0.25">
      <c r="A26" s="21" t="s">
        <v>23</v>
      </c>
      <c r="B26" s="38">
        <v>12694</v>
      </c>
      <c r="C26" s="38">
        <v>11804</v>
      </c>
      <c r="D26" s="38">
        <v>13314</v>
      </c>
      <c r="E26" s="38">
        <v>12915</v>
      </c>
      <c r="F26" s="38">
        <v>13580</v>
      </c>
      <c r="G26" s="38">
        <v>12377</v>
      </c>
      <c r="H26" s="38">
        <v>13189</v>
      </c>
      <c r="I26" s="22"/>
      <c r="J26" s="22"/>
      <c r="K26" s="22"/>
      <c r="L26" s="22"/>
      <c r="M26" s="22"/>
      <c r="N26" s="39">
        <f t="shared" si="0"/>
        <v>89873</v>
      </c>
    </row>
    <row r="27" spans="1:14" x14ac:dyDescent="0.25">
      <c r="A27" s="21" t="s">
        <v>24</v>
      </c>
      <c r="B27" s="38">
        <v>23879</v>
      </c>
      <c r="C27" s="38">
        <v>22079</v>
      </c>
      <c r="D27" s="38">
        <v>25590</v>
      </c>
      <c r="E27" s="38">
        <v>25943</v>
      </c>
      <c r="F27" s="38">
        <v>27707</v>
      </c>
      <c r="G27" s="38">
        <v>26045</v>
      </c>
      <c r="H27" s="38">
        <v>27324</v>
      </c>
      <c r="I27" s="22"/>
      <c r="J27" s="22"/>
      <c r="K27" s="22"/>
      <c r="L27" s="22"/>
      <c r="M27" s="22"/>
      <c r="N27" s="39">
        <f t="shared" si="0"/>
        <v>178567</v>
      </c>
    </row>
    <row r="28" spans="1:14" x14ac:dyDescent="0.25">
      <c r="A28" s="21" t="s">
        <v>25</v>
      </c>
      <c r="B28" s="38">
        <v>82889</v>
      </c>
      <c r="C28" s="38">
        <v>81965</v>
      </c>
      <c r="D28" s="38">
        <v>93170</v>
      </c>
      <c r="E28" s="38">
        <v>87083</v>
      </c>
      <c r="F28" s="38">
        <v>91856</v>
      </c>
      <c r="G28" s="38">
        <v>90023</v>
      </c>
      <c r="H28" s="38">
        <v>89180</v>
      </c>
      <c r="I28" s="22"/>
      <c r="J28" s="22"/>
      <c r="K28" s="22"/>
      <c r="L28" s="22"/>
      <c r="M28" s="22"/>
      <c r="N28" s="39">
        <f t="shared" si="0"/>
        <v>616166</v>
      </c>
    </row>
    <row r="29" spans="1:14" x14ac:dyDescent="0.25">
      <c r="A29" s="21" t="s">
        <v>26</v>
      </c>
      <c r="B29" s="38">
        <v>6520</v>
      </c>
      <c r="C29" s="38">
        <v>6753</v>
      </c>
      <c r="D29" s="38">
        <v>8431</v>
      </c>
      <c r="E29" s="38">
        <v>8788</v>
      </c>
      <c r="F29" s="38">
        <v>9234</v>
      </c>
      <c r="G29" s="38">
        <v>7828</v>
      </c>
      <c r="H29" s="38">
        <v>8402</v>
      </c>
      <c r="I29" s="22"/>
      <c r="J29" s="22"/>
      <c r="K29" s="22"/>
      <c r="L29" s="22"/>
      <c r="M29" s="22"/>
      <c r="N29" s="39">
        <f t="shared" si="0"/>
        <v>55956</v>
      </c>
    </row>
    <row r="30" spans="1:14" x14ac:dyDescent="0.25">
      <c r="A30" s="21" t="s">
        <v>27</v>
      </c>
      <c r="B30" s="38">
        <v>21379</v>
      </c>
      <c r="C30" s="38">
        <v>22548</v>
      </c>
      <c r="D30" s="38">
        <v>26047</v>
      </c>
      <c r="E30" s="38">
        <v>23437</v>
      </c>
      <c r="F30" s="38">
        <v>25800</v>
      </c>
      <c r="G30" s="38">
        <v>24781</v>
      </c>
      <c r="H30" s="38">
        <v>25071</v>
      </c>
      <c r="I30" s="22"/>
      <c r="J30" s="22"/>
      <c r="K30" s="22"/>
      <c r="L30" s="22"/>
      <c r="M30" s="22"/>
      <c r="N30" s="39">
        <f t="shared" si="0"/>
        <v>169063</v>
      </c>
    </row>
    <row r="31" spans="1:14" x14ac:dyDescent="0.25">
      <c r="A31" s="21" t="s">
        <v>28</v>
      </c>
      <c r="B31" s="38">
        <v>10817</v>
      </c>
      <c r="C31" s="38">
        <v>11284</v>
      </c>
      <c r="D31" s="38">
        <v>11789</v>
      </c>
      <c r="E31" s="38">
        <v>11312</v>
      </c>
      <c r="F31" s="38">
        <v>12638</v>
      </c>
      <c r="G31" s="38">
        <v>11474</v>
      </c>
      <c r="H31" s="38">
        <v>11314</v>
      </c>
      <c r="I31" s="22"/>
      <c r="J31" s="22"/>
      <c r="K31" s="22"/>
      <c r="L31" s="22"/>
      <c r="M31" s="22"/>
      <c r="N31" s="39">
        <f t="shared" si="0"/>
        <v>80628</v>
      </c>
    </row>
    <row r="32" spans="1:14" x14ac:dyDescent="0.25">
      <c r="A32" s="21" t="s">
        <v>29</v>
      </c>
      <c r="B32" s="38">
        <v>50198</v>
      </c>
      <c r="C32" s="38">
        <v>51672</v>
      </c>
      <c r="D32" s="38">
        <v>59796</v>
      </c>
      <c r="E32" s="38">
        <v>56431</v>
      </c>
      <c r="F32" s="38">
        <v>60146</v>
      </c>
      <c r="G32" s="38">
        <v>56600</v>
      </c>
      <c r="H32" s="38">
        <v>56014</v>
      </c>
      <c r="I32" s="22"/>
      <c r="J32" s="22"/>
      <c r="K32" s="22"/>
      <c r="L32" s="22"/>
      <c r="M32" s="22"/>
      <c r="N32" s="39">
        <f t="shared" si="0"/>
        <v>390857</v>
      </c>
    </row>
    <row r="33" spans="1:14" x14ac:dyDescent="0.25">
      <c r="A33" s="21" t="s">
        <v>30</v>
      </c>
      <c r="B33" s="38">
        <v>37499</v>
      </c>
      <c r="C33" s="38">
        <v>39880</v>
      </c>
      <c r="D33" s="38">
        <v>43787</v>
      </c>
      <c r="E33" s="38">
        <v>42334</v>
      </c>
      <c r="F33" s="38">
        <v>46544</v>
      </c>
      <c r="G33" s="38">
        <v>42758</v>
      </c>
      <c r="H33" s="38">
        <v>42601</v>
      </c>
      <c r="I33" s="22"/>
      <c r="J33" s="22"/>
      <c r="K33" s="22"/>
      <c r="L33" s="22"/>
      <c r="M33" s="22"/>
      <c r="N33" s="39">
        <f t="shared" si="0"/>
        <v>295403</v>
      </c>
    </row>
    <row r="34" spans="1:14" x14ac:dyDescent="0.25">
      <c r="A34" s="21" t="s">
        <v>31</v>
      </c>
      <c r="B34" s="38">
        <v>8434</v>
      </c>
      <c r="C34" s="38">
        <v>8851</v>
      </c>
      <c r="D34" s="38">
        <v>10047</v>
      </c>
      <c r="E34" s="38">
        <v>10004</v>
      </c>
      <c r="F34" s="38">
        <v>11137</v>
      </c>
      <c r="G34" s="38">
        <v>9393</v>
      </c>
      <c r="H34" s="38">
        <v>9186</v>
      </c>
      <c r="I34" s="22"/>
      <c r="J34" s="22"/>
      <c r="K34" s="22"/>
      <c r="L34" s="22"/>
      <c r="M34" s="22"/>
      <c r="N34" s="39">
        <f t="shared" si="0"/>
        <v>67052</v>
      </c>
    </row>
    <row r="35" spans="1:14" x14ac:dyDescent="0.25">
      <c r="A35" s="25" t="s">
        <v>36</v>
      </c>
      <c r="B35" s="40">
        <f>+SUBTOTAL(9,B3:B34)</f>
        <v>1186343</v>
      </c>
      <c r="C35" s="40">
        <f t="shared" ref="C35:M35" si="1">+SUBTOTAL(9,C3:C34)</f>
        <v>1197502</v>
      </c>
      <c r="D35" s="40">
        <f t="shared" si="1"/>
        <v>1328583</v>
      </c>
      <c r="E35" s="40">
        <f t="shared" si="1"/>
        <v>1248183</v>
      </c>
      <c r="F35" s="40">
        <f t="shared" si="1"/>
        <v>1360215</v>
      </c>
      <c r="G35" s="40">
        <f t="shared" si="1"/>
        <v>1299765</v>
      </c>
      <c r="H35" s="40">
        <f t="shared" si="1"/>
        <v>1317140</v>
      </c>
      <c r="I35" s="24">
        <f t="shared" si="1"/>
        <v>0</v>
      </c>
      <c r="J35" s="24">
        <f t="shared" si="1"/>
        <v>0</v>
      </c>
      <c r="K35" s="24">
        <f t="shared" si="1"/>
        <v>0</v>
      </c>
      <c r="L35" s="24">
        <f t="shared" si="1"/>
        <v>0</v>
      </c>
      <c r="M35" s="24">
        <f t="shared" si="1"/>
        <v>0</v>
      </c>
      <c r="N35" s="39">
        <f t="shared" si="0"/>
        <v>8937731</v>
      </c>
    </row>
    <row r="36" spans="1:14" ht="30" x14ac:dyDescent="0.25">
      <c r="A36" s="46" t="s">
        <v>87</v>
      </c>
      <c r="B36" s="33">
        <f>IFERROR((B35/$N$35),0)</f>
        <v>0.13273424765189284</v>
      </c>
      <c r="C36" s="33">
        <f t="shared" ref="C36:M36" si="2">IFERROR((C35/$N$35),0)</f>
        <v>0.13398277482282694</v>
      </c>
      <c r="D36" s="33">
        <f t="shared" si="2"/>
        <v>0.14864880135685443</v>
      </c>
      <c r="E36" s="33">
        <f t="shared" si="2"/>
        <v>0.13965322966198021</v>
      </c>
      <c r="F36" s="33">
        <f t="shared" si="2"/>
        <v>0.15218795463859899</v>
      </c>
      <c r="G36" s="33">
        <f t="shared" si="2"/>
        <v>0.14542449308443048</v>
      </c>
      <c r="H36" s="33">
        <f t="shared" si="2"/>
        <v>0.14736849878341607</v>
      </c>
      <c r="I36" s="33">
        <f t="shared" si="2"/>
        <v>0</v>
      </c>
      <c r="J36" s="33">
        <f t="shared" si="2"/>
        <v>0</v>
      </c>
      <c r="K36" s="33">
        <f t="shared" si="2"/>
        <v>0</v>
      </c>
      <c r="L36" s="33">
        <f t="shared" si="2"/>
        <v>0</v>
      </c>
      <c r="M36" s="33">
        <f t="shared" si="2"/>
        <v>0</v>
      </c>
      <c r="N36" s="26"/>
    </row>
    <row r="37" spans="1:14" x14ac:dyDescent="0.25"/>
  </sheetData>
  <mergeCells count="2">
    <mergeCell ref="A1:M1"/>
    <mergeCell ref="N1:N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26F5-4AEC-49BD-9D66-408E9B289B6B}">
  <dimension ref="A1:N36"/>
  <sheetViews>
    <sheetView showGridLines="0" zoomScale="90" zoomScaleNormal="90" workbookViewId="0">
      <selection activeCell="B35" sqref="B35"/>
    </sheetView>
  </sheetViews>
  <sheetFormatPr baseColWidth="10" defaultColWidth="11.42578125" defaultRowHeight="15" x14ac:dyDescent="0.25"/>
  <cols>
    <col min="1" max="1" width="20.140625" customWidth="1"/>
  </cols>
  <sheetData>
    <row r="1" spans="1:14" ht="45" customHeight="1" x14ac:dyDescent="0.25">
      <c r="A1" s="78" t="s">
        <v>77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9" t="s">
        <v>36</v>
      </c>
    </row>
    <row r="2" spans="1:14" x14ac:dyDescent="0.25">
      <c r="A2" s="23" t="s">
        <v>42</v>
      </c>
      <c r="B2" s="23" t="s">
        <v>43</v>
      </c>
      <c r="C2" s="23" t="s">
        <v>44</v>
      </c>
      <c r="D2" s="23" t="s">
        <v>45</v>
      </c>
      <c r="E2" s="23" t="s">
        <v>46</v>
      </c>
      <c r="F2" s="23" t="s">
        <v>47</v>
      </c>
      <c r="G2" s="23" t="s">
        <v>48</v>
      </c>
      <c r="H2" s="23" t="s">
        <v>49</v>
      </c>
      <c r="I2" s="23" t="s">
        <v>50</v>
      </c>
      <c r="J2" s="23" t="s">
        <v>51</v>
      </c>
      <c r="K2" s="23" t="s">
        <v>52</v>
      </c>
      <c r="L2" s="23" t="s">
        <v>53</v>
      </c>
      <c r="M2" s="23" t="s">
        <v>54</v>
      </c>
      <c r="N2" s="79"/>
    </row>
    <row r="3" spans="1:14" x14ac:dyDescent="0.25">
      <c r="A3" s="21" t="s">
        <v>1</v>
      </c>
      <c r="B3" s="38">
        <v>62</v>
      </c>
      <c r="C3" s="38">
        <v>69</v>
      </c>
      <c r="D3" s="38">
        <v>94</v>
      </c>
      <c r="E3" s="38">
        <v>100</v>
      </c>
      <c r="F3" s="38">
        <v>304</v>
      </c>
      <c r="G3" s="38">
        <v>299</v>
      </c>
      <c r="H3" s="38">
        <v>261</v>
      </c>
      <c r="I3" s="22"/>
      <c r="J3" s="22"/>
      <c r="K3" s="22"/>
      <c r="L3" s="22"/>
      <c r="M3" s="22"/>
      <c r="N3" s="26">
        <f>+SUM(B3:M3)</f>
        <v>1189</v>
      </c>
    </row>
    <row r="4" spans="1:14" x14ac:dyDescent="0.25">
      <c r="A4" s="21" t="s">
        <v>32</v>
      </c>
      <c r="B4" s="38">
        <v>1469</v>
      </c>
      <c r="C4" s="38">
        <v>1475</v>
      </c>
      <c r="D4" s="38">
        <v>1475</v>
      </c>
      <c r="E4" s="38">
        <v>1752</v>
      </c>
      <c r="F4" s="38">
        <v>1654</v>
      </c>
      <c r="G4" s="38">
        <v>1547</v>
      </c>
      <c r="H4" s="38">
        <v>1654</v>
      </c>
      <c r="I4" s="22"/>
      <c r="J4" s="22"/>
      <c r="K4" s="22"/>
      <c r="L4" s="22"/>
      <c r="M4" s="22"/>
      <c r="N4" s="26">
        <f t="shared" ref="N4:N35" si="0">+SUM(B4:M4)</f>
        <v>11026</v>
      </c>
    </row>
    <row r="5" spans="1:14" x14ac:dyDescent="0.25">
      <c r="A5" s="21" t="s">
        <v>3</v>
      </c>
      <c r="B5" s="38">
        <v>196</v>
      </c>
      <c r="C5" s="38">
        <v>174</v>
      </c>
      <c r="D5" s="38">
        <v>259</v>
      </c>
      <c r="E5" s="38">
        <v>200</v>
      </c>
      <c r="F5" s="38">
        <v>197</v>
      </c>
      <c r="G5" s="38">
        <v>158</v>
      </c>
      <c r="H5" s="38">
        <v>129</v>
      </c>
      <c r="I5" s="22"/>
      <c r="J5" s="22"/>
      <c r="K5" s="22"/>
      <c r="L5" s="22"/>
      <c r="M5" s="22"/>
      <c r="N5" s="26">
        <f t="shared" si="0"/>
        <v>1313</v>
      </c>
    </row>
    <row r="6" spans="1:14" x14ac:dyDescent="0.25">
      <c r="A6" s="21" t="s">
        <v>4</v>
      </c>
      <c r="B6" s="38">
        <v>123</v>
      </c>
      <c r="C6" s="38">
        <v>117</v>
      </c>
      <c r="D6" s="38">
        <v>139</v>
      </c>
      <c r="E6" s="38">
        <v>120</v>
      </c>
      <c r="F6" s="38">
        <v>235</v>
      </c>
      <c r="G6" s="38">
        <v>104</v>
      </c>
      <c r="H6" s="38">
        <v>136</v>
      </c>
      <c r="I6" s="22"/>
      <c r="J6" s="22"/>
      <c r="K6" s="22"/>
      <c r="L6" s="22"/>
      <c r="M6" s="22"/>
      <c r="N6" s="26">
        <f t="shared" si="0"/>
        <v>974</v>
      </c>
    </row>
    <row r="7" spans="1:14" x14ac:dyDescent="0.25">
      <c r="A7" s="21" t="s">
        <v>5</v>
      </c>
      <c r="B7" s="38">
        <v>278</v>
      </c>
      <c r="C7" s="38">
        <v>338</v>
      </c>
      <c r="D7" s="38">
        <v>374</v>
      </c>
      <c r="E7" s="38">
        <v>346</v>
      </c>
      <c r="F7" s="38">
        <v>319</v>
      </c>
      <c r="G7" s="38">
        <v>361</v>
      </c>
      <c r="H7" s="38">
        <v>373</v>
      </c>
      <c r="I7" s="22"/>
      <c r="J7" s="22"/>
      <c r="K7" s="22"/>
      <c r="L7" s="22"/>
      <c r="M7" s="22"/>
      <c r="N7" s="26">
        <f t="shared" si="0"/>
        <v>2389</v>
      </c>
    </row>
    <row r="8" spans="1:14" x14ac:dyDescent="0.25">
      <c r="A8" s="21" t="s">
        <v>6</v>
      </c>
      <c r="B8" s="38">
        <v>344</v>
      </c>
      <c r="C8" s="38">
        <v>286</v>
      </c>
      <c r="D8" s="38">
        <v>425</v>
      </c>
      <c r="E8" s="38">
        <v>347</v>
      </c>
      <c r="F8" s="38">
        <v>401</v>
      </c>
      <c r="G8" s="38">
        <v>391</v>
      </c>
      <c r="H8" s="38">
        <v>342</v>
      </c>
      <c r="I8" s="22"/>
      <c r="J8" s="22"/>
      <c r="K8" s="22"/>
      <c r="L8" s="22"/>
      <c r="M8" s="22"/>
      <c r="N8" s="26">
        <f t="shared" si="0"/>
        <v>2536</v>
      </c>
    </row>
    <row r="9" spans="1:14" x14ac:dyDescent="0.25">
      <c r="A9" s="21" t="s">
        <v>7</v>
      </c>
      <c r="B9" s="38">
        <v>1210</v>
      </c>
      <c r="C9" s="38">
        <v>1150</v>
      </c>
      <c r="D9" s="38">
        <v>1149</v>
      </c>
      <c r="E9" s="38">
        <v>1246</v>
      </c>
      <c r="F9" s="38">
        <v>1209</v>
      </c>
      <c r="G9" s="38">
        <v>1270</v>
      </c>
      <c r="H9" s="38">
        <v>1267</v>
      </c>
      <c r="I9" s="22"/>
      <c r="J9" s="22"/>
      <c r="K9" s="22"/>
      <c r="L9" s="22"/>
      <c r="M9" s="22"/>
      <c r="N9" s="26">
        <f t="shared" si="0"/>
        <v>8501</v>
      </c>
    </row>
    <row r="10" spans="1:14" x14ac:dyDescent="0.25">
      <c r="A10" s="21" t="s">
        <v>33</v>
      </c>
      <c r="B10" s="38">
        <v>571</v>
      </c>
      <c r="C10" s="38">
        <v>663</v>
      </c>
      <c r="D10" s="38">
        <v>805</v>
      </c>
      <c r="E10" s="38">
        <v>842</v>
      </c>
      <c r="F10" s="38">
        <v>870</v>
      </c>
      <c r="G10" s="38">
        <v>736</v>
      </c>
      <c r="H10" s="38">
        <v>765</v>
      </c>
      <c r="I10" s="22"/>
      <c r="J10" s="22"/>
      <c r="K10" s="22"/>
      <c r="L10" s="22"/>
      <c r="M10" s="22"/>
      <c r="N10" s="26">
        <f t="shared" si="0"/>
        <v>5252</v>
      </c>
    </row>
    <row r="11" spans="1:14" x14ac:dyDescent="0.25">
      <c r="A11" s="21" t="s">
        <v>8</v>
      </c>
      <c r="B11" s="38">
        <v>9936</v>
      </c>
      <c r="C11" s="38">
        <v>8269</v>
      </c>
      <c r="D11" s="38">
        <v>9574</v>
      </c>
      <c r="E11" s="38">
        <v>10180</v>
      </c>
      <c r="F11" s="38">
        <v>10590</v>
      </c>
      <c r="G11" s="38">
        <v>10159</v>
      </c>
      <c r="H11" s="38">
        <v>9574</v>
      </c>
      <c r="I11" s="22"/>
      <c r="J11" s="22"/>
      <c r="K11" s="22"/>
      <c r="L11" s="22"/>
      <c r="M11" s="22"/>
      <c r="N11" s="26">
        <f t="shared" si="0"/>
        <v>68282</v>
      </c>
    </row>
    <row r="12" spans="1:14" x14ac:dyDescent="0.25">
      <c r="A12" s="21" t="s">
        <v>9</v>
      </c>
      <c r="B12" s="38">
        <v>204</v>
      </c>
      <c r="C12" s="38">
        <v>191</v>
      </c>
      <c r="D12" s="38">
        <v>242</v>
      </c>
      <c r="E12" s="38">
        <v>216</v>
      </c>
      <c r="F12" s="38">
        <v>205</v>
      </c>
      <c r="G12" s="38">
        <v>210</v>
      </c>
      <c r="H12" s="38">
        <v>232</v>
      </c>
      <c r="I12" s="22"/>
      <c r="J12" s="22"/>
      <c r="K12" s="22"/>
      <c r="L12" s="22"/>
      <c r="M12" s="22"/>
      <c r="N12" s="26">
        <f t="shared" si="0"/>
        <v>1500</v>
      </c>
    </row>
    <row r="13" spans="1:14" x14ac:dyDescent="0.25">
      <c r="A13" s="21" t="s">
        <v>10</v>
      </c>
      <c r="B13" s="38">
        <v>1329</v>
      </c>
      <c r="C13" s="38">
        <v>1233</v>
      </c>
      <c r="D13" s="38">
        <v>1568</v>
      </c>
      <c r="E13" s="38">
        <v>1634</v>
      </c>
      <c r="F13" s="38">
        <v>1620</v>
      </c>
      <c r="G13" s="38">
        <v>994</v>
      </c>
      <c r="H13" s="38">
        <v>1477</v>
      </c>
      <c r="I13" s="22"/>
      <c r="J13" s="22"/>
      <c r="K13" s="22"/>
      <c r="L13" s="22"/>
      <c r="M13" s="22"/>
      <c r="N13" s="26">
        <f t="shared" si="0"/>
        <v>9855</v>
      </c>
    </row>
    <row r="14" spans="1:14" x14ac:dyDescent="0.25">
      <c r="A14" s="21" t="s">
        <v>11</v>
      </c>
      <c r="B14" s="38">
        <v>180</v>
      </c>
      <c r="C14" s="38">
        <v>213</v>
      </c>
      <c r="D14" s="38">
        <v>217</v>
      </c>
      <c r="E14" s="38">
        <v>217</v>
      </c>
      <c r="F14" s="38">
        <v>200</v>
      </c>
      <c r="G14" s="38">
        <v>180</v>
      </c>
      <c r="H14" s="38">
        <v>198</v>
      </c>
      <c r="I14" s="22"/>
      <c r="J14" s="22"/>
      <c r="K14" s="22"/>
      <c r="L14" s="22"/>
      <c r="M14" s="22"/>
      <c r="N14" s="26">
        <f t="shared" si="0"/>
        <v>1405</v>
      </c>
    </row>
    <row r="15" spans="1:14" x14ac:dyDescent="0.25">
      <c r="A15" s="21" t="s">
        <v>12</v>
      </c>
      <c r="B15" s="38">
        <v>747</v>
      </c>
      <c r="C15" s="38">
        <v>812</v>
      </c>
      <c r="D15" s="38">
        <v>945</v>
      </c>
      <c r="E15" s="38">
        <v>878</v>
      </c>
      <c r="F15" s="38">
        <v>866</v>
      </c>
      <c r="G15" s="38">
        <v>765</v>
      </c>
      <c r="H15" s="38">
        <v>842</v>
      </c>
      <c r="I15" s="22"/>
      <c r="J15" s="22"/>
      <c r="K15" s="22"/>
      <c r="L15" s="22"/>
      <c r="M15" s="22"/>
      <c r="N15" s="26">
        <f t="shared" si="0"/>
        <v>5855</v>
      </c>
    </row>
    <row r="16" spans="1:14" x14ac:dyDescent="0.25">
      <c r="A16" s="21" t="s">
        <v>13</v>
      </c>
      <c r="B16" s="38">
        <v>1596</v>
      </c>
      <c r="C16" s="38">
        <v>1557</v>
      </c>
      <c r="D16" s="38">
        <v>1929</v>
      </c>
      <c r="E16" s="38">
        <v>2024</v>
      </c>
      <c r="F16" s="38">
        <v>2033</v>
      </c>
      <c r="G16" s="38">
        <v>1682</v>
      </c>
      <c r="H16" s="38">
        <v>1712</v>
      </c>
      <c r="I16" s="22"/>
      <c r="J16" s="22"/>
      <c r="K16" s="22"/>
      <c r="L16" s="22"/>
      <c r="M16" s="22"/>
      <c r="N16" s="26">
        <f t="shared" si="0"/>
        <v>12533</v>
      </c>
    </row>
    <row r="17" spans="1:14" x14ac:dyDescent="0.25">
      <c r="A17" s="21" t="s">
        <v>34</v>
      </c>
      <c r="B17" s="38">
        <v>6376</v>
      </c>
      <c r="C17" s="38">
        <v>6853</v>
      </c>
      <c r="D17" s="38">
        <v>7819</v>
      </c>
      <c r="E17" s="38">
        <v>8090</v>
      </c>
      <c r="F17" s="38">
        <v>7409</v>
      </c>
      <c r="G17" s="38">
        <v>5875</v>
      </c>
      <c r="H17" s="38">
        <v>6956</v>
      </c>
      <c r="I17" s="22"/>
      <c r="J17" s="22"/>
      <c r="K17" s="22"/>
      <c r="L17" s="22"/>
      <c r="M17" s="22"/>
      <c r="N17" s="26">
        <f t="shared" si="0"/>
        <v>49378</v>
      </c>
    </row>
    <row r="18" spans="1:14" x14ac:dyDescent="0.25">
      <c r="A18" s="21" t="s">
        <v>15</v>
      </c>
      <c r="B18" s="38">
        <v>1177</v>
      </c>
      <c r="C18" s="38">
        <v>1287</v>
      </c>
      <c r="D18" s="38">
        <v>1460</v>
      </c>
      <c r="E18" s="38">
        <v>1425</v>
      </c>
      <c r="F18" s="38">
        <v>1296</v>
      </c>
      <c r="G18" s="38">
        <v>1411</v>
      </c>
      <c r="H18" s="38">
        <v>1641</v>
      </c>
      <c r="I18" s="22"/>
      <c r="J18" s="22"/>
      <c r="K18" s="22"/>
      <c r="L18" s="22"/>
      <c r="M18" s="22"/>
      <c r="N18" s="26">
        <f t="shared" si="0"/>
        <v>9697</v>
      </c>
    </row>
    <row r="19" spans="1:14" x14ac:dyDescent="0.25">
      <c r="A19" s="21" t="s">
        <v>16</v>
      </c>
      <c r="B19" s="38">
        <v>585</v>
      </c>
      <c r="C19" s="38">
        <v>504</v>
      </c>
      <c r="D19" s="38">
        <v>619</v>
      </c>
      <c r="E19" s="38">
        <v>752</v>
      </c>
      <c r="F19" s="38">
        <v>705</v>
      </c>
      <c r="G19" s="38">
        <v>660</v>
      </c>
      <c r="H19" s="38">
        <v>706</v>
      </c>
      <c r="I19" s="22"/>
      <c r="J19" s="22"/>
      <c r="K19" s="22"/>
      <c r="L19" s="22"/>
      <c r="M19" s="22"/>
      <c r="N19" s="26">
        <f t="shared" si="0"/>
        <v>4531</v>
      </c>
    </row>
    <row r="20" spans="1:14" x14ac:dyDescent="0.25">
      <c r="A20" s="21" t="s">
        <v>17</v>
      </c>
      <c r="B20" s="38">
        <v>223</v>
      </c>
      <c r="C20" s="38">
        <v>100</v>
      </c>
      <c r="D20" s="38">
        <v>218</v>
      </c>
      <c r="E20" s="38">
        <v>315</v>
      </c>
      <c r="F20" s="38">
        <v>242</v>
      </c>
      <c r="G20" s="38">
        <v>223</v>
      </c>
      <c r="H20" s="38">
        <v>231</v>
      </c>
      <c r="I20" s="22"/>
      <c r="J20" s="22"/>
      <c r="K20" s="22"/>
      <c r="L20" s="22"/>
      <c r="M20" s="22"/>
      <c r="N20" s="26">
        <f t="shared" si="0"/>
        <v>1552</v>
      </c>
    </row>
    <row r="21" spans="1:14" x14ac:dyDescent="0.25">
      <c r="A21" s="21" t="s">
        <v>35</v>
      </c>
      <c r="B21" s="38">
        <v>1720</v>
      </c>
      <c r="C21" s="38">
        <v>1797</v>
      </c>
      <c r="D21" s="38">
        <v>2224</v>
      </c>
      <c r="E21" s="38">
        <v>2207</v>
      </c>
      <c r="F21" s="38">
        <v>1976</v>
      </c>
      <c r="G21" s="38">
        <v>1760</v>
      </c>
      <c r="H21" s="38">
        <v>1789</v>
      </c>
      <c r="I21" s="22"/>
      <c r="J21" s="22"/>
      <c r="K21" s="22"/>
      <c r="L21" s="22"/>
      <c r="M21" s="22"/>
      <c r="N21" s="26">
        <f t="shared" si="0"/>
        <v>13473</v>
      </c>
    </row>
    <row r="22" spans="1:14" x14ac:dyDescent="0.25">
      <c r="A22" s="21" t="s">
        <v>19</v>
      </c>
      <c r="B22" s="38">
        <v>667</v>
      </c>
      <c r="C22" s="38">
        <v>634</v>
      </c>
      <c r="D22" s="38">
        <v>905</v>
      </c>
      <c r="E22" s="38">
        <v>962</v>
      </c>
      <c r="F22" s="38">
        <v>1022</v>
      </c>
      <c r="G22" s="38">
        <v>889</v>
      </c>
      <c r="H22" s="38">
        <v>808</v>
      </c>
      <c r="I22" s="22"/>
      <c r="J22" s="22"/>
      <c r="K22" s="22"/>
      <c r="L22" s="22"/>
      <c r="M22" s="22"/>
      <c r="N22" s="26">
        <f t="shared" si="0"/>
        <v>5887</v>
      </c>
    </row>
    <row r="23" spans="1:14" x14ac:dyDescent="0.25">
      <c r="A23" s="21" t="s">
        <v>20</v>
      </c>
      <c r="B23" s="38">
        <v>741</v>
      </c>
      <c r="C23" s="38">
        <v>891</v>
      </c>
      <c r="D23" s="38">
        <v>851</v>
      </c>
      <c r="E23" s="38">
        <v>932</v>
      </c>
      <c r="F23" s="38">
        <v>1113</v>
      </c>
      <c r="G23" s="38">
        <v>1115</v>
      </c>
      <c r="H23" s="38">
        <v>1121</v>
      </c>
      <c r="I23" s="22"/>
      <c r="J23" s="22"/>
      <c r="K23" s="22"/>
      <c r="L23" s="22"/>
      <c r="M23" s="22"/>
      <c r="N23" s="26">
        <f t="shared" si="0"/>
        <v>6764</v>
      </c>
    </row>
    <row r="24" spans="1:14" x14ac:dyDescent="0.25">
      <c r="A24" s="21" t="s">
        <v>21</v>
      </c>
      <c r="B24" s="38">
        <v>1170</v>
      </c>
      <c r="C24" s="38">
        <v>1170</v>
      </c>
      <c r="D24" s="38">
        <v>1685</v>
      </c>
      <c r="E24" s="38">
        <v>1685</v>
      </c>
      <c r="F24" s="38">
        <v>1170</v>
      </c>
      <c r="G24" s="38">
        <v>1442</v>
      </c>
      <c r="H24" s="38">
        <v>1323</v>
      </c>
      <c r="I24" s="22"/>
      <c r="J24" s="22"/>
      <c r="K24" s="22"/>
      <c r="L24" s="22"/>
      <c r="M24" s="22"/>
      <c r="N24" s="26">
        <f t="shared" si="0"/>
        <v>9645</v>
      </c>
    </row>
    <row r="25" spans="1:14" x14ac:dyDescent="0.25">
      <c r="A25" s="21" t="s">
        <v>22</v>
      </c>
      <c r="B25" s="38">
        <v>456</v>
      </c>
      <c r="C25" s="38">
        <v>682</v>
      </c>
      <c r="D25" s="38">
        <v>915</v>
      </c>
      <c r="E25" s="38">
        <v>926</v>
      </c>
      <c r="F25" s="38">
        <v>770</v>
      </c>
      <c r="G25" s="38">
        <v>789</v>
      </c>
      <c r="H25" s="38">
        <v>753</v>
      </c>
      <c r="I25" s="22"/>
      <c r="J25" s="22"/>
      <c r="K25" s="22"/>
      <c r="L25" s="22"/>
      <c r="M25" s="22"/>
      <c r="N25" s="26">
        <f t="shared" si="0"/>
        <v>5291</v>
      </c>
    </row>
    <row r="26" spans="1:14" x14ac:dyDescent="0.25">
      <c r="A26" s="21" t="s">
        <v>23</v>
      </c>
      <c r="B26" s="38">
        <v>173</v>
      </c>
      <c r="C26" s="38">
        <v>175</v>
      </c>
      <c r="D26" s="38">
        <v>186</v>
      </c>
      <c r="E26" s="38">
        <v>125</v>
      </c>
      <c r="F26" s="38">
        <v>70</v>
      </c>
      <c r="G26" s="38">
        <v>58</v>
      </c>
      <c r="H26" s="38">
        <v>82</v>
      </c>
      <c r="I26" s="22"/>
      <c r="J26" s="22"/>
      <c r="K26" s="22"/>
      <c r="L26" s="22"/>
      <c r="M26" s="22"/>
      <c r="N26" s="26">
        <f t="shared" si="0"/>
        <v>869</v>
      </c>
    </row>
    <row r="27" spans="1:14" x14ac:dyDescent="0.25">
      <c r="A27" s="21" t="s">
        <v>24</v>
      </c>
      <c r="B27" s="38">
        <v>298</v>
      </c>
      <c r="C27" s="38">
        <v>366</v>
      </c>
      <c r="D27" s="38">
        <v>438</v>
      </c>
      <c r="E27" s="38">
        <v>555</v>
      </c>
      <c r="F27" s="38">
        <v>473</v>
      </c>
      <c r="G27" s="38">
        <v>475</v>
      </c>
      <c r="H27" s="38">
        <v>555</v>
      </c>
      <c r="I27" s="22"/>
      <c r="J27" s="22"/>
      <c r="K27" s="22"/>
      <c r="L27" s="22"/>
      <c r="M27" s="22"/>
      <c r="N27" s="26">
        <f t="shared" si="0"/>
        <v>3160</v>
      </c>
    </row>
    <row r="28" spans="1:14" x14ac:dyDescent="0.25">
      <c r="A28" s="21" t="s">
        <v>25</v>
      </c>
      <c r="B28" s="38">
        <v>1069</v>
      </c>
      <c r="C28" s="38">
        <v>1056</v>
      </c>
      <c r="D28" s="38">
        <v>925</v>
      </c>
      <c r="E28" s="38">
        <v>962</v>
      </c>
      <c r="F28" s="38">
        <v>904</v>
      </c>
      <c r="G28" s="38">
        <v>834</v>
      </c>
      <c r="H28" s="38">
        <v>972</v>
      </c>
      <c r="I28" s="22"/>
      <c r="J28" s="22"/>
      <c r="K28" s="22"/>
      <c r="L28" s="22"/>
      <c r="M28" s="22"/>
      <c r="N28" s="26">
        <f t="shared" si="0"/>
        <v>6722</v>
      </c>
    </row>
    <row r="29" spans="1:14" x14ac:dyDescent="0.25">
      <c r="A29" s="21" t="s">
        <v>26</v>
      </c>
      <c r="B29" s="38">
        <v>492</v>
      </c>
      <c r="C29" s="38">
        <v>423</v>
      </c>
      <c r="D29" s="38">
        <v>568</v>
      </c>
      <c r="E29" s="38">
        <v>575</v>
      </c>
      <c r="F29" s="38">
        <v>527</v>
      </c>
      <c r="G29" s="38">
        <v>409</v>
      </c>
      <c r="H29" s="38">
        <v>428</v>
      </c>
      <c r="I29" s="22"/>
      <c r="J29" s="22"/>
      <c r="K29" s="22"/>
      <c r="L29" s="22"/>
      <c r="M29" s="22"/>
      <c r="N29" s="26">
        <f t="shared" si="0"/>
        <v>3422</v>
      </c>
    </row>
    <row r="30" spans="1:14" x14ac:dyDescent="0.25">
      <c r="A30" s="21" t="s">
        <v>27</v>
      </c>
      <c r="B30" s="38">
        <v>438</v>
      </c>
      <c r="C30" s="38">
        <v>458</v>
      </c>
      <c r="D30" s="38">
        <v>543</v>
      </c>
      <c r="E30" s="38">
        <v>470</v>
      </c>
      <c r="F30" s="38">
        <v>442</v>
      </c>
      <c r="G30" s="38">
        <v>441</v>
      </c>
      <c r="H30" s="38">
        <v>455</v>
      </c>
      <c r="I30" s="22"/>
      <c r="J30" s="22"/>
      <c r="K30" s="22"/>
      <c r="L30" s="22"/>
      <c r="M30" s="22"/>
      <c r="N30" s="26">
        <f t="shared" si="0"/>
        <v>3247</v>
      </c>
    </row>
    <row r="31" spans="1:14" x14ac:dyDescent="0.25">
      <c r="A31" s="21" t="s">
        <v>28</v>
      </c>
      <c r="B31" s="38">
        <v>477</v>
      </c>
      <c r="C31" s="38">
        <v>468</v>
      </c>
      <c r="D31" s="38">
        <v>542</v>
      </c>
      <c r="E31" s="38">
        <v>521</v>
      </c>
      <c r="F31" s="38">
        <v>554</v>
      </c>
      <c r="G31" s="38">
        <v>566</v>
      </c>
      <c r="H31" s="38">
        <v>582</v>
      </c>
      <c r="I31" s="22"/>
      <c r="J31" s="22"/>
      <c r="K31" s="22"/>
      <c r="L31" s="22"/>
      <c r="M31" s="22"/>
      <c r="N31" s="26">
        <f t="shared" si="0"/>
        <v>3710</v>
      </c>
    </row>
    <row r="32" spans="1:14" x14ac:dyDescent="0.25">
      <c r="A32" s="21" t="s">
        <v>29</v>
      </c>
      <c r="B32" s="38">
        <v>205</v>
      </c>
      <c r="C32" s="38">
        <v>266</v>
      </c>
      <c r="D32" s="38">
        <v>264</v>
      </c>
      <c r="E32" s="38">
        <v>278</v>
      </c>
      <c r="F32" s="38">
        <v>234</v>
      </c>
      <c r="G32" s="38">
        <v>205</v>
      </c>
      <c r="H32" s="38">
        <v>221</v>
      </c>
      <c r="I32" s="22"/>
      <c r="J32" s="22"/>
      <c r="K32" s="22"/>
      <c r="L32" s="22"/>
      <c r="M32" s="22"/>
      <c r="N32" s="26">
        <f t="shared" si="0"/>
        <v>1673</v>
      </c>
    </row>
    <row r="33" spans="1:14" x14ac:dyDescent="0.25">
      <c r="A33" s="21" t="s">
        <v>30</v>
      </c>
      <c r="B33" s="38">
        <v>177</v>
      </c>
      <c r="C33" s="38">
        <v>171</v>
      </c>
      <c r="D33" s="38">
        <v>171</v>
      </c>
      <c r="E33" s="38">
        <v>149</v>
      </c>
      <c r="F33" s="38">
        <v>164</v>
      </c>
      <c r="G33" s="38">
        <v>231</v>
      </c>
      <c r="H33" s="38">
        <v>212</v>
      </c>
      <c r="I33" s="22"/>
      <c r="J33" s="22"/>
      <c r="K33" s="22"/>
      <c r="L33" s="22"/>
      <c r="M33" s="22"/>
      <c r="N33" s="26">
        <f t="shared" si="0"/>
        <v>1275</v>
      </c>
    </row>
    <row r="34" spans="1:14" x14ac:dyDescent="0.25">
      <c r="A34" s="21" t="s">
        <v>31</v>
      </c>
      <c r="B34" s="38">
        <v>116</v>
      </c>
      <c r="C34" s="38">
        <v>95</v>
      </c>
      <c r="D34" s="38">
        <v>114</v>
      </c>
      <c r="E34" s="38">
        <v>65</v>
      </c>
      <c r="F34" s="38">
        <v>73</v>
      </c>
      <c r="G34" s="38">
        <v>95</v>
      </c>
      <c r="H34" s="38">
        <v>105</v>
      </c>
      <c r="I34" s="22"/>
      <c r="J34" s="22"/>
      <c r="K34" s="22"/>
      <c r="L34" s="22"/>
      <c r="M34" s="22"/>
      <c r="N34" s="26">
        <f t="shared" si="0"/>
        <v>663</v>
      </c>
    </row>
    <row r="35" spans="1:14" x14ac:dyDescent="0.25">
      <c r="A35" s="25" t="s">
        <v>36</v>
      </c>
      <c r="B35" s="40">
        <f>+SUBTOTAL(9,B3:B34)</f>
        <v>34805</v>
      </c>
      <c r="C35" s="40">
        <f t="shared" ref="C35:M35" si="1">+SUBTOTAL(9,C3:C34)</f>
        <v>33943</v>
      </c>
      <c r="D35" s="40">
        <f t="shared" si="1"/>
        <v>39642</v>
      </c>
      <c r="E35" s="40">
        <f t="shared" si="1"/>
        <v>41096</v>
      </c>
      <c r="F35" s="40">
        <f t="shared" si="1"/>
        <v>39847</v>
      </c>
      <c r="G35" s="40">
        <f t="shared" si="1"/>
        <v>36334</v>
      </c>
      <c r="H35" s="40">
        <f t="shared" si="1"/>
        <v>37902</v>
      </c>
      <c r="I35" s="24">
        <f t="shared" si="1"/>
        <v>0</v>
      </c>
      <c r="J35" s="24">
        <f t="shared" si="1"/>
        <v>0</v>
      </c>
      <c r="K35" s="24">
        <f t="shared" si="1"/>
        <v>0</v>
      </c>
      <c r="L35" s="24">
        <f t="shared" si="1"/>
        <v>0</v>
      </c>
      <c r="M35" s="24">
        <f t="shared" si="1"/>
        <v>0</v>
      </c>
      <c r="N35" s="26">
        <f t="shared" si="0"/>
        <v>263569</v>
      </c>
    </row>
    <row r="36" spans="1:14" ht="30" x14ac:dyDescent="0.25">
      <c r="A36" s="46" t="s">
        <v>87</v>
      </c>
      <c r="B36" s="33">
        <f>IFERROR((B35/$N$35),0)</f>
        <v>0.1320527072607173</v>
      </c>
      <c r="C36" s="33">
        <f t="shared" ref="C36:M36" si="2">IFERROR((C35/$N$35),0)</f>
        <v>0.12878221642150633</v>
      </c>
      <c r="D36" s="33">
        <f t="shared" si="2"/>
        <v>0.15040463787471212</v>
      </c>
      <c r="E36" s="33">
        <f t="shared" si="2"/>
        <v>0.15592121987031859</v>
      </c>
      <c r="F36" s="33">
        <f t="shared" si="2"/>
        <v>0.15118242281907204</v>
      </c>
      <c r="G36" s="33">
        <f t="shared" si="2"/>
        <v>0.13785384472377252</v>
      </c>
      <c r="H36" s="33">
        <f t="shared" si="2"/>
        <v>0.14380295102990109</v>
      </c>
      <c r="I36" s="33">
        <f t="shared" si="2"/>
        <v>0</v>
      </c>
      <c r="J36" s="33">
        <f t="shared" si="2"/>
        <v>0</v>
      </c>
      <c r="K36" s="33">
        <f t="shared" si="2"/>
        <v>0</v>
      </c>
      <c r="L36" s="33">
        <f t="shared" si="2"/>
        <v>0</v>
      </c>
      <c r="M36" s="33">
        <f t="shared" si="2"/>
        <v>0</v>
      </c>
    </row>
  </sheetData>
  <mergeCells count="2">
    <mergeCell ref="A1:M1"/>
    <mergeCell ref="N1:N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F4D0-31C7-4822-BCC5-FC905D1B3F05}">
  <dimension ref="A1:AP4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H25" sqref="AH25"/>
    </sheetView>
  </sheetViews>
  <sheetFormatPr baseColWidth="10" defaultColWidth="0" defaultRowHeight="15" zeroHeight="1" x14ac:dyDescent="0.25"/>
  <cols>
    <col min="1" max="1" width="20.140625" customWidth="1"/>
    <col min="2" max="2" width="11.42578125" customWidth="1"/>
    <col min="3" max="3" width="13.140625" customWidth="1"/>
    <col min="4" max="4" width="13.7109375" customWidth="1"/>
    <col min="5" max="6" width="11.42578125" customWidth="1"/>
    <col min="7" max="7" width="12.28515625" customWidth="1"/>
    <col min="8" max="9" width="11.42578125" customWidth="1"/>
    <col min="10" max="10" width="13.140625" customWidth="1"/>
    <col min="11" max="12" width="11.42578125" customWidth="1"/>
    <col min="13" max="13" width="12.85546875" customWidth="1"/>
    <col min="14" max="15" width="11.42578125" customWidth="1"/>
    <col min="16" max="16" width="13.7109375" customWidth="1"/>
    <col min="17" max="18" width="11.42578125" customWidth="1"/>
    <col min="19" max="19" width="12.7109375" customWidth="1"/>
    <col min="20" max="21" width="11.42578125" customWidth="1"/>
    <col min="22" max="22" width="13.5703125" customWidth="1"/>
    <col min="23" max="24" width="11.42578125" customWidth="1"/>
    <col min="25" max="25" width="13.42578125" customWidth="1"/>
    <col min="26" max="27" width="11.42578125" customWidth="1"/>
    <col min="28" max="28" width="15.5703125" customWidth="1"/>
    <col min="29" max="30" width="11.42578125" customWidth="1"/>
    <col min="31" max="31" width="13.85546875" customWidth="1"/>
    <col min="32" max="33" width="11.42578125" customWidth="1"/>
    <col min="34" max="34" width="15" customWidth="1"/>
    <col min="35" max="36" width="11.42578125" customWidth="1"/>
    <col min="37" max="37" width="13.28515625" customWidth="1"/>
    <col min="38" max="42" width="11.42578125" customWidth="1"/>
    <col min="43" max="16384" width="11.42578125" hidden="1"/>
  </cols>
  <sheetData>
    <row r="1" spans="1:40" ht="45" customHeight="1" x14ac:dyDescent="0.25">
      <c r="A1" s="90" t="s">
        <v>76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2"/>
      <c r="AL1" s="80" t="s">
        <v>81</v>
      </c>
      <c r="AM1" s="81"/>
      <c r="AN1" s="81"/>
    </row>
    <row r="2" spans="1:40" x14ac:dyDescent="0.25">
      <c r="A2" s="93" t="s">
        <v>42</v>
      </c>
      <c r="B2" s="87" t="s">
        <v>43</v>
      </c>
      <c r="C2" s="88"/>
      <c r="D2" s="89"/>
      <c r="E2" s="84" t="s">
        <v>44</v>
      </c>
      <c r="F2" s="85"/>
      <c r="G2" s="86"/>
      <c r="H2" s="87" t="s">
        <v>45</v>
      </c>
      <c r="I2" s="88"/>
      <c r="J2" s="89"/>
      <c r="K2" s="84" t="s">
        <v>46</v>
      </c>
      <c r="L2" s="85"/>
      <c r="M2" s="86"/>
      <c r="N2" s="87" t="s">
        <v>47</v>
      </c>
      <c r="O2" s="88"/>
      <c r="P2" s="89"/>
      <c r="Q2" s="84" t="s">
        <v>48</v>
      </c>
      <c r="R2" s="85"/>
      <c r="S2" s="86"/>
      <c r="T2" s="87" t="s">
        <v>49</v>
      </c>
      <c r="U2" s="88"/>
      <c r="V2" s="89"/>
      <c r="W2" s="84" t="s">
        <v>50</v>
      </c>
      <c r="X2" s="85"/>
      <c r="Y2" s="86"/>
      <c r="Z2" s="87" t="s">
        <v>51</v>
      </c>
      <c r="AA2" s="88"/>
      <c r="AB2" s="89"/>
      <c r="AC2" s="84" t="s">
        <v>52</v>
      </c>
      <c r="AD2" s="85"/>
      <c r="AE2" s="86"/>
      <c r="AF2" s="87" t="s">
        <v>53</v>
      </c>
      <c r="AG2" s="88"/>
      <c r="AH2" s="89"/>
      <c r="AI2" s="84" t="s">
        <v>54</v>
      </c>
      <c r="AJ2" s="85"/>
      <c r="AK2" s="86"/>
      <c r="AL2" s="82"/>
      <c r="AM2" s="83"/>
      <c r="AN2" s="83"/>
    </row>
    <row r="3" spans="1:40" ht="54" customHeight="1" x14ac:dyDescent="0.25">
      <c r="A3" s="94"/>
      <c r="B3" s="68" t="s">
        <v>37</v>
      </c>
      <c r="C3" s="68" t="s">
        <v>38</v>
      </c>
      <c r="D3" s="68" t="s">
        <v>75</v>
      </c>
      <c r="E3" s="29" t="s">
        <v>37</v>
      </c>
      <c r="F3" s="29" t="s">
        <v>38</v>
      </c>
      <c r="G3" s="29" t="s">
        <v>75</v>
      </c>
      <c r="H3" s="68" t="s">
        <v>37</v>
      </c>
      <c r="I3" s="68" t="s">
        <v>38</v>
      </c>
      <c r="J3" s="68" t="s">
        <v>75</v>
      </c>
      <c r="K3" s="29" t="s">
        <v>37</v>
      </c>
      <c r="L3" s="29" t="s">
        <v>38</v>
      </c>
      <c r="M3" s="29" t="s">
        <v>75</v>
      </c>
      <c r="N3" s="68" t="s">
        <v>37</v>
      </c>
      <c r="O3" s="68" t="s">
        <v>38</v>
      </c>
      <c r="P3" s="68" t="s">
        <v>75</v>
      </c>
      <c r="Q3" s="29" t="s">
        <v>37</v>
      </c>
      <c r="R3" s="29" t="s">
        <v>38</v>
      </c>
      <c r="S3" s="29" t="s">
        <v>75</v>
      </c>
      <c r="T3" s="68" t="s">
        <v>37</v>
      </c>
      <c r="U3" s="68" t="s">
        <v>38</v>
      </c>
      <c r="V3" s="68" t="s">
        <v>79</v>
      </c>
      <c r="W3" s="29" t="s">
        <v>37</v>
      </c>
      <c r="X3" s="29" t="s">
        <v>38</v>
      </c>
      <c r="Y3" s="29" t="s">
        <v>79</v>
      </c>
      <c r="Z3" s="68" t="s">
        <v>37</v>
      </c>
      <c r="AA3" s="68" t="s">
        <v>38</v>
      </c>
      <c r="AB3" s="68" t="s">
        <v>80</v>
      </c>
      <c r="AC3" s="29" t="s">
        <v>37</v>
      </c>
      <c r="AD3" s="29" t="s">
        <v>38</v>
      </c>
      <c r="AE3" s="29" t="s">
        <v>80</v>
      </c>
      <c r="AF3" s="68" t="s">
        <v>37</v>
      </c>
      <c r="AG3" s="68" t="s">
        <v>38</v>
      </c>
      <c r="AH3" s="68" t="s">
        <v>80</v>
      </c>
      <c r="AI3" s="29" t="s">
        <v>37</v>
      </c>
      <c r="AJ3" s="29" t="s">
        <v>38</v>
      </c>
      <c r="AK3" s="29" t="s">
        <v>80</v>
      </c>
      <c r="AL3" s="36" t="s">
        <v>37</v>
      </c>
      <c r="AM3" s="36" t="s">
        <v>38</v>
      </c>
      <c r="AN3" s="36" t="s">
        <v>79</v>
      </c>
    </row>
    <row r="4" spans="1:40" x14ac:dyDescent="0.25">
      <c r="A4" s="21" t="s">
        <v>1</v>
      </c>
      <c r="B4" s="43">
        <v>63</v>
      </c>
      <c r="C4" s="43">
        <v>16</v>
      </c>
      <c r="D4" s="43">
        <v>47</v>
      </c>
      <c r="E4" s="41">
        <v>69</v>
      </c>
      <c r="F4" s="41">
        <v>16</v>
      </c>
      <c r="G4" s="41">
        <v>53</v>
      </c>
      <c r="H4" s="41">
        <v>69</v>
      </c>
      <c r="I4" s="41">
        <v>16</v>
      </c>
      <c r="J4" s="41">
        <v>53</v>
      </c>
      <c r="K4" s="41">
        <v>90</v>
      </c>
      <c r="L4" s="41">
        <v>22</v>
      </c>
      <c r="M4" s="41">
        <v>68</v>
      </c>
      <c r="N4" s="41">
        <v>73</v>
      </c>
      <c r="O4" s="41">
        <v>19</v>
      </c>
      <c r="P4" s="41">
        <v>54</v>
      </c>
      <c r="Q4" s="41">
        <v>73</v>
      </c>
      <c r="R4" s="41">
        <v>22</v>
      </c>
      <c r="S4" s="41">
        <v>51</v>
      </c>
      <c r="T4" s="41">
        <v>50</v>
      </c>
      <c r="U4" s="41">
        <v>15</v>
      </c>
      <c r="V4" s="41">
        <v>35</v>
      </c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34">
        <f>+SUM(B4,E4,H4,K4,N4,Q4,T4,W4,Z4,AC4,AF4,AI4)</f>
        <v>487</v>
      </c>
      <c r="AM4" s="34">
        <f t="shared" ref="AM4:AN4" si="0">+SUM(C4,F4,I4,L4,O4,R4,U4,X4,AA4,AD4,AG4,AJ4)</f>
        <v>126</v>
      </c>
      <c r="AN4" s="34">
        <f t="shared" si="0"/>
        <v>361</v>
      </c>
    </row>
    <row r="5" spans="1:40" x14ac:dyDescent="0.25">
      <c r="A5" s="21" t="s">
        <v>32</v>
      </c>
      <c r="B5" s="43">
        <v>983</v>
      </c>
      <c r="C5" s="43">
        <v>103</v>
      </c>
      <c r="D5" s="43">
        <v>880</v>
      </c>
      <c r="E5" s="41">
        <v>964</v>
      </c>
      <c r="F5" s="41">
        <v>97</v>
      </c>
      <c r="G5" s="41">
        <v>867</v>
      </c>
      <c r="H5" s="41">
        <v>964</v>
      </c>
      <c r="I5" s="41">
        <v>97</v>
      </c>
      <c r="J5" s="41">
        <v>867</v>
      </c>
      <c r="K5" s="41">
        <v>1060</v>
      </c>
      <c r="L5" s="41">
        <v>132</v>
      </c>
      <c r="M5" s="41">
        <v>928</v>
      </c>
      <c r="N5" s="41">
        <v>1020</v>
      </c>
      <c r="O5" s="41">
        <v>138</v>
      </c>
      <c r="P5" s="41">
        <v>882</v>
      </c>
      <c r="Q5" s="41">
        <v>942</v>
      </c>
      <c r="R5" s="41">
        <v>142</v>
      </c>
      <c r="S5" s="41">
        <v>800</v>
      </c>
      <c r="T5" s="41">
        <v>1009</v>
      </c>
      <c r="U5" s="41">
        <v>121</v>
      </c>
      <c r="V5" s="41">
        <v>888</v>
      </c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34">
        <f t="shared" ref="AL5:AL35" si="1">+SUM(B5,E5,H5,K5,N5,Q5,T5,W5,Z5,AC5,AF5,AI5)</f>
        <v>6942</v>
      </c>
      <c r="AM5" s="34">
        <f t="shared" ref="AM5:AM35" si="2">+SUM(C5,F5,I5,L5,O5,R5,U5,X5,AA5,AD5,AG5,AJ5)</f>
        <v>830</v>
      </c>
      <c r="AN5" s="34">
        <f t="shared" ref="AN5:AN35" si="3">+SUM(D5,G5,J5,M5,P5,S5,V5,Y5,AB5,AE5,AH5,AK5)</f>
        <v>6112</v>
      </c>
    </row>
    <row r="6" spans="1:40" x14ac:dyDescent="0.25">
      <c r="A6" s="21" t="s">
        <v>3</v>
      </c>
      <c r="B6" s="43">
        <v>148</v>
      </c>
      <c r="C6" s="43">
        <v>2</v>
      </c>
      <c r="D6" s="43">
        <v>146</v>
      </c>
      <c r="E6" s="41">
        <v>141</v>
      </c>
      <c r="F6" s="41">
        <v>1</v>
      </c>
      <c r="G6" s="41">
        <v>140</v>
      </c>
      <c r="H6" s="41">
        <v>141</v>
      </c>
      <c r="I6" s="41">
        <v>1</v>
      </c>
      <c r="J6" s="41">
        <v>140</v>
      </c>
      <c r="K6" s="41">
        <v>158</v>
      </c>
      <c r="L6" s="41">
        <v>3</v>
      </c>
      <c r="M6" s="41">
        <v>155</v>
      </c>
      <c r="N6" s="41">
        <v>148</v>
      </c>
      <c r="O6" s="41">
        <v>32</v>
      </c>
      <c r="P6" s="41">
        <v>116</v>
      </c>
      <c r="Q6" s="41">
        <v>94</v>
      </c>
      <c r="R6" s="41">
        <v>44</v>
      </c>
      <c r="S6" s="41">
        <v>50</v>
      </c>
      <c r="T6" s="41">
        <v>87</v>
      </c>
      <c r="U6" s="41">
        <v>30</v>
      </c>
      <c r="V6" s="41">
        <v>57</v>
      </c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34">
        <f t="shared" si="1"/>
        <v>917</v>
      </c>
      <c r="AM6" s="34">
        <f t="shared" si="2"/>
        <v>113</v>
      </c>
      <c r="AN6" s="34">
        <f t="shared" si="3"/>
        <v>804</v>
      </c>
    </row>
    <row r="7" spans="1:40" x14ac:dyDescent="0.25">
      <c r="A7" s="21" t="s">
        <v>4</v>
      </c>
      <c r="B7" s="43">
        <v>35</v>
      </c>
      <c r="C7" s="43">
        <v>4</v>
      </c>
      <c r="D7" s="43">
        <v>31</v>
      </c>
      <c r="E7" s="41">
        <v>35</v>
      </c>
      <c r="F7" s="41">
        <v>7</v>
      </c>
      <c r="G7" s="41">
        <v>28</v>
      </c>
      <c r="H7" s="41">
        <v>35</v>
      </c>
      <c r="I7" s="41">
        <v>7</v>
      </c>
      <c r="J7" s="41">
        <v>28</v>
      </c>
      <c r="K7" s="41">
        <v>43</v>
      </c>
      <c r="L7" s="41">
        <v>6</v>
      </c>
      <c r="M7" s="41">
        <v>37</v>
      </c>
      <c r="N7" s="41">
        <v>50</v>
      </c>
      <c r="O7" s="41">
        <v>6</v>
      </c>
      <c r="P7" s="41">
        <v>44</v>
      </c>
      <c r="Q7" s="41">
        <v>41</v>
      </c>
      <c r="R7" s="41">
        <v>5</v>
      </c>
      <c r="S7" s="41">
        <v>36</v>
      </c>
      <c r="T7" s="41">
        <v>53</v>
      </c>
      <c r="U7" s="41">
        <v>7</v>
      </c>
      <c r="V7" s="41">
        <v>46</v>
      </c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34">
        <f t="shared" si="1"/>
        <v>292</v>
      </c>
      <c r="AM7" s="34">
        <f t="shared" si="2"/>
        <v>42</v>
      </c>
      <c r="AN7" s="34">
        <f t="shared" si="3"/>
        <v>250</v>
      </c>
    </row>
    <row r="8" spans="1:40" x14ac:dyDescent="0.25">
      <c r="A8" s="21" t="s">
        <v>5</v>
      </c>
      <c r="B8" s="43">
        <v>295</v>
      </c>
      <c r="C8" s="43">
        <v>26</v>
      </c>
      <c r="D8" s="43">
        <v>269</v>
      </c>
      <c r="E8" s="41">
        <v>252</v>
      </c>
      <c r="F8" s="41">
        <v>41</v>
      </c>
      <c r="G8" s="41">
        <v>211</v>
      </c>
      <c r="H8" s="41">
        <v>252</v>
      </c>
      <c r="I8" s="41">
        <v>41</v>
      </c>
      <c r="J8" s="41">
        <v>211</v>
      </c>
      <c r="K8" s="41">
        <v>208</v>
      </c>
      <c r="L8" s="41">
        <v>28</v>
      </c>
      <c r="M8" s="41">
        <v>180</v>
      </c>
      <c r="N8" s="41">
        <v>132</v>
      </c>
      <c r="O8" s="41">
        <v>14</v>
      </c>
      <c r="P8" s="41">
        <v>118</v>
      </c>
      <c r="Q8" s="41">
        <v>224</v>
      </c>
      <c r="R8" s="41">
        <v>23</v>
      </c>
      <c r="S8" s="41">
        <v>201</v>
      </c>
      <c r="T8" s="41">
        <v>259</v>
      </c>
      <c r="U8" s="41">
        <v>40</v>
      </c>
      <c r="V8" s="41">
        <v>219</v>
      </c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34">
        <f t="shared" si="1"/>
        <v>1622</v>
      </c>
      <c r="AM8" s="34">
        <f t="shared" si="2"/>
        <v>213</v>
      </c>
      <c r="AN8" s="34">
        <f t="shared" si="3"/>
        <v>1409</v>
      </c>
    </row>
    <row r="9" spans="1:40" x14ac:dyDescent="0.25">
      <c r="A9" s="21" t="s">
        <v>6</v>
      </c>
      <c r="B9" s="43">
        <v>88</v>
      </c>
      <c r="C9" s="43">
        <v>5</v>
      </c>
      <c r="D9" s="43">
        <v>83</v>
      </c>
      <c r="E9" s="41">
        <v>123</v>
      </c>
      <c r="F9" s="41">
        <v>8</v>
      </c>
      <c r="G9" s="41">
        <v>115</v>
      </c>
      <c r="H9" s="41">
        <v>123</v>
      </c>
      <c r="I9" s="41">
        <v>8</v>
      </c>
      <c r="J9" s="41">
        <v>115</v>
      </c>
      <c r="K9" s="41">
        <v>98</v>
      </c>
      <c r="L9" s="41">
        <v>13</v>
      </c>
      <c r="M9" s="41">
        <v>85</v>
      </c>
      <c r="N9" s="41">
        <v>140</v>
      </c>
      <c r="O9" s="41">
        <v>4</v>
      </c>
      <c r="P9" s="41">
        <v>136</v>
      </c>
      <c r="Q9" s="41">
        <v>67</v>
      </c>
      <c r="R9" s="41">
        <v>9</v>
      </c>
      <c r="S9" s="41">
        <v>58</v>
      </c>
      <c r="T9" s="41">
        <v>96</v>
      </c>
      <c r="U9" s="41">
        <v>11</v>
      </c>
      <c r="V9" s="41">
        <v>85</v>
      </c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34">
        <f t="shared" si="1"/>
        <v>735</v>
      </c>
      <c r="AM9" s="34">
        <f t="shared" si="2"/>
        <v>58</v>
      </c>
      <c r="AN9" s="34">
        <f t="shared" si="3"/>
        <v>677</v>
      </c>
    </row>
    <row r="10" spans="1:40" x14ac:dyDescent="0.25">
      <c r="A10" s="21" t="s">
        <v>7</v>
      </c>
      <c r="B10" s="43">
        <v>2715</v>
      </c>
      <c r="C10" s="43">
        <v>270</v>
      </c>
      <c r="D10" s="43">
        <v>2445</v>
      </c>
      <c r="E10" s="41">
        <v>2136</v>
      </c>
      <c r="F10" s="41">
        <v>216</v>
      </c>
      <c r="G10" s="41">
        <v>1920</v>
      </c>
      <c r="H10" s="41">
        <v>2136</v>
      </c>
      <c r="I10" s="41">
        <v>216</v>
      </c>
      <c r="J10" s="41">
        <v>1920</v>
      </c>
      <c r="K10" s="41">
        <v>2929</v>
      </c>
      <c r="L10" s="41">
        <v>223</v>
      </c>
      <c r="M10" s="41">
        <v>2706</v>
      </c>
      <c r="N10" s="41">
        <v>213</v>
      </c>
      <c r="O10" s="41">
        <v>30</v>
      </c>
      <c r="P10" s="41">
        <v>183</v>
      </c>
      <c r="Q10" s="41">
        <v>2975</v>
      </c>
      <c r="R10" s="41">
        <v>210</v>
      </c>
      <c r="S10" s="41">
        <v>2765</v>
      </c>
      <c r="T10" s="41">
        <v>3324</v>
      </c>
      <c r="U10" s="41">
        <v>191</v>
      </c>
      <c r="V10" s="41">
        <v>3133</v>
      </c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34">
        <f t="shared" si="1"/>
        <v>16428</v>
      </c>
      <c r="AM10" s="34">
        <f t="shared" si="2"/>
        <v>1356</v>
      </c>
      <c r="AN10" s="34">
        <f t="shared" si="3"/>
        <v>15072</v>
      </c>
    </row>
    <row r="11" spans="1:40" x14ac:dyDescent="0.25">
      <c r="A11" s="21" t="s">
        <v>33</v>
      </c>
      <c r="B11" s="43">
        <v>127</v>
      </c>
      <c r="C11" s="43">
        <v>14</v>
      </c>
      <c r="D11" s="43">
        <v>113</v>
      </c>
      <c r="E11" s="41">
        <v>134</v>
      </c>
      <c r="F11" s="41">
        <v>20</v>
      </c>
      <c r="G11" s="41">
        <v>114</v>
      </c>
      <c r="H11" s="41">
        <v>134</v>
      </c>
      <c r="I11" s="41">
        <v>20</v>
      </c>
      <c r="J11" s="41">
        <v>114</v>
      </c>
      <c r="K11" s="41">
        <v>160</v>
      </c>
      <c r="L11" s="41">
        <v>25</v>
      </c>
      <c r="M11" s="41">
        <v>135</v>
      </c>
      <c r="N11" s="41">
        <v>72</v>
      </c>
      <c r="O11" s="41">
        <v>8</v>
      </c>
      <c r="P11" s="41">
        <v>64</v>
      </c>
      <c r="Q11" s="41">
        <v>143</v>
      </c>
      <c r="R11" s="41">
        <v>23</v>
      </c>
      <c r="S11" s="41">
        <v>120</v>
      </c>
      <c r="T11" s="41">
        <v>154</v>
      </c>
      <c r="U11" s="41">
        <v>24</v>
      </c>
      <c r="V11" s="41">
        <v>130</v>
      </c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34">
        <f t="shared" si="1"/>
        <v>924</v>
      </c>
      <c r="AM11" s="34">
        <f t="shared" si="2"/>
        <v>134</v>
      </c>
      <c r="AN11" s="34">
        <f t="shared" si="3"/>
        <v>790</v>
      </c>
    </row>
    <row r="12" spans="1:40" x14ac:dyDescent="0.25">
      <c r="A12" s="21" t="s">
        <v>8</v>
      </c>
      <c r="B12" s="43">
        <v>110</v>
      </c>
      <c r="C12" s="43">
        <v>12</v>
      </c>
      <c r="D12" s="43">
        <v>98</v>
      </c>
      <c r="E12" s="41">
        <v>104</v>
      </c>
      <c r="F12" s="41">
        <v>2</v>
      </c>
      <c r="G12" s="41">
        <v>102</v>
      </c>
      <c r="H12" s="41">
        <v>104</v>
      </c>
      <c r="I12" s="41">
        <v>2</v>
      </c>
      <c r="J12" s="41">
        <v>102</v>
      </c>
      <c r="K12" s="41">
        <v>110</v>
      </c>
      <c r="L12" s="41">
        <v>9</v>
      </c>
      <c r="M12" s="41">
        <v>101</v>
      </c>
      <c r="N12" s="41">
        <v>2725</v>
      </c>
      <c r="O12" s="41">
        <v>253</v>
      </c>
      <c r="P12" s="41">
        <v>2472</v>
      </c>
      <c r="Q12" s="41">
        <v>110</v>
      </c>
      <c r="R12" s="41">
        <v>4</v>
      </c>
      <c r="S12" s="41">
        <v>106</v>
      </c>
      <c r="T12" s="41">
        <v>97</v>
      </c>
      <c r="U12" s="41">
        <v>6</v>
      </c>
      <c r="V12" s="41">
        <v>91</v>
      </c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34">
        <f t="shared" si="1"/>
        <v>3360</v>
      </c>
      <c r="AM12" s="34">
        <f t="shared" si="2"/>
        <v>288</v>
      </c>
      <c r="AN12" s="34">
        <f t="shared" si="3"/>
        <v>3072</v>
      </c>
    </row>
    <row r="13" spans="1:40" x14ac:dyDescent="0.25">
      <c r="A13" s="21" t="s">
        <v>9</v>
      </c>
      <c r="B13" s="43">
        <v>167</v>
      </c>
      <c r="C13" s="43">
        <v>34</v>
      </c>
      <c r="D13" s="43">
        <v>133</v>
      </c>
      <c r="E13" s="41">
        <v>157</v>
      </c>
      <c r="F13" s="41">
        <v>38</v>
      </c>
      <c r="G13" s="41">
        <v>119</v>
      </c>
      <c r="H13" s="41">
        <v>157</v>
      </c>
      <c r="I13" s="41">
        <v>38</v>
      </c>
      <c r="J13" s="41">
        <v>119</v>
      </c>
      <c r="K13" s="41">
        <v>190</v>
      </c>
      <c r="L13" s="41">
        <v>52</v>
      </c>
      <c r="M13" s="41">
        <v>138</v>
      </c>
      <c r="N13" s="41">
        <v>173</v>
      </c>
      <c r="O13" s="41">
        <v>30</v>
      </c>
      <c r="P13" s="41">
        <v>143</v>
      </c>
      <c r="Q13" s="41">
        <v>165</v>
      </c>
      <c r="R13" s="41">
        <v>41</v>
      </c>
      <c r="S13" s="41">
        <v>124</v>
      </c>
      <c r="T13" s="41">
        <v>207</v>
      </c>
      <c r="U13" s="41">
        <v>39</v>
      </c>
      <c r="V13" s="41">
        <v>168</v>
      </c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34">
        <f t="shared" si="1"/>
        <v>1216</v>
      </c>
      <c r="AM13" s="34">
        <f t="shared" si="2"/>
        <v>272</v>
      </c>
      <c r="AN13" s="34">
        <f t="shared" si="3"/>
        <v>944</v>
      </c>
    </row>
    <row r="14" spans="1:40" x14ac:dyDescent="0.25">
      <c r="A14" s="21" t="s">
        <v>10</v>
      </c>
      <c r="B14" s="43">
        <v>946</v>
      </c>
      <c r="C14" s="43">
        <v>151</v>
      </c>
      <c r="D14" s="43">
        <v>795</v>
      </c>
      <c r="E14" s="41">
        <v>877</v>
      </c>
      <c r="F14" s="41">
        <v>122</v>
      </c>
      <c r="G14" s="41">
        <v>755</v>
      </c>
      <c r="H14" s="41">
        <v>877</v>
      </c>
      <c r="I14" s="41">
        <v>122</v>
      </c>
      <c r="J14" s="41">
        <v>755</v>
      </c>
      <c r="K14" s="41">
        <v>1206</v>
      </c>
      <c r="L14" s="41">
        <v>136</v>
      </c>
      <c r="M14" s="41">
        <v>1070</v>
      </c>
      <c r="N14" s="41">
        <v>1208</v>
      </c>
      <c r="O14" s="41">
        <v>133</v>
      </c>
      <c r="P14" s="41">
        <v>1075</v>
      </c>
      <c r="Q14" s="41">
        <v>979</v>
      </c>
      <c r="R14" s="41">
        <v>155</v>
      </c>
      <c r="S14" s="41">
        <v>824</v>
      </c>
      <c r="T14" s="41">
        <v>1085</v>
      </c>
      <c r="U14" s="41">
        <v>190</v>
      </c>
      <c r="V14" s="41">
        <v>895</v>
      </c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34">
        <f t="shared" si="1"/>
        <v>7178</v>
      </c>
      <c r="AM14" s="34">
        <f t="shared" si="2"/>
        <v>1009</v>
      </c>
      <c r="AN14" s="34">
        <f t="shared" si="3"/>
        <v>6169</v>
      </c>
    </row>
    <row r="15" spans="1:40" x14ac:dyDescent="0.25">
      <c r="A15" s="21" t="s">
        <v>11</v>
      </c>
      <c r="B15" s="43">
        <v>171</v>
      </c>
      <c r="C15" s="43">
        <v>35</v>
      </c>
      <c r="D15" s="43">
        <v>136</v>
      </c>
      <c r="E15" s="41">
        <v>193</v>
      </c>
      <c r="F15" s="41">
        <v>36</v>
      </c>
      <c r="G15" s="41">
        <v>157</v>
      </c>
      <c r="H15" s="41">
        <v>193</v>
      </c>
      <c r="I15" s="41">
        <v>36</v>
      </c>
      <c r="J15" s="41">
        <v>157</v>
      </c>
      <c r="K15" s="41">
        <v>188</v>
      </c>
      <c r="L15" s="41">
        <v>36</v>
      </c>
      <c r="M15" s="41">
        <v>152</v>
      </c>
      <c r="N15" s="41">
        <v>169</v>
      </c>
      <c r="O15" s="41">
        <v>27</v>
      </c>
      <c r="P15" s="41">
        <v>142</v>
      </c>
      <c r="Q15" s="41">
        <v>152</v>
      </c>
      <c r="R15" s="41">
        <v>27</v>
      </c>
      <c r="S15" s="41">
        <v>125</v>
      </c>
      <c r="T15" s="41">
        <v>181</v>
      </c>
      <c r="U15" s="41">
        <v>41</v>
      </c>
      <c r="V15" s="41">
        <v>140</v>
      </c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34">
        <f t="shared" si="1"/>
        <v>1247</v>
      </c>
      <c r="AM15" s="34">
        <f t="shared" si="2"/>
        <v>238</v>
      </c>
      <c r="AN15" s="34">
        <f t="shared" si="3"/>
        <v>1009</v>
      </c>
    </row>
    <row r="16" spans="1:40" x14ac:dyDescent="0.25">
      <c r="A16" s="21" t="s">
        <v>12</v>
      </c>
      <c r="B16" s="43">
        <v>549</v>
      </c>
      <c r="C16" s="43">
        <v>80</v>
      </c>
      <c r="D16" s="43">
        <v>469</v>
      </c>
      <c r="E16" s="41">
        <v>670</v>
      </c>
      <c r="F16" s="41">
        <v>101</v>
      </c>
      <c r="G16" s="41">
        <v>569</v>
      </c>
      <c r="H16" s="41">
        <v>670</v>
      </c>
      <c r="I16" s="41">
        <v>101</v>
      </c>
      <c r="J16" s="41">
        <v>569</v>
      </c>
      <c r="K16" s="41">
        <v>680</v>
      </c>
      <c r="L16" s="41">
        <v>96</v>
      </c>
      <c r="M16" s="41">
        <v>584</v>
      </c>
      <c r="N16" s="41">
        <v>659</v>
      </c>
      <c r="O16" s="41">
        <v>94</v>
      </c>
      <c r="P16" s="41">
        <v>565</v>
      </c>
      <c r="Q16" s="41">
        <v>606</v>
      </c>
      <c r="R16" s="41">
        <v>68</v>
      </c>
      <c r="S16" s="41">
        <v>538</v>
      </c>
      <c r="T16" s="41">
        <v>681</v>
      </c>
      <c r="U16" s="41">
        <v>98</v>
      </c>
      <c r="V16" s="41">
        <v>583</v>
      </c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34">
        <f t="shared" si="1"/>
        <v>4515</v>
      </c>
      <c r="AM16" s="34">
        <f t="shared" si="2"/>
        <v>638</v>
      </c>
      <c r="AN16" s="34">
        <f t="shared" si="3"/>
        <v>3877</v>
      </c>
    </row>
    <row r="17" spans="1:40" x14ac:dyDescent="0.25">
      <c r="A17" s="21" t="s">
        <v>13</v>
      </c>
      <c r="B17" s="43">
        <v>1263</v>
      </c>
      <c r="C17" s="43">
        <v>90</v>
      </c>
      <c r="D17" s="43">
        <v>1173</v>
      </c>
      <c r="E17" s="41">
        <v>1128</v>
      </c>
      <c r="F17" s="41">
        <v>102</v>
      </c>
      <c r="G17" s="41">
        <v>1026</v>
      </c>
      <c r="H17" s="41">
        <v>1128</v>
      </c>
      <c r="I17" s="41">
        <v>102</v>
      </c>
      <c r="J17" s="41">
        <v>1026</v>
      </c>
      <c r="K17" s="41">
        <v>1457</v>
      </c>
      <c r="L17" s="41">
        <v>96</v>
      </c>
      <c r="M17" s="41">
        <v>1361</v>
      </c>
      <c r="N17" s="41">
        <v>1590</v>
      </c>
      <c r="O17" s="41">
        <v>128</v>
      </c>
      <c r="P17" s="41">
        <v>1462</v>
      </c>
      <c r="Q17" s="41">
        <v>1331</v>
      </c>
      <c r="R17" s="41">
        <v>101</v>
      </c>
      <c r="S17" s="41">
        <v>1230</v>
      </c>
      <c r="T17" s="41">
        <v>1300</v>
      </c>
      <c r="U17" s="41">
        <v>107</v>
      </c>
      <c r="V17" s="41">
        <v>1193</v>
      </c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34">
        <f t="shared" si="1"/>
        <v>9197</v>
      </c>
      <c r="AM17" s="34">
        <f t="shared" si="2"/>
        <v>726</v>
      </c>
      <c r="AN17" s="34">
        <f t="shared" si="3"/>
        <v>8471</v>
      </c>
    </row>
    <row r="18" spans="1:40" x14ac:dyDescent="0.25">
      <c r="A18" s="21" t="s">
        <v>34</v>
      </c>
      <c r="B18" s="43">
        <v>3288</v>
      </c>
      <c r="C18" s="43">
        <v>330</v>
      </c>
      <c r="D18" s="43">
        <v>2958</v>
      </c>
      <c r="E18" s="41">
        <v>3416</v>
      </c>
      <c r="F18" s="41">
        <v>382</v>
      </c>
      <c r="G18" s="41">
        <v>3034</v>
      </c>
      <c r="H18" s="41">
        <v>3416</v>
      </c>
      <c r="I18" s="41">
        <v>382</v>
      </c>
      <c r="J18" s="41">
        <v>3034</v>
      </c>
      <c r="K18" s="41">
        <v>4272</v>
      </c>
      <c r="L18" s="41">
        <v>435</v>
      </c>
      <c r="M18" s="41">
        <v>3837</v>
      </c>
      <c r="N18" s="41">
        <v>3995</v>
      </c>
      <c r="O18" s="41">
        <v>425</v>
      </c>
      <c r="P18" s="41">
        <v>3570</v>
      </c>
      <c r="Q18" s="41">
        <v>3503</v>
      </c>
      <c r="R18" s="41">
        <v>399</v>
      </c>
      <c r="S18" s="41">
        <v>3104</v>
      </c>
      <c r="T18" s="41">
        <v>3915</v>
      </c>
      <c r="U18" s="41">
        <v>483</v>
      </c>
      <c r="V18" s="41">
        <v>3432</v>
      </c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34">
        <f t="shared" si="1"/>
        <v>25805</v>
      </c>
      <c r="AM18" s="34">
        <f t="shared" si="2"/>
        <v>2836</v>
      </c>
      <c r="AN18" s="34">
        <f t="shared" si="3"/>
        <v>22969</v>
      </c>
    </row>
    <row r="19" spans="1:40" x14ac:dyDescent="0.25">
      <c r="A19" s="21" t="s">
        <v>15</v>
      </c>
      <c r="B19" s="43">
        <v>433</v>
      </c>
      <c r="C19" s="43">
        <v>86</v>
      </c>
      <c r="D19" s="43">
        <v>347</v>
      </c>
      <c r="E19" s="41">
        <v>429</v>
      </c>
      <c r="F19" s="41">
        <v>119</v>
      </c>
      <c r="G19" s="41">
        <v>310</v>
      </c>
      <c r="H19" s="41">
        <v>429</v>
      </c>
      <c r="I19" s="41">
        <v>119</v>
      </c>
      <c r="J19" s="41">
        <v>310</v>
      </c>
      <c r="K19" s="41">
        <v>466</v>
      </c>
      <c r="L19" s="41">
        <v>99</v>
      </c>
      <c r="M19" s="41">
        <v>367</v>
      </c>
      <c r="N19" s="41">
        <v>399</v>
      </c>
      <c r="O19" s="41">
        <v>107</v>
      </c>
      <c r="P19" s="41">
        <v>292</v>
      </c>
      <c r="Q19" s="41">
        <v>508</v>
      </c>
      <c r="R19" s="41">
        <v>95</v>
      </c>
      <c r="S19" s="41">
        <v>413</v>
      </c>
      <c r="T19" s="41">
        <v>647</v>
      </c>
      <c r="U19" s="41">
        <v>119</v>
      </c>
      <c r="V19" s="41">
        <v>528</v>
      </c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34">
        <f t="shared" si="1"/>
        <v>3311</v>
      </c>
      <c r="AM19" s="34">
        <f t="shared" si="2"/>
        <v>744</v>
      </c>
      <c r="AN19" s="34">
        <f t="shared" si="3"/>
        <v>2567</v>
      </c>
    </row>
    <row r="20" spans="1:40" x14ac:dyDescent="0.25">
      <c r="A20" s="21" t="s">
        <v>16</v>
      </c>
      <c r="B20" s="43">
        <v>368</v>
      </c>
      <c r="C20" s="43">
        <v>77</v>
      </c>
      <c r="D20" s="43">
        <v>291</v>
      </c>
      <c r="E20" s="41">
        <v>308</v>
      </c>
      <c r="F20" s="41">
        <v>43</v>
      </c>
      <c r="G20" s="41">
        <v>265</v>
      </c>
      <c r="H20" s="41">
        <v>308</v>
      </c>
      <c r="I20" s="41">
        <v>43</v>
      </c>
      <c r="J20" s="41">
        <v>265</v>
      </c>
      <c r="K20" s="41">
        <v>456</v>
      </c>
      <c r="L20" s="41">
        <v>98</v>
      </c>
      <c r="M20" s="41">
        <v>358</v>
      </c>
      <c r="N20" s="41">
        <v>359</v>
      </c>
      <c r="O20" s="41">
        <v>71</v>
      </c>
      <c r="P20" s="41">
        <v>288</v>
      </c>
      <c r="Q20" s="41">
        <v>349</v>
      </c>
      <c r="R20" s="41">
        <v>91</v>
      </c>
      <c r="S20" s="41">
        <v>258</v>
      </c>
      <c r="T20" s="41">
        <v>367</v>
      </c>
      <c r="U20" s="41">
        <v>92</v>
      </c>
      <c r="V20" s="41">
        <v>275</v>
      </c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34">
        <f t="shared" si="1"/>
        <v>2515</v>
      </c>
      <c r="AM20" s="34">
        <f t="shared" si="2"/>
        <v>515</v>
      </c>
      <c r="AN20" s="34">
        <f t="shared" si="3"/>
        <v>2000</v>
      </c>
    </row>
    <row r="21" spans="1:40" x14ac:dyDescent="0.25">
      <c r="A21" s="21" t="s">
        <v>17</v>
      </c>
      <c r="B21" s="43">
        <v>160</v>
      </c>
      <c r="C21" s="43">
        <v>34</v>
      </c>
      <c r="D21" s="43">
        <v>126</v>
      </c>
      <c r="E21" s="41">
        <v>137</v>
      </c>
      <c r="F21" s="41">
        <v>29</v>
      </c>
      <c r="G21" s="41">
        <v>108</v>
      </c>
      <c r="H21" s="41">
        <v>137</v>
      </c>
      <c r="I21" s="41">
        <v>29</v>
      </c>
      <c r="J21" s="41">
        <v>108</v>
      </c>
      <c r="K21" s="41">
        <v>145</v>
      </c>
      <c r="L21" s="41">
        <v>34</v>
      </c>
      <c r="M21" s="41">
        <v>111</v>
      </c>
      <c r="N21" s="41">
        <v>129</v>
      </c>
      <c r="O21" s="41">
        <v>35</v>
      </c>
      <c r="P21" s="41">
        <v>94</v>
      </c>
      <c r="Q21" s="41">
        <v>92</v>
      </c>
      <c r="R21" s="41">
        <v>42</v>
      </c>
      <c r="S21" s="41">
        <v>50</v>
      </c>
      <c r="T21" s="41">
        <v>94</v>
      </c>
      <c r="U21" s="41">
        <v>30</v>
      </c>
      <c r="V21" s="41">
        <v>64</v>
      </c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34">
        <f t="shared" si="1"/>
        <v>894</v>
      </c>
      <c r="AM21" s="34">
        <f t="shared" si="2"/>
        <v>233</v>
      </c>
      <c r="AN21" s="34">
        <f t="shared" si="3"/>
        <v>661</v>
      </c>
    </row>
    <row r="22" spans="1:40" x14ac:dyDescent="0.25">
      <c r="A22" s="21" t="s">
        <v>35</v>
      </c>
      <c r="B22" s="43">
        <v>1089</v>
      </c>
      <c r="C22" s="43">
        <v>60</v>
      </c>
      <c r="D22" s="43">
        <v>1029</v>
      </c>
      <c r="E22" s="41">
        <v>1069</v>
      </c>
      <c r="F22" s="41">
        <v>47</v>
      </c>
      <c r="G22" s="41">
        <v>1022</v>
      </c>
      <c r="H22" s="41">
        <v>1069</v>
      </c>
      <c r="I22" s="41">
        <v>47</v>
      </c>
      <c r="J22" s="41">
        <v>1022</v>
      </c>
      <c r="K22" s="41">
        <v>1390</v>
      </c>
      <c r="L22" s="41">
        <v>64</v>
      </c>
      <c r="M22" s="41">
        <v>1326</v>
      </c>
      <c r="N22" s="41">
        <v>1274</v>
      </c>
      <c r="O22" s="41">
        <v>49</v>
      </c>
      <c r="P22" s="41">
        <v>1225</v>
      </c>
      <c r="Q22" s="41">
        <v>1122</v>
      </c>
      <c r="R22" s="41">
        <v>32</v>
      </c>
      <c r="S22" s="41">
        <v>1090</v>
      </c>
      <c r="T22" s="41">
        <v>1207</v>
      </c>
      <c r="U22" s="41">
        <v>51</v>
      </c>
      <c r="V22" s="41">
        <v>1156</v>
      </c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34">
        <f t="shared" si="1"/>
        <v>8220</v>
      </c>
      <c r="AM22" s="34">
        <f t="shared" si="2"/>
        <v>350</v>
      </c>
      <c r="AN22" s="34">
        <f t="shared" si="3"/>
        <v>7870</v>
      </c>
    </row>
    <row r="23" spans="1:40" x14ac:dyDescent="0.25">
      <c r="A23" s="21" t="s">
        <v>19</v>
      </c>
      <c r="B23" s="43">
        <v>440</v>
      </c>
      <c r="C23" s="43">
        <v>74</v>
      </c>
      <c r="D23" s="43">
        <v>366</v>
      </c>
      <c r="E23" s="41">
        <v>462</v>
      </c>
      <c r="F23" s="41">
        <v>59</v>
      </c>
      <c r="G23" s="41">
        <v>403</v>
      </c>
      <c r="H23" s="41">
        <v>462</v>
      </c>
      <c r="I23" s="41">
        <v>59</v>
      </c>
      <c r="J23" s="41">
        <v>403</v>
      </c>
      <c r="K23" s="41">
        <v>659</v>
      </c>
      <c r="L23" s="41">
        <v>98</v>
      </c>
      <c r="M23" s="41">
        <v>561</v>
      </c>
      <c r="N23" s="41">
        <v>636</v>
      </c>
      <c r="O23" s="41">
        <v>72</v>
      </c>
      <c r="P23" s="41">
        <v>564</v>
      </c>
      <c r="Q23" s="41">
        <v>596</v>
      </c>
      <c r="R23" s="41">
        <v>79</v>
      </c>
      <c r="S23" s="41">
        <v>517</v>
      </c>
      <c r="T23" s="41">
        <v>567</v>
      </c>
      <c r="U23" s="41">
        <v>90</v>
      </c>
      <c r="V23" s="41">
        <v>477</v>
      </c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34">
        <f t="shared" si="1"/>
        <v>3822</v>
      </c>
      <c r="AM23" s="34">
        <f t="shared" si="2"/>
        <v>531</v>
      </c>
      <c r="AN23" s="34">
        <f t="shared" si="3"/>
        <v>3291</v>
      </c>
    </row>
    <row r="24" spans="1:40" x14ac:dyDescent="0.25">
      <c r="A24" s="21" t="s">
        <v>20</v>
      </c>
      <c r="B24" s="43">
        <v>741</v>
      </c>
      <c r="C24" s="43">
        <v>94</v>
      </c>
      <c r="D24" s="43">
        <v>647</v>
      </c>
      <c r="E24" s="41">
        <v>893</v>
      </c>
      <c r="F24" s="41">
        <v>141</v>
      </c>
      <c r="G24" s="41">
        <v>752</v>
      </c>
      <c r="H24" s="41">
        <v>893</v>
      </c>
      <c r="I24" s="41">
        <v>141</v>
      </c>
      <c r="J24" s="41">
        <v>752</v>
      </c>
      <c r="K24" s="41">
        <v>942</v>
      </c>
      <c r="L24" s="41">
        <v>144</v>
      </c>
      <c r="M24" s="41">
        <v>798</v>
      </c>
      <c r="N24" s="41">
        <v>914</v>
      </c>
      <c r="O24" s="41">
        <v>151</v>
      </c>
      <c r="P24" s="41">
        <v>763</v>
      </c>
      <c r="Q24" s="41">
        <v>865</v>
      </c>
      <c r="R24" s="41">
        <v>89</v>
      </c>
      <c r="S24" s="41">
        <v>776</v>
      </c>
      <c r="T24" s="41">
        <v>862</v>
      </c>
      <c r="U24" s="41">
        <v>108</v>
      </c>
      <c r="V24" s="41">
        <v>754</v>
      </c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34">
        <f t="shared" si="1"/>
        <v>6110</v>
      </c>
      <c r="AM24" s="34">
        <f t="shared" si="2"/>
        <v>868</v>
      </c>
      <c r="AN24" s="34">
        <f t="shared" si="3"/>
        <v>5242</v>
      </c>
    </row>
    <row r="25" spans="1:40" x14ac:dyDescent="0.25">
      <c r="A25" s="21" t="s">
        <v>21</v>
      </c>
      <c r="B25" s="43">
        <v>699</v>
      </c>
      <c r="C25" s="43">
        <v>109</v>
      </c>
      <c r="D25" s="43">
        <v>590</v>
      </c>
      <c r="E25" s="41">
        <v>627</v>
      </c>
      <c r="F25" s="41">
        <v>117</v>
      </c>
      <c r="G25" s="41">
        <v>510</v>
      </c>
      <c r="H25" s="41">
        <v>627</v>
      </c>
      <c r="I25" s="41">
        <v>117</v>
      </c>
      <c r="J25" s="41">
        <v>510</v>
      </c>
      <c r="K25" s="41">
        <v>751</v>
      </c>
      <c r="L25" s="41">
        <v>111</v>
      </c>
      <c r="M25" s="41">
        <v>640</v>
      </c>
      <c r="N25" s="41">
        <v>703</v>
      </c>
      <c r="O25" s="41">
        <v>116</v>
      </c>
      <c r="P25" s="41">
        <v>587</v>
      </c>
      <c r="Q25" s="41">
        <v>692</v>
      </c>
      <c r="R25" s="41">
        <v>108</v>
      </c>
      <c r="S25" s="41">
        <v>584</v>
      </c>
      <c r="T25" s="41">
        <v>584</v>
      </c>
      <c r="U25" s="41">
        <v>103</v>
      </c>
      <c r="V25" s="41">
        <v>481</v>
      </c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34">
        <f t="shared" si="1"/>
        <v>4683</v>
      </c>
      <c r="AM25" s="34">
        <f t="shared" si="2"/>
        <v>781</v>
      </c>
      <c r="AN25" s="34">
        <f t="shared" si="3"/>
        <v>3902</v>
      </c>
    </row>
    <row r="26" spans="1:40" x14ac:dyDescent="0.25">
      <c r="A26" s="21" t="s">
        <v>22</v>
      </c>
      <c r="B26" s="43">
        <v>490</v>
      </c>
      <c r="C26" s="43">
        <v>88</v>
      </c>
      <c r="D26" s="43">
        <v>402</v>
      </c>
      <c r="E26" s="41">
        <v>479</v>
      </c>
      <c r="F26" s="41">
        <v>87</v>
      </c>
      <c r="G26" s="41">
        <v>392</v>
      </c>
      <c r="H26" s="41">
        <v>479</v>
      </c>
      <c r="I26" s="41">
        <v>87</v>
      </c>
      <c r="J26" s="41">
        <v>392</v>
      </c>
      <c r="K26" s="41">
        <v>675</v>
      </c>
      <c r="L26" s="41">
        <v>149</v>
      </c>
      <c r="M26" s="41">
        <v>526</v>
      </c>
      <c r="N26" s="41">
        <v>637</v>
      </c>
      <c r="O26" s="41">
        <v>143</v>
      </c>
      <c r="P26" s="41">
        <v>494</v>
      </c>
      <c r="Q26" s="41">
        <v>558</v>
      </c>
      <c r="R26" s="41">
        <v>108</v>
      </c>
      <c r="S26" s="41">
        <v>450</v>
      </c>
      <c r="T26" s="41">
        <v>548</v>
      </c>
      <c r="U26" s="41">
        <v>125</v>
      </c>
      <c r="V26" s="41">
        <v>423</v>
      </c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34">
        <f t="shared" si="1"/>
        <v>3866</v>
      </c>
      <c r="AM26" s="34">
        <f t="shared" si="2"/>
        <v>787</v>
      </c>
      <c r="AN26" s="34">
        <f t="shared" si="3"/>
        <v>3079</v>
      </c>
    </row>
    <row r="27" spans="1:40" x14ac:dyDescent="0.25">
      <c r="A27" s="21" t="s">
        <v>23</v>
      </c>
      <c r="B27" s="43">
        <v>26</v>
      </c>
      <c r="C27" s="43">
        <v>5</v>
      </c>
      <c r="D27" s="43">
        <v>21</v>
      </c>
      <c r="E27" s="41">
        <v>17</v>
      </c>
      <c r="F27" s="41">
        <v>3</v>
      </c>
      <c r="G27" s="41">
        <v>14</v>
      </c>
      <c r="H27" s="41">
        <v>17</v>
      </c>
      <c r="I27" s="41">
        <v>3</v>
      </c>
      <c r="J27" s="41">
        <v>14</v>
      </c>
      <c r="K27" s="41">
        <v>5</v>
      </c>
      <c r="L27" s="41">
        <v>1</v>
      </c>
      <c r="M27" s="41">
        <v>4</v>
      </c>
      <c r="N27" s="41">
        <v>6</v>
      </c>
      <c r="O27" s="41">
        <v>1</v>
      </c>
      <c r="P27" s="41">
        <v>5</v>
      </c>
      <c r="Q27" s="41">
        <v>17</v>
      </c>
      <c r="R27" s="41">
        <v>12</v>
      </c>
      <c r="S27" s="41">
        <v>5</v>
      </c>
      <c r="T27" s="41">
        <v>21</v>
      </c>
      <c r="U27" s="41">
        <v>13</v>
      </c>
      <c r="V27" s="41">
        <v>8</v>
      </c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34">
        <f t="shared" si="1"/>
        <v>109</v>
      </c>
      <c r="AM27" s="34">
        <f t="shared" si="2"/>
        <v>38</v>
      </c>
      <c r="AN27" s="34">
        <f t="shared" si="3"/>
        <v>71</v>
      </c>
    </row>
    <row r="28" spans="1:40" x14ac:dyDescent="0.25">
      <c r="A28" s="21" t="s">
        <v>24</v>
      </c>
      <c r="B28" s="43">
        <v>36</v>
      </c>
      <c r="C28" s="43">
        <v>9</v>
      </c>
      <c r="D28" s="43">
        <v>27</v>
      </c>
      <c r="E28" s="41">
        <v>15</v>
      </c>
      <c r="F28" s="41">
        <v>2</v>
      </c>
      <c r="G28" s="41">
        <v>13</v>
      </c>
      <c r="H28" s="41">
        <v>15</v>
      </c>
      <c r="I28" s="41">
        <v>2</v>
      </c>
      <c r="J28" s="41">
        <v>13</v>
      </c>
      <c r="K28" s="41">
        <v>10</v>
      </c>
      <c r="L28" s="41">
        <v>2</v>
      </c>
      <c r="M28" s="41">
        <v>8</v>
      </c>
      <c r="N28" s="41">
        <v>11</v>
      </c>
      <c r="O28" s="41">
        <v>3</v>
      </c>
      <c r="P28" s="41">
        <v>8</v>
      </c>
      <c r="Q28" s="41">
        <v>239</v>
      </c>
      <c r="R28" s="41">
        <v>46</v>
      </c>
      <c r="S28" s="41">
        <v>193</v>
      </c>
      <c r="T28" s="41">
        <v>304</v>
      </c>
      <c r="U28" s="41">
        <v>57</v>
      </c>
      <c r="V28" s="41">
        <v>247</v>
      </c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34">
        <f t="shared" si="1"/>
        <v>630</v>
      </c>
      <c r="AM28" s="34">
        <f t="shared" si="2"/>
        <v>121</v>
      </c>
      <c r="AN28" s="34">
        <f t="shared" si="3"/>
        <v>509</v>
      </c>
    </row>
    <row r="29" spans="1:40" x14ac:dyDescent="0.25">
      <c r="A29" s="21" t="s">
        <v>25</v>
      </c>
      <c r="B29" s="43">
        <v>41</v>
      </c>
      <c r="C29" s="43">
        <v>5</v>
      </c>
      <c r="D29" s="43">
        <v>36</v>
      </c>
      <c r="E29" s="41">
        <v>18</v>
      </c>
      <c r="F29" s="41">
        <v>4</v>
      </c>
      <c r="G29" s="41">
        <v>14</v>
      </c>
      <c r="H29" s="41">
        <v>18</v>
      </c>
      <c r="I29" s="41">
        <v>4</v>
      </c>
      <c r="J29" s="41">
        <v>14</v>
      </c>
      <c r="K29" s="41">
        <v>8</v>
      </c>
      <c r="L29" s="41">
        <v>3</v>
      </c>
      <c r="M29" s="41">
        <v>5</v>
      </c>
      <c r="N29" s="41">
        <v>9</v>
      </c>
      <c r="O29" s="41">
        <v>0</v>
      </c>
      <c r="P29" s="41">
        <v>9</v>
      </c>
      <c r="Q29" s="41">
        <v>511</v>
      </c>
      <c r="R29" s="41">
        <v>113</v>
      </c>
      <c r="S29" s="41">
        <v>398</v>
      </c>
      <c r="T29" s="41">
        <v>617</v>
      </c>
      <c r="U29" s="41">
        <v>147</v>
      </c>
      <c r="V29" s="41">
        <v>470</v>
      </c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34">
        <f t="shared" si="1"/>
        <v>1222</v>
      </c>
      <c r="AM29" s="34">
        <f t="shared" si="2"/>
        <v>276</v>
      </c>
      <c r="AN29" s="34">
        <f t="shared" si="3"/>
        <v>946</v>
      </c>
    </row>
    <row r="30" spans="1:40" x14ac:dyDescent="0.25">
      <c r="A30" s="21" t="s">
        <v>26</v>
      </c>
      <c r="B30" s="43">
        <v>27</v>
      </c>
      <c r="C30" s="43">
        <v>8</v>
      </c>
      <c r="D30" s="43">
        <v>19</v>
      </c>
      <c r="E30" s="41">
        <v>11</v>
      </c>
      <c r="F30" s="41">
        <v>2</v>
      </c>
      <c r="G30" s="41">
        <v>9</v>
      </c>
      <c r="H30" s="41">
        <v>11</v>
      </c>
      <c r="I30" s="41">
        <v>2</v>
      </c>
      <c r="J30" s="41">
        <v>9</v>
      </c>
      <c r="K30" s="41">
        <v>8</v>
      </c>
      <c r="L30" s="41">
        <v>1</v>
      </c>
      <c r="M30" s="41">
        <v>7</v>
      </c>
      <c r="N30" s="41">
        <v>15</v>
      </c>
      <c r="O30" s="41">
        <v>0</v>
      </c>
      <c r="P30" s="41">
        <v>15</v>
      </c>
      <c r="Q30" s="41">
        <v>283</v>
      </c>
      <c r="R30" s="41">
        <v>45</v>
      </c>
      <c r="S30" s="41">
        <v>238</v>
      </c>
      <c r="T30" s="41">
        <v>277</v>
      </c>
      <c r="U30" s="41">
        <v>56</v>
      </c>
      <c r="V30" s="41">
        <v>221</v>
      </c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34">
        <f t="shared" si="1"/>
        <v>632</v>
      </c>
      <c r="AM30" s="34">
        <f t="shared" si="2"/>
        <v>114</v>
      </c>
      <c r="AN30" s="34">
        <f t="shared" si="3"/>
        <v>518</v>
      </c>
    </row>
    <row r="31" spans="1:40" x14ac:dyDescent="0.25">
      <c r="A31" s="21" t="s">
        <v>27</v>
      </c>
      <c r="B31" s="43">
        <v>161</v>
      </c>
      <c r="C31" s="43">
        <v>17</v>
      </c>
      <c r="D31" s="43">
        <v>144</v>
      </c>
      <c r="E31" s="41">
        <v>162</v>
      </c>
      <c r="F31" s="41">
        <v>15</v>
      </c>
      <c r="G31" s="41">
        <v>147</v>
      </c>
      <c r="H31" s="41">
        <v>162</v>
      </c>
      <c r="I31" s="41">
        <v>15</v>
      </c>
      <c r="J31" s="41">
        <v>147</v>
      </c>
      <c r="K31" s="41">
        <v>187</v>
      </c>
      <c r="L31" s="41">
        <v>17</v>
      </c>
      <c r="M31" s="41">
        <v>170</v>
      </c>
      <c r="N31" s="41">
        <v>184</v>
      </c>
      <c r="O31" s="41">
        <v>29</v>
      </c>
      <c r="P31" s="41">
        <v>155</v>
      </c>
      <c r="Q31" s="41">
        <v>173</v>
      </c>
      <c r="R31" s="41">
        <v>24</v>
      </c>
      <c r="S31" s="41">
        <v>149</v>
      </c>
      <c r="T31" s="41">
        <v>263</v>
      </c>
      <c r="U31" s="41">
        <v>39</v>
      </c>
      <c r="V31" s="41">
        <v>224</v>
      </c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34">
        <f t="shared" si="1"/>
        <v>1292</v>
      </c>
      <c r="AM31" s="34">
        <f t="shared" si="2"/>
        <v>156</v>
      </c>
      <c r="AN31" s="34">
        <f t="shared" si="3"/>
        <v>1136</v>
      </c>
    </row>
    <row r="32" spans="1:40" x14ac:dyDescent="0.25">
      <c r="A32" s="21" t="s">
        <v>28</v>
      </c>
      <c r="B32" s="43">
        <v>326</v>
      </c>
      <c r="C32" s="43">
        <v>42</v>
      </c>
      <c r="D32" s="43">
        <v>284</v>
      </c>
      <c r="E32" s="41">
        <v>297</v>
      </c>
      <c r="F32" s="41">
        <v>43</v>
      </c>
      <c r="G32" s="41">
        <v>254</v>
      </c>
      <c r="H32" s="41">
        <v>297</v>
      </c>
      <c r="I32" s="41">
        <v>43</v>
      </c>
      <c r="J32" s="41">
        <v>254</v>
      </c>
      <c r="K32" s="41">
        <v>346</v>
      </c>
      <c r="L32" s="41">
        <v>55</v>
      </c>
      <c r="M32" s="41">
        <v>291</v>
      </c>
      <c r="N32" s="41">
        <v>358</v>
      </c>
      <c r="O32" s="41">
        <v>46</v>
      </c>
      <c r="P32" s="41">
        <v>312</v>
      </c>
      <c r="Q32" s="41">
        <v>334</v>
      </c>
      <c r="R32" s="41">
        <v>49</v>
      </c>
      <c r="S32" s="41">
        <v>285</v>
      </c>
      <c r="T32" s="41">
        <v>399</v>
      </c>
      <c r="U32" s="41">
        <v>50</v>
      </c>
      <c r="V32" s="41">
        <v>349</v>
      </c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34">
        <f t="shared" si="1"/>
        <v>2357</v>
      </c>
      <c r="AM32" s="34">
        <f t="shared" si="2"/>
        <v>328</v>
      </c>
      <c r="AN32" s="34">
        <f t="shared" si="3"/>
        <v>2029</v>
      </c>
    </row>
    <row r="33" spans="1:40" x14ac:dyDescent="0.25">
      <c r="A33" s="21" t="s">
        <v>29</v>
      </c>
      <c r="B33" s="43">
        <v>1059</v>
      </c>
      <c r="C33" s="43">
        <v>93</v>
      </c>
      <c r="D33" s="43">
        <v>966</v>
      </c>
      <c r="E33" s="41">
        <v>969</v>
      </c>
      <c r="F33" s="41">
        <v>85</v>
      </c>
      <c r="G33" s="41">
        <v>884</v>
      </c>
      <c r="H33" s="41">
        <v>969</v>
      </c>
      <c r="I33" s="41">
        <v>85</v>
      </c>
      <c r="J33" s="41">
        <v>884</v>
      </c>
      <c r="K33" s="41">
        <v>1021</v>
      </c>
      <c r="L33" s="41">
        <v>84</v>
      </c>
      <c r="M33" s="41">
        <v>937</v>
      </c>
      <c r="N33" s="41">
        <v>1054</v>
      </c>
      <c r="O33" s="41">
        <v>82</v>
      </c>
      <c r="P33" s="41">
        <v>972</v>
      </c>
      <c r="Q33" s="41">
        <v>1003</v>
      </c>
      <c r="R33" s="41">
        <v>83</v>
      </c>
      <c r="S33" s="41">
        <v>920</v>
      </c>
      <c r="T33" s="41">
        <v>1039</v>
      </c>
      <c r="U33" s="41">
        <v>77</v>
      </c>
      <c r="V33" s="41">
        <v>962</v>
      </c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34">
        <f t="shared" si="1"/>
        <v>7114</v>
      </c>
      <c r="AM33" s="34">
        <f t="shared" si="2"/>
        <v>589</v>
      </c>
      <c r="AN33" s="34">
        <f t="shared" si="3"/>
        <v>6525</v>
      </c>
    </row>
    <row r="34" spans="1:40" x14ac:dyDescent="0.25">
      <c r="A34" s="21" t="s">
        <v>30</v>
      </c>
      <c r="B34" s="43">
        <v>69</v>
      </c>
      <c r="C34" s="43">
        <v>10</v>
      </c>
      <c r="D34" s="43">
        <v>59</v>
      </c>
      <c r="E34" s="41">
        <v>57</v>
      </c>
      <c r="F34" s="41">
        <v>9</v>
      </c>
      <c r="G34" s="41">
        <v>48</v>
      </c>
      <c r="H34" s="41">
        <v>57</v>
      </c>
      <c r="I34" s="41">
        <v>9</v>
      </c>
      <c r="J34" s="41">
        <v>48</v>
      </c>
      <c r="K34" s="41">
        <v>53</v>
      </c>
      <c r="L34" s="41">
        <v>17</v>
      </c>
      <c r="M34" s="41">
        <v>36</v>
      </c>
      <c r="N34" s="41">
        <v>55</v>
      </c>
      <c r="O34" s="41">
        <v>14</v>
      </c>
      <c r="P34" s="41">
        <v>41</v>
      </c>
      <c r="Q34" s="41">
        <v>98</v>
      </c>
      <c r="R34" s="41">
        <v>17</v>
      </c>
      <c r="S34" s="41">
        <v>81</v>
      </c>
      <c r="T34" s="41">
        <v>94</v>
      </c>
      <c r="U34" s="41">
        <v>16</v>
      </c>
      <c r="V34" s="41">
        <v>78</v>
      </c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34">
        <f t="shared" si="1"/>
        <v>483</v>
      </c>
      <c r="AM34" s="34">
        <f t="shared" si="2"/>
        <v>92</v>
      </c>
      <c r="AN34" s="34">
        <f t="shared" si="3"/>
        <v>391</v>
      </c>
    </row>
    <row r="35" spans="1:40" x14ac:dyDescent="0.25">
      <c r="A35" s="21" t="s">
        <v>31</v>
      </c>
      <c r="B35" s="43">
        <v>78</v>
      </c>
      <c r="C35" s="43">
        <v>16</v>
      </c>
      <c r="D35" s="43">
        <v>62</v>
      </c>
      <c r="E35" s="41">
        <v>70</v>
      </c>
      <c r="F35" s="41">
        <v>13</v>
      </c>
      <c r="G35" s="41">
        <v>57</v>
      </c>
      <c r="H35" s="41">
        <v>70</v>
      </c>
      <c r="I35" s="41">
        <v>13</v>
      </c>
      <c r="J35" s="41">
        <v>57</v>
      </c>
      <c r="K35" s="41">
        <v>44</v>
      </c>
      <c r="L35" s="41">
        <v>11</v>
      </c>
      <c r="M35" s="41">
        <v>33</v>
      </c>
      <c r="N35" s="41">
        <v>44</v>
      </c>
      <c r="O35" s="41">
        <v>17</v>
      </c>
      <c r="P35" s="41">
        <v>27</v>
      </c>
      <c r="Q35" s="41">
        <v>64</v>
      </c>
      <c r="R35" s="41">
        <v>27</v>
      </c>
      <c r="S35" s="41">
        <v>37</v>
      </c>
      <c r="T35" s="41">
        <v>71</v>
      </c>
      <c r="U35" s="41">
        <v>11</v>
      </c>
      <c r="V35" s="41">
        <v>60</v>
      </c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34">
        <f t="shared" si="1"/>
        <v>441</v>
      </c>
      <c r="AM35" s="34">
        <f t="shared" si="2"/>
        <v>108</v>
      </c>
      <c r="AN35" s="34">
        <f t="shared" si="3"/>
        <v>333</v>
      </c>
    </row>
    <row r="36" spans="1:40" x14ac:dyDescent="0.25">
      <c r="A36" s="47" t="s">
        <v>36</v>
      </c>
      <c r="B36" s="48">
        <f>+SUBTOTAL(9,B4:B35)</f>
        <v>17191</v>
      </c>
      <c r="C36" s="48">
        <f t="shared" ref="C36:D36" si="4">+SUBTOTAL(9,C4:C35)</f>
        <v>1999</v>
      </c>
      <c r="D36" s="48">
        <f t="shared" si="4"/>
        <v>15192</v>
      </c>
      <c r="E36" s="48">
        <f t="shared" ref="E36:AN36" si="5">+SUBTOTAL(9,E4:E35)</f>
        <v>16419</v>
      </c>
      <c r="F36" s="48">
        <f t="shared" si="5"/>
        <v>2007</v>
      </c>
      <c r="G36" s="48">
        <f t="shared" si="5"/>
        <v>14412</v>
      </c>
      <c r="H36" s="48">
        <f t="shared" si="5"/>
        <v>16419</v>
      </c>
      <c r="I36" s="48">
        <f t="shared" si="5"/>
        <v>2007</v>
      </c>
      <c r="J36" s="48">
        <f t="shared" si="5"/>
        <v>14412</v>
      </c>
      <c r="K36" s="48">
        <f t="shared" si="5"/>
        <v>20015</v>
      </c>
      <c r="L36" s="48">
        <f t="shared" si="5"/>
        <v>2300</v>
      </c>
      <c r="M36" s="48">
        <f t="shared" si="5"/>
        <v>17715</v>
      </c>
      <c r="N36" s="48">
        <f t="shared" si="5"/>
        <v>19154</v>
      </c>
      <c r="O36" s="48">
        <f t="shared" si="5"/>
        <v>2277</v>
      </c>
      <c r="P36" s="48">
        <f t="shared" si="5"/>
        <v>16877</v>
      </c>
      <c r="Q36" s="48">
        <f t="shared" si="5"/>
        <v>18909</v>
      </c>
      <c r="R36" s="48">
        <f t="shared" si="5"/>
        <v>2333</v>
      </c>
      <c r="S36" s="48">
        <f t="shared" si="5"/>
        <v>16576</v>
      </c>
      <c r="T36" s="48">
        <f t="shared" si="5"/>
        <v>20459</v>
      </c>
      <c r="U36" s="48">
        <f t="shared" si="5"/>
        <v>2587</v>
      </c>
      <c r="V36" s="48">
        <f t="shared" si="5"/>
        <v>17872</v>
      </c>
      <c r="W36" s="49">
        <f t="shared" si="5"/>
        <v>0</v>
      </c>
      <c r="X36" s="49">
        <f t="shared" si="5"/>
        <v>0</v>
      </c>
      <c r="Y36" s="49">
        <f t="shared" si="5"/>
        <v>0</v>
      </c>
      <c r="Z36" s="49">
        <f t="shared" si="5"/>
        <v>0</v>
      </c>
      <c r="AA36" s="49">
        <f t="shared" si="5"/>
        <v>0</v>
      </c>
      <c r="AB36" s="49">
        <f t="shared" si="5"/>
        <v>0</v>
      </c>
      <c r="AC36" s="49">
        <f t="shared" si="5"/>
        <v>0</v>
      </c>
      <c r="AD36" s="49">
        <f t="shared" si="5"/>
        <v>0</v>
      </c>
      <c r="AE36" s="49">
        <f t="shared" si="5"/>
        <v>0</v>
      </c>
      <c r="AF36" s="49">
        <f t="shared" si="5"/>
        <v>0</v>
      </c>
      <c r="AG36" s="49">
        <f t="shared" si="5"/>
        <v>0</v>
      </c>
      <c r="AH36" s="49">
        <f t="shared" si="5"/>
        <v>0</v>
      </c>
      <c r="AI36" s="49">
        <f t="shared" si="5"/>
        <v>0</v>
      </c>
      <c r="AJ36" s="49">
        <f t="shared" si="5"/>
        <v>0</v>
      </c>
      <c r="AK36" s="49">
        <f t="shared" si="5"/>
        <v>0</v>
      </c>
      <c r="AL36" s="35">
        <f t="shared" si="5"/>
        <v>128566</v>
      </c>
      <c r="AM36" s="35">
        <f t="shared" si="5"/>
        <v>15510</v>
      </c>
      <c r="AN36" s="35">
        <f t="shared" si="5"/>
        <v>113056</v>
      </c>
    </row>
    <row r="37" spans="1:40" ht="30" x14ac:dyDescent="0.25">
      <c r="A37" s="50" t="s">
        <v>82</v>
      </c>
      <c r="B37" s="53"/>
      <c r="C37" s="54">
        <f>IFERROR((C36/B36),0)</f>
        <v>0.11628177534756559</v>
      </c>
      <c r="D37" s="54">
        <f>IFERROR((D36/B36),0)</f>
        <v>0.88371822465243444</v>
      </c>
      <c r="E37" s="53"/>
      <c r="F37" s="54">
        <f>IFERROR((F36/E36),0)</f>
        <v>0.12223643340032889</v>
      </c>
      <c r="G37" s="54">
        <f>IFERROR((G36/E36),0)</f>
        <v>0.87776356659967114</v>
      </c>
      <c r="H37" s="53"/>
      <c r="I37" s="54">
        <f>IFERROR((I36/H36),0)</f>
        <v>0.12223643340032889</v>
      </c>
      <c r="J37" s="54">
        <f>IFERROR((J36/H36),0)</f>
        <v>0.87776356659967114</v>
      </c>
      <c r="K37" s="53"/>
      <c r="L37" s="54">
        <f>IFERROR((L36/K36),0)</f>
        <v>0.11491381463902073</v>
      </c>
      <c r="M37" s="54">
        <f>IFERROR((M36/K36),0)</f>
        <v>0.88508618536097927</v>
      </c>
      <c r="N37" s="53"/>
      <c r="O37" s="54">
        <f>IFERROR((O36/N36),0)</f>
        <v>0.11887856322439178</v>
      </c>
      <c r="P37" s="54">
        <f>IFERROR((P36/N36),0)</f>
        <v>0.88112143677560828</v>
      </c>
      <c r="Q37" s="53"/>
      <c r="R37" s="54">
        <f>IFERROR((R36/Q36),0)</f>
        <v>0.12338040086731186</v>
      </c>
      <c r="S37" s="54">
        <f>IFERROR((S36/Q36),0)</f>
        <v>0.87661959913268817</v>
      </c>
      <c r="T37" s="53"/>
      <c r="U37" s="54">
        <f>IFERROR((U36/T36),0)</f>
        <v>0.12644801798719391</v>
      </c>
      <c r="V37" s="54">
        <f>IFERROR((V36/T36),0)</f>
        <v>0.87355198201280615</v>
      </c>
      <c r="W37" s="53"/>
      <c r="X37" s="54">
        <f>IFERROR((X36/W36),0)</f>
        <v>0</v>
      </c>
      <c r="Y37" s="54">
        <f>IFERROR((Y36/W36),0)</f>
        <v>0</v>
      </c>
      <c r="Z37" s="53"/>
      <c r="AA37" s="54">
        <f>IFERROR((AA36/Z36),0)</f>
        <v>0</v>
      </c>
      <c r="AB37" s="54">
        <f>IFERROR((AB36/Z36),0)</f>
        <v>0</v>
      </c>
      <c r="AC37" s="53"/>
      <c r="AD37" s="54">
        <f>IFERROR((AD36/AC36),0)</f>
        <v>0</v>
      </c>
      <c r="AE37" s="54">
        <f>IFERROR((AE36/AC36),0)</f>
        <v>0</v>
      </c>
      <c r="AF37" s="53"/>
      <c r="AG37" s="54">
        <f>IFERROR((AG36/AF36),0)</f>
        <v>0</v>
      </c>
      <c r="AH37" s="54">
        <f>IFERROR((AH36/AF36),0)</f>
        <v>0</v>
      </c>
      <c r="AI37" s="53"/>
      <c r="AJ37" s="54">
        <f>IFERROR((AJ36/AI36),0)</f>
        <v>0</v>
      </c>
      <c r="AK37" s="54">
        <f>IFERROR((AK36/AI36),0)</f>
        <v>0</v>
      </c>
      <c r="AL37" s="51"/>
      <c r="AM37" s="52">
        <f>IFERROR((AM36/AL36),0)</f>
        <v>0.1206384269558048</v>
      </c>
      <c r="AN37" s="52">
        <f>IFERROR((AN36/AL36),0)</f>
        <v>0.87936157304419516</v>
      </c>
    </row>
    <row r="38" spans="1:40" x14ac:dyDescent="0.25">
      <c r="A38" s="27" t="s">
        <v>74</v>
      </c>
    </row>
    <row r="39" spans="1:40" x14ac:dyDescent="0.25"/>
    <row r="40" spans="1:40" x14ac:dyDescent="0.25"/>
    <row r="41" spans="1:40" x14ac:dyDescent="0.25"/>
    <row r="42" spans="1:40" x14ac:dyDescent="0.25"/>
    <row r="43" spans="1:40" x14ac:dyDescent="0.25"/>
    <row r="44" spans="1:40" x14ac:dyDescent="0.25"/>
    <row r="45" spans="1:40" x14ac:dyDescent="0.25"/>
  </sheetData>
  <mergeCells count="15">
    <mergeCell ref="AL1:AN2"/>
    <mergeCell ref="W2:Y2"/>
    <mergeCell ref="Z2:AB2"/>
    <mergeCell ref="AC2:AE2"/>
    <mergeCell ref="AF2:AH2"/>
    <mergeCell ref="AI2:AK2"/>
    <mergeCell ref="A1:AK1"/>
    <mergeCell ref="B2:D2"/>
    <mergeCell ref="A2:A3"/>
    <mergeCell ref="E2:G2"/>
    <mergeCell ref="H2:J2"/>
    <mergeCell ref="K2:M2"/>
    <mergeCell ref="N2:P2"/>
    <mergeCell ref="Q2:S2"/>
    <mergeCell ref="T2:V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8B310-2CF6-4218-815C-338072B1B1EE}">
  <dimension ref="A1:AP45"/>
  <sheetViews>
    <sheetView showGridLines="0" zoomScale="90" zoomScaleNormal="90" workbookViewId="0">
      <pane xSplit="1" ySplit="3" topLeftCell="S4" activePane="bottomRight" state="frozen"/>
      <selection pane="topRight" activeCell="B1" sqref="B1"/>
      <selection pane="bottomLeft" activeCell="A4" sqref="A4"/>
      <selection pane="bottomRight" activeCell="AF2" sqref="AF2:AH3"/>
    </sheetView>
  </sheetViews>
  <sheetFormatPr baseColWidth="10" defaultColWidth="0" defaultRowHeight="15" zeroHeight="1" x14ac:dyDescent="0.25"/>
  <cols>
    <col min="1" max="1" width="20.140625" customWidth="1"/>
    <col min="2" max="2" width="11.42578125" customWidth="1"/>
    <col min="3" max="3" width="13.140625" customWidth="1"/>
    <col min="4" max="4" width="13.7109375" customWidth="1"/>
    <col min="5" max="6" width="11.42578125" customWidth="1"/>
    <col min="7" max="7" width="12.28515625" customWidth="1"/>
    <col min="8" max="9" width="11.42578125" customWidth="1"/>
    <col min="10" max="10" width="13.140625" customWidth="1"/>
    <col min="11" max="12" width="11.42578125" customWidth="1"/>
    <col min="13" max="13" width="12.85546875" customWidth="1"/>
    <col min="14" max="15" width="11.42578125" customWidth="1"/>
    <col min="16" max="16" width="13.7109375" customWidth="1"/>
    <col min="17" max="18" width="11.42578125" customWidth="1"/>
    <col min="19" max="19" width="12.7109375" customWidth="1"/>
    <col min="20" max="21" width="11.42578125" customWidth="1"/>
    <col min="22" max="22" width="13.5703125" customWidth="1"/>
    <col min="23" max="24" width="11.42578125" customWidth="1"/>
    <col min="25" max="25" width="13.42578125" customWidth="1"/>
    <col min="26" max="27" width="11.42578125" customWidth="1"/>
    <col min="28" max="28" width="15.5703125" customWidth="1"/>
    <col min="29" max="30" width="11.42578125" customWidth="1"/>
    <col min="31" max="31" width="13.85546875" customWidth="1"/>
    <col min="32" max="33" width="11.42578125" customWidth="1"/>
    <col min="34" max="34" width="15" customWidth="1"/>
    <col min="35" max="36" width="11.42578125" customWidth="1"/>
    <col min="37" max="37" width="13.28515625" customWidth="1"/>
    <col min="38" max="42" width="11.42578125" customWidth="1"/>
    <col min="43" max="16384" width="11.42578125" hidden="1"/>
  </cols>
  <sheetData>
    <row r="1" spans="1:40" ht="45" customHeight="1" x14ac:dyDescent="0.25">
      <c r="A1" s="90" t="s">
        <v>78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2"/>
      <c r="AL1" s="80" t="s">
        <v>81</v>
      </c>
      <c r="AM1" s="81"/>
      <c r="AN1" s="81"/>
    </row>
    <row r="2" spans="1:40" x14ac:dyDescent="0.25">
      <c r="A2" s="93" t="s">
        <v>42</v>
      </c>
      <c r="B2" s="87" t="s">
        <v>43</v>
      </c>
      <c r="C2" s="88"/>
      <c r="D2" s="89"/>
      <c r="E2" s="84" t="s">
        <v>44</v>
      </c>
      <c r="F2" s="85"/>
      <c r="G2" s="86"/>
      <c r="H2" s="87" t="s">
        <v>45</v>
      </c>
      <c r="I2" s="88"/>
      <c r="J2" s="89"/>
      <c r="K2" s="84" t="s">
        <v>46</v>
      </c>
      <c r="L2" s="85"/>
      <c r="M2" s="86"/>
      <c r="N2" s="87" t="s">
        <v>47</v>
      </c>
      <c r="O2" s="88"/>
      <c r="P2" s="89"/>
      <c r="Q2" s="84" t="s">
        <v>48</v>
      </c>
      <c r="R2" s="85"/>
      <c r="S2" s="86"/>
      <c r="T2" s="87" t="s">
        <v>49</v>
      </c>
      <c r="U2" s="88"/>
      <c r="V2" s="89"/>
      <c r="W2" s="84" t="s">
        <v>50</v>
      </c>
      <c r="X2" s="85"/>
      <c r="Y2" s="86"/>
      <c r="Z2" s="87" t="s">
        <v>51</v>
      </c>
      <c r="AA2" s="88"/>
      <c r="AB2" s="89"/>
      <c r="AC2" s="84" t="s">
        <v>52</v>
      </c>
      <c r="AD2" s="85"/>
      <c r="AE2" s="86"/>
      <c r="AF2" s="87" t="s">
        <v>53</v>
      </c>
      <c r="AG2" s="88"/>
      <c r="AH2" s="89"/>
      <c r="AI2" s="84" t="s">
        <v>54</v>
      </c>
      <c r="AJ2" s="85"/>
      <c r="AK2" s="86"/>
      <c r="AL2" s="82"/>
      <c r="AM2" s="83"/>
      <c r="AN2" s="83"/>
    </row>
    <row r="3" spans="1:40" ht="40.5" x14ac:dyDescent="0.25">
      <c r="A3" s="94"/>
      <c r="B3" s="68" t="s">
        <v>37</v>
      </c>
      <c r="C3" s="68" t="s">
        <v>38</v>
      </c>
      <c r="D3" s="68" t="s">
        <v>75</v>
      </c>
      <c r="E3" s="29" t="s">
        <v>37</v>
      </c>
      <c r="F3" s="29" t="s">
        <v>38</v>
      </c>
      <c r="G3" s="29" t="s">
        <v>75</v>
      </c>
      <c r="H3" s="68" t="s">
        <v>37</v>
      </c>
      <c r="I3" s="68" t="s">
        <v>38</v>
      </c>
      <c r="J3" s="68" t="s">
        <v>75</v>
      </c>
      <c r="K3" s="29" t="s">
        <v>37</v>
      </c>
      <c r="L3" s="29" t="s">
        <v>38</v>
      </c>
      <c r="M3" s="29" t="s">
        <v>75</v>
      </c>
      <c r="N3" s="68" t="s">
        <v>37</v>
      </c>
      <c r="O3" s="68" t="s">
        <v>38</v>
      </c>
      <c r="P3" s="68" t="s">
        <v>75</v>
      </c>
      <c r="Q3" s="29" t="s">
        <v>37</v>
      </c>
      <c r="R3" s="29" t="s">
        <v>38</v>
      </c>
      <c r="S3" s="29" t="s">
        <v>75</v>
      </c>
      <c r="T3" s="68" t="s">
        <v>37</v>
      </c>
      <c r="U3" s="68" t="s">
        <v>38</v>
      </c>
      <c r="V3" s="68" t="s">
        <v>79</v>
      </c>
      <c r="W3" s="29" t="s">
        <v>37</v>
      </c>
      <c r="X3" s="29" t="s">
        <v>38</v>
      </c>
      <c r="Y3" s="29" t="s">
        <v>79</v>
      </c>
      <c r="Z3" s="68" t="s">
        <v>37</v>
      </c>
      <c r="AA3" s="68" t="s">
        <v>38</v>
      </c>
      <c r="AB3" s="68" t="s">
        <v>79</v>
      </c>
      <c r="AC3" s="29" t="s">
        <v>37</v>
      </c>
      <c r="AD3" s="29" t="s">
        <v>38</v>
      </c>
      <c r="AE3" s="29" t="s">
        <v>79</v>
      </c>
      <c r="AF3" s="68" t="s">
        <v>37</v>
      </c>
      <c r="AG3" s="68" t="s">
        <v>38</v>
      </c>
      <c r="AH3" s="68" t="s">
        <v>79</v>
      </c>
      <c r="AI3" s="29" t="s">
        <v>37</v>
      </c>
      <c r="AJ3" s="29" t="s">
        <v>38</v>
      </c>
      <c r="AK3" s="29" t="s">
        <v>79</v>
      </c>
      <c r="AL3" s="36" t="s">
        <v>37</v>
      </c>
      <c r="AM3" s="36" t="s">
        <v>38</v>
      </c>
      <c r="AN3" s="36" t="s">
        <v>79</v>
      </c>
    </row>
    <row r="4" spans="1:40" x14ac:dyDescent="0.25">
      <c r="A4" s="21" t="s">
        <v>1</v>
      </c>
      <c r="B4" s="43">
        <v>22</v>
      </c>
      <c r="C4" s="43">
        <v>2</v>
      </c>
      <c r="D4" s="43">
        <v>20</v>
      </c>
      <c r="E4" s="38">
        <v>8</v>
      </c>
      <c r="F4" s="38">
        <v>1</v>
      </c>
      <c r="G4" s="38">
        <v>7</v>
      </c>
      <c r="H4" s="38">
        <v>8</v>
      </c>
      <c r="I4" s="38">
        <v>1</v>
      </c>
      <c r="J4" s="38">
        <v>7</v>
      </c>
      <c r="K4" s="38">
        <v>2</v>
      </c>
      <c r="L4" s="38">
        <v>0</v>
      </c>
      <c r="M4" s="38">
        <v>2</v>
      </c>
      <c r="N4" s="38">
        <v>3</v>
      </c>
      <c r="O4" s="38">
        <v>0</v>
      </c>
      <c r="P4" s="38">
        <v>3</v>
      </c>
      <c r="Q4" s="38">
        <v>2</v>
      </c>
      <c r="R4" s="38">
        <v>0</v>
      </c>
      <c r="S4" s="38">
        <v>2</v>
      </c>
      <c r="T4" s="38">
        <v>2</v>
      </c>
      <c r="U4" s="38">
        <v>0</v>
      </c>
      <c r="V4" s="38">
        <v>2</v>
      </c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34">
        <f>+SUM(B4,E4,H4,K4,N4,Q4,T4,W4,Z4,AC4,AF4,AI4)</f>
        <v>47</v>
      </c>
      <c r="AM4" s="34">
        <f t="shared" ref="AM4:AN19" si="0">+SUM(C4,F4,I4,L4,O4,R4,U4,X4,AA4,AD4,AG4,AJ4)</f>
        <v>4</v>
      </c>
      <c r="AN4" s="34">
        <f t="shared" si="0"/>
        <v>43</v>
      </c>
    </row>
    <row r="5" spans="1:40" x14ac:dyDescent="0.25">
      <c r="A5" s="21" t="s">
        <v>32</v>
      </c>
      <c r="B5" s="43">
        <v>66</v>
      </c>
      <c r="C5" s="43">
        <v>15</v>
      </c>
      <c r="D5" s="43">
        <v>51</v>
      </c>
      <c r="E5" s="38">
        <v>26</v>
      </c>
      <c r="F5" s="38">
        <v>4</v>
      </c>
      <c r="G5" s="38">
        <v>22</v>
      </c>
      <c r="H5" s="38">
        <v>26</v>
      </c>
      <c r="I5" s="38">
        <v>4</v>
      </c>
      <c r="J5" s="38">
        <v>22</v>
      </c>
      <c r="K5" s="38">
        <v>14</v>
      </c>
      <c r="L5" s="38">
        <v>4</v>
      </c>
      <c r="M5" s="38">
        <v>10</v>
      </c>
      <c r="N5" s="38">
        <v>20</v>
      </c>
      <c r="O5" s="38">
        <v>7</v>
      </c>
      <c r="P5" s="38">
        <v>13</v>
      </c>
      <c r="Q5" s="38">
        <v>26</v>
      </c>
      <c r="R5" s="38">
        <v>3</v>
      </c>
      <c r="S5" s="38">
        <v>23</v>
      </c>
      <c r="T5" s="38">
        <v>15</v>
      </c>
      <c r="U5" s="38">
        <v>3</v>
      </c>
      <c r="V5" s="38">
        <v>12</v>
      </c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34">
        <f t="shared" ref="AL5:AN35" si="1">+SUM(B5,E5,H5,K5,N5,Q5,T5,W5,Z5,AC5,AF5,AI5)</f>
        <v>193</v>
      </c>
      <c r="AM5" s="34">
        <f t="shared" si="0"/>
        <v>40</v>
      </c>
      <c r="AN5" s="34">
        <f t="shared" si="0"/>
        <v>153</v>
      </c>
    </row>
    <row r="6" spans="1:40" x14ac:dyDescent="0.25">
      <c r="A6" s="21" t="s">
        <v>3</v>
      </c>
      <c r="B6" s="43">
        <v>20</v>
      </c>
      <c r="C6" s="43">
        <v>3</v>
      </c>
      <c r="D6" s="43">
        <v>17</v>
      </c>
      <c r="E6" s="38">
        <v>7</v>
      </c>
      <c r="F6" s="38">
        <v>0</v>
      </c>
      <c r="G6" s="38">
        <v>7</v>
      </c>
      <c r="H6" s="38">
        <v>7</v>
      </c>
      <c r="I6" s="38">
        <v>0</v>
      </c>
      <c r="J6" s="38">
        <v>7</v>
      </c>
      <c r="K6" s="38">
        <v>4</v>
      </c>
      <c r="L6" s="38">
        <v>2</v>
      </c>
      <c r="M6" s="38">
        <v>2</v>
      </c>
      <c r="N6" s="38">
        <v>3</v>
      </c>
      <c r="O6" s="38">
        <v>2</v>
      </c>
      <c r="P6" s="38">
        <v>1</v>
      </c>
      <c r="Q6" s="38">
        <v>3</v>
      </c>
      <c r="R6" s="38">
        <v>0</v>
      </c>
      <c r="S6" s="38">
        <v>3</v>
      </c>
      <c r="T6" s="38">
        <v>1</v>
      </c>
      <c r="U6" s="38">
        <v>1</v>
      </c>
      <c r="V6" s="38">
        <v>0</v>
      </c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34">
        <f t="shared" si="1"/>
        <v>45</v>
      </c>
      <c r="AM6" s="34">
        <f t="shared" si="0"/>
        <v>8</v>
      </c>
      <c r="AN6" s="34">
        <f t="shared" si="0"/>
        <v>37</v>
      </c>
    </row>
    <row r="7" spans="1:40" x14ac:dyDescent="0.25">
      <c r="A7" s="21" t="s">
        <v>4</v>
      </c>
      <c r="B7" s="43">
        <v>13</v>
      </c>
      <c r="C7" s="43">
        <v>4</v>
      </c>
      <c r="D7" s="43">
        <v>9</v>
      </c>
      <c r="E7" s="38">
        <v>8</v>
      </c>
      <c r="F7" s="38">
        <v>0</v>
      </c>
      <c r="G7" s="38">
        <v>8</v>
      </c>
      <c r="H7" s="38">
        <v>8</v>
      </c>
      <c r="I7" s="38">
        <v>0</v>
      </c>
      <c r="J7" s="38">
        <v>8</v>
      </c>
      <c r="K7" s="38">
        <v>3</v>
      </c>
      <c r="L7" s="38">
        <v>1</v>
      </c>
      <c r="M7" s="38">
        <v>2</v>
      </c>
      <c r="N7" s="38">
        <v>12</v>
      </c>
      <c r="O7" s="38">
        <v>3</v>
      </c>
      <c r="P7" s="38">
        <v>9</v>
      </c>
      <c r="Q7" s="38">
        <v>2</v>
      </c>
      <c r="R7" s="38">
        <v>1</v>
      </c>
      <c r="S7" s="38">
        <v>1</v>
      </c>
      <c r="T7" s="38">
        <v>3</v>
      </c>
      <c r="U7" s="38">
        <v>0</v>
      </c>
      <c r="V7" s="38">
        <v>3</v>
      </c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34">
        <f t="shared" si="1"/>
        <v>49</v>
      </c>
      <c r="AM7" s="34">
        <f t="shared" si="0"/>
        <v>9</v>
      </c>
      <c r="AN7" s="34">
        <f t="shared" si="0"/>
        <v>40</v>
      </c>
    </row>
    <row r="8" spans="1:40" x14ac:dyDescent="0.25">
      <c r="A8" s="21" t="s">
        <v>5</v>
      </c>
      <c r="B8" s="43">
        <v>39</v>
      </c>
      <c r="C8" s="43">
        <v>9</v>
      </c>
      <c r="D8" s="43">
        <v>30</v>
      </c>
      <c r="E8" s="38">
        <v>22</v>
      </c>
      <c r="F8" s="38">
        <v>4</v>
      </c>
      <c r="G8" s="38">
        <v>18</v>
      </c>
      <c r="H8" s="38">
        <v>22</v>
      </c>
      <c r="I8" s="38">
        <v>4</v>
      </c>
      <c r="J8" s="38">
        <v>18</v>
      </c>
      <c r="K8" s="38">
        <v>15</v>
      </c>
      <c r="L8" s="38">
        <v>2</v>
      </c>
      <c r="M8" s="38">
        <v>13</v>
      </c>
      <c r="N8" s="38">
        <v>13</v>
      </c>
      <c r="O8" s="38">
        <v>4</v>
      </c>
      <c r="P8" s="38">
        <v>9</v>
      </c>
      <c r="Q8" s="38">
        <v>21</v>
      </c>
      <c r="R8" s="38">
        <v>2</v>
      </c>
      <c r="S8" s="38">
        <v>19</v>
      </c>
      <c r="T8" s="38">
        <v>15</v>
      </c>
      <c r="U8" s="38">
        <v>3</v>
      </c>
      <c r="V8" s="38">
        <v>12</v>
      </c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34">
        <f t="shared" si="1"/>
        <v>147</v>
      </c>
      <c r="AM8" s="34">
        <f t="shared" si="0"/>
        <v>28</v>
      </c>
      <c r="AN8" s="34">
        <f t="shared" si="0"/>
        <v>119</v>
      </c>
    </row>
    <row r="9" spans="1:40" x14ac:dyDescent="0.25">
      <c r="A9" s="21" t="s">
        <v>6</v>
      </c>
      <c r="B9" s="43">
        <v>33</v>
      </c>
      <c r="C9" s="43">
        <v>8</v>
      </c>
      <c r="D9" s="43">
        <v>25</v>
      </c>
      <c r="E9" s="38">
        <v>14</v>
      </c>
      <c r="F9" s="38">
        <v>1</v>
      </c>
      <c r="G9" s="38">
        <v>13</v>
      </c>
      <c r="H9" s="38">
        <v>14</v>
      </c>
      <c r="I9" s="38">
        <v>1</v>
      </c>
      <c r="J9" s="38">
        <v>13</v>
      </c>
      <c r="K9" s="38">
        <v>5</v>
      </c>
      <c r="L9" s="38">
        <v>1</v>
      </c>
      <c r="M9" s="38">
        <v>4</v>
      </c>
      <c r="N9" s="38">
        <v>2</v>
      </c>
      <c r="O9" s="38">
        <v>0</v>
      </c>
      <c r="P9" s="38">
        <v>2</v>
      </c>
      <c r="Q9" s="38">
        <v>12</v>
      </c>
      <c r="R9" s="38">
        <v>2</v>
      </c>
      <c r="S9" s="38">
        <v>10</v>
      </c>
      <c r="T9" s="38">
        <v>9</v>
      </c>
      <c r="U9" s="38">
        <v>1</v>
      </c>
      <c r="V9" s="38">
        <v>8</v>
      </c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34">
        <f t="shared" si="1"/>
        <v>89</v>
      </c>
      <c r="AM9" s="34">
        <f t="shared" si="0"/>
        <v>14</v>
      </c>
      <c r="AN9" s="34">
        <f t="shared" si="0"/>
        <v>75</v>
      </c>
    </row>
    <row r="10" spans="1:40" x14ac:dyDescent="0.25">
      <c r="A10" s="21" t="s">
        <v>7</v>
      </c>
      <c r="B10" s="43">
        <v>423</v>
      </c>
      <c r="C10" s="43">
        <v>53</v>
      </c>
      <c r="D10" s="43">
        <v>370</v>
      </c>
      <c r="E10" s="38">
        <v>184</v>
      </c>
      <c r="F10" s="38">
        <v>20</v>
      </c>
      <c r="G10" s="38">
        <v>164</v>
      </c>
      <c r="H10" s="38">
        <v>184</v>
      </c>
      <c r="I10" s="38">
        <v>20</v>
      </c>
      <c r="J10" s="38">
        <v>164</v>
      </c>
      <c r="K10" s="38">
        <v>90</v>
      </c>
      <c r="L10" s="38">
        <v>13</v>
      </c>
      <c r="M10" s="38">
        <v>77</v>
      </c>
      <c r="N10" s="38">
        <v>16</v>
      </c>
      <c r="O10" s="38">
        <v>1</v>
      </c>
      <c r="P10" s="38">
        <v>15</v>
      </c>
      <c r="Q10" s="38">
        <v>102</v>
      </c>
      <c r="R10" s="38">
        <v>9</v>
      </c>
      <c r="S10" s="38">
        <v>93</v>
      </c>
      <c r="T10" s="38">
        <v>87</v>
      </c>
      <c r="U10" s="38">
        <v>15</v>
      </c>
      <c r="V10" s="38">
        <v>72</v>
      </c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34">
        <f t="shared" si="1"/>
        <v>1086</v>
      </c>
      <c r="AM10" s="34">
        <f t="shared" si="0"/>
        <v>131</v>
      </c>
      <c r="AN10" s="34">
        <f t="shared" si="0"/>
        <v>955</v>
      </c>
    </row>
    <row r="11" spans="1:40" x14ac:dyDescent="0.25">
      <c r="A11" s="21" t="s">
        <v>33</v>
      </c>
      <c r="B11" s="43">
        <v>38</v>
      </c>
      <c r="C11" s="43">
        <v>10</v>
      </c>
      <c r="D11" s="43">
        <v>28</v>
      </c>
      <c r="E11" s="38">
        <v>19</v>
      </c>
      <c r="F11" s="38">
        <v>3</v>
      </c>
      <c r="G11" s="38">
        <v>16</v>
      </c>
      <c r="H11" s="38">
        <v>19</v>
      </c>
      <c r="I11" s="38">
        <v>3</v>
      </c>
      <c r="J11" s="38">
        <v>16</v>
      </c>
      <c r="K11" s="38">
        <v>11</v>
      </c>
      <c r="L11" s="38">
        <v>3</v>
      </c>
      <c r="M11" s="38">
        <v>8</v>
      </c>
      <c r="N11" s="38">
        <v>11</v>
      </c>
      <c r="O11" s="38">
        <v>1</v>
      </c>
      <c r="P11" s="38">
        <v>10</v>
      </c>
      <c r="Q11" s="38">
        <v>9</v>
      </c>
      <c r="R11" s="38">
        <v>0</v>
      </c>
      <c r="S11" s="38">
        <v>9</v>
      </c>
      <c r="T11" s="38">
        <v>15</v>
      </c>
      <c r="U11" s="38">
        <v>2</v>
      </c>
      <c r="V11" s="38">
        <v>13</v>
      </c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34">
        <f t="shared" si="1"/>
        <v>122</v>
      </c>
      <c r="AM11" s="34">
        <f t="shared" si="0"/>
        <v>22</v>
      </c>
      <c r="AN11" s="34">
        <f t="shared" si="0"/>
        <v>100</v>
      </c>
    </row>
    <row r="12" spans="1:40" x14ac:dyDescent="0.25">
      <c r="A12" s="21" t="s">
        <v>8</v>
      </c>
      <c r="B12" s="43">
        <v>16</v>
      </c>
      <c r="C12" s="43">
        <v>3</v>
      </c>
      <c r="D12" s="43">
        <v>13</v>
      </c>
      <c r="E12" s="38">
        <v>0</v>
      </c>
      <c r="F12" s="38">
        <v>0</v>
      </c>
      <c r="G12" s="38">
        <v>0</v>
      </c>
      <c r="H12" s="38">
        <v>0</v>
      </c>
      <c r="I12" s="38">
        <v>0</v>
      </c>
      <c r="J12" s="38">
        <v>0</v>
      </c>
      <c r="K12" s="38">
        <v>5</v>
      </c>
      <c r="L12" s="38">
        <v>0</v>
      </c>
      <c r="M12" s="38">
        <v>5</v>
      </c>
      <c r="N12" s="38">
        <v>92</v>
      </c>
      <c r="O12" s="38">
        <v>4</v>
      </c>
      <c r="P12" s="38">
        <v>88</v>
      </c>
      <c r="Q12" s="38">
        <v>1</v>
      </c>
      <c r="R12" s="38">
        <v>0</v>
      </c>
      <c r="S12" s="38">
        <v>1</v>
      </c>
      <c r="T12" s="38">
        <v>2</v>
      </c>
      <c r="U12" s="38">
        <v>0</v>
      </c>
      <c r="V12" s="38">
        <v>2</v>
      </c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34">
        <f t="shared" si="1"/>
        <v>116</v>
      </c>
      <c r="AM12" s="34">
        <f t="shared" si="0"/>
        <v>7</v>
      </c>
      <c r="AN12" s="34">
        <f t="shared" si="0"/>
        <v>109</v>
      </c>
    </row>
    <row r="13" spans="1:40" x14ac:dyDescent="0.25">
      <c r="A13" s="21" t="s">
        <v>9</v>
      </c>
      <c r="B13" s="43">
        <v>21</v>
      </c>
      <c r="C13" s="43">
        <v>8</v>
      </c>
      <c r="D13" s="43">
        <v>13</v>
      </c>
      <c r="E13" s="38">
        <v>11</v>
      </c>
      <c r="F13" s="38">
        <v>2</v>
      </c>
      <c r="G13" s="38">
        <v>9</v>
      </c>
      <c r="H13" s="38">
        <v>11</v>
      </c>
      <c r="I13" s="38">
        <v>2</v>
      </c>
      <c r="J13" s="38">
        <v>9</v>
      </c>
      <c r="K13" s="38">
        <v>5</v>
      </c>
      <c r="L13" s="38">
        <v>0</v>
      </c>
      <c r="M13" s="38">
        <v>5</v>
      </c>
      <c r="N13" s="38">
        <v>6</v>
      </c>
      <c r="O13" s="38">
        <v>0</v>
      </c>
      <c r="P13" s="38">
        <v>6</v>
      </c>
      <c r="Q13" s="38">
        <v>9</v>
      </c>
      <c r="R13" s="38">
        <v>0</v>
      </c>
      <c r="S13" s="38">
        <v>9</v>
      </c>
      <c r="T13" s="38">
        <v>10</v>
      </c>
      <c r="U13" s="38">
        <v>1</v>
      </c>
      <c r="V13" s="38">
        <v>9</v>
      </c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34">
        <f t="shared" si="1"/>
        <v>73</v>
      </c>
      <c r="AM13" s="34">
        <f t="shared" si="0"/>
        <v>13</v>
      </c>
      <c r="AN13" s="34">
        <f t="shared" si="0"/>
        <v>60</v>
      </c>
    </row>
    <row r="14" spans="1:40" x14ac:dyDescent="0.25">
      <c r="A14" s="21" t="s">
        <v>10</v>
      </c>
      <c r="B14" s="43">
        <v>75</v>
      </c>
      <c r="C14" s="43">
        <v>16</v>
      </c>
      <c r="D14" s="43">
        <v>59</v>
      </c>
      <c r="E14" s="38">
        <v>50</v>
      </c>
      <c r="F14" s="38">
        <v>11</v>
      </c>
      <c r="G14" s="38">
        <v>39</v>
      </c>
      <c r="H14" s="38">
        <v>50</v>
      </c>
      <c r="I14" s="38">
        <v>11</v>
      </c>
      <c r="J14" s="38">
        <v>39</v>
      </c>
      <c r="K14" s="38">
        <v>29</v>
      </c>
      <c r="L14" s="38">
        <v>6</v>
      </c>
      <c r="M14" s="38">
        <v>23</v>
      </c>
      <c r="N14" s="38">
        <v>28</v>
      </c>
      <c r="O14" s="38">
        <v>3</v>
      </c>
      <c r="P14" s="38">
        <v>25</v>
      </c>
      <c r="Q14" s="38">
        <v>25</v>
      </c>
      <c r="R14" s="38">
        <v>4</v>
      </c>
      <c r="S14" s="38">
        <v>21</v>
      </c>
      <c r="T14" s="38">
        <v>33</v>
      </c>
      <c r="U14" s="38">
        <v>7</v>
      </c>
      <c r="V14" s="38">
        <v>26</v>
      </c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34">
        <f t="shared" si="1"/>
        <v>290</v>
      </c>
      <c r="AM14" s="34">
        <f t="shared" si="0"/>
        <v>58</v>
      </c>
      <c r="AN14" s="34">
        <f t="shared" si="0"/>
        <v>232</v>
      </c>
    </row>
    <row r="15" spans="1:40" x14ac:dyDescent="0.25">
      <c r="A15" s="21" t="s">
        <v>11</v>
      </c>
      <c r="B15" s="43">
        <v>26</v>
      </c>
      <c r="C15" s="43">
        <v>9</v>
      </c>
      <c r="D15" s="43">
        <v>17</v>
      </c>
      <c r="E15" s="38">
        <v>14</v>
      </c>
      <c r="F15" s="38">
        <v>4</v>
      </c>
      <c r="G15" s="38">
        <v>10</v>
      </c>
      <c r="H15" s="38">
        <v>14</v>
      </c>
      <c r="I15" s="38">
        <v>4</v>
      </c>
      <c r="J15" s="38">
        <v>10</v>
      </c>
      <c r="K15" s="38">
        <v>12</v>
      </c>
      <c r="L15" s="38">
        <v>2</v>
      </c>
      <c r="M15" s="38">
        <v>10</v>
      </c>
      <c r="N15" s="38">
        <v>13</v>
      </c>
      <c r="O15" s="38">
        <v>1</v>
      </c>
      <c r="P15" s="38">
        <v>12</v>
      </c>
      <c r="Q15" s="38">
        <v>8</v>
      </c>
      <c r="R15" s="38">
        <v>0</v>
      </c>
      <c r="S15" s="38">
        <v>8</v>
      </c>
      <c r="T15" s="38">
        <v>9</v>
      </c>
      <c r="U15" s="38">
        <v>2</v>
      </c>
      <c r="V15" s="38">
        <v>7</v>
      </c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34">
        <f t="shared" si="1"/>
        <v>96</v>
      </c>
      <c r="AM15" s="34">
        <f t="shared" si="0"/>
        <v>22</v>
      </c>
      <c r="AN15" s="34">
        <f t="shared" si="0"/>
        <v>74</v>
      </c>
    </row>
    <row r="16" spans="1:40" x14ac:dyDescent="0.25">
      <c r="A16" s="21" t="s">
        <v>12</v>
      </c>
      <c r="B16" s="43">
        <v>46</v>
      </c>
      <c r="C16" s="43">
        <v>11</v>
      </c>
      <c r="D16" s="43">
        <v>35</v>
      </c>
      <c r="E16" s="38">
        <v>20</v>
      </c>
      <c r="F16" s="38">
        <v>2</v>
      </c>
      <c r="G16" s="38">
        <v>18</v>
      </c>
      <c r="H16" s="38">
        <v>20</v>
      </c>
      <c r="I16" s="38">
        <v>2</v>
      </c>
      <c r="J16" s="38">
        <v>18</v>
      </c>
      <c r="K16" s="38">
        <v>10</v>
      </c>
      <c r="L16" s="38">
        <v>3</v>
      </c>
      <c r="M16" s="38">
        <v>7</v>
      </c>
      <c r="N16" s="38">
        <v>18</v>
      </c>
      <c r="O16" s="38">
        <v>5</v>
      </c>
      <c r="P16" s="38">
        <v>13</v>
      </c>
      <c r="Q16" s="38">
        <v>18</v>
      </c>
      <c r="R16" s="38">
        <v>2</v>
      </c>
      <c r="S16" s="38">
        <v>16</v>
      </c>
      <c r="T16" s="38">
        <v>16</v>
      </c>
      <c r="U16" s="38">
        <v>3</v>
      </c>
      <c r="V16" s="38">
        <v>13</v>
      </c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34">
        <f t="shared" si="1"/>
        <v>148</v>
      </c>
      <c r="AM16" s="34">
        <f t="shared" si="0"/>
        <v>28</v>
      </c>
      <c r="AN16" s="34">
        <f t="shared" si="0"/>
        <v>120</v>
      </c>
    </row>
    <row r="17" spans="1:40" x14ac:dyDescent="0.25">
      <c r="A17" s="21" t="s">
        <v>13</v>
      </c>
      <c r="B17" s="43">
        <v>163</v>
      </c>
      <c r="C17" s="43">
        <v>31</v>
      </c>
      <c r="D17" s="43">
        <v>132</v>
      </c>
      <c r="E17" s="38">
        <v>75</v>
      </c>
      <c r="F17" s="38">
        <v>12</v>
      </c>
      <c r="G17" s="38">
        <v>63</v>
      </c>
      <c r="H17" s="38">
        <v>75</v>
      </c>
      <c r="I17" s="38">
        <v>12</v>
      </c>
      <c r="J17" s="38">
        <v>63</v>
      </c>
      <c r="K17" s="38">
        <v>36</v>
      </c>
      <c r="L17" s="38">
        <v>6</v>
      </c>
      <c r="M17" s="38">
        <v>30</v>
      </c>
      <c r="N17" s="38">
        <v>46</v>
      </c>
      <c r="O17" s="38">
        <v>6</v>
      </c>
      <c r="P17" s="38">
        <v>40</v>
      </c>
      <c r="Q17" s="38">
        <v>33</v>
      </c>
      <c r="R17" s="38">
        <v>2</v>
      </c>
      <c r="S17" s="38">
        <v>31</v>
      </c>
      <c r="T17" s="38">
        <v>34</v>
      </c>
      <c r="U17" s="38">
        <v>3</v>
      </c>
      <c r="V17" s="38">
        <v>31</v>
      </c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34">
        <f t="shared" si="1"/>
        <v>462</v>
      </c>
      <c r="AM17" s="34">
        <f t="shared" si="0"/>
        <v>72</v>
      </c>
      <c r="AN17" s="34">
        <f t="shared" si="0"/>
        <v>390</v>
      </c>
    </row>
    <row r="18" spans="1:40" x14ac:dyDescent="0.25">
      <c r="A18" s="21" t="s">
        <v>34</v>
      </c>
      <c r="B18" s="43">
        <v>377</v>
      </c>
      <c r="C18" s="43">
        <v>64</v>
      </c>
      <c r="D18" s="43">
        <v>313</v>
      </c>
      <c r="E18" s="38">
        <v>210</v>
      </c>
      <c r="F18" s="38">
        <v>36</v>
      </c>
      <c r="G18" s="38">
        <v>174</v>
      </c>
      <c r="H18" s="38">
        <v>210</v>
      </c>
      <c r="I18" s="38">
        <v>36</v>
      </c>
      <c r="J18" s="38">
        <v>174</v>
      </c>
      <c r="K18" s="38">
        <v>73</v>
      </c>
      <c r="L18" s="38">
        <v>18</v>
      </c>
      <c r="M18" s="38">
        <v>55</v>
      </c>
      <c r="N18" s="38">
        <v>148</v>
      </c>
      <c r="O18" s="38">
        <v>13</v>
      </c>
      <c r="P18" s="38">
        <v>135</v>
      </c>
      <c r="Q18" s="38">
        <v>110</v>
      </c>
      <c r="R18" s="38">
        <v>17</v>
      </c>
      <c r="S18" s="38">
        <v>93</v>
      </c>
      <c r="T18" s="38">
        <v>105</v>
      </c>
      <c r="U18" s="38">
        <v>18</v>
      </c>
      <c r="V18" s="38">
        <v>87</v>
      </c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34">
        <f t="shared" si="1"/>
        <v>1233</v>
      </c>
      <c r="AM18" s="34">
        <f t="shared" si="0"/>
        <v>202</v>
      </c>
      <c r="AN18" s="34">
        <f t="shared" si="0"/>
        <v>1031</v>
      </c>
    </row>
    <row r="19" spans="1:40" x14ac:dyDescent="0.25">
      <c r="A19" s="21" t="s">
        <v>15</v>
      </c>
      <c r="B19" s="43">
        <v>47</v>
      </c>
      <c r="C19" s="43">
        <v>6</v>
      </c>
      <c r="D19" s="43">
        <v>41</v>
      </c>
      <c r="E19" s="38">
        <v>22</v>
      </c>
      <c r="F19" s="38">
        <v>3</v>
      </c>
      <c r="G19" s="38">
        <v>19</v>
      </c>
      <c r="H19" s="38">
        <v>22</v>
      </c>
      <c r="I19" s="38">
        <v>3</v>
      </c>
      <c r="J19" s="38">
        <v>19</v>
      </c>
      <c r="K19" s="38">
        <v>11</v>
      </c>
      <c r="L19" s="38">
        <v>2</v>
      </c>
      <c r="M19" s="38">
        <v>9</v>
      </c>
      <c r="N19" s="38">
        <v>20</v>
      </c>
      <c r="O19" s="38">
        <v>1</v>
      </c>
      <c r="P19" s="38">
        <v>19</v>
      </c>
      <c r="Q19" s="38">
        <v>16</v>
      </c>
      <c r="R19" s="38">
        <v>4</v>
      </c>
      <c r="S19" s="38">
        <v>12</v>
      </c>
      <c r="T19" s="38">
        <v>17</v>
      </c>
      <c r="U19" s="38">
        <v>6</v>
      </c>
      <c r="V19" s="38">
        <v>11</v>
      </c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34">
        <f t="shared" si="1"/>
        <v>155</v>
      </c>
      <c r="AM19" s="34">
        <f t="shared" si="0"/>
        <v>25</v>
      </c>
      <c r="AN19" s="34">
        <f t="shared" si="0"/>
        <v>130</v>
      </c>
    </row>
    <row r="20" spans="1:40" x14ac:dyDescent="0.25">
      <c r="A20" s="21" t="s">
        <v>16</v>
      </c>
      <c r="B20" s="43">
        <v>49</v>
      </c>
      <c r="C20" s="43">
        <v>2</v>
      </c>
      <c r="D20" s="43">
        <v>47</v>
      </c>
      <c r="E20" s="38">
        <v>34</v>
      </c>
      <c r="F20" s="38">
        <v>2</v>
      </c>
      <c r="G20" s="38">
        <v>32</v>
      </c>
      <c r="H20" s="38">
        <v>34</v>
      </c>
      <c r="I20" s="38">
        <v>2</v>
      </c>
      <c r="J20" s="38">
        <v>32</v>
      </c>
      <c r="K20" s="38">
        <v>23</v>
      </c>
      <c r="L20" s="38">
        <v>2</v>
      </c>
      <c r="M20" s="38">
        <v>21</v>
      </c>
      <c r="N20" s="38">
        <v>16</v>
      </c>
      <c r="O20" s="38">
        <v>2</v>
      </c>
      <c r="P20" s="38">
        <v>14</v>
      </c>
      <c r="Q20" s="38">
        <v>21</v>
      </c>
      <c r="R20" s="38">
        <v>1</v>
      </c>
      <c r="S20" s="38">
        <v>20</v>
      </c>
      <c r="T20" s="38">
        <v>27</v>
      </c>
      <c r="U20" s="38">
        <v>2</v>
      </c>
      <c r="V20" s="38">
        <v>25</v>
      </c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34">
        <f t="shared" si="1"/>
        <v>204</v>
      </c>
      <c r="AM20" s="34">
        <f t="shared" si="1"/>
        <v>13</v>
      </c>
      <c r="AN20" s="34">
        <f t="shared" si="1"/>
        <v>191</v>
      </c>
    </row>
    <row r="21" spans="1:40" x14ac:dyDescent="0.25">
      <c r="A21" s="21" t="s">
        <v>17</v>
      </c>
      <c r="B21" s="43">
        <v>8</v>
      </c>
      <c r="C21" s="43">
        <v>2</v>
      </c>
      <c r="D21" s="43">
        <v>6</v>
      </c>
      <c r="E21" s="38">
        <v>7</v>
      </c>
      <c r="F21" s="38">
        <v>1</v>
      </c>
      <c r="G21" s="38">
        <v>6</v>
      </c>
      <c r="H21" s="38">
        <v>7</v>
      </c>
      <c r="I21" s="38">
        <v>1</v>
      </c>
      <c r="J21" s="38">
        <v>6</v>
      </c>
      <c r="K21" s="38">
        <v>5</v>
      </c>
      <c r="L21" s="38">
        <v>0</v>
      </c>
      <c r="M21" s="38">
        <v>5</v>
      </c>
      <c r="N21" s="38">
        <v>3</v>
      </c>
      <c r="O21" s="38">
        <v>0</v>
      </c>
      <c r="P21" s="38">
        <v>3</v>
      </c>
      <c r="Q21" s="38">
        <v>7</v>
      </c>
      <c r="R21" s="38">
        <v>0</v>
      </c>
      <c r="S21" s="38">
        <v>7</v>
      </c>
      <c r="T21" s="38">
        <v>3</v>
      </c>
      <c r="U21" s="38">
        <v>0</v>
      </c>
      <c r="V21" s="38">
        <v>3</v>
      </c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34">
        <f t="shared" si="1"/>
        <v>40</v>
      </c>
      <c r="AM21" s="34">
        <f t="shared" si="1"/>
        <v>4</v>
      </c>
      <c r="AN21" s="34">
        <f t="shared" si="1"/>
        <v>36</v>
      </c>
    </row>
    <row r="22" spans="1:40" x14ac:dyDescent="0.25">
      <c r="A22" s="21" t="s">
        <v>35</v>
      </c>
      <c r="B22" s="43">
        <v>126</v>
      </c>
      <c r="C22" s="43">
        <v>28</v>
      </c>
      <c r="D22" s="43">
        <v>98</v>
      </c>
      <c r="E22" s="38">
        <v>44</v>
      </c>
      <c r="F22" s="38">
        <v>9</v>
      </c>
      <c r="G22" s="38">
        <v>35</v>
      </c>
      <c r="H22" s="38">
        <v>44</v>
      </c>
      <c r="I22" s="38">
        <v>9</v>
      </c>
      <c r="J22" s="38">
        <v>35</v>
      </c>
      <c r="K22" s="38">
        <v>20</v>
      </c>
      <c r="L22" s="38">
        <v>4</v>
      </c>
      <c r="M22" s="38">
        <v>16</v>
      </c>
      <c r="N22" s="38">
        <v>24</v>
      </c>
      <c r="O22" s="38">
        <v>5</v>
      </c>
      <c r="P22" s="38">
        <v>19</v>
      </c>
      <c r="Q22" s="38">
        <v>23</v>
      </c>
      <c r="R22" s="38">
        <v>5</v>
      </c>
      <c r="S22" s="38">
        <v>18</v>
      </c>
      <c r="T22" s="38">
        <v>21</v>
      </c>
      <c r="U22" s="38">
        <v>3</v>
      </c>
      <c r="V22" s="38">
        <v>18</v>
      </c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34">
        <f t="shared" si="1"/>
        <v>302</v>
      </c>
      <c r="AM22" s="34">
        <f t="shared" si="1"/>
        <v>63</v>
      </c>
      <c r="AN22" s="34">
        <f t="shared" si="1"/>
        <v>239</v>
      </c>
    </row>
    <row r="23" spans="1:40" x14ac:dyDescent="0.25">
      <c r="A23" s="21" t="s">
        <v>19</v>
      </c>
      <c r="B23" s="43">
        <v>41</v>
      </c>
      <c r="C23" s="43">
        <v>5</v>
      </c>
      <c r="D23" s="43">
        <v>36</v>
      </c>
      <c r="E23" s="38">
        <v>21</v>
      </c>
      <c r="F23" s="38">
        <v>4</v>
      </c>
      <c r="G23" s="38">
        <v>17</v>
      </c>
      <c r="H23" s="38">
        <v>21</v>
      </c>
      <c r="I23" s="38">
        <v>4</v>
      </c>
      <c r="J23" s="38">
        <v>17</v>
      </c>
      <c r="K23" s="38">
        <v>11</v>
      </c>
      <c r="L23" s="38">
        <v>1</v>
      </c>
      <c r="M23" s="38">
        <v>10</v>
      </c>
      <c r="N23" s="38">
        <v>12</v>
      </c>
      <c r="O23" s="38">
        <v>2</v>
      </c>
      <c r="P23" s="38">
        <v>10</v>
      </c>
      <c r="Q23" s="38">
        <v>11</v>
      </c>
      <c r="R23" s="38">
        <v>1</v>
      </c>
      <c r="S23" s="38">
        <v>10</v>
      </c>
      <c r="T23" s="38">
        <v>6</v>
      </c>
      <c r="U23" s="38">
        <v>1</v>
      </c>
      <c r="V23" s="38">
        <v>5</v>
      </c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34">
        <f t="shared" si="1"/>
        <v>123</v>
      </c>
      <c r="AM23" s="34">
        <f t="shared" si="1"/>
        <v>18</v>
      </c>
      <c r="AN23" s="34">
        <f t="shared" si="1"/>
        <v>105</v>
      </c>
    </row>
    <row r="24" spans="1:40" x14ac:dyDescent="0.25">
      <c r="A24" s="21" t="s">
        <v>20</v>
      </c>
      <c r="B24" s="43">
        <v>58</v>
      </c>
      <c r="C24" s="43">
        <v>7</v>
      </c>
      <c r="D24" s="43">
        <v>51</v>
      </c>
      <c r="E24" s="38">
        <v>49</v>
      </c>
      <c r="F24" s="38">
        <v>13</v>
      </c>
      <c r="G24" s="38">
        <v>36</v>
      </c>
      <c r="H24" s="38">
        <v>49</v>
      </c>
      <c r="I24" s="38">
        <v>13</v>
      </c>
      <c r="J24" s="38">
        <v>36</v>
      </c>
      <c r="K24" s="38">
        <v>22</v>
      </c>
      <c r="L24" s="38">
        <v>5</v>
      </c>
      <c r="M24" s="38">
        <v>17</v>
      </c>
      <c r="N24" s="38">
        <v>25</v>
      </c>
      <c r="O24" s="38">
        <v>5</v>
      </c>
      <c r="P24" s="38">
        <v>20</v>
      </c>
      <c r="Q24" s="38">
        <v>21</v>
      </c>
      <c r="R24" s="38">
        <v>0</v>
      </c>
      <c r="S24" s="38">
        <v>21</v>
      </c>
      <c r="T24" s="38">
        <v>21</v>
      </c>
      <c r="U24" s="38">
        <v>4</v>
      </c>
      <c r="V24" s="38">
        <v>17</v>
      </c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34">
        <f t="shared" si="1"/>
        <v>245</v>
      </c>
      <c r="AM24" s="34">
        <f t="shared" si="1"/>
        <v>47</v>
      </c>
      <c r="AN24" s="34">
        <f t="shared" si="1"/>
        <v>198</v>
      </c>
    </row>
    <row r="25" spans="1:40" x14ac:dyDescent="0.25">
      <c r="A25" s="21" t="s">
        <v>21</v>
      </c>
      <c r="B25" s="43">
        <v>72</v>
      </c>
      <c r="C25" s="43">
        <v>4</v>
      </c>
      <c r="D25" s="43">
        <v>68</v>
      </c>
      <c r="E25" s="38">
        <v>32</v>
      </c>
      <c r="F25" s="38">
        <v>5</v>
      </c>
      <c r="G25" s="38">
        <v>27</v>
      </c>
      <c r="H25" s="38">
        <v>32</v>
      </c>
      <c r="I25" s="38">
        <v>5</v>
      </c>
      <c r="J25" s="38">
        <v>27</v>
      </c>
      <c r="K25" s="38">
        <v>14</v>
      </c>
      <c r="L25" s="38">
        <v>5</v>
      </c>
      <c r="M25" s="38">
        <v>9</v>
      </c>
      <c r="N25" s="38">
        <v>9</v>
      </c>
      <c r="O25" s="38">
        <v>1</v>
      </c>
      <c r="P25" s="38">
        <v>8</v>
      </c>
      <c r="Q25" s="38">
        <v>13</v>
      </c>
      <c r="R25" s="38">
        <v>2</v>
      </c>
      <c r="S25" s="38">
        <v>11</v>
      </c>
      <c r="T25" s="38">
        <v>10</v>
      </c>
      <c r="U25" s="38">
        <v>3</v>
      </c>
      <c r="V25" s="38">
        <v>7</v>
      </c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34">
        <f t="shared" si="1"/>
        <v>182</v>
      </c>
      <c r="AM25" s="34">
        <f t="shared" si="1"/>
        <v>25</v>
      </c>
      <c r="AN25" s="34">
        <f t="shared" si="1"/>
        <v>157</v>
      </c>
    </row>
    <row r="26" spans="1:40" x14ac:dyDescent="0.25">
      <c r="A26" s="21" t="s">
        <v>22</v>
      </c>
      <c r="B26" s="43">
        <v>32</v>
      </c>
      <c r="C26" s="43">
        <v>7</v>
      </c>
      <c r="D26" s="43">
        <v>25</v>
      </c>
      <c r="E26" s="38">
        <v>8</v>
      </c>
      <c r="F26" s="38">
        <v>0</v>
      </c>
      <c r="G26" s="38">
        <v>8</v>
      </c>
      <c r="H26" s="38">
        <v>8</v>
      </c>
      <c r="I26" s="38">
        <v>0</v>
      </c>
      <c r="J26" s="38">
        <v>8</v>
      </c>
      <c r="K26" s="38">
        <v>6</v>
      </c>
      <c r="L26" s="38">
        <v>2</v>
      </c>
      <c r="M26" s="38">
        <v>4</v>
      </c>
      <c r="N26" s="38">
        <v>15</v>
      </c>
      <c r="O26" s="38">
        <v>4</v>
      </c>
      <c r="P26" s="38">
        <v>11</v>
      </c>
      <c r="Q26" s="38">
        <v>15</v>
      </c>
      <c r="R26" s="38">
        <v>2</v>
      </c>
      <c r="S26" s="38">
        <v>13</v>
      </c>
      <c r="T26" s="38">
        <v>7</v>
      </c>
      <c r="U26" s="38">
        <v>1</v>
      </c>
      <c r="V26" s="38">
        <v>6</v>
      </c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34">
        <f t="shared" si="1"/>
        <v>91</v>
      </c>
      <c r="AM26" s="34">
        <f t="shared" si="1"/>
        <v>16</v>
      </c>
      <c r="AN26" s="34">
        <f t="shared" si="1"/>
        <v>75</v>
      </c>
    </row>
    <row r="27" spans="1:40" x14ac:dyDescent="0.25">
      <c r="A27" s="21" t="s">
        <v>23</v>
      </c>
      <c r="B27" s="43">
        <v>79</v>
      </c>
      <c r="C27" s="43">
        <v>25</v>
      </c>
      <c r="D27" s="43">
        <v>54</v>
      </c>
      <c r="E27" s="38">
        <v>72</v>
      </c>
      <c r="F27" s="38">
        <v>21</v>
      </c>
      <c r="G27" s="38">
        <v>51</v>
      </c>
      <c r="H27" s="38">
        <v>72</v>
      </c>
      <c r="I27" s="38">
        <v>21</v>
      </c>
      <c r="J27" s="38">
        <v>51</v>
      </c>
      <c r="K27" s="38">
        <v>50</v>
      </c>
      <c r="L27" s="38">
        <v>24</v>
      </c>
      <c r="M27" s="38">
        <v>26</v>
      </c>
      <c r="N27" s="38">
        <v>22</v>
      </c>
      <c r="O27" s="38">
        <v>15</v>
      </c>
      <c r="P27" s="38">
        <v>7</v>
      </c>
      <c r="Q27" s="38">
        <v>15</v>
      </c>
      <c r="R27" s="38">
        <v>5</v>
      </c>
      <c r="S27" s="38">
        <v>10</v>
      </c>
      <c r="T27" s="38">
        <v>9</v>
      </c>
      <c r="U27" s="38">
        <v>1</v>
      </c>
      <c r="V27" s="38">
        <v>8</v>
      </c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34">
        <f t="shared" si="1"/>
        <v>319</v>
      </c>
      <c r="AM27" s="34">
        <f t="shared" si="1"/>
        <v>112</v>
      </c>
      <c r="AN27" s="34">
        <f t="shared" si="1"/>
        <v>207</v>
      </c>
    </row>
    <row r="28" spans="1:40" x14ac:dyDescent="0.25">
      <c r="A28" s="21" t="s">
        <v>24</v>
      </c>
      <c r="B28" s="43">
        <v>183</v>
      </c>
      <c r="C28" s="43">
        <v>37</v>
      </c>
      <c r="D28" s="43">
        <v>146</v>
      </c>
      <c r="E28" s="38">
        <v>199</v>
      </c>
      <c r="F28" s="38">
        <v>42</v>
      </c>
      <c r="G28" s="38">
        <v>157</v>
      </c>
      <c r="H28" s="38">
        <v>199</v>
      </c>
      <c r="I28" s="38">
        <v>42</v>
      </c>
      <c r="J28" s="38">
        <v>157</v>
      </c>
      <c r="K28" s="38">
        <v>310</v>
      </c>
      <c r="L28" s="38">
        <v>41</v>
      </c>
      <c r="M28" s="38">
        <v>269</v>
      </c>
      <c r="N28" s="38">
        <v>229</v>
      </c>
      <c r="O28" s="38">
        <v>29</v>
      </c>
      <c r="P28" s="38">
        <v>200</v>
      </c>
      <c r="Q28" s="38">
        <v>14</v>
      </c>
      <c r="R28" s="38">
        <v>2</v>
      </c>
      <c r="S28" s="38">
        <v>12</v>
      </c>
      <c r="T28" s="38">
        <v>12</v>
      </c>
      <c r="U28" s="38">
        <v>3</v>
      </c>
      <c r="V28" s="38">
        <v>9</v>
      </c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34">
        <f t="shared" si="1"/>
        <v>1146</v>
      </c>
      <c r="AM28" s="34">
        <f t="shared" si="1"/>
        <v>196</v>
      </c>
      <c r="AN28" s="34">
        <f t="shared" si="1"/>
        <v>950</v>
      </c>
    </row>
    <row r="29" spans="1:40" x14ac:dyDescent="0.25">
      <c r="A29" s="21" t="s">
        <v>25</v>
      </c>
      <c r="B29" s="43">
        <v>752</v>
      </c>
      <c r="C29" s="43">
        <v>110</v>
      </c>
      <c r="D29" s="43">
        <v>642</v>
      </c>
      <c r="E29" s="38">
        <v>734</v>
      </c>
      <c r="F29" s="38">
        <v>124</v>
      </c>
      <c r="G29" s="38">
        <v>610</v>
      </c>
      <c r="H29" s="38">
        <v>734</v>
      </c>
      <c r="I29" s="38">
        <v>124</v>
      </c>
      <c r="J29" s="38">
        <v>610</v>
      </c>
      <c r="K29" s="38">
        <v>516</v>
      </c>
      <c r="L29" s="38">
        <v>99</v>
      </c>
      <c r="M29" s="38">
        <v>417</v>
      </c>
      <c r="N29" s="38">
        <v>594</v>
      </c>
      <c r="O29" s="38">
        <v>147</v>
      </c>
      <c r="P29" s="38">
        <v>447</v>
      </c>
      <c r="Q29" s="38">
        <v>5</v>
      </c>
      <c r="R29" s="38">
        <v>1</v>
      </c>
      <c r="S29" s="38">
        <v>4</v>
      </c>
      <c r="T29" s="38">
        <v>10</v>
      </c>
      <c r="U29" s="38">
        <v>0</v>
      </c>
      <c r="V29" s="38">
        <v>10</v>
      </c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34">
        <f t="shared" si="1"/>
        <v>3345</v>
      </c>
      <c r="AM29" s="34">
        <f t="shared" si="1"/>
        <v>605</v>
      </c>
      <c r="AN29" s="34">
        <f t="shared" si="1"/>
        <v>2740</v>
      </c>
    </row>
    <row r="30" spans="1:40" x14ac:dyDescent="0.25">
      <c r="A30" s="21" t="s">
        <v>26</v>
      </c>
      <c r="B30" s="43">
        <v>282</v>
      </c>
      <c r="C30" s="43">
        <v>58</v>
      </c>
      <c r="D30" s="43">
        <v>224</v>
      </c>
      <c r="E30" s="38">
        <v>261</v>
      </c>
      <c r="F30" s="38">
        <v>59</v>
      </c>
      <c r="G30" s="38">
        <v>202</v>
      </c>
      <c r="H30" s="38">
        <v>261</v>
      </c>
      <c r="I30" s="38">
        <v>59</v>
      </c>
      <c r="J30" s="38">
        <v>202</v>
      </c>
      <c r="K30" s="38">
        <v>424</v>
      </c>
      <c r="L30" s="38">
        <v>95</v>
      </c>
      <c r="M30" s="38">
        <v>329</v>
      </c>
      <c r="N30" s="38">
        <v>369</v>
      </c>
      <c r="O30" s="38">
        <v>63</v>
      </c>
      <c r="P30" s="38">
        <v>306</v>
      </c>
      <c r="Q30" s="38">
        <v>9</v>
      </c>
      <c r="R30" s="38">
        <v>1</v>
      </c>
      <c r="S30" s="38">
        <v>8</v>
      </c>
      <c r="T30" s="38">
        <v>10</v>
      </c>
      <c r="U30" s="38">
        <v>1</v>
      </c>
      <c r="V30" s="38">
        <v>9</v>
      </c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34">
        <f t="shared" si="1"/>
        <v>1616</v>
      </c>
      <c r="AM30" s="34">
        <f t="shared" si="1"/>
        <v>336</v>
      </c>
      <c r="AN30" s="34">
        <f t="shared" si="1"/>
        <v>1280</v>
      </c>
    </row>
    <row r="31" spans="1:40" x14ac:dyDescent="0.25">
      <c r="A31" s="21" t="s">
        <v>27</v>
      </c>
      <c r="B31" s="43">
        <v>29</v>
      </c>
      <c r="C31" s="43">
        <v>7</v>
      </c>
      <c r="D31" s="43">
        <v>22</v>
      </c>
      <c r="E31" s="38">
        <v>16</v>
      </c>
      <c r="F31" s="38">
        <v>9</v>
      </c>
      <c r="G31" s="38">
        <v>7</v>
      </c>
      <c r="H31" s="38">
        <v>16</v>
      </c>
      <c r="I31" s="38">
        <v>9</v>
      </c>
      <c r="J31" s="38">
        <v>7</v>
      </c>
      <c r="K31" s="38">
        <v>5</v>
      </c>
      <c r="L31" s="38">
        <v>0</v>
      </c>
      <c r="M31" s="38">
        <v>5</v>
      </c>
      <c r="N31" s="38">
        <v>7</v>
      </c>
      <c r="O31" s="38">
        <v>1</v>
      </c>
      <c r="P31" s="38">
        <v>6</v>
      </c>
      <c r="Q31" s="38">
        <v>9</v>
      </c>
      <c r="R31" s="38">
        <v>3</v>
      </c>
      <c r="S31" s="38">
        <v>6</v>
      </c>
      <c r="T31" s="38">
        <v>5</v>
      </c>
      <c r="U31" s="38">
        <v>0</v>
      </c>
      <c r="V31" s="38">
        <v>5</v>
      </c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34">
        <f t="shared" si="1"/>
        <v>87</v>
      </c>
      <c r="AM31" s="34">
        <f t="shared" si="1"/>
        <v>29</v>
      </c>
      <c r="AN31" s="34">
        <f t="shared" si="1"/>
        <v>58</v>
      </c>
    </row>
    <row r="32" spans="1:40" x14ac:dyDescent="0.25">
      <c r="A32" s="21" t="s">
        <v>28</v>
      </c>
      <c r="B32" s="43">
        <v>23</v>
      </c>
      <c r="C32" s="43">
        <v>2</v>
      </c>
      <c r="D32" s="43">
        <v>21</v>
      </c>
      <c r="E32" s="38">
        <v>6</v>
      </c>
      <c r="F32" s="38">
        <v>1</v>
      </c>
      <c r="G32" s="38">
        <v>5</v>
      </c>
      <c r="H32" s="38">
        <v>6</v>
      </c>
      <c r="I32" s="38">
        <v>1</v>
      </c>
      <c r="J32" s="38">
        <v>5</v>
      </c>
      <c r="K32" s="38">
        <v>3</v>
      </c>
      <c r="L32" s="38">
        <v>1</v>
      </c>
      <c r="M32" s="38">
        <v>2</v>
      </c>
      <c r="N32" s="38">
        <v>8</v>
      </c>
      <c r="O32" s="38">
        <v>1</v>
      </c>
      <c r="P32" s="38">
        <v>7</v>
      </c>
      <c r="Q32" s="38">
        <v>8</v>
      </c>
      <c r="R32" s="38">
        <v>2</v>
      </c>
      <c r="S32" s="38">
        <v>6</v>
      </c>
      <c r="T32" s="38">
        <v>2</v>
      </c>
      <c r="U32" s="38">
        <v>0</v>
      </c>
      <c r="V32" s="38">
        <v>2</v>
      </c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34">
        <f t="shared" si="1"/>
        <v>56</v>
      </c>
      <c r="AM32" s="34">
        <f t="shared" si="1"/>
        <v>8</v>
      </c>
      <c r="AN32" s="34">
        <f t="shared" si="1"/>
        <v>48</v>
      </c>
    </row>
    <row r="33" spans="1:40" x14ac:dyDescent="0.25">
      <c r="A33" s="21" t="s">
        <v>29</v>
      </c>
      <c r="B33" s="43">
        <v>73</v>
      </c>
      <c r="C33" s="43">
        <v>14</v>
      </c>
      <c r="D33" s="43">
        <v>59</v>
      </c>
      <c r="E33" s="38">
        <v>49</v>
      </c>
      <c r="F33" s="38">
        <v>13</v>
      </c>
      <c r="G33" s="38">
        <v>36</v>
      </c>
      <c r="H33" s="38">
        <v>49</v>
      </c>
      <c r="I33" s="38">
        <v>13</v>
      </c>
      <c r="J33" s="38">
        <v>36</v>
      </c>
      <c r="K33" s="38">
        <v>28</v>
      </c>
      <c r="L33" s="38">
        <v>5</v>
      </c>
      <c r="M33" s="38">
        <v>23</v>
      </c>
      <c r="N33" s="38">
        <v>32</v>
      </c>
      <c r="O33" s="38">
        <v>4</v>
      </c>
      <c r="P33" s="38">
        <v>28</v>
      </c>
      <c r="Q33" s="38">
        <v>40</v>
      </c>
      <c r="R33" s="38">
        <v>5</v>
      </c>
      <c r="S33" s="38">
        <v>35</v>
      </c>
      <c r="T33" s="38">
        <v>41</v>
      </c>
      <c r="U33" s="38">
        <v>4</v>
      </c>
      <c r="V33" s="38">
        <v>37</v>
      </c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34">
        <f t="shared" si="1"/>
        <v>312</v>
      </c>
      <c r="AM33" s="34">
        <f t="shared" si="1"/>
        <v>58</v>
      </c>
      <c r="AN33" s="34">
        <f t="shared" si="1"/>
        <v>254</v>
      </c>
    </row>
    <row r="34" spans="1:40" x14ac:dyDescent="0.25">
      <c r="A34" s="21" t="s">
        <v>30</v>
      </c>
      <c r="B34" s="43">
        <v>37</v>
      </c>
      <c r="C34" s="43">
        <v>3</v>
      </c>
      <c r="D34" s="43">
        <v>34</v>
      </c>
      <c r="E34" s="38">
        <v>16</v>
      </c>
      <c r="F34" s="38">
        <v>5</v>
      </c>
      <c r="G34" s="38">
        <v>11</v>
      </c>
      <c r="H34" s="38">
        <v>16</v>
      </c>
      <c r="I34" s="38">
        <v>5</v>
      </c>
      <c r="J34" s="38">
        <v>11</v>
      </c>
      <c r="K34" s="38">
        <v>2</v>
      </c>
      <c r="L34" s="38">
        <v>0</v>
      </c>
      <c r="M34" s="38">
        <v>2</v>
      </c>
      <c r="N34" s="38">
        <v>4</v>
      </c>
      <c r="O34" s="38">
        <v>2</v>
      </c>
      <c r="P34" s="38">
        <v>2</v>
      </c>
      <c r="Q34" s="38">
        <v>12</v>
      </c>
      <c r="R34" s="38">
        <v>2</v>
      </c>
      <c r="S34" s="38">
        <v>10</v>
      </c>
      <c r="T34" s="38">
        <v>12</v>
      </c>
      <c r="U34" s="38">
        <v>4</v>
      </c>
      <c r="V34" s="38">
        <v>8</v>
      </c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34">
        <f t="shared" si="1"/>
        <v>99</v>
      </c>
      <c r="AM34" s="34">
        <f t="shared" si="1"/>
        <v>21</v>
      </c>
      <c r="AN34" s="34">
        <f t="shared" si="1"/>
        <v>78</v>
      </c>
    </row>
    <row r="35" spans="1:40" x14ac:dyDescent="0.25">
      <c r="A35" s="21" t="s">
        <v>31</v>
      </c>
      <c r="B35" s="43">
        <v>14</v>
      </c>
      <c r="C35" s="43">
        <v>2</v>
      </c>
      <c r="D35" s="43">
        <v>12</v>
      </c>
      <c r="E35" s="38">
        <v>11</v>
      </c>
      <c r="F35" s="38">
        <v>0</v>
      </c>
      <c r="G35" s="38">
        <v>11</v>
      </c>
      <c r="H35" s="38">
        <v>11</v>
      </c>
      <c r="I35" s="38">
        <v>0</v>
      </c>
      <c r="J35" s="38">
        <v>11</v>
      </c>
      <c r="K35" s="38">
        <v>2</v>
      </c>
      <c r="L35" s="38">
        <v>0</v>
      </c>
      <c r="M35" s="38">
        <v>2</v>
      </c>
      <c r="N35" s="38">
        <v>6</v>
      </c>
      <c r="O35" s="38">
        <v>0</v>
      </c>
      <c r="P35" s="38">
        <v>6</v>
      </c>
      <c r="Q35" s="38">
        <v>4</v>
      </c>
      <c r="R35" s="38">
        <v>0</v>
      </c>
      <c r="S35" s="38">
        <v>4</v>
      </c>
      <c r="T35" s="38">
        <v>6</v>
      </c>
      <c r="U35" s="38">
        <v>0</v>
      </c>
      <c r="V35" s="38">
        <v>6</v>
      </c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34">
        <f t="shared" si="1"/>
        <v>54</v>
      </c>
      <c r="AM35" s="34">
        <f t="shared" si="1"/>
        <v>2</v>
      </c>
      <c r="AN35" s="34">
        <f t="shared" si="1"/>
        <v>52</v>
      </c>
    </row>
    <row r="36" spans="1:40" x14ac:dyDescent="0.25">
      <c r="A36" s="25" t="s">
        <v>36</v>
      </c>
      <c r="B36" s="40">
        <f>+SUBTOTAL(9,B4:B35)</f>
        <v>3283</v>
      </c>
      <c r="C36" s="40">
        <f t="shared" ref="C36:AN36" si="2">+SUBTOTAL(9,C4:C35)</f>
        <v>565</v>
      </c>
      <c r="D36" s="40">
        <f t="shared" si="2"/>
        <v>2718</v>
      </c>
      <c r="E36" s="40">
        <f t="shared" si="2"/>
        <v>2249</v>
      </c>
      <c r="F36" s="40">
        <f t="shared" si="2"/>
        <v>411</v>
      </c>
      <c r="G36" s="40">
        <f t="shared" si="2"/>
        <v>1838</v>
      </c>
      <c r="H36" s="40">
        <f t="shared" si="2"/>
        <v>2249</v>
      </c>
      <c r="I36" s="40">
        <f t="shared" si="2"/>
        <v>411</v>
      </c>
      <c r="J36" s="40">
        <f t="shared" si="2"/>
        <v>1838</v>
      </c>
      <c r="K36" s="40">
        <f t="shared" si="2"/>
        <v>1766</v>
      </c>
      <c r="L36" s="40">
        <f t="shared" si="2"/>
        <v>347</v>
      </c>
      <c r="M36" s="40">
        <f t="shared" si="2"/>
        <v>1419</v>
      </c>
      <c r="N36" s="40">
        <f t="shared" si="2"/>
        <v>1826</v>
      </c>
      <c r="O36" s="40">
        <f t="shared" si="2"/>
        <v>332</v>
      </c>
      <c r="P36" s="40">
        <f t="shared" si="2"/>
        <v>1494</v>
      </c>
      <c r="Q36" s="40">
        <f t="shared" si="2"/>
        <v>624</v>
      </c>
      <c r="R36" s="40">
        <f t="shared" si="2"/>
        <v>78</v>
      </c>
      <c r="S36" s="40">
        <f t="shared" si="2"/>
        <v>546</v>
      </c>
      <c r="T36" s="40">
        <f t="shared" si="2"/>
        <v>575</v>
      </c>
      <c r="U36" s="40">
        <f t="shared" si="2"/>
        <v>92</v>
      </c>
      <c r="V36" s="40">
        <f t="shared" si="2"/>
        <v>483</v>
      </c>
      <c r="W36" s="24">
        <f t="shared" si="2"/>
        <v>0</v>
      </c>
      <c r="X36" s="24">
        <f t="shared" si="2"/>
        <v>0</v>
      </c>
      <c r="Y36" s="24">
        <f t="shared" si="2"/>
        <v>0</v>
      </c>
      <c r="Z36" s="24">
        <f t="shared" si="2"/>
        <v>0</v>
      </c>
      <c r="AA36" s="24">
        <f t="shared" si="2"/>
        <v>0</v>
      </c>
      <c r="AB36" s="24">
        <f t="shared" si="2"/>
        <v>0</v>
      </c>
      <c r="AC36" s="24">
        <f t="shared" si="2"/>
        <v>0</v>
      </c>
      <c r="AD36" s="24">
        <f t="shared" si="2"/>
        <v>0</v>
      </c>
      <c r="AE36" s="24">
        <f t="shared" si="2"/>
        <v>0</v>
      </c>
      <c r="AF36" s="24">
        <f t="shared" si="2"/>
        <v>0</v>
      </c>
      <c r="AG36" s="24">
        <f t="shared" si="2"/>
        <v>0</v>
      </c>
      <c r="AH36" s="24">
        <f t="shared" si="2"/>
        <v>0</v>
      </c>
      <c r="AI36" s="24">
        <f t="shared" si="2"/>
        <v>0</v>
      </c>
      <c r="AJ36" s="24">
        <f t="shared" si="2"/>
        <v>0</v>
      </c>
      <c r="AK36" s="24">
        <f t="shared" si="2"/>
        <v>0</v>
      </c>
      <c r="AL36" s="35">
        <f t="shared" si="2"/>
        <v>12572</v>
      </c>
      <c r="AM36" s="35">
        <f t="shared" si="2"/>
        <v>2236</v>
      </c>
      <c r="AN36" s="35">
        <f t="shared" si="2"/>
        <v>10336</v>
      </c>
    </row>
    <row r="37" spans="1:40" ht="30" x14ac:dyDescent="0.25">
      <c r="A37" s="50" t="s">
        <v>82</v>
      </c>
      <c r="B37" s="53"/>
      <c r="C37" s="54">
        <f>IFERROR((C36/B36),0)</f>
        <v>0.1720986902223576</v>
      </c>
      <c r="D37" s="54">
        <f>IFERROR((D36/B36),0)</f>
        <v>0.82790130977764242</v>
      </c>
      <c r="E37" s="53"/>
      <c r="F37" s="54">
        <f>IFERROR((F36/E36),0)</f>
        <v>0.18274788795020008</v>
      </c>
      <c r="G37" s="54">
        <f>IFERROR((G36/E36),0)</f>
        <v>0.81725211204979986</v>
      </c>
      <c r="H37" s="53"/>
      <c r="I37" s="54">
        <f>IFERROR((I36/H36),0)</f>
        <v>0.18274788795020008</v>
      </c>
      <c r="J37" s="54">
        <f>IFERROR((J36/H36),0)</f>
        <v>0.81725211204979986</v>
      </c>
      <c r="K37" s="53"/>
      <c r="L37" s="54">
        <f>IFERROR((L36/K36),0)</f>
        <v>0.19648924122310304</v>
      </c>
      <c r="M37" s="54">
        <f>IFERROR((M36/K36),0)</f>
        <v>0.80351075877689693</v>
      </c>
      <c r="N37" s="53"/>
      <c r="O37" s="54">
        <f>IFERROR((O36/N36),0)</f>
        <v>0.18181818181818182</v>
      </c>
      <c r="P37" s="54">
        <f>IFERROR((P36/N36),0)</f>
        <v>0.81818181818181823</v>
      </c>
      <c r="Q37" s="53"/>
      <c r="R37" s="54">
        <f>IFERROR((R36/Q36),0)</f>
        <v>0.125</v>
      </c>
      <c r="S37" s="54">
        <f>IFERROR((S36/Q36),0)</f>
        <v>0.875</v>
      </c>
      <c r="T37" s="53"/>
      <c r="U37" s="54">
        <f>IFERROR((U36/T36),0)</f>
        <v>0.16</v>
      </c>
      <c r="V37" s="54">
        <f>IFERROR((V36/T36),0)</f>
        <v>0.84</v>
      </c>
      <c r="W37" s="53"/>
      <c r="X37" s="54">
        <f>IFERROR((X36/W36),0)</f>
        <v>0</v>
      </c>
      <c r="Y37" s="54">
        <f>IFERROR((Y36/W36),0)</f>
        <v>0</v>
      </c>
      <c r="Z37" s="53"/>
      <c r="AA37" s="54">
        <f>IFERROR((AA36/Z36),0)</f>
        <v>0</v>
      </c>
      <c r="AB37" s="54">
        <f>IFERROR((AB36/Z36),0)</f>
        <v>0</v>
      </c>
      <c r="AC37" s="53"/>
      <c r="AD37" s="54">
        <f>IFERROR((AD36/AC36),0)</f>
        <v>0</v>
      </c>
      <c r="AE37" s="54">
        <f>IFERROR((AE36/AC36),0)</f>
        <v>0</v>
      </c>
      <c r="AF37" s="53"/>
      <c r="AG37" s="54">
        <f>IFERROR((AG36/AF36),0)</f>
        <v>0</v>
      </c>
      <c r="AH37" s="54">
        <f>IFERROR((AH36/AF36),0)</f>
        <v>0</v>
      </c>
      <c r="AI37" s="53"/>
      <c r="AJ37" s="54">
        <f>IFERROR((AJ36/AI36),0)</f>
        <v>0</v>
      </c>
      <c r="AK37" s="54">
        <f>IFERROR((AK36/AI36),0)</f>
        <v>0</v>
      </c>
      <c r="AL37" s="51"/>
      <c r="AM37" s="52">
        <f>IFERROR((AM36/AL36),0)</f>
        <v>0.17785555202036271</v>
      </c>
      <c r="AN37" s="52">
        <f>IFERROR((AN36/AL36),0)</f>
        <v>0.82214444797963726</v>
      </c>
    </row>
    <row r="38" spans="1:40" x14ac:dyDescent="0.25"/>
    <row r="39" spans="1:40" x14ac:dyDescent="0.25"/>
    <row r="40" spans="1:40" x14ac:dyDescent="0.25">
      <c r="A40" s="27" t="s">
        <v>74</v>
      </c>
    </row>
    <row r="41" spans="1:40" x14ac:dyDescent="0.25"/>
    <row r="42" spans="1:40" x14ac:dyDescent="0.25"/>
    <row r="43" spans="1:40" x14ac:dyDescent="0.25"/>
    <row r="44" spans="1:40" x14ac:dyDescent="0.25"/>
    <row r="45" spans="1:40" x14ac:dyDescent="0.25"/>
  </sheetData>
  <mergeCells count="15">
    <mergeCell ref="AL1:AN2"/>
    <mergeCell ref="A1:AK1"/>
    <mergeCell ref="A2:A3"/>
    <mergeCell ref="B2:D2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CA371-E3FF-4093-9B62-4C8F156FE6DC}">
  <dimension ref="A1:O36"/>
  <sheetViews>
    <sheetView showGridLines="0" workbookViewId="0">
      <selection activeCell="A37" sqref="A37:XFD1048576"/>
    </sheetView>
  </sheetViews>
  <sheetFormatPr baseColWidth="10" defaultColWidth="0" defaultRowHeight="15" zeroHeight="1" x14ac:dyDescent="0.25"/>
  <cols>
    <col min="1" max="1" width="20.140625" customWidth="1"/>
    <col min="2" max="13" width="14.140625" bestFit="1" customWidth="1"/>
    <col min="14" max="14" width="15.140625" bestFit="1" customWidth="1"/>
    <col min="15" max="15" width="11.42578125" customWidth="1"/>
    <col min="16" max="16384" width="11.42578125" hidden="1"/>
  </cols>
  <sheetData>
    <row r="1" spans="1:14" ht="45" customHeight="1" x14ac:dyDescent="0.25">
      <c r="A1" s="78" t="s">
        <v>41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9" t="s">
        <v>36</v>
      </c>
    </row>
    <row r="2" spans="1:14" x14ac:dyDescent="0.25">
      <c r="A2" s="23" t="s">
        <v>42</v>
      </c>
      <c r="B2" s="23" t="s">
        <v>43</v>
      </c>
      <c r="C2" s="23" t="s">
        <v>44</v>
      </c>
      <c r="D2" s="23" t="s">
        <v>45</v>
      </c>
      <c r="E2" s="23" t="s">
        <v>46</v>
      </c>
      <c r="F2" s="23" t="s">
        <v>47</v>
      </c>
      <c r="G2" s="23" t="s">
        <v>48</v>
      </c>
      <c r="H2" s="23" t="s">
        <v>49</v>
      </c>
      <c r="I2" s="23" t="s">
        <v>50</v>
      </c>
      <c r="J2" s="23" t="s">
        <v>51</v>
      </c>
      <c r="K2" s="23" t="s">
        <v>52</v>
      </c>
      <c r="L2" s="23" t="s">
        <v>53</v>
      </c>
      <c r="M2" s="23" t="s">
        <v>54</v>
      </c>
      <c r="N2" s="79"/>
    </row>
    <row r="3" spans="1:14" x14ac:dyDescent="0.25">
      <c r="A3" s="21" t="s">
        <v>1</v>
      </c>
      <c r="B3" s="38">
        <v>83576</v>
      </c>
      <c r="C3" s="38">
        <v>81052</v>
      </c>
      <c r="D3" s="38">
        <v>94580</v>
      </c>
      <c r="E3" s="38">
        <v>93143</v>
      </c>
      <c r="F3" s="38">
        <v>97955</v>
      </c>
      <c r="G3" s="38">
        <v>86418</v>
      </c>
      <c r="H3" s="38">
        <v>89566</v>
      </c>
      <c r="I3" s="38">
        <v>89693</v>
      </c>
      <c r="J3" s="38">
        <v>89078</v>
      </c>
      <c r="K3" s="38">
        <v>84730</v>
      </c>
      <c r="L3" s="38">
        <v>82186</v>
      </c>
      <c r="M3" s="38">
        <v>82225</v>
      </c>
      <c r="N3" s="39">
        <f>+SUM(B3:M3)</f>
        <v>1054202</v>
      </c>
    </row>
    <row r="4" spans="1:14" x14ac:dyDescent="0.25">
      <c r="A4" s="21" t="s">
        <v>32</v>
      </c>
      <c r="B4" s="38">
        <v>268251</v>
      </c>
      <c r="C4" s="38">
        <v>265790</v>
      </c>
      <c r="D4" s="38">
        <v>282538</v>
      </c>
      <c r="E4" s="38">
        <v>258291</v>
      </c>
      <c r="F4" s="38">
        <v>248078</v>
      </c>
      <c r="G4" s="38">
        <v>258702</v>
      </c>
      <c r="H4" s="38">
        <v>276802</v>
      </c>
      <c r="I4" s="38">
        <v>271193</v>
      </c>
      <c r="J4" s="38">
        <v>238725</v>
      </c>
      <c r="K4" s="38">
        <v>275966</v>
      </c>
      <c r="L4" s="38">
        <v>291721</v>
      </c>
      <c r="M4" s="38">
        <v>271480</v>
      </c>
      <c r="N4" s="39">
        <f t="shared" ref="N4:N35" si="0">+SUM(B4:M4)</f>
        <v>3207537</v>
      </c>
    </row>
    <row r="5" spans="1:14" x14ac:dyDescent="0.25">
      <c r="A5" s="21" t="s">
        <v>3</v>
      </c>
      <c r="B5" s="38">
        <v>35512</v>
      </c>
      <c r="C5" s="38">
        <v>35801</v>
      </c>
      <c r="D5" s="38">
        <v>41906</v>
      </c>
      <c r="E5" s="38">
        <v>40599</v>
      </c>
      <c r="F5" s="38">
        <v>40807</v>
      </c>
      <c r="G5" s="38">
        <v>34763</v>
      </c>
      <c r="H5" s="38">
        <v>43671</v>
      </c>
      <c r="I5" s="38">
        <v>43776</v>
      </c>
      <c r="J5" s="38">
        <v>38578</v>
      </c>
      <c r="K5" s="38">
        <v>42597</v>
      </c>
      <c r="L5" s="38">
        <v>41093</v>
      </c>
      <c r="M5" s="38">
        <v>40252</v>
      </c>
      <c r="N5" s="39">
        <f t="shared" si="0"/>
        <v>479355</v>
      </c>
    </row>
    <row r="6" spans="1:14" x14ac:dyDescent="0.25">
      <c r="A6" s="21" t="s">
        <v>4</v>
      </c>
      <c r="B6" s="38">
        <v>36125</v>
      </c>
      <c r="C6" s="38">
        <v>34434</v>
      </c>
      <c r="D6" s="38">
        <v>39831</v>
      </c>
      <c r="E6" s="38">
        <v>39380</v>
      </c>
      <c r="F6" s="38">
        <v>43086</v>
      </c>
      <c r="G6" s="38">
        <v>42395</v>
      </c>
      <c r="H6" s="38">
        <v>43389</v>
      </c>
      <c r="I6" s="38">
        <v>42757</v>
      </c>
      <c r="J6" s="38">
        <v>40119</v>
      </c>
      <c r="K6" s="38">
        <v>41876</v>
      </c>
      <c r="L6" s="38">
        <v>39346</v>
      </c>
      <c r="M6" s="38">
        <v>42651</v>
      </c>
      <c r="N6" s="39">
        <f t="shared" si="0"/>
        <v>485389</v>
      </c>
    </row>
    <row r="7" spans="1:14" x14ac:dyDescent="0.25">
      <c r="A7" s="21" t="s">
        <v>5</v>
      </c>
      <c r="B7" s="38">
        <v>37499</v>
      </c>
      <c r="C7" s="38">
        <v>44426</v>
      </c>
      <c r="D7" s="38">
        <v>44573</v>
      </c>
      <c r="E7" s="38">
        <v>46983</v>
      </c>
      <c r="F7" s="38">
        <v>36296</v>
      </c>
      <c r="G7" s="38">
        <v>28721</v>
      </c>
      <c r="H7" s="38">
        <v>29720</v>
      </c>
      <c r="I7" s="38">
        <v>39827</v>
      </c>
      <c r="J7" s="38">
        <v>55036</v>
      </c>
      <c r="K7" s="38">
        <v>55133</v>
      </c>
      <c r="L7" s="38">
        <v>53547</v>
      </c>
      <c r="M7" s="38">
        <v>60232</v>
      </c>
      <c r="N7" s="39">
        <f t="shared" si="0"/>
        <v>531993</v>
      </c>
    </row>
    <row r="8" spans="1:14" x14ac:dyDescent="0.25">
      <c r="A8" s="21" t="s">
        <v>6</v>
      </c>
      <c r="B8" s="38">
        <v>182561</v>
      </c>
      <c r="C8" s="38">
        <v>186677</v>
      </c>
      <c r="D8" s="38">
        <v>217918</v>
      </c>
      <c r="E8" s="38">
        <v>215954</v>
      </c>
      <c r="F8" s="38">
        <v>225218</v>
      </c>
      <c r="G8" s="38">
        <v>210720</v>
      </c>
      <c r="H8" s="38">
        <v>227928</v>
      </c>
      <c r="I8" s="38">
        <v>210383</v>
      </c>
      <c r="J8" s="38">
        <v>201500</v>
      </c>
      <c r="K8" s="38">
        <v>197506</v>
      </c>
      <c r="L8" s="38">
        <v>183316</v>
      </c>
      <c r="M8" s="38">
        <v>194587</v>
      </c>
      <c r="N8" s="39">
        <f t="shared" si="0"/>
        <v>2454268</v>
      </c>
    </row>
    <row r="9" spans="1:14" x14ac:dyDescent="0.25">
      <c r="A9" s="21" t="s">
        <v>7</v>
      </c>
      <c r="B9" s="38">
        <v>423581</v>
      </c>
      <c r="C9" s="38">
        <v>402676</v>
      </c>
      <c r="D9" s="38">
        <v>432419</v>
      </c>
      <c r="E9" s="38">
        <v>375485</v>
      </c>
      <c r="F9" s="38">
        <v>386440</v>
      </c>
      <c r="G9" s="38">
        <v>408993</v>
      </c>
      <c r="H9" s="38">
        <v>406682</v>
      </c>
      <c r="I9" s="38">
        <v>416784</v>
      </c>
      <c r="J9" s="38">
        <v>391891</v>
      </c>
      <c r="K9" s="38">
        <v>391066</v>
      </c>
      <c r="L9" s="38">
        <v>350607</v>
      </c>
      <c r="M9" s="38">
        <v>319543</v>
      </c>
      <c r="N9" s="39">
        <f t="shared" si="0"/>
        <v>4706167</v>
      </c>
    </row>
    <row r="10" spans="1:14" x14ac:dyDescent="0.25">
      <c r="A10" s="21" t="s">
        <v>33</v>
      </c>
      <c r="B10" s="38">
        <v>149470</v>
      </c>
      <c r="C10" s="38">
        <v>135282</v>
      </c>
      <c r="D10" s="38">
        <v>155568</v>
      </c>
      <c r="E10" s="38">
        <v>157887</v>
      </c>
      <c r="F10" s="38">
        <v>154113</v>
      </c>
      <c r="G10" s="38">
        <v>149869</v>
      </c>
      <c r="H10" s="38">
        <v>152748</v>
      </c>
      <c r="I10" s="38">
        <v>152093</v>
      </c>
      <c r="J10" s="38">
        <v>147479</v>
      </c>
      <c r="K10" s="38">
        <v>160243</v>
      </c>
      <c r="L10" s="38">
        <v>162347</v>
      </c>
      <c r="M10" s="38">
        <v>179957</v>
      </c>
      <c r="N10" s="39">
        <f t="shared" si="0"/>
        <v>1857056</v>
      </c>
    </row>
    <row r="11" spans="1:14" x14ac:dyDescent="0.25">
      <c r="A11" s="21" t="s">
        <v>8</v>
      </c>
      <c r="B11" s="38">
        <v>39173</v>
      </c>
      <c r="C11" s="38">
        <v>38913</v>
      </c>
      <c r="D11" s="38">
        <v>46855</v>
      </c>
      <c r="E11" s="38">
        <v>41669</v>
      </c>
      <c r="F11" s="38">
        <v>45240</v>
      </c>
      <c r="G11" s="38">
        <v>41545</v>
      </c>
      <c r="H11" s="38">
        <v>45148</v>
      </c>
      <c r="I11" s="38">
        <v>43787</v>
      </c>
      <c r="J11" s="38">
        <v>38490</v>
      </c>
      <c r="K11" s="38">
        <v>41511</v>
      </c>
      <c r="L11" s="38">
        <v>41058</v>
      </c>
      <c r="M11" s="38">
        <v>45322</v>
      </c>
      <c r="N11" s="39">
        <f t="shared" si="0"/>
        <v>508711</v>
      </c>
    </row>
    <row r="12" spans="1:14" x14ac:dyDescent="0.25">
      <c r="A12" s="21" t="s">
        <v>9</v>
      </c>
      <c r="B12" s="38">
        <v>70751</v>
      </c>
      <c r="C12" s="38">
        <v>86083</v>
      </c>
      <c r="D12" s="38">
        <v>119913</v>
      </c>
      <c r="E12" s="38">
        <v>80600</v>
      </c>
      <c r="F12" s="38">
        <v>85499</v>
      </c>
      <c r="G12" s="38">
        <v>88537</v>
      </c>
      <c r="H12" s="38">
        <v>84870</v>
      </c>
      <c r="I12" s="38">
        <v>80867</v>
      </c>
      <c r="J12" s="38">
        <v>79206</v>
      </c>
      <c r="K12" s="38">
        <v>74773</v>
      </c>
      <c r="L12" s="38">
        <v>79437</v>
      </c>
      <c r="M12" s="38">
        <v>84485</v>
      </c>
      <c r="N12" s="39">
        <f t="shared" si="0"/>
        <v>1015021</v>
      </c>
    </row>
    <row r="13" spans="1:14" x14ac:dyDescent="0.25">
      <c r="A13" s="21" t="s">
        <v>10</v>
      </c>
      <c r="B13" s="38">
        <v>333619</v>
      </c>
      <c r="C13" s="38">
        <v>315981</v>
      </c>
      <c r="D13" s="38">
        <v>368878</v>
      </c>
      <c r="E13" s="38">
        <v>354502</v>
      </c>
      <c r="F13" s="38">
        <v>375599</v>
      </c>
      <c r="G13" s="38">
        <v>336638</v>
      </c>
      <c r="H13" s="38">
        <v>339329</v>
      </c>
      <c r="I13" s="38">
        <v>342400</v>
      </c>
      <c r="J13" s="38">
        <v>327256</v>
      </c>
      <c r="K13" s="38">
        <v>341895</v>
      </c>
      <c r="L13" s="38">
        <v>321257</v>
      </c>
      <c r="M13" s="38">
        <v>336526</v>
      </c>
      <c r="N13" s="39">
        <f t="shared" si="0"/>
        <v>4093880</v>
      </c>
    </row>
    <row r="14" spans="1:14" x14ac:dyDescent="0.25">
      <c r="A14" s="21" t="s">
        <v>11</v>
      </c>
      <c r="B14" s="38">
        <v>94529</v>
      </c>
      <c r="C14" s="38">
        <v>93373</v>
      </c>
      <c r="D14" s="38">
        <v>99315</v>
      </c>
      <c r="E14" s="38">
        <v>102170</v>
      </c>
      <c r="F14" s="38">
        <v>102566</v>
      </c>
      <c r="G14" s="38">
        <v>97985</v>
      </c>
      <c r="H14" s="38">
        <v>107226</v>
      </c>
      <c r="I14" s="38">
        <v>106193</v>
      </c>
      <c r="J14" s="38">
        <v>95615</v>
      </c>
      <c r="K14" s="38">
        <v>99989</v>
      </c>
      <c r="L14" s="38">
        <v>90592</v>
      </c>
      <c r="M14" s="38">
        <v>97971</v>
      </c>
      <c r="N14" s="39">
        <f t="shared" si="0"/>
        <v>1187524</v>
      </c>
    </row>
    <row r="15" spans="1:14" x14ac:dyDescent="0.25">
      <c r="A15" s="21" t="s">
        <v>12</v>
      </c>
      <c r="B15" s="38">
        <v>83035</v>
      </c>
      <c r="C15" s="38">
        <v>82239</v>
      </c>
      <c r="D15" s="38">
        <v>101157</v>
      </c>
      <c r="E15" s="38">
        <v>96982</v>
      </c>
      <c r="F15" s="38">
        <v>96567</v>
      </c>
      <c r="G15" s="38">
        <v>84555</v>
      </c>
      <c r="H15" s="38">
        <v>91438</v>
      </c>
      <c r="I15" s="38">
        <v>91413</v>
      </c>
      <c r="J15" s="38">
        <v>92949</v>
      </c>
      <c r="K15" s="38">
        <v>95049</v>
      </c>
      <c r="L15" s="38">
        <v>87699</v>
      </c>
      <c r="M15" s="38">
        <v>95798</v>
      </c>
      <c r="N15" s="39">
        <f t="shared" si="0"/>
        <v>1098881</v>
      </c>
    </row>
    <row r="16" spans="1:14" x14ac:dyDescent="0.25">
      <c r="A16" s="21" t="s">
        <v>13</v>
      </c>
      <c r="B16" s="38">
        <v>305031</v>
      </c>
      <c r="C16" s="38">
        <v>247052</v>
      </c>
      <c r="D16" s="38">
        <v>268901</v>
      </c>
      <c r="E16" s="38">
        <v>276818</v>
      </c>
      <c r="F16" s="38">
        <v>292611</v>
      </c>
      <c r="G16" s="38">
        <v>284233</v>
      </c>
      <c r="H16" s="38">
        <v>303729</v>
      </c>
      <c r="I16" s="38">
        <v>280001</v>
      </c>
      <c r="J16" s="38">
        <v>288425</v>
      </c>
      <c r="K16" s="38">
        <v>285761</v>
      </c>
      <c r="L16" s="38">
        <v>272420</v>
      </c>
      <c r="M16" s="38">
        <v>276837</v>
      </c>
      <c r="N16" s="39">
        <f t="shared" si="0"/>
        <v>3381819</v>
      </c>
    </row>
    <row r="17" spans="1:14" x14ac:dyDescent="0.25">
      <c r="A17" s="21" t="s">
        <v>34</v>
      </c>
      <c r="B17" s="38">
        <v>245940</v>
      </c>
      <c r="C17" s="38">
        <v>245522</v>
      </c>
      <c r="D17" s="38">
        <v>266206</v>
      </c>
      <c r="E17" s="38">
        <v>217642</v>
      </c>
      <c r="F17" s="38">
        <v>239484</v>
      </c>
      <c r="G17" s="38">
        <v>246481</v>
      </c>
      <c r="H17" s="38">
        <v>288859</v>
      </c>
      <c r="I17" s="38">
        <v>278828</v>
      </c>
      <c r="J17" s="38">
        <v>293450</v>
      </c>
      <c r="K17" s="38">
        <v>305509</v>
      </c>
      <c r="L17" s="38">
        <v>382596</v>
      </c>
      <c r="M17" s="38">
        <v>379300</v>
      </c>
      <c r="N17" s="39">
        <f t="shared" si="0"/>
        <v>3389817</v>
      </c>
    </row>
    <row r="18" spans="1:14" x14ac:dyDescent="0.25">
      <c r="A18" s="21" t="s">
        <v>15</v>
      </c>
      <c r="B18" s="38">
        <v>152629</v>
      </c>
      <c r="C18" s="38">
        <v>132256</v>
      </c>
      <c r="D18" s="38">
        <v>146435</v>
      </c>
      <c r="E18" s="38">
        <v>145702</v>
      </c>
      <c r="F18" s="38">
        <v>168941</v>
      </c>
      <c r="G18" s="38">
        <v>146153</v>
      </c>
      <c r="H18" s="38">
        <v>146294</v>
      </c>
      <c r="I18" s="38">
        <v>145811</v>
      </c>
      <c r="J18" s="38">
        <v>140002</v>
      </c>
      <c r="K18" s="38">
        <v>144146</v>
      </c>
      <c r="L18" s="38">
        <v>150039</v>
      </c>
      <c r="M18" s="38">
        <v>131659</v>
      </c>
      <c r="N18" s="39">
        <f t="shared" si="0"/>
        <v>1750067</v>
      </c>
    </row>
    <row r="19" spans="1:14" x14ac:dyDescent="0.25">
      <c r="A19" s="21" t="s">
        <v>16</v>
      </c>
      <c r="B19" s="38">
        <v>50126</v>
      </c>
      <c r="C19" s="38">
        <v>43083</v>
      </c>
      <c r="D19" s="38">
        <v>47118</v>
      </c>
      <c r="E19" s="38">
        <v>39861</v>
      </c>
      <c r="F19" s="38">
        <v>43088</v>
      </c>
      <c r="G19" s="38">
        <v>42827</v>
      </c>
      <c r="H19" s="38">
        <v>44772</v>
      </c>
      <c r="I19" s="38">
        <v>46359</v>
      </c>
      <c r="J19" s="38">
        <v>38747</v>
      </c>
      <c r="K19" s="38">
        <v>37168</v>
      </c>
      <c r="L19" s="38">
        <v>33418</v>
      </c>
      <c r="M19" s="38">
        <v>30546</v>
      </c>
      <c r="N19" s="39">
        <f t="shared" si="0"/>
        <v>497113</v>
      </c>
    </row>
    <row r="20" spans="1:14" x14ac:dyDescent="0.25">
      <c r="A20" s="21" t="s">
        <v>17</v>
      </c>
      <c r="B20" s="38">
        <v>29997</v>
      </c>
      <c r="C20" s="38">
        <v>27589</v>
      </c>
      <c r="D20" s="38">
        <v>30445</v>
      </c>
      <c r="E20" s="38">
        <v>32120</v>
      </c>
      <c r="F20" s="38">
        <v>30516</v>
      </c>
      <c r="G20" s="38">
        <v>22878</v>
      </c>
      <c r="H20" s="38">
        <v>33302</v>
      </c>
      <c r="I20" s="38">
        <v>33141</v>
      </c>
      <c r="J20" s="38">
        <v>30374</v>
      </c>
      <c r="K20" s="38">
        <v>33632</v>
      </c>
      <c r="L20" s="38">
        <v>30078</v>
      </c>
      <c r="M20" s="38">
        <v>33603</v>
      </c>
      <c r="N20" s="39">
        <f t="shared" si="0"/>
        <v>367675</v>
      </c>
    </row>
    <row r="21" spans="1:14" x14ac:dyDescent="0.25">
      <c r="A21" s="21" t="s">
        <v>35</v>
      </c>
      <c r="B21" s="38">
        <v>242096</v>
      </c>
      <c r="C21" s="38">
        <v>234142</v>
      </c>
      <c r="D21" s="38">
        <v>270818</v>
      </c>
      <c r="E21" s="38">
        <v>252529</v>
      </c>
      <c r="F21" s="38">
        <v>255519</v>
      </c>
      <c r="G21" s="38">
        <v>253774</v>
      </c>
      <c r="H21" s="38">
        <v>262472</v>
      </c>
      <c r="I21" s="38">
        <v>272178</v>
      </c>
      <c r="J21" s="38">
        <v>248930</v>
      </c>
      <c r="K21" s="38">
        <v>246737</v>
      </c>
      <c r="L21" s="38">
        <v>230053</v>
      </c>
      <c r="M21" s="38">
        <v>244916</v>
      </c>
      <c r="N21" s="39">
        <f t="shared" si="0"/>
        <v>3014164</v>
      </c>
    </row>
    <row r="22" spans="1:14" x14ac:dyDescent="0.25">
      <c r="A22" s="21" t="s">
        <v>19</v>
      </c>
      <c r="B22" s="38">
        <v>182888</v>
      </c>
      <c r="C22" s="38">
        <v>171234</v>
      </c>
      <c r="D22" s="38">
        <v>165827</v>
      </c>
      <c r="E22" s="38">
        <v>163829</v>
      </c>
      <c r="F22" s="38">
        <v>170310</v>
      </c>
      <c r="G22" s="38">
        <v>160046</v>
      </c>
      <c r="H22" s="38">
        <v>131525</v>
      </c>
      <c r="I22" s="38">
        <v>118555</v>
      </c>
      <c r="J22" s="38">
        <v>123430</v>
      </c>
      <c r="K22" s="38">
        <v>128425</v>
      </c>
      <c r="L22" s="38">
        <v>107264</v>
      </c>
      <c r="M22" s="38">
        <v>102864</v>
      </c>
      <c r="N22" s="39">
        <f t="shared" si="0"/>
        <v>1726197</v>
      </c>
    </row>
    <row r="23" spans="1:14" x14ac:dyDescent="0.25">
      <c r="A23" s="21" t="s">
        <v>20</v>
      </c>
      <c r="B23" s="38">
        <v>112779</v>
      </c>
      <c r="C23" s="38">
        <v>146061</v>
      </c>
      <c r="D23" s="38">
        <v>182902</v>
      </c>
      <c r="E23" s="38">
        <v>211067</v>
      </c>
      <c r="F23" s="38">
        <v>198164</v>
      </c>
      <c r="G23" s="38">
        <v>204003</v>
      </c>
      <c r="H23" s="38">
        <v>214156</v>
      </c>
      <c r="I23" s="38">
        <v>221894</v>
      </c>
      <c r="J23" s="38">
        <v>211662</v>
      </c>
      <c r="K23" s="38">
        <v>215713</v>
      </c>
      <c r="L23" s="38">
        <v>190819</v>
      </c>
      <c r="M23" s="38">
        <v>197925</v>
      </c>
      <c r="N23" s="39">
        <f t="shared" si="0"/>
        <v>2307145</v>
      </c>
    </row>
    <row r="24" spans="1:14" x14ac:dyDescent="0.25">
      <c r="A24" s="21" t="s">
        <v>21</v>
      </c>
      <c r="B24" s="38">
        <v>108636</v>
      </c>
      <c r="C24" s="38">
        <v>106740</v>
      </c>
      <c r="D24" s="38">
        <v>118583</v>
      </c>
      <c r="E24" s="38">
        <v>114258</v>
      </c>
      <c r="F24" s="38">
        <v>117423</v>
      </c>
      <c r="G24" s="38">
        <v>107501</v>
      </c>
      <c r="H24" s="38">
        <v>102624</v>
      </c>
      <c r="I24" s="38">
        <v>108231</v>
      </c>
      <c r="J24" s="38">
        <v>108054</v>
      </c>
      <c r="K24" s="38">
        <v>117654</v>
      </c>
      <c r="L24" s="38">
        <v>111300</v>
      </c>
      <c r="M24" s="38">
        <v>102591</v>
      </c>
      <c r="N24" s="39">
        <f t="shared" si="0"/>
        <v>1323595</v>
      </c>
    </row>
    <row r="25" spans="1:14" x14ac:dyDescent="0.25">
      <c r="A25" s="21" t="s">
        <v>22</v>
      </c>
      <c r="B25" s="38">
        <v>107066</v>
      </c>
      <c r="C25" s="38">
        <v>103602</v>
      </c>
      <c r="D25" s="38">
        <v>111237</v>
      </c>
      <c r="E25" s="38">
        <v>107403</v>
      </c>
      <c r="F25" s="38">
        <v>119448</v>
      </c>
      <c r="G25" s="38">
        <v>110769</v>
      </c>
      <c r="H25" s="38">
        <v>116697</v>
      </c>
      <c r="I25" s="38">
        <v>112034</v>
      </c>
      <c r="J25" s="38">
        <v>104729</v>
      </c>
      <c r="K25" s="38">
        <v>104837</v>
      </c>
      <c r="L25" s="38">
        <v>98838</v>
      </c>
      <c r="M25" s="38">
        <v>107533</v>
      </c>
      <c r="N25" s="39">
        <f t="shared" si="0"/>
        <v>1304193</v>
      </c>
    </row>
    <row r="26" spans="1:14" x14ac:dyDescent="0.25">
      <c r="A26" s="21" t="s">
        <v>23</v>
      </c>
      <c r="B26" s="38">
        <v>37674</v>
      </c>
      <c r="C26" s="38">
        <v>42005</v>
      </c>
      <c r="D26" s="38">
        <v>43694</v>
      </c>
      <c r="E26" s="38">
        <v>43970</v>
      </c>
      <c r="F26" s="38">
        <v>51591</v>
      </c>
      <c r="G26" s="38">
        <v>49683</v>
      </c>
      <c r="H26" s="38">
        <v>46424</v>
      </c>
      <c r="I26" s="38">
        <v>45263</v>
      </c>
      <c r="J26" s="38">
        <v>46673</v>
      </c>
      <c r="K26" s="38">
        <v>42671</v>
      </c>
      <c r="L26" s="38">
        <v>33644</v>
      </c>
      <c r="M26" s="38">
        <v>30765</v>
      </c>
      <c r="N26" s="39">
        <f t="shared" si="0"/>
        <v>514057</v>
      </c>
    </row>
    <row r="27" spans="1:14" x14ac:dyDescent="0.25">
      <c r="A27" s="21" t="s">
        <v>24</v>
      </c>
      <c r="B27" s="38">
        <v>129897</v>
      </c>
      <c r="C27" s="38">
        <v>120894</v>
      </c>
      <c r="D27" s="38">
        <v>136532</v>
      </c>
      <c r="E27" s="38">
        <v>134397</v>
      </c>
      <c r="F27" s="38">
        <v>133093</v>
      </c>
      <c r="G27" s="38">
        <v>136073</v>
      </c>
      <c r="H27" s="38">
        <v>139281</v>
      </c>
      <c r="I27" s="38">
        <v>140788</v>
      </c>
      <c r="J27" s="38">
        <v>141073</v>
      </c>
      <c r="K27" s="38">
        <v>134319</v>
      </c>
      <c r="L27" s="38">
        <v>112752</v>
      </c>
      <c r="M27" s="38">
        <v>126113</v>
      </c>
      <c r="N27" s="39">
        <f t="shared" si="0"/>
        <v>1585212</v>
      </c>
    </row>
    <row r="28" spans="1:14" x14ac:dyDescent="0.25">
      <c r="A28" s="21" t="s">
        <v>25</v>
      </c>
      <c r="B28" s="38">
        <v>194820</v>
      </c>
      <c r="C28" s="38">
        <v>189042</v>
      </c>
      <c r="D28" s="38">
        <v>202906</v>
      </c>
      <c r="E28" s="38">
        <v>194022</v>
      </c>
      <c r="F28" s="38">
        <v>202675</v>
      </c>
      <c r="G28" s="38">
        <v>204731</v>
      </c>
      <c r="H28" s="38">
        <v>214326</v>
      </c>
      <c r="I28" s="38">
        <v>211343</v>
      </c>
      <c r="J28" s="38">
        <v>199771</v>
      </c>
      <c r="K28" s="38">
        <v>206692</v>
      </c>
      <c r="L28" s="38">
        <v>193024</v>
      </c>
      <c r="M28" s="38">
        <v>212781</v>
      </c>
      <c r="N28" s="39">
        <f t="shared" si="0"/>
        <v>2426133</v>
      </c>
    </row>
    <row r="29" spans="1:14" x14ac:dyDescent="0.25">
      <c r="A29" s="21" t="s">
        <v>26</v>
      </c>
      <c r="B29" s="38">
        <v>64476</v>
      </c>
      <c r="C29" s="38">
        <v>61830</v>
      </c>
      <c r="D29" s="38">
        <v>73836</v>
      </c>
      <c r="E29" s="38">
        <v>71324</v>
      </c>
      <c r="F29" s="38">
        <v>71042</v>
      </c>
      <c r="G29" s="38">
        <v>72328</v>
      </c>
      <c r="H29" s="38">
        <v>71561</v>
      </c>
      <c r="I29" s="38">
        <v>73198</v>
      </c>
      <c r="J29" s="38">
        <v>63695</v>
      </c>
      <c r="K29" s="38">
        <v>64992</v>
      </c>
      <c r="L29" s="38">
        <v>59231</v>
      </c>
      <c r="M29" s="38">
        <v>56667</v>
      </c>
      <c r="N29" s="39">
        <f t="shared" si="0"/>
        <v>804180</v>
      </c>
    </row>
    <row r="30" spans="1:14" x14ac:dyDescent="0.25">
      <c r="A30" s="21" t="s">
        <v>27</v>
      </c>
      <c r="B30" s="38">
        <v>98646</v>
      </c>
      <c r="C30" s="38">
        <v>106232</v>
      </c>
      <c r="D30" s="38">
        <v>109648</v>
      </c>
      <c r="E30" s="38">
        <v>110642</v>
      </c>
      <c r="F30" s="38">
        <v>130669</v>
      </c>
      <c r="G30" s="38">
        <v>125709</v>
      </c>
      <c r="H30" s="38">
        <v>128052</v>
      </c>
      <c r="I30" s="38">
        <v>131954</v>
      </c>
      <c r="J30" s="38">
        <v>126987</v>
      </c>
      <c r="K30" s="38">
        <v>137679</v>
      </c>
      <c r="L30" s="38">
        <v>128233</v>
      </c>
      <c r="M30" s="38">
        <v>129034</v>
      </c>
      <c r="N30" s="39">
        <f t="shared" si="0"/>
        <v>1463485</v>
      </c>
    </row>
    <row r="31" spans="1:14" x14ac:dyDescent="0.25">
      <c r="A31" s="21" t="s">
        <v>28</v>
      </c>
      <c r="B31" s="38">
        <v>44070</v>
      </c>
      <c r="C31" s="38">
        <v>41988</v>
      </c>
      <c r="D31" s="38">
        <v>46922</v>
      </c>
      <c r="E31" s="38">
        <v>45920</v>
      </c>
      <c r="F31" s="38">
        <v>49248</v>
      </c>
      <c r="G31" s="38">
        <v>45159</v>
      </c>
      <c r="H31" s="38">
        <v>44937</v>
      </c>
      <c r="I31" s="38">
        <v>44887</v>
      </c>
      <c r="J31" s="38">
        <v>45569</v>
      </c>
      <c r="K31" s="38">
        <v>46489</v>
      </c>
      <c r="L31" s="38">
        <v>40216</v>
      </c>
      <c r="M31" s="38">
        <v>36655</v>
      </c>
      <c r="N31" s="39">
        <f t="shared" si="0"/>
        <v>532060</v>
      </c>
    </row>
    <row r="32" spans="1:14" x14ac:dyDescent="0.25">
      <c r="A32" s="21" t="s">
        <v>29</v>
      </c>
      <c r="B32" s="38">
        <v>299853</v>
      </c>
      <c r="C32" s="38">
        <v>266802</v>
      </c>
      <c r="D32" s="38">
        <v>317511</v>
      </c>
      <c r="E32" s="38">
        <v>289410</v>
      </c>
      <c r="F32" s="38">
        <v>289039</v>
      </c>
      <c r="G32" s="38">
        <v>281565</v>
      </c>
      <c r="H32" s="38">
        <v>303007</v>
      </c>
      <c r="I32" s="38">
        <v>316469</v>
      </c>
      <c r="J32" s="38">
        <v>271424</v>
      </c>
      <c r="K32" s="38">
        <v>263709</v>
      </c>
      <c r="L32" s="38">
        <v>241676</v>
      </c>
      <c r="M32" s="38">
        <v>270029</v>
      </c>
      <c r="N32" s="39">
        <f t="shared" si="0"/>
        <v>3410494</v>
      </c>
    </row>
    <row r="33" spans="1:14" x14ac:dyDescent="0.25">
      <c r="A33" s="21" t="s">
        <v>30</v>
      </c>
      <c r="B33" s="38">
        <v>105456</v>
      </c>
      <c r="C33" s="38">
        <v>101159</v>
      </c>
      <c r="D33" s="38">
        <v>109847</v>
      </c>
      <c r="E33" s="38">
        <v>108713</v>
      </c>
      <c r="F33" s="38">
        <v>120758</v>
      </c>
      <c r="G33" s="38">
        <v>120368</v>
      </c>
      <c r="H33" s="38">
        <v>121161</v>
      </c>
      <c r="I33" s="38">
        <v>127759</v>
      </c>
      <c r="J33" s="38">
        <v>121750</v>
      </c>
      <c r="K33" s="38">
        <v>123970</v>
      </c>
      <c r="L33" s="38">
        <v>111864</v>
      </c>
      <c r="M33" s="38">
        <v>119998</v>
      </c>
      <c r="N33" s="39">
        <f t="shared" si="0"/>
        <v>1392803</v>
      </c>
    </row>
    <row r="34" spans="1:14" x14ac:dyDescent="0.25">
      <c r="A34" s="21" t="s">
        <v>31</v>
      </c>
      <c r="B34" s="38">
        <v>22256</v>
      </c>
      <c r="C34" s="38">
        <v>23321</v>
      </c>
      <c r="D34" s="38">
        <v>24442</v>
      </c>
      <c r="E34" s="38">
        <v>23474</v>
      </c>
      <c r="F34" s="38">
        <v>21815</v>
      </c>
      <c r="G34" s="38">
        <v>23004</v>
      </c>
      <c r="H34" s="38">
        <v>20470</v>
      </c>
      <c r="I34" s="38">
        <v>23171</v>
      </c>
      <c r="J34" s="38">
        <v>33425</v>
      </c>
      <c r="K34" s="38">
        <v>33538</v>
      </c>
      <c r="L34" s="38">
        <v>32016</v>
      </c>
      <c r="M34" s="38">
        <v>37548</v>
      </c>
      <c r="N34" s="39">
        <f t="shared" si="0"/>
        <v>318480</v>
      </c>
    </row>
    <row r="35" spans="1:14" x14ac:dyDescent="0.25">
      <c r="A35" s="25" t="s">
        <v>36</v>
      </c>
      <c r="B35" s="40">
        <f>+SUBTOTAL(9,B3:B34)</f>
        <v>4372018</v>
      </c>
      <c r="C35" s="40">
        <f t="shared" ref="C35:M35" si="1">+SUBTOTAL(9,C3:C34)</f>
        <v>4213281</v>
      </c>
      <c r="D35" s="40">
        <f t="shared" si="1"/>
        <v>4719261</v>
      </c>
      <c r="E35" s="40">
        <f t="shared" si="1"/>
        <v>4486746</v>
      </c>
      <c r="F35" s="40">
        <f t="shared" si="1"/>
        <v>4642898</v>
      </c>
      <c r="G35" s="40">
        <f t="shared" si="1"/>
        <v>4507126</v>
      </c>
      <c r="H35" s="40">
        <f t="shared" si="1"/>
        <v>4672166</v>
      </c>
      <c r="I35" s="40">
        <f t="shared" si="1"/>
        <v>4663030</v>
      </c>
      <c r="J35" s="40">
        <f t="shared" si="1"/>
        <v>4474092</v>
      </c>
      <c r="K35" s="40">
        <f t="shared" si="1"/>
        <v>4575975</v>
      </c>
      <c r="L35" s="40">
        <f t="shared" si="1"/>
        <v>4383687</v>
      </c>
      <c r="M35" s="40">
        <f t="shared" si="1"/>
        <v>4478393</v>
      </c>
      <c r="N35" s="39">
        <f t="shared" si="0"/>
        <v>54188673</v>
      </c>
    </row>
    <row r="36" spans="1:14" x14ac:dyDescent="0.25"/>
  </sheetData>
  <mergeCells count="2">
    <mergeCell ref="A1:M1"/>
    <mergeCell ref="N1:N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42D9E-D277-452F-93D3-7E2B6FB57518}">
  <dimension ref="A1:O37"/>
  <sheetViews>
    <sheetView showGridLines="0" workbookViewId="0">
      <selection activeCell="E10" sqref="E10"/>
    </sheetView>
  </sheetViews>
  <sheetFormatPr baseColWidth="10" defaultColWidth="0" defaultRowHeight="15" zeroHeight="1" x14ac:dyDescent="0.25"/>
  <cols>
    <col min="1" max="1" width="20.140625" customWidth="1"/>
    <col min="2" max="15" width="11.42578125" customWidth="1"/>
    <col min="16" max="16384" width="11.42578125" hidden="1"/>
  </cols>
  <sheetData>
    <row r="1" spans="1:14" ht="27.75" customHeight="1" x14ac:dyDescent="0.25">
      <c r="A1" s="78" t="s">
        <v>55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9" t="s">
        <v>36</v>
      </c>
    </row>
    <row r="2" spans="1:14" x14ac:dyDescent="0.25">
      <c r="A2" s="23" t="s">
        <v>42</v>
      </c>
      <c r="B2" s="23" t="s">
        <v>43</v>
      </c>
      <c r="C2" s="23" t="s">
        <v>44</v>
      </c>
      <c r="D2" s="23" t="s">
        <v>45</v>
      </c>
      <c r="E2" s="23" t="s">
        <v>46</v>
      </c>
      <c r="F2" s="23" t="s">
        <v>47</v>
      </c>
      <c r="G2" s="23" t="s">
        <v>48</v>
      </c>
      <c r="H2" s="23" t="s">
        <v>49</v>
      </c>
      <c r="I2" s="23" t="s">
        <v>50</v>
      </c>
      <c r="J2" s="23" t="s">
        <v>51</v>
      </c>
      <c r="K2" s="23" t="s">
        <v>52</v>
      </c>
      <c r="L2" s="23" t="s">
        <v>53</v>
      </c>
      <c r="M2" s="23" t="s">
        <v>54</v>
      </c>
      <c r="N2" s="79"/>
    </row>
    <row r="3" spans="1:14" x14ac:dyDescent="0.25">
      <c r="A3" s="21" t="s">
        <v>1</v>
      </c>
      <c r="B3" s="42">
        <v>0</v>
      </c>
      <c r="C3" s="42">
        <v>0</v>
      </c>
      <c r="D3" s="42">
        <v>0</v>
      </c>
      <c r="E3" s="42">
        <v>0</v>
      </c>
      <c r="F3" s="42">
        <v>0</v>
      </c>
      <c r="G3" s="42">
        <v>0</v>
      </c>
      <c r="H3" s="42">
        <v>0</v>
      </c>
      <c r="I3" s="42">
        <v>0</v>
      </c>
      <c r="J3" s="43">
        <v>0</v>
      </c>
      <c r="K3" s="43">
        <v>107</v>
      </c>
      <c r="L3" s="43">
        <v>68</v>
      </c>
      <c r="M3" s="43">
        <v>75</v>
      </c>
      <c r="N3" s="39">
        <f>+SUM(B3:M3)</f>
        <v>250</v>
      </c>
    </row>
    <row r="4" spans="1:14" x14ac:dyDescent="0.25">
      <c r="A4" s="21" t="s">
        <v>32</v>
      </c>
      <c r="B4" s="42">
        <v>0</v>
      </c>
      <c r="C4" s="42">
        <v>0</v>
      </c>
      <c r="D4" s="42">
        <v>0</v>
      </c>
      <c r="E4" s="42">
        <v>0</v>
      </c>
      <c r="F4" s="42">
        <v>0</v>
      </c>
      <c r="G4" s="42">
        <v>0</v>
      </c>
      <c r="H4" s="42">
        <v>0</v>
      </c>
      <c r="I4" s="42">
        <v>0</v>
      </c>
      <c r="J4" s="43">
        <v>1949</v>
      </c>
      <c r="K4" s="43">
        <v>1805</v>
      </c>
      <c r="L4" s="43">
        <v>1462</v>
      </c>
      <c r="M4" s="43">
        <v>1661</v>
      </c>
      <c r="N4" s="39">
        <f t="shared" ref="N4:N35" si="0">+SUM(B4:M4)</f>
        <v>6877</v>
      </c>
    </row>
    <row r="5" spans="1:14" x14ac:dyDescent="0.25">
      <c r="A5" s="21" t="s">
        <v>3</v>
      </c>
      <c r="B5" s="42">
        <v>0</v>
      </c>
      <c r="C5" s="42">
        <v>0</v>
      </c>
      <c r="D5" s="42">
        <v>0</v>
      </c>
      <c r="E5" s="42">
        <v>0</v>
      </c>
      <c r="F5" s="42">
        <v>0</v>
      </c>
      <c r="G5" s="42">
        <v>0</v>
      </c>
      <c r="H5" s="42">
        <v>0</v>
      </c>
      <c r="I5" s="42">
        <v>0</v>
      </c>
      <c r="J5" s="43">
        <v>137</v>
      </c>
      <c r="K5" s="43">
        <v>202</v>
      </c>
      <c r="L5" s="43">
        <v>215</v>
      </c>
      <c r="M5" s="43">
        <v>144</v>
      </c>
      <c r="N5" s="39">
        <f t="shared" si="0"/>
        <v>698</v>
      </c>
    </row>
    <row r="6" spans="1:14" x14ac:dyDescent="0.25">
      <c r="A6" s="21" t="s">
        <v>4</v>
      </c>
      <c r="B6" s="42">
        <v>0</v>
      </c>
      <c r="C6" s="42">
        <v>0</v>
      </c>
      <c r="D6" s="42">
        <v>0</v>
      </c>
      <c r="E6" s="42">
        <v>0</v>
      </c>
      <c r="F6" s="42">
        <v>0</v>
      </c>
      <c r="G6" s="42">
        <v>0</v>
      </c>
      <c r="H6" s="42">
        <v>0</v>
      </c>
      <c r="I6" s="42">
        <v>0</v>
      </c>
      <c r="J6" s="43">
        <v>116</v>
      </c>
      <c r="K6" s="43">
        <v>148</v>
      </c>
      <c r="L6" s="43">
        <v>130</v>
      </c>
      <c r="M6" s="43">
        <v>114</v>
      </c>
      <c r="N6" s="39">
        <f t="shared" si="0"/>
        <v>508</v>
      </c>
    </row>
    <row r="7" spans="1:14" x14ac:dyDescent="0.25">
      <c r="A7" s="21" t="s">
        <v>5</v>
      </c>
      <c r="B7" s="42">
        <v>0</v>
      </c>
      <c r="C7" s="42">
        <v>0</v>
      </c>
      <c r="D7" s="42">
        <v>0</v>
      </c>
      <c r="E7" s="42">
        <v>0</v>
      </c>
      <c r="F7" s="42">
        <v>0</v>
      </c>
      <c r="G7" s="42">
        <v>0</v>
      </c>
      <c r="H7" s="42">
        <v>0</v>
      </c>
      <c r="I7" s="42">
        <v>0</v>
      </c>
      <c r="J7" s="43">
        <v>240</v>
      </c>
      <c r="K7" s="43">
        <v>303</v>
      </c>
      <c r="L7" s="43">
        <v>245</v>
      </c>
      <c r="M7" s="43">
        <v>257</v>
      </c>
      <c r="N7" s="39">
        <f t="shared" si="0"/>
        <v>1045</v>
      </c>
    </row>
    <row r="8" spans="1:14" x14ac:dyDescent="0.25">
      <c r="A8" s="21" t="s">
        <v>6</v>
      </c>
      <c r="B8" s="42">
        <v>0</v>
      </c>
      <c r="C8" s="42">
        <v>0</v>
      </c>
      <c r="D8" s="42">
        <v>0</v>
      </c>
      <c r="E8" s="42">
        <v>0</v>
      </c>
      <c r="F8" s="42">
        <v>0</v>
      </c>
      <c r="G8" s="42">
        <v>0</v>
      </c>
      <c r="H8" s="42">
        <v>0</v>
      </c>
      <c r="I8" s="42">
        <v>0</v>
      </c>
      <c r="J8" s="43">
        <v>371</v>
      </c>
      <c r="K8" s="43">
        <v>371</v>
      </c>
      <c r="L8" s="43">
        <v>337</v>
      </c>
      <c r="M8" s="43">
        <v>325</v>
      </c>
      <c r="N8" s="39">
        <f t="shared" si="0"/>
        <v>1404</v>
      </c>
    </row>
    <row r="9" spans="1:14" x14ac:dyDescent="0.25">
      <c r="A9" s="21" t="s">
        <v>7</v>
      </c>
      <c r="B9" s="42">
        <v>0</v>
      </c>
      <c r="C9" s="42">
        <v>0</v>
      </c>
      <c r="D9" s="42">
        <v>0</v>
      </c>
      <c r="E9" s="42">
        <v>0</v>
      </c>
      <c r="F9" s="42">
        <v>0</v>
      </c>
      <c r="G9" s="42">
        <v>0</v>
      </c>
      <c r="H9" s="42">
        <v>0</v>
      </c>
      <c r="I9" s="42">
        <v>0</v>
      </c>
      <c r="J9" s="43">
        <v>1147</v>
      </c>
      <c r="K9" s="43">
        <v>1296</v>
      </c>
      <c r="L9" s="43">
        <v>983</v>
      </c>
      <c r="M9" s="43">
        <v>1069</v>
      </c>
      <c r="N9" s="39">
        <f t="shared" si="0"/>
        <v>4495</v>
      </c>
    </row>
    <row r="10" spans="1:14" x14ac:dyDescent="0.25">
      <c r="A10" s="21" t="s">
        <v>33</v>
      </c>
      <c r="B10" s="42">
        <v>0</v>
      </c>
      <c r="C10" s="42">
        <v>0</v>
      </c>
      <c r="D10" s="42">
        <v>0</v>
      </c>
      <c r="E10" s="42">
        <v>0</v>
      </c>
      <c r="F10" s="42">
        <v>0</v>
      </c>
      <c r="G10" s="42">
        <v>0</v>
      </c>
      <c r="H10" s="42">
        <v>0</v>
      </c>
      <c r="I10" s="42">
        <v>0</v>
      </c>
      <c r="J10" s="43">
        <v>669</v>
      </c>
      <c r="K10" s="43">
        <v>721</v>
      </c>
      <c r="L10" s="43">
        <v>583</v>
      </c>
      <c r="M10" s="43">
        <v>601</v>
      </c>
      <c r="N10" s="39">
        <f t="shared" si="0"/>
        <v>2574</v>
      </c>
    </row>
    <row r="11" spans="1:14" x14ac:dyDescent="0.25">
      <c r="A11" s="21" t="s">
        <v>8</v>
      </c>
      <c r="B11" s="42">
        <v>0</v>
      </c>
      <c r="C11" s="42">
        <v>0</v>
      </c>
      <c r="D11" s="42">
        <v>0</v>
      </c>
      <c r="E11" s="42">
        <v>0</v>
      </c>
      <c r="F11" s="42">
        <v>0</v>
      </c>
      <c r="G11" s="42">
        <v>0</v>
      </c>
      <c r="H11" s="42">
        <v>0</v>
      </c>
      <c r="I11" s="42">
        <v>0</v>
      </c>
      <c r="J11" s="43">
        <v>10238</v>
      </c>
      <c r="K11" s="43">
        <v>10661</v>
      </c>
      <c r="L11" s="43">
        <v>8793</v>
      </c>
      <c r="M11" s="43">
        <v>8464</v>
      </c>
      <c r="N11" s="39">
        <f t="shared" si="0"/>
        <v>38156</v>
      </c>
    </row>
    <row r="12" spans="1:14" x14ac:dyDescent="0.25">
      <c r="A12" s="21" t="s">
        <v>9</v>
      </c>
      <c r="B12" s="42">
        <v>0</v>
      </c>
      <c r="C12" s="42">
        <v>0</v>
      </c>
      <c r="D12" s="42">
        <v>0</v>
      </c>
      <c r="E12" s="42">
        <v>0</v>
      </c>
      <c r="F12" s="42">
        <v>0</v>
      </c>
      <c r="G12" s="42">
        <v>0</v>
      </c>
      <c r="H12" s="42">
        <v>0</v>
      </c>
      <c r="I12" s="42">
        <v>0</v>
      </c>
      <c r="J12" s="43">
        <v>211</v>
      </c>
      <c r="K12" s="43">
        <v>166</v>
      </c>
      <c r="L12" s="43">
        <v>213</v>
      </c>
      <c r="M12" s="43">
        <v>162</v>
      </c>
      <c r="N12" s="39">
        <f t="shared" si="0"/>
        <v>752</v>
      </c>
    </row>
    <row r="13" spans="1:14" x14ac:dyDescent="0.25">
      <c r="A13" s="21" t="s">
        <v>10</v>
      </c>
      <c r="B13" s="42">
        <v>0</v>
      </c>
      <c r="C13" s="42">
        <v>0</v>
      </c>
      <c r="D13" s="42">
        <v>0</v>
      </c>
      <c r="E13" s="42">
        <v>0</v>
      </c>
      <c r="F13" s="42">
        <v>0</v>
      </c>
      <c r="G13" s="42">
        <v>0</v>
      </c>
      <c r="H13" s="42">
        <v>0</v>
      </c>
      <c r="I13" s="42">
        <v>0</v>
      </c>
      <c r="J13" s="43">
        <v>1344</v>
      </c>
      <c r="K13" s="43">
        <v>1323</v>
      </c>
      <c r="L13" s="43">
        <v>1241</v>
      </c>
      <c r="M13" s="43">
        <v>1293</v>
      </c>
      <c r="N13" s="39">
        <f t="shared" si="0"/>
        <v>5201</v>
      </c>
    </row>
    <row r="14" spans="1:14" x14ac:dyDescent="0.25">
      <c r="A14" s="21" t="s">
        <v>11</v>
      </c>
      <c r="B14" s="42">
        <v>0</v>
      </c>
      <c r="C14" s="42">
        <v>0</v>
      </c>
      <c r="D14" s="42">
        <v>0</v>
      </c>
      <c r="E14" s="42">
        <v>0</v>
      </c>
      <c r="F14" s="42">
        <v>0</v>
      </c>
      <c r="G14" s="42">
        <v>0</v>
      </c>
      <c r="H14" s="42">
        <v>0</v>
      </c>
      <c r="I14" s="42">
        <v>0</v>
      </c>
      <c r="J14" s="43">
        <v>235</v>
      </c>
      <c r="K14" s="43">
        <v>235</v>
      </c>
      <c r="L14" s="43">
        <v>181</v>
      </c>
      <c r="M14" s="43">
        <v>164</v>
      </c>
      <c r="N14" s="39">
        <f t="shared" si="0"/>
        <v>815</v>
      </c>
    </row>
    <row r="15" spans="1:14" x14ac:dyDescent="0.25">
      <c r="A15" s="21" t="s">
        <v>12</v>
      </c>
      <c r="B15" s="42">
        <v>0</v>
      </c>
      <c r="C15" s="42">
        <v>0</v>
      </c>
      <c r="D15" s="42">
        <v>0</v>
      </c>
      <c r="E15" s="42">
        <v>0</v>
      </c>
      <c r="F15" s="42">
        <v>0</v>
      </c>
      <c r="G15" s="42">
        <v>0</v>
      </c>
      <c r="H15" s="42">
        <v>0</v>
      </c>
      <c r="I15" s="42">
        <v>0</v>
      </c>
      <c r="J15" s="43">
        <v>966</v>
      </c>
      <c r="K15" s="43">
        <v>1008</v>
      </c>
      <c r="L15" s="43">
        <v>931</v>
      </c>
      <c r="M15" s="43">
        <v>834</v>
      </c>
      <c r="N15" s="39">
        <f t="shared" si="0"/>
        <v>3739</v>
      </c>
    </row>
    <row r="16" spans="1:14" x14ac:dyDescent="0.25">
      <c r="A16" s="21" t="s">
        <v>13</v>
      </c>
      <c r="B16" s="42">
        <v>0</v>
      </c>
      <c r="C16" s="42">
        <v>0</v>
      </c>
      <c r="D16" s="42">
        <v>0</v>
      </c>
      <c r="E16" s="42">
        <v>0</v>
      </c>
      <c r="F16" s="42">
        <v>0</v>
      </c>
      <c r="G16" s="42">
        <v>0</v>
      </c>
      <c r="H16" s="42">
        <v>0</v>
      </c>
      <c r="I16" s="42">
        <v>0</v>
      </c>
      <c r="J16" s="43">
        <v>1549</v>
      </c>
      <c r="K16" s="43">
        <v>1722</v>
      </c>
      <c r="L16" s="43">
        <v>571</v>
      </c>
      <c r="M16" s="43">
        <v>1397</v>
      </c>
      <c r="N16" s="39">
        <f t="shared" si="0"/>
        <v>5239</v>
      </c>
    </row>
    <row r="17" spans="1:14" x14ac:dyDescent="0.25">
      <c r="A17" s="21" t="s">
        <v>34</v>
      </c>
      <c r="B17" s="42">
        <v>0</v>
      </c>
      <c r="C17" s="42">
        <v>0</v>
      </c>
      <c r="D17" s="42">
        <v>0</v>
      </c>
      <c r="E17" s="42">
        <v>0</v>
      </c>
      <c r="F17" s="42">
        <v>0</v>
      </c>
      <c r="G17" s="42">
        <v>0</v>
      </c>
      <c r="H17" s="42">
        <v>0</v>
      </c>
      <c r="I17" s="42">
        <v>0</v>
      </c>
      <c r="J17" s="43">
        <v>6531</v>
      </c>
      <c r="K17" s="43">
        <v>6695</v>
      </c>
      <c r="L17" s="43">
        <v>6256</v>
      </c>
      <c r="M17" s="43">
        <v>6135</v>
      </c>
      <c r="N17" s="39">
        <f t="shared" si="0"/>
        <v>25617</v>
      </c>
    </row>
    <row r="18" spans="1:14" x14ac:dyDescent="0.25">
      <c r="A18" s="21" t="s">
        <v>15</v>
      </c>
      <c r="B18" s="42">
        <v>0</v>
      </c>
      <c r="C18" s="42">
        <v>0</v>
      </c>
      <c r="D18" s="42">
        <v>0</v>
      </c>
      <c r="E18" s="42">
        <v>0</v>
      </c>
      <c r="F18" s="42">
        <v>0</v>
      </c>
      <c r="G18" s="42">
        <v>0</v>
      </c>
      <c r="H18" s="42">
        <v>0</v>
      </c>
      <c r="I18" s="42">
        <v>0</v>
      </c>
      <c r="J18" s="43">
        <v>0</v>
      </c>
      <c r="K18" s="43">
        <v>1022</v>
      </c>
      <c r="L18" s="43">
        <v>1292</v>
      </c>
      <c r="M18" s="43">
        <v>1070</v>
      </c>
      <c r="N18" s="39">
        <f t="shared" si="0"/>
        <v>3384</v>
      </c>
    </row>
    <row r="19" spans="1:14" x14ac:dyDescent="0.25">
      <c r="A19" s="21" t="s">
        <v>16</v>
      </c>
      <c r="B19" s="42">
        <v>0</v>
      </c>
      <c r="C19" s="42">
        <v>0</v>
      </c>
      <c r="D19" s="42">
        <v>0</v>
      </c>
      <c r="E19" s="42">
        <v>0</v>
      </c>
      <c r="F19" s="42">
        <v>0</v>
      </c>
      <c r="G19" s="42">
        <v>0</v>
      </c>
      <c r="H19" s="42">
        <v>0</v>
      </c>
      <c r="I19" s="42">
        <v>0</v>
      </c>
      <c r="J19" s="43">
        <v>681</v>
      </c>
      <c r="K19" s="43">
        <v>675</v>
      </c>
      <c r="L19" s="43">
        <v>676</v>
      </c>
      <c r="M19" s="43">
        <v>555</v>
      </c>
      <c r="N19" s="39">
        <f t="shared" si="0"/>
        <v>2587</v>
      </c>
    </row>
    <row r="20" spans="1:14" x14ac:dyDescent="0.25">
      <c r="A20" s="21" t="s">
        <v>17</v>
      </c>
      <c r="B20" s="42">
        <v>0</v>
      </c>
      <c r="C20" s="42">
        <v>0</v>
      </c>
      <c r="D20" s="42">
        <v>0</v>
      </c>
      <c r="E20" s="42">
        <v>0</v>
      </c>
      <c r="F20" s="42">
        <v>0</v>
      </c>
      <c r="G20" s="42">
        <v>0</v>
      </c>
      <c r="H20" s="42">
        <v>0</v>
      </c>
      <c r="I20" s="42">
        <v>0</v>
      </c>
      <c r="J20" s="43">
        <v>168</v>
      </c>
      <c r="K20" s="43">
        <v>122</v>
      </c>
      <c r="L20" s="43">
        <v>100</v>
      </c>
      <c r="M20" s="43">
        <v>100</v>
      </c>
      <c r="N20" s="39">
        <f t="shared" si="0"/>
        <v>490</v>
      </c>
    </row>
    <row r="21" spans="1:14" x14ac:dyDescent="0.25">
      <c r="A21" s="21" t="s">
        <v>35</v>
      </c>
      <c r="B21" s="42">
        <v>0</v>
      </c>
      <c r="C21" s="42">
        <v>0</v>
      </c>
      <c r="D21" s="42">
        <v>0</v>
      </c>
      <c r="E21" s="42">
        <v>0</v>
      </c>
      <c r="F21" s="42">
        <v>0</v>
      </c>
      <c r="G21" s="42">
        <v>0</v>
      </c>
      <c r="H21" s="42">
        <v>0</v>
      </c>
      <c r="I21" s="42">
        <v>0</v>
      </c>
      <c r="J21" s="43">
        <v>1788</v>
      </c>
      <c r="K21" s="43">
        <v>1915</v>
      </c>
      <c r="L21" s="43">
        <v>1122</v>
      </c>
      <c r="M21" s="43">
        <v>1569</v>
      </c>
      <c r="N21" s="39">
        <f t="shared" si="0"/>
        <v>6394</v>
      </c>
    </row>
    <row r="22" spans="1:14" x14ac:dyDescent="0.25">
      <c r="A22" s="21" t="s">
        <v>19</v>
      </c>
      <c r="B22" s="42">
        <v>0</v>
      </c>
      <c r="C22" s="42">
        <v>0</v>
      </c>
      <c r="D22" s="42">
        <v>0</v>
      </c>
      <c r="E22" s="42">
        <v>0</v>
      </c>
      <c r="F22" s="42">
        <v>0</v>
      </c>
      <c r="G22" s="42">
        <v>0</v>
      </c>
      <c r="H22" s="42">
        <v>0</v>
      </c>
      <c r="I22" s="42">
        <v>0</v>
      </c>
      <c r="J22" s="43">
        <v>691</v>
      </c>
      <c r="K22" s="43">
        <v>733</v>
      </c>
      <c r="L22" s="43">
        <v>478</v>
      </c>
      <c r="M22" s="43">
        <v>576</v>
      </c>
      <c r="N22" s="39">
        <f t="shared" si="0"/>
        <v>2478</v>
      </c>
    </row>
    <row r="23" spans="1:14" x14ac:dyDescent="0.25">
      <c r="A23" s="21" t="s">
        <v>20</v>
      </c>
      <c r="B23" s="42">
        <v>0</v>
      </c>
      <c r="C23" s="42">
        <v>0</v>
      </c>
      <c r="D23" s="42">
        <v>0</v>
      </c>
      <c r="E23" s="42">
        <v>0</v>
      </c>
      <c r="F23" s="42">
        <v>0</v>
      </c>
      <c r="G23" s="42">
        <v>0</v>
      </c>
      <c r="H23" s="42">
        <v>0</v>
      </c>
      <c r="I23" s="42">
        <v>0</v>
      </c>
      <c r="J23" s="43">
        <v>836</v>
      </c>
      <c r="K23" s="43">
        <v>895</v>
      </c>
      <c r="L23" s="43">
        <v>1002</v>
      </c>
      <c r="M23" s="43">
        <v>727</v>
      </c>
      <c r="N23" s="39">
        <f t="shared" si="0"/>
        <v>3460</v>
      </c>
    </row>
    <row r="24" spans="1:14" x14ac:dyDescent="0.25">
      <c r="A24" s="21" t="s">
        <v>21</v>
      </c>
      <c r="B24" s="42">
        <v>0</v>
      </c>
      <c r="C24" s="42">
        <v>0</v>
      </c>
      <c r="D24" s="42">
        <v>0</v>
      </c>
      <c r="E24" s="42">
        <v>0</v>
      </c>
      <c r="F24" s="42">
        <v>0</v>
      </c>
      <c r="G24" s="42">
        <v>0</v>
      </c>
      <c r="H24" s="42">
        <v>0</v>
      </c>
      <c r="I24" s="42">
        <v>0</v>
      </c>
      <c r="J24" s="43">
        <v>1137</v>
      </c>
      <c r="K24" s="43">
        <v>1419</v>
      </c>
      <c r="L24" s="43">
        <v>1418</v>
      </c>
      <c r="M24" s="43">
        <v>1264</v>
      </c>
      <c r="N24" s="39">
        <f t="shared" si="0"/>
        <v>5238</v>
      </c>
    </row>
    <row r="25" spans="1:14" x14ac:dyDescent="0.25">
      <c r="A25" s="21" t="s">
        <v>22</v>
      </c>
      <c r="B25" s="42">
        <v>0</v>
      </c>
      <c r="C25" s="42">
        <v>0</v>
      </c>
      <c r="D25" s="42">
        <v>0</v>
      </c>
      <c r="E25" s="42">
        <v>0</v>
      </c>
      <c r="F25" s="42">
        <v>0</v>
      </c>
      <c r="G25" s="42">
        <v>0</v>
      </c>
      <c r="H25" s="42">
        <v>0</v>
      </c>
      <c r="I25" s="42">
        <v>0</v>
      </c>
      <c r="J25" s="43">
        <v>730</v>
      </c>
      <c r="K25" s="43">
        <v>720</v>
      </c>
      <c r="L25" s="43">
        <v>995</v>
      </c>
      <c r="M25" s="43">
        <v>276</v>
      </c>
      <c r="N25" s="39">
        <f t="shared" si="0"/>
        <v>2721</v>
      </c>
    </row>
    <row r="26" spans="1:14" x14ac:dyDescent="0.25">
      <c r="A26" s="21" t="s">
        <v>23</v>
      </c>
      <c r="B26" s="42">
        <v>0</v>
      </c>
      <c r="C26" s="42">
        <v>0</v>
      </c>
      <c r="D26" s="42">
        <v>0</v>
      </c>
      <c r="E26" s="42">
        <v>0</v>
      </c>
      <c r="F26" s="42">
        <v>0</v>
      </c>
      <c r="G26" s="42">
        <v>0</v>
      </c>
      <c r="H26" s="42">
        <v>0</v>
      </c>
      <c r="I26" s="42">
        <v>0</v>
      </c>
      <c r="J26" s="43">
        <v>222</v>
      </c>
      <c r="K26" s="43">
        <v>162</v>
      </c>
      <c r="L26" s="43">
        <v>123</v>
      </c>
      <c r="M26" s="43">
        <v>162</v>
      </c>
      <c r="N26" s="39">
        <f t="shared" si="0"/>
        <v>669</v>
      </c>
    </row>
    <row r="27" spans="1:14" x14ac:dyDescent="0.25">
      <c r="A27" s="21" t="s">
        <v>24</v>
      </c>
      <c r="B27" s="42">
        <v>0</v>
      </c>
      <c r="C27" s="42">
        <v>0</v>
      </c>
      <c r="D27" s="42">
        <v>0</v>
      </c>
      <c r="E27" s="42">
        <v>0</v>
      </c>
      <c r="F27" s="42">
        <v>0</v>
      </c>
      <c r="G27" s="42">
        <v>0</v>
      </c>
      <c r="H27" s="42">
        <v>0</v>
      </c>
      <c r="I27" s="42">
        <v>0</v>
      </c>
      <c r="J27" s="43">
        <v>284</v>
      </c>
      <c r="K27" s="43">
        <v>212</v>
      </c>
      <c r="L27" s="43">
        <v>224</v>
      </c>
      <c r="M27" s="43">
        <v>289</v>
      </c>
      <c r="N27" s="39">
        <f t="shared" si="0"/>
        <v>1009</v>
      </c>
    </row>
    <row r="28" spans="1:14" x14ac:dyDescent="0.25">
      <c r="A28" s="21" t="s">
        <v>25</v>
      </c>
      <c r="B28" s="42">
        <v>0</v>
      </c>
      <c r="C28" s="42">
        <v>0</v>
      </c>
      <c r="D28" s="42">
        <v>0</v>
      </c>
      <c r="E28" s="42">
        <v>0</v>
      </c>
      <c r="F28" s="42">
        <v>0</v>
      </c>
      <c r="G28" s="42">
        <v>0</v>
      </c>
      <c r="H28" s="42">
        <v>0</v>
      </c>
      <c r="I28" s="42">
        <v>0</v>
      </c>
      <c r="J28" s="43">
        <v>714</v>
      </c>
      <c r="K28" s="43">
        <v>944</v>
      </c>
      <c r="L28" s="43">
        <v>1131</v>
      </c>
      <c r="M28" s="43">
        <v>1099</v>
      </c>
      <c r="N28" s="39">
        <f t="shared" si="0"/>
        <v>3888</v>
      </c>
    </row>
    <row r="29" spans="1:14" x14ac:dyDescent="0.25">
      <c r="A29" s="21" t="s">
        <v>26</v>
      </c>
      <c r="B29" s="42">
        <v>0</v>
      </c>
      <c r="C29" s="42">
        <v>0</v>
      </c>
      <c r="D29" s="42">
        <v>0</v>
      </c>
      <c r="E29" s="42">
        <v>0</v>
      </c>
      <c r="F29" s="42">
        <v>0</v>
      </c>
      <c r="G29" s="42">
        <v>0</v>
      </c>
      <c r="H29" s="42">
        <v>0</v>
      </c>
      <c r="I29" s="42">
        <v>0</v>
      </c>
      <c r="J29" s="43">
        <v>432</v>
      </c>
      <c r="K29" s="43">
        <v>443</v>
      </c>
      <c r="L29" s="43">
        <v>384</v>
      </c>
      <c r="M29" s="43">
        <v>410</v>
      </c>
      <c r="N29" s="39">
        <f t="shared" si="0"/>
        <v>1669</v>
      </c>
    </row>
    <row r="30" spans="1:14" x14ac:dyDescent="0.25">
      <c r="A30" s="21" t="s">
        <v>27</v>
      </c>
      <c r="B30" s="42">
        <v>0</v>
      </c>
      <c r="C30" s="42">
        <v>0</v>
      </c>
      <c r="D30" s="42">
        <v>0</v>
      </c>
      <c r="E30" s="42">
        <v>0</v>
      </c>
      <c r="F30" s="42">
        <v>0</v>
      </c>
      <c r="G30" s="42">
        <v>0</v>
      </c>
      <c r="H30" s="42">
        <v>0</v>
      </c>
      <c r="I30" s="42">
        <v>0</v>
      </c>
      <c r="J30" s="43">
        <v>443</v>
      </c>
      <c r="K30" s="43">
        <v>363</v>
      </c>
      <c r="L30" s="43">
        <v>418</v>
      </c>
      <c r="M30" s="43">
        <v>349</v>
      </c>
      <c r="N30" s="39">
        <f t="shared" si="0"/>
        <v>1573</v>
      </c>
    </row>
    <row r="31" spans="1:14" x14ac:dyDescent="0.25">
      <c r="A31" s="21" t="s">
        <v>28</v>
      </c>
      <c r="B31" s="42">
        <v>0</v>
      </c>
      <c r="C31" s="42">
        <v>0</v>
      </c>
      <c r="D31" s="42">
        <v>0</v>
      </c>
      <c r="E31" s="42">
        <v>0</v>
      </c>
      <c r="F31" s="42">
        <v>0</v>
      </c>
      <c r="G31" s="42">
        <v>0</v>
      </c>
      <c r="H31" s="42">
        <v>0</v>
      </c>
      <c r="I31" s="42">
        <v>0</v>
      </c>
      <c r="J31" s="43">
        <v>604</v>
      </c>
      <c r="K31" s="43">
        <v>559</v>
      </c>
      <c r="L31" s="43">
        <v>546</v>
      </c>
      <c r="M31" s="43">
        <v>484</v>
      </c>
      <c r="N31" s="39">
        <f t="shared" si="0"/>
        <v>2193</v>
      </c>
    </row>
    <row r="32" spans="1:14" x14ac:dyDescent="0.25">
      <c r="A32" s="21" t="s">
        <v>29</v>
      </c>
      <c r="B32" s="42">
        <v>0</v>
      </c>
      <c r="C32" s="42">
        <v>0</v>
      </c>
      <c r="D32" s="42">
        <v>0</v>
      </c>
      <c r="E32" s="42">
        <v>0</v>
      </c>
      <c r="F32" s="42">
        <v>0</v>
      </c>
      <c r="G32" s="42">
        <v>0</v>
      </c>
      <c r="H32" s="42">
        <v>0</v>
      </c>
      <c r="I32" s="42">
        <v>0</v>
      </c>
      <c r="J32" s="43">
        <v>179</v>
      </c>
      <c r="K32" s="43">
        <v>172</v>
      </c>
      <c r="L32" s="43">
        <v>211</v>
      </c>
      <c r="M32" s="43">
        <v>177</v>
      </c>
      <c r="N32" s="39">
        <f t="shared" si="0"/>
        <v>739</v>
      </c>
    </row>
    <row r="33" spans="1:14" x14ac:dyDescent="0.25">
      <c r="A33" s="21" t="s">
        <v>30</v>
      </c>
      <c r="B33" s="42">
        <v>0</v>
      </c>
      <c r="C33" s="42">
        <v>0</v>
      </c>
      <c r="D33" s="42">
        <v>0</v>
      </c>
      <c r="E33" s="42">
        <v>0</v>
      </c>
      <c r="F33" s="42">
        <v>0</v>
      </c>
      <c r="G33" s="42">
        <v>0</v>
      </c>
      <c r="H33" s="42">
        <v>0</v>
      </c>
      <c r="I33" s="42">
        <v>0</v>
      </c>
      <c r="J33" s="43">
        <v>190</v>
      </c>
      <c r="K33" s="43">
        <v>189</v>
      </c>
      <c r="L33" s="43">
        <v>138</v>
      </c>
      <c r="M33" s="43">
        <v>171</v>
      </c>
      <c r="N33" s="39">
        <f t="shared" si="0"/>
        <v>688</v>
      </c>
    </row>
    <row r="34" spans="1:14" x14ac:dyDescent="0.25">
      <c r="A34" s="21" t="s">
        <v>31</v>
      </c>
      <c r="B34" s="42">
        <v>0</v>
      </c>
      <c r="C34" s="42">
        <v>0</v>
      </c>
      <c r="D34" s="42">
        <v>0</v>
      </c>
      <c r="E34" s="42">
        <v>0</v>
      </c>
      <c r="F34" s="42">
        <v>0</v>
      </c>
      <c r="G34" s="42">
        <v>0</v>
      </c>
      <c r="H34" s="42">
        <v>0</v>
      </c>
      <c r="I34" s="42">
        <v>0</v>
      </c>
      <c r="J34" s="43">
        <v>135</v>
      </c>
      <c r="K34" s="43">
        <v>115</v>
      </c>
      <c r="L34" s="43">
        <v>126</v>
      </c>
      <c r="M34" s="43">
        <v>98</v>
      </c>
      <c r="N34" s="39">
        <f t="shared" si="0"/>
        <v>474</v>
      </c>
    </row>
    <row r="35" spans="1:14" x14ac:dyDescent="0.25">
      <c r="A35" s="25" t="s">
        <v>36</v>
      </c>
      <c r="B35" s="44">
        <f>+SUBTOTAL(9,B3:B34)</f>
        <v>0</v>
      </c>
      <c r="C35" s="44">
        <f t="shared" ref="C35:M35" si="1">+SUBTOTAL(9,C3:C34)</f>
        <v>0</v>
      </c>
      <c r="D35" s="44">
        <f t="shared" si="1"/>
        <v>0</v>
      </c>
      <c r="E35" s="44">
        <f t="shared" si="1"/>
        <v>0</v>
      </c>
      <c r="F35" s="44">
        <f t="shared" si="1"/>
        <v>0</v>
      </c>
      <c r="G35" s="44">
        <f t="shared" si="1"/>
        <v>0</v>
      </c>
      <c r="H35" s="44">
        <f t="shared" si="1"/>
        <v>0</v>
      </c>
      <c r="I35" s="44">
        <f t="shared" si="1"/>
        <v>0</v>
      </c>
      <c r="J35" s="45">
        <f t="shared" si="1"/>
        <v>34937</v>
      </c>
      <c r="K35" s="45">
        <f t="shared" si="1"/>
        <v>37423</v>
      </c>
      <c r="L35" s="45">
        <f t="shared" si="1"/>
        <v>32593</v>
      </c>
      <c r="M35" s="45">
        <f t="shared" si="1"/>
        <v>32071</v>
      </c>
      <c r="N35" s="39">
        <f t="shared" si="0"/>
        <v>137024</v>
      </c>
    </row>
    <row r="36" spans="1:14" x14ac:dyDescent="0.25"/>
    <row r="37" spans="1:14" x14ac:dyDescent="0.25"/>
  </sheetData>
  <mergeCells count="2">
    <mergeCell ref="A1:M1"/>
    <mergeCell ref="N1:N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99322-F04B-4557-A35C-C9B9A84067AF}">
  <dimension ref="A1:BQ4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J42" sqref="J42"/>
    </sheetView>
  </sheetViews>
  <sheetFormatPr baseColWidth="10" defaultColWidth="0" defaultRowHeight="15" zeroHeight="1" x14ac:dyDescent="0.25"/>
  <cols>
    <col min="1" max="1" width="20.140625" customWidth="1"/>
    <col min="2" max="3" width="11.42578125" customWidth="1"/>
    <col min="4" max="4" width="13" customWidth="1"/>
    <col min="5" max="8" width="11.42578125" customWidth="1"/>
    <col min="9" max="9" width="14" customWidth="1"/>
    <col min="10" max="13" width="11.42578125" customWidth="1"/>
    <col min="14" max="14" width="13.42578125" customWidth="1"/>
    <col min="15" max="18" width="11.42578125" customWidth="1"/>
    <col min="19" max="19" width="14.140625" customWidth="1"/>
    <col min="20" max="23" width="11.42578125" customWidth="1"/>
    <col min="24" max="24" width="13" customWidth="1"/>
    <col min="25" max="28" width="11.42578125" customWidth="1"/>
    <col min="29" max="29" width="13.42578125" customWidth="1"/>
    <col min="30" max="30" width="11.42578125" customWidth="1"/>
    <col min="31" max="31" width="13.42578125" bestFit="1" customWidth="1"/>
    <col min="32" max="33" width="11.42578125" customWidth="1"/>
    <col min="34" max="34" width="13" customWidth="1"/>
    <col min="35" max="38" width="11.42578125" customWidth="1"/>
    <col min="39" max="39" width="14.42578125" customWidth="1"/>
    <col min="40" max="43" width="11.42578125" customWidth="1"/>
    <col min="44" max="44" width="13.5703125" customWidth="1"/>
    <col min="45" max="48" width="11.42578125" customWidth="1"/>
    <col min="49" max="49" width="14" customWidth="1"/>
    <col min="50" max="53" width="11.42578125" customWidth="1"/>
    <col min="54" max="54" width="12.7109375" customWidth="1"/>
    <col min="55" max="58" width="11.42578125" customWidth="1"/>
    <col min="59" max="59" width="12.85546875" customWidth="1"/>
    <col min="60" max="63" width="11.42578125" customWidth="1"/>
    <col min="64" max="64" width="12.5703125" customWidth="1"/>
    <col min="65" max="65" width="13.28515625" customWidth="1"/>
    <col min="66" max="69" width="11.42578125" customWidth="1"/>
    <col min="70" max="16384" width="11.42578125" hidden="1"/>
  </cols>
  <sheetData>
    <row r="1" spans="1:66" ht="19.5" customHeight="1" x14ac:dyDescent="0.25">
      <c r="A1" s="78" t="s">
        <v>56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8"/>
      <c r="BI1" s="97"/>
      <c r="BJ1" s="95" t="s">
        <v>83</v>
      </c>
      <c r="BK1" s="96"/>
      <c r="BL1" s="96"/>
      <c r="BM1" s="96"/>
      <c r="BN1" s="96"/>
    </row>
    <row r="2" spans="1:66" x14ac:dyDescent="0.25">
      <c r="A2" s="23" t="s">
        <v>42</v>
      </c>
      <c r="B2" s="87" t="s">
        <v>43</v>
      </c>
      <c r="C2" s="88"/>
      <c r="D2" s="88"/>
      <c r="E2" s="88"/>
      <c r="F2" s="89"/>
      <c r="G2" s="84" t="s">
        <v>44</v>
      </c>
      <c r="H2" s="85"/>
      <c r="I2" s="85"/>
      <c r="J2" s="85"/>
      <c r="K2" s="86"/>
      <c r="L2" s="87" t="s">
        <v>45</v>
      </c>
      <c r="M2" s="88"/>
      <c r="N2" s="88"/>
      <c r="O2" s="88"/>
      <c r="P2" s="89"/>
      <c r="Q2" s="84" t="s">
        <v>46</v>
      </c>
      <c r="R2" s="85"/>
      <c r="S2" s="85"/>
      <c r="T2" s="85"/>
      <c r="U2" s="86"/>
      <c r="V2" s="87" t="s">
        <v>47</v>
      </c>
      <c r="W2" s="88"/>
      <c r="X2" s="88"/>
      <c r="Y2" s="88"/>
      <c r="Z2" s="89"/>
      <c r="AA2" s="84" t="s">
        <v>48</v>
      </c>
      <c r="AB2" s="85"/>
      <c r="AC2" s="85"/>
      <c r="AD2" s="85"/>
      <c r="AE2" s="86"/>
      <c r="AF2" s="87" t="s">
        <v>49</v>
      </c>
      <c r="AG2" s="88"/>
      <c r="AH2" s="88"/>
      <c r="AI2" s="88"/>
      <c r="AJ2" s="89"/>
      <c r="AK2" s="84" t="s">
        <v>50</v>
      </c>
      <c r="AL2" s="85"/>
      <c r="AM2" s="85"/>
      <c r="AN2" s="85"/>
      <c r="AO2" s="86"/>
      <c r="AP2" s="87" t="s">
        <v>51</v>
      </c>
      <c r="AQ2" s="88"/>
      <c r="AR2" s="88"/>
      <c r="AS2" s="88"/>
      <c r="AT2" s="89"/>
      <c r="AU2" s="84" t="s">
        <v>52</v>
      </c>
      <c r="AV2" s="85"/>
      <c r="AW2" s="85"/>
      <c r="AX2" s="85"/>
      <c r="AY2" s="86"/>
      <c r="AZ2" s="87" t="s">
        <v>53</v>
      </c>
      <c r="BA2" s="88"/>
      <c r="BB2" s="88"/>
      <c r="BC2" s="88"/>
      <c r="BD2" s="89"/>
      <c r="BE2" s="84" t="s">
        <v>54</v>
      </c>
      <c r="BF2" s="85"/>
      <c r="BG2" s="85"/>
      <c r="BH2" s="85"/>
      <c r="BI2" s="85"/>
      <c r="BJ2" s="96"/>
      <c r="BK2" s="96"/>
      <c r="BL2" s="96"/>
      <c r="BM2" s="96"/>
      <c r="BN2" s="96"/>
    </row>
    <row r="3" spans="1:66" ht="48" x14ac:dyDescent="0.25">
      <c r="A3" s="23"/>
      <c r="B3" s="69" t="s">
        <v>57</v>
      </c>
      <c r="C3" s="70" t="s">
        <v>58</v>
      </c>
      <c r="D3" s="70" t="s">
        <v>59</v>
      </c>
      <c r="E3" s="70" t="s">
        <v>60</v>
      </c>
      <c r="F3" s="71" t="s">
        <v>61</v>
      </c>
      <c r="G3" s="30" t="s">
        <v>57</v>
      </c>
      <c r="H3" s="31" t="s">
        <v>58</v>
      </c>
      <c r="I3" s="31" t="s">
        <v>59</v>
      </c>
      <c r="J3" s="31" t="s">
        <v>60</v>
      </c>
      <c r="K3" s="32" t="s">
        <v>61</v>
      </c>
      <c r="L3" s="69" t="s">
        <v>57</v>
      </c>
      <c r="M3" s="70" t="s">
        <v>58</v>
      </c>
      <c r="N3" s="70" t="s">
        <v>59</v>
      </c>
      <c r="O3" s="70" t="s">
        <v>60</v>
      </c>
      <c r="P3" s="71" t="s">
        <v>61</v>
      </c>
      <c r="Q3" s="30" t="s">
        <v>57</v>
      </c>
      <c r="R3" s="31" t="s">
        <v>58</v>
      </c>
      <c r="S3" s="31" t="s">
        <v>59</v>
      </c>
      <c r="T3" s="31" t="s">
        <v>60</v>
      </c>
      <c r="U3" s="32" t="s">
        <v>61</v>
      </c>
      <c r="V3" s="69" t="s">
        <v>57</v>
      </c>
      <c r="W3" s="70" t="s">
        <v>58</v>
      </c>
      <c r="X3" s="70" t="s">
        <v>59</v>
      </c>
      <c r="Y3" s="70" t="s">
        <v>60</v>
      </c>
      <c r="Z3" s="71" t="s">
        <v>61</v>
      </c>
      <c r="AA3" s="30" t="s">
        <v>57</v>
      </c>
      <c r="AB3" s="31" t="s">
        <v>58</v>
      </c>
      <c r="AC3" s="31" t="s">
        <v>59</v>
      </c>
      <c r="AD3" s="31" t="s">
        <v>60</v>
      </c>
      <c r="AE3" s="32" t="s">
        <v>61</v>
      </c>
      <c r="AF3" s="69" t="s">
        <v>57</v>
      </c>
      <c r="AG3" s="70" t="s">
        <v>58</v>
      </c>
      <c r="AH3" s="70" t="s">
        <v>59</v>
      </c>
      <c r="AI3" s="70" t="s">
        <v>60</v>
      </c>
      <c r="AJ3" s="71" t="s">
        <v>61</v>
      </c>
      <c r="AK3" s="30" t="s">
        <v>57</v>
      </c>
      <c r="AL3" s="31" t="s">
        <v>58</v>
      </c>
      <c r="AM3" s="31" t="s">
        <v>59</v>
      </c>
      <c r="AN3" s="31" t="s">
        <v>60</v>
      </c>
      <c r="AO3" s="32" t="s">
        <v>61</v>
      </c>
      <c r="AP3" s="69" t="s">
        <v>57</v>
      </c>
      <c r="AQ3" s="70" t="s">
        <v>58</v>
      </c>
      <c r="AR3" s="70" t="s">
        <v>59</v>
      </c>
      <c r="AS3" s="70" t="s">
        <v>60</v>
      </c>
      <c r="AT3" s="71" t="s">
        <v>61</v>
      </c>
      <c r="AU3" s="30" t="s">
        <v>57</v>
      </c>
      <c r="AV3" s="31" t="s">
        <v>58</v>
      </c>
      <c r="AW3" s="31" t="s">
        <v>59</v>
      </c>
      <c r="AX3" s="31" t="s">
        <v>60</v>
      </c>
      <c r="AY3" s="32" t="s">
        <v>61</v>
      </c>
      <c r="AZ3" s="69" t="s">
        <v>57</v>
      </c>
      <c r="BA3" s="70" t="s">
        <v>58</v>
      </c>
      <c r="BB3" s="70" t="s">
        <v>59</v>
      </c>
      <c r="BC3" s="70" t="s">
        <v>60</v>
      </c>
      <c r="BD3" s="71" t="s">
        <v>61</v>
      </c>
      <c r="BE3" s="30" t="s">
        <v>57</v>
      </c>
      <c r="BF3" s="31" t="s">
        <v>58</v>
      </c>
      <c r="BG3" s="31" t="s">
        <v>59</v>
      </c>
      <c r="BH3" s="31" t="s">
        <v>60</v>
      </c>
      <c r="BI3" s="31" t="s">
        <v>61</v>
      </c>
      <c r="BJ3" s="56" t="s">
        <v>57</v>
      </c>
      <c r="BK3" s="56" t="s">
        <v>58</v>
      </c>
      <c r="BL3" s="56" t="s">
        <v>84</v>
      </c>
      <c r="BM3" s="56" t="s">
        <v>60</v>
      </c>
      <c r="BN3" s="56" t="s">
        <v>61</v>
      </c>
    </row>
    <row r="4" spans="1:66" x14ac:dyDescent="0.25">
      <c r="A4" s="21" t="s">
        <v>1</v>
      </c>
      <c r="B4" s="38">
        <v>760</v>
      </c>
      <c r="C4" s="38">
        <v>3236</v>
      </c>
      <c r="D4" s="58">
        <v>0</v>
      </c>
      <c r="E4" s="37">
        <v>0</v>
      </c>
      <c r="F4" s="64">
        <v>0</v>
      </c>
      <c r="G4" s="38">
        <v>760</v>
      </c>
      <c r="H4" s="38">
        <v>3236</v>
      </c>
      <c r="I4" s="58">
        <v>0</v>
      </c>
      <c r="J4" s="37">
        <v>0</v>
      </c>
      <c r="K4" s="64">
        <v>0</v>
      </c>
      <c r="L4" s="38">
        <v>0</v>
      </c>
      <c r="M4" s="38">
        <v>0</v>
      </c>
      <c r="N4" s="58">
        <v>0</v>
      </c>
      <c r="O4" s="37">
        <v>0</v>
      </c>
      <c r="P4" s="64">
        <v>0</v>
      </c>
      <c r="Q4" s="38">
        <v>760</v>
      </c>
      <c r="R4" s="38">
        <v>3236</v>
      </c>
      <c r="S4" s="58">
        <v>0</v>
      </c>
      <c r="T4" s="37">
        <v>0</v>
      </c>
      <c r="U4" s="64">
        <v>0</v>
      </c>
      <c r="V4" s="38">
        <v>760</v>
      </c>
      <c r="W4" s="38">
        <v>3938</v>
      </c>
      <c r="X4" s="58">
        <v>0</v>
      </c>
      <c r="Y4" s="37">
        <v>0</v>
      </c>
      <c r="Z4" s="64">
        <v>0</v>
      </c>
      <c r="AA4" s="38">
        <v>760</v>
      </c>
      <c r="AB4" s="38">
        <v>3236</v>
      </c>
      <c r="AC4" s="58">
        <v>0.95</v>
      </c>
      <c r="AD4" s="38">
        <v>284</v>
      </c>
      <c r="AE4" s="64">
        <v>1.4652777777777778E-2</v>
      </c>
      <c r="AF4" s="38">
        <v>760</v>
      </c>
      <c r="AG4" s="38">
        <v>3236</v>
      </c>
      <c r="AH4" s="58">
        <v>0.95</v>
      </c>
      <c r="AI4" s="38">
        <v>284</v>
      </c>
      <c r="AJ4" s="64">
        <v>1.4699074074074074E-2</v>
      </c>
      <c r="AK4" s="38"/>
      <c r="AL4" s="38"/>
      <c r="AM4" s="58"/>
      <c r="AN4" s="38"/>
      <c r="AO4" s="64"/>
      <c r="AP4" s="38"/>
      <c r="AQ4" s="38"/>
      <c r="AR4" s="58"/>
      <c r="AS4" s="38"/>
      <c r="AT4" s="64"/>
      <c r="AU4" s="38"/>
      <c r="AV4" s="38"/>
      <c r="AW4" s="58"/>
      <c r="AX4" s="38"/>
      <c r="AY4" s="64"/>
      <c r="AZ4" s="38"/>
      <c r="BA4" s="38"/>
      <c r="BB4" s="58"/>
      <c r="BC4" s="38"/>
      <c r="BD4" s="64"/>
      <c r="BE4" s="38"/>
      <c r="BF4" s="38"/>
      <c r="BG4" s="58"/>
      <c r="BH4" s="38"/>
      <c r="BI4" s="64"/>
      <c r="BJ4" s="65">
        <f>SUM(B4,G4,L4,Q4,V4,AA4,AF4,AK4,AP4,AU4,AZ4,BE4)</f>
        <v>4560</v>
      </c>
      <c r="BK4" s="65">
        <f t="shared" ref="BK4:BM4" si="0">SUM(C4,H4,M4,R4,W4,AB4,AG4,AL4,AQ4,AV4,BA4,BF4)</f>
        <v>20118</v>
      </c>
      <c r="BL4" s="63">
        <f>SUBTOTAL(101,AC4,AH4,AM4,AR4,AW4,BB4,BG4)</f>
        <v>0.95</v>
      </c>
      <c r="BM4" s="65">
        <f t="shared" si="0"/>
        <v>568</v>
      </c>
      <c r="BN4" s="57">
        <f>SUBTOTAL(101,F4,K4,P4,U4,Z4,AE4,AJ4,AO4,AT4,AY4,BD4,BI4)</f>
        <v>4.193121693121693E-3</v>
      </c>
    </row>
    <row r="5" spans="1:66" x14ac:dyDescent="0.25">
      <c r="A5" s="21" t="s">
        <v>32</v>
      </c>
      <c r="B5" s="38">
        <v>1101</v>
      </c>
      <c r="C5" s="38">
        <v>4310</v>
      </c>
      <c r="D5" s="58">
        <v>0</v>
      </c>
      <c r="E5" s="37">
        <v>0</v>
      </c>
      <c r="F5" s="64">
        <v>0</v>
      </c>
      <c r="G5" s="38">
        <v>1101</v>
      </c>
      <c r="H5" s="38">
        <v>4310</v>
      </c>
      <c r="I5" s="58">
        <v>0</v>
      </c>
      <c r="J5" s="37">
        <v>0</v>
      </c>
      <c r="K5" s="64">
        <v>0</v>
      </c>
      <c r="L5" s="38">
        <v>0</v>
      </c>
      <c r="M5" s="38">
        <v>0</v>
      </c>
      <c r="N5" s="58">
        <v>0</v>
      </c>
      <c r="O5" s="37">
        <v>0</v>
      </c>
      <c r="P5" s="64">
        <v>0</v>
      </c>
      <c r="Q5" s="38">
        <v>1101</v>
      </c>
      <c r="R5" s="38">
        <v>4312</v>
      </c>
      <c r="S5" s="58">
        <v>0</v>
      </c>
      <c r="T5" s="37">
        <v>0</v>
      </c>
      <c r="U5" s="64">
        <v>0</v>
      </c>
      <c r="V5" s="38">
        <v>1101</v>
      </c>
      <c r="W5" s="38">
        <v>4312</v>
      </c>
      <c r="X5" s="58">
        <v>0</v>
      </c>
      <c r="Y5" s="37">
        <v>0</v>
      </c>
      <c r="Z5" s="64">
        <v>0</v>
      </c>
      <c r="AA5" s="38">
        <v>1101</v>
      </c>
      <c r="AB5" s="38">
        <v>4312</v>
      </c>
      <c r="AC5" s="58">
        <v>0.97</v>
      </c>
      <c r="AD5" s="38">
        <v>258</v>
      </c>
      <c r="AE5" s="64">
        <v>6.1631944444444442E-3</v>
      </c>
      <c r="AF5" s="38">
        <v>1101</v>
      </c>
      <c r="AG5" s="38">
        <v>4312</v>
      </c>
      <c r="AH5" s="58">
        <v>0.96</v>
      </c>
      <c r="AI5" s="38">
        <v>258</v>
      </c>
      <c r="AJ5" s="64">
        <v>5.5787037037037038E-3</v>
      </c>
      <c r="AK5" s="38"/>
      <c r="AL5" s="38"/>
      <c r="AM5" s="58"/>
      <c r="AN5" s="38"/>
      <c r="AO5" s="64"/>
      <c r="AP5" s="38"/>
      <c r="AQ5" s="38"/>
      <c r="AR5" s="58"/>
      <c r="AS5" s="38"/>
      <c r="AT5" s="64"/>
      <c r="AU5" s="38"/>
      <c r="AV5" s="38"/>
      <c r="AW5" s="58"/>
      <c r="AX5" s="38"/>
      <c r="AY5" s="64"/>
      <c r="AZ5" s="38"/>
      <c r="BA5" s="38"/>
      <c r="BB5" s="58"/>
      <c r="BC5" s="38"/>
      <c r="BD5" s="64"/>
      <c r="BE5" s="38"/>
      <c r="BF5" s="38"/>
      <c r="BG5" s="58"/>
      <c r="BH5" s="38"/>
      <c r="BI5" s="64"/>
      <c r="BJ5" s="65">
        <f t="shared" ref="BJ5:BJ35" si="1">SUM(B5,G5,L5,Q5,V5,AA5,AF5,AK5,AP5,AU5,AZ5,BE5)</f>
        <v>6606</v>
      </c>
      <c r="BK5" s="65">
        <f t="shared" ref="BK5:BK35" si="2">SUM(C5,H5,M5,R5,W5,AB5,AG5,AL5,AQ5,AV5,BA5,BF5)</f>
        <v>25868</v>
      </c>
      <c r="BL5" s="63">
        <f t="shared" ref="BL5:BL35" si="3">SUBTOTAL(101,AC5,AH5,AM5,AR5,AW5,BB5,BG5)</f>
        <v>0.96499999999999997</v>
      </c>
      <c r="BM5" s="65">
        <f t="shared" ref="BM5:BM35" si="4">SUM(E5,J5,O5,T5,Y5,AD5,AI5,AN5,AS5,AX5,BC5,BH5)</f>
        <v>516</v>
      </c>
      <c r="BN5" s="57">
        <f t="shared" ref="BN5:BN35" si="5">SUBTOTAL(101,F5,K5,P5,U5,Z5,AE5,AJ5,AO5,AT5,AY5,BD5,BI5)</f>
        <v>1.677414021164021E-3</v>
      </c>
    </row>
    <row r="6" spans="1:66" x14ac:dyDescent="0.25">
      <c r="A6" s="21" t="s">
        <v>3</v>
      </c>
      <c r="B6" s="38">
        <v>789</v>
      </c>
      <c r="C6" s="38">
        <v>1309</v>
      </c>
      <c r="D6" s="58">
        <v>0</v>
      </c>
      <c r="E6" s="37">
        <v>0</v>
      </c>
      <c r="F6" s="64">
        <v>0</v>
      </c>
      <c r="G6" s="38">
        <v>789</v>
      </c>
      <c r="H6" s="38">
        <v>1309</v>
      </c>
      <c r="I6" s="58">
        <v>0</v>
      </c>
      <c r="J6" s="37">
        <v>0</v>
      </c>
      <c r="K6" s="64">
        <v>0</v>
      </c>
      <c r="L6" s="38">
        <v>0</v>
      </c>
      <c r="M6" s="38">
        <v>0</v>
      </c>
      <c r="N6" s="58">
        <v>0</v>
      </c>
      <c r="O6" s="37">
        <v>0</v>
      </c>
      <c r="P6" s="64">
        <v>0</v>
      </c>
      <c r="Q6" s="38">
        <v>205</v>
      </c>
      <c r="R6" s="38">
        <v>951</v>
      </c>
      <c r="S6" s="58">
        <v>0</v>
      </c>
      <c r="T6" s="37">
        <v>0</v>
      </c>
      <c r="U6" s="64">
        <v>0</v>
      </c>
      <c r="V6" s="38">
        <v>205</v>
      </c>
      <c r="W6" s="38">
        <v>951</v>
      </c>
      <c r="X6" s="58">
        <v>0</v>
      </c>
      <c r="Y6" s="37">
        <v>0</v>
      </c>
      <c r="Z6" s="64">
        <v>0</v>
      </c>
      <c r="AA6" s="38">
        <v>209</v>
      </c>
      <c r="AB6" s="38">
        <v>955</v>
      </c>
      <c r="AC6" s="58">
        <v>0.89</v>
      </c>
      <c r="AD6" s="38">
        <v>62</v>
      </c>
      <c r="AE6" s="64">
        <v>2.7708333333333335E-2</v>
      </c>
      <c r="AF6" s="38">
        <v>209</v>
      </c>
      <c r="AG6" s="38">
        <v>955</v>
      </c>
      <c r="AH6" s="58">
        <v>0.86</v>
      </c>
      <c r="AI6" s="38">
        <v>62</v>
      </c>
      <c r="AJ6" s="64">
        <v>2.4693287037037038E-2</v>
      </c>
      <c r="AK6" s="38"/>
      <c r="AL6" s="38"/>
      <c r="AM6" s="58"/>
      <c r="AN6" s="38"/>
      <c r="AO6" s="64"/>
      <c r="AP6" s="38"/>
      <c r="AQ6" s="38"/>
      <c r="AR6" s="58"/>
      <c r="AS6" s="38"/>
      <c r="AT6" s="64"/>
      <c r="AU6" s="38"/>
      <c r="AV6" s="38"/>
      <c r="AW6" s="58"/>
      <c r="AX6" s="38"/>
      <c r="AY6" s="64"/>
      <c r="AZ6" s="38"/>
      <c r="BA6" s="38"/>
      <c r="BB6" s="58"/>
      <c r="BC6" s="38"/>
      <c r="BD6" s="64"/>
      <c r="BE6" s="38"/>
      <c r="BF6" s="38"/>
      <c r="BG6" s="58"/>
      <c r="BH6" s="38"/>
      <c r="BI6" s="64"/>
      <c r="BJ6" s="65">
        <f t="shared" si="1"/>
        <v>2406</v>
      </c>
      <c r="BK6" s="65">
        <f t="shared" si="2"/>
        <v>6430</v>
      </c>
      <c r="BL6" s="63">
        <f t="shared" si="3"/>
        <v>0.875</v>
      </c>
      <c r="BM6" s="65">
        <f t="shared" si="4"/>
        <v>124</v>
      </c>
      <c r="BN6" s="57">
        <f t="shared" si="5"/>
        <v>7.4859457671957669E-3</v>
      </c>
    </row>
    <row r="7" spans="1:66" x14ac:dyDescent="0.25">
      <c r="A7" s="21" t="s">
        <v>4</v>
      </c>
      <c r="B7" s="38">
        <v>286</v>
      </c>
      <c r="C7" s="38">
        <v>1332</v>
      </c>
      <c r="D7" s="58">
        <v>0</v>
      </c>
      <c r="E7" s="37">
        <v>0</v>
      </c>
      <c r="F7" s="64">
        <v>0</v>
      </c>
      <c r="G7" s="38">
        <v>286</v>
      </c>
      <c r="H7" s="38">
        <v>1332</v>
      </c>
      <c r="I7" s="58">
        <v>0</v>
      </c>
      <c r="J7" s="37">
        <v>0</v>
      </c>
      <c r="K7" s="64">
        <v>0</v>
      </c>
      <c r="L7" s="38">
        <v>0</v>
      </c>
      <c r="M7" s="38">
        <v>0</v>
      </c>
      <c r="N7" s="58">
        <v>0</v>
      </c>
      <c r="O7" s="37">
        <v>0</v>
      </c>
      <c r="P7" s="64">
        <v>0</v>
      </c>
      <c r="Q7" s="38">
        <v>294</v>
      </c>
      <c r="R7" s="38">
        <v>1362</v>
      </c>
      <c r="S7" s="58">
        <v>0</v>
      </c>
      <c r="T7" s="37">
        <v>0</v>
      </c>
      <c r="U7" s="64">
        <v>0</v>
      </c>
      <c r="V7" s="38">
        <v>294</v>
      </c>
      <c r="W7" s="38">
        <v>1362</v>
      </c>
      <c r="X7" s="58">
        <v>0</v>
      </c>
      <c r="Y7" s="37">
        <v>0</v>
      </c>
      <c r="Z7" s="64">
        <v>0</v>
      </c>
      <c r="AA7" s="38">
        <v>294</v>
      </c>
      <c r="AB7" s="38">
        <v>1362</v>
      </c>
      <c r="AC7" s="58">
        <v>0.98</v>
      </c>
      <c r="AD7" s="38">
        <v>185</v>
      </c>
      <c r="AE7" s="64">
        <v>2.8009259259259258E-2</v>
      </c>
      <c r="AF7" s="38">
        <v>294</v>
      </c>
      <c r="AG7" s="38">
        <v>1362</v>
      </c>
      <c r="AH7" s="58">
        <v>0.93</v>
      </c>
      <c r="AI7" s="38">
        <v>185</v>
      </c>
      <c r="AJ7" s="64">
        <v>2.8888888888888888E-2</v>
      </c>
      <c r="AK7" s="38"/>
      <c r="AL7" s="38"/>
      <c r="AM7" s="58"/>
      <c r="AN7" s="38"/>
      <c r="AO7" s="64"/>
      <c r="AP7" s="38"/>
      <c r="AQ7" s="38"/>
      <c r="AR7" s="58"/>
      <c r="AS7" s="38"/>
      <c r="AT7" s="64"/>
      <c r="AU7" s="38"/>
      <c r="AV7" s="38"/>
      <c r="AW7" s="58"/>
      <c r="AX7" s="38"/>
      <c r="AY7" s="64"/>
      <c r="AZ7" s="38"/>
      <c r="BA7" s="38"/>
      <c r="BB7" s="58"/>
      <c r="BC7" s="38"/>
      <c r="BD7" s="64"/>
      <c r="BE7" s="38"/>
      <c r="BF7" s="38"/>
      <c r="BG7" s="58"/>
      <c r="BH7" s="38"/>
      <c r="BI7" s="64"/>
      <c r="BJ7" s="65">
        <f t="shared" si="1"/>
        <v>1748</v>
      </c>
      <c r="BK7" s="65">
        <f t="shared" si="2"/>
        <v>8112</v>
      </c>
      <c r="BL7" s="63">
        <f t="shared" si="3"/>
        <v>0.95500000000000007</v>
      </c>
      <c r="BM7" s="65">
        <f t="shared" si="4"/>
        <v>370</v>
      </c>
      <c r="BN7" s="57">
        <f t="shared" si="5"/>
        <v>8.128306878306877E-3</v>
      </c>
    </row>
    <row r="8" spans="1:66" x14ac:dyDescent="0.25">
      <c r="A8" s="21" t="s">
        <v>5</v>
      </c>
      <c r="B8" s="38">
        <v>835</v>
      </c>
      <c r="C8" s="38">
        <v>2675</v>
      </c>
      <c r="D8" s="58">
        <v>0</v>
      </c>
      <c r="E8" s="37">
        <v>0</v>
      </c>
      <c r="F8" s="64">
        <v>0</v>
      </c>
      <c r="G8" s="38">
        <v>835</v>
      </c>
      <c r="H8" s="38">
        <v>2675</v>
      </c>
      <c r="I8" s="58">
        <v>0</v>
      </c>
      <c r="J8" s="37">
        <v>0</v>
      </c>
      <c r="K8" s="64">
        <v>0</v>
      </c>
      <c r="L8" s="38">
        <v>0</v>
      </c>
      <c r="M8" s="38">
        <v>0</v>
      </c>
      <c r="N8" s="58">
        <v>0</v>
      </c>
      <c r="O8" s="37">
        <v>0</v>
      </c>
      <c r="P8" s="64">
        <v>0</v>
      </c>
      <c r="Q8" s="38">
        <v>835</v>
      </c>
      <c r="R8" s="38">
        <v>2675</v>
      </c>
      <c r="S8" s="58">
        <v>0</v>
      </c>
      <c r="T8" s="37">
        <v>0</v>
      </c>
      <c r="U8" s="64">
        <v>0</v>
      </c>
      <c r="V8" s="38">
        <v>164</v>
      </c>
      <c r="W8" s="38">
        <v>1008</v>
      </c>
      <c r="X8" s="58">
        <v>0</v>
      </c>
      <c r="Y8" s="37">
        <v>0</v>
      </c>
      <c r="Z8" s="64">
        <v>0</v>
      </c>
      <c r="AA8" s="38">
        <v>852</v>
      </c>
      <c r="AB8" s="38">
        <v>2921</v>
      </c>
      <c r="AC8" s="58">
        <v>0.93</v>
      </c>
      <c r="AD8" s="38">
        <v>91</v>
      </c>
      <c r="AE8" s="64">
        <v>4.8726851851851848E-3</v>
      </c>
      <c r="AF8" s="38">
        <v>852</v>
      </c>
      <c r="AG8" s="38">
        <v>2921</v>
      </c>
      <c r="AH8" s="58">
        <v>0.93</v>
      </c>
      <c r="AI8" s="38">
        <v>91</v>
      </c>
      <c r="AJ8" s="64">
        <v>4.8379629629629623E-3</v>
      </c>
      <c r="AK8" s="38"/>
      <c r="AL8" s="38"/>
      <c r="AM8" s="58"/>
      <c r="AN8" s="38"/>
      <c r="AO8" s="64"/>
      <c r="AP8" s="38"/>
      <c r="AQ8" s="38"/>
      <c r="AR8" s="58"/>
      <c r="AS8" s="38"/>
      <c r="AT8" s="64"/>
      <c r="AU8" s="38"/>
      <c r="AV8" s="38"/>
      <c r="AW8" s="58"/>
      <c r="AX8" s="38"/>
      <c r="AY8" s="64"/>
      <c r="AZ8" s="38"/>
      <c r="BA8" s="38"/>
      <c r="BB8" s="58"/>
      <c r="BC8" s="38"/>
      <c r="BD8" s="64"/>
      <c r="BE8" s="38"/>
      <c r="BF8" s="38"/>
      <c r="BG8" s="58"/>
      <c r="BH8" s="38"/>
      <c r="BI8" s="64"/>
      <c r="BJ8" s="65">
        <f t="shared" si="1"/>
        <v>4373</v>
      </c>
      <c r="BK8" s="65">
        <f t="shared" si="2"/>
        <v>14875</v>
      </c>
      <c r="BL8" s="63">
        <f t="shared" si="3"/>
        <v>0.93</v>
      </c>
      <c r="BM8" s="65">
        <f t="shared" si="4"/>
        <v>182</v>
      </c>
      <c r="BN8" s="57">
        <f t="shared" si="5"/>
        <v>1.3872354497354495E-3</v>
      </c>
    </row>
    <row r="9" spans="1:66" x14ac:dyDescent="0.25">
      <c r="A9" s="21" t="s">
        <v>6</v>
      </c>
      <c r="B9" s="38">
        <v>3433</v>
      </c>
      <c r="C9" s="38">
        <v>8359</v>
      </c>
      <c r="D9" s="58">
        <v>0</v>
      </c>
      <c r="E9" s="37">
        <v>0</v>
      </c>
      <c r="F9" s="64">
        <v>0</v>
      </c>
      <c r="G9" s="38">
        <v>3415</v>
      </c>
      <c r="H9" s="38">
        <v>8371</v>
      </c>
      <c r="I9" s="58">
        <v>0</v>
      </c>
      <c r="J9" s="37">
        <v>0</v>
      </c>
      <c r="K9" s="64">
        <v>0</v>
      </c>
      <c r="L9" s="38">
        <v>0</v>
      </c>
      <c r="M9" s="38">
        <v>0</v>
      </c>
      <c r="N9" s="58">
        <v>0</v>
      </c>
      <c r="O9" s="37">
        <v>0</v>
      </c>
      <c r="P9" s="64">
        <v>0</v>
      </c>
      <c r="Q9" s="38">
        <v>3433</v>
      </c>
      <c r="R9" s="38">
        <v>8393</v>
      </c>
      <c r="S9" s="58">
        <v>0</v>
      </c>
      <c r="T9" s="37">
        <v>0</v>
      </c>
      <c r="U9" s="64">
        <v>0</v>
      </c>
      <c r="V9" s="38">
        <v>370</v>
      </c>
      <c r="W9" s="38">
        <v>1000</v>
      </c>
      <c r="X9" s="58">
        <v>0</v>
      </c>
      <c r="Y9" s="37">
        <v>0</v>
      </c>
      <c r="Z9" s="64">
        <v>0</v>
      </c>
      <c r="AA9" s="38">
        <v>3439</v>
      </c>
      <c r="AB9" s="38">
        <v>8552</v>
      </c>
      <c r="AC9" s="58">
        <v>0.79</v>
      </c>
      <c r="AD9" s="38">
        <v>1580</v>
      </c>
      <c r="AE9" s="64">
        <v>1.4085648148148149E-2</v>
      </c>
      <c r="AF9" s="38">
        <v>3472</v>
      </c>
      <c r="AG9" s="38">
        <v>8773</v>
      </c>
      <c r="AH9" s="58">
        <v>0.8</v>
      </c>
      <c r="AI9" s="38">
        <v>1579</v>
      </c>
      <c r="AJ9" s="64">
        <v>1.3321759259259259E-2</v>
      </c>
      <c r="AK9" s="38"/>
      <c r="AL9" s="38"/>
      <c r="AM9" s="58"/>
      <c r="AN9" s="38"/>
      <c r="AO9" s="64"/>
      <c r="AP9" s="38"/>
      <c r="AQ9" s="38"/>
      <c r="AR9" s="58"/>
      <c r="AS9" s="38"/>
      <c r="AT9" s="64"/>
      <c r="AU9" s="38"/>
      <c r="AV9" s="38"/>
      <c r="AW9" s="58"/>
      <c r="AX9" s="38"/>
      <c r="AY9" s="64"/>
      <c r="AZ9" s="38"/>
      <c r="BA9" s="38"/>
      <c r="BB9" s="58"/>
      <c r="BC9" s="38"/>
      <c r="BD9" s="64"/>
      <c r="BE9" s="38"/>
      <c r="BF9" s="38"/>
      <c r="BG9" s="58"/>
      <c r="BH9" s="38"/>
      <c r="BI9" s="64"/>
      <c r="BJ9" s="65">
        <f t="shared" si="1"/>
        <v>17562</v>
      </c>
      <c r="BK9" s="65">
        <f t="shared" si="2"/>
        <v>43448</v>
      </c>
      <c r="BL9" s="63">
        <f t="shared" si="3"/>
        <v>0.79500000000000004</v>
      </c>
      <c r="BM9" s="65">
        <f t="shared" si="4"/>
        <v>3159</v>
      </c>
      <c r="BN9" s="57">
        <f t="shared" si="5"/>
        <v>3.9153439153439152E-3</v>
      </c>
    </row>
    <row r="10" spans="1:66" x14ac:dyDescent="0.25">
      <c r="A10" s="21" t="s">
        <v>7</v>
      </c>
      <c r="B10" s="38">
        <v>48724</v>
      </c>
      <c r="C10" s="38">
        <v>119650</v>
      </c>
      <c r="D10" s="58">
        <v>0</v>
      </c>
      <c r="E10" s="37">
        <v>0</v>
      </c>
      <c r="F10" s="64">
        <v>0</v>
      </c>
      <c r="G10" s="38">
        <v>48724</v>
      </c>
      <c r="H10" s="38">
        <v>119650</v>
      </c>
      <c r="I10" s="58">
        <v>0</v>
      </c>
      <c r="J10" s="37">
        <v>0</v>
      </c>
      <c r="K10" s="64">
        <v>0</v>
      </c>
      <c r="L10" s="38">
        <v>0</v>
      </c>
      <c r="M10" s="38">
        <v>0</v>
      </c>
      <c r="N10" s="58">
        <v>0</v>
      </c>
      <c r="O10" s="37">
        <v>0</v>
      </c>
      <c r="P10" s="64">
        <v>0</v>
      </c>
      <c r="Q10" s="38">
        <v>48724</v>
      </c>
      <c r="R10" s="38">
        <v>119650</v>
      </c>
      <c r="S10" s="58">
        <v>0</v>
      </c>
      <c r="T10" s="37">
        <v>0</v>
      </c>
      <c r="U10" s="64">
        <v>0</v>
      </c>
      <c r="V10" s="38">
        <v>852</v>
      </c>
      <c r="W10" s="38">
        <v>2893</v>
      </c>
      <c r="X10" s="58">
        <v>0</v>
      </c>
      <c r="Y10" s="37">
        <v>0</v>
      </c>
      <c r="Z10" s="64">
        <v>0</v>
      </c>
      <c r="AA10" s="38">
        <v>48101</v>
      </c>
      <c r="AB10" s="38">
        <v>118893</v>
      </c>
      <c r="AC10" s="58">
        <v>0.98</v>
      </c>
      <c r="AD10" s="38">
        <v>898</v>
      </c>
      <c r="AE10" s="64">
        <v>2.8587962962962963E-3</v>
      </c>
      <c r="AF10" s="38">
        <v>48101</v>
      </c>
      <c r="AG10" s="38">
        <v>118905</v>
      </c>
      <c r="AH10" s="58">
        <v>0.9</v>
      </c>
      <c r="AI10" s="38">
        <v>897</v>
      </c>
      <c r="AJ10" s="64">
        <v>2.8472222222222223E-3</v>
      </c>
      <c r="AK10" s="38"/>
      <c r="AL10" s="38"/>
      <c r="AM10" s="58"/>
      <c r="AN10" s="38"/>
      <c r="AO10" s="64"/>
      <c r="AP10" s="38"/>
      <c r="AQ10" s="38"/>
      <c r="AR10" s="58"/>
      <c r="AS10" s="38"/>
      <c r="AT10" s="64"/>
      <c r="AU10" s="38"/>
      <c r="AV10" s="38"/>
      <c r="AW10" s="58"/>
      <c r="AX10" s="38"/>
      <c r="AY10" s="64"/>
      <c r="AZ10" s="38"/>
      <c r="BA10" s="38"/>
      <c r="BB10" s="58"/>
      <c r="BC10" s="38"/>
      <c r="BD10" s="64"/>
      <c r="BE10" s="38"/>
      <c r="BF10" s="38"/>
      <c r="BG10" s="58"/>
      <c r="BH10" s="38"/>
      <c r="BI10" s="64"/>
      <c r="BJ10" s="65">
        <f t="shared" si="1"/>
        <v>243226</v>
      </c>
      <c r="BK10" s="65">
        <f t="shared" si="2"/>
        <v>599641</v>
      </c>
      <c r="BL10" s="63">
        <f t="shared" si="3"/>
        <v>0.94</v>
      </c>
      <c r="BM10" s="65">
        <f t="shared" si="4"/>
        <v>1795</v>
      </c>
      <c r="BN10" s="57">
        <f t="shared" si="5"/>
        <v>8.1514550264550256E-4</v>
      </c>
    </row>
    <row r="11" spans="1:66" x14ac:dyDescent="0.25">
      <c r="A11" s="21" t="s">
        <v>33</v>
      </c>
      <c r="B11" s="38">
        <v>164</v>
      </c>
      <c r="C11" s="38">
        <v>1274</v>
      </c>
      <c r="D11" s="58">
        <v>0</v>
      </c>
      <c r="E11" s="37">
        <v>0</v>
      </c>
      <c r="F11" s="64">
        <v>0</v>
      </c>
      <c r="G11" s="38">
        <v>164</v>
      </c>
      <c r="H11" s="38">
        <v>1274</v>
      </c>
      <c r="I11" s="58">
        <v>0</v>
      </c>
      <c r="J11" s="37">
        <v>0</v>
      </c>
      <c r="K11" s="64">
        <v>0</v>
      </c>
      <c r="L11" s="38">
        <v>0</v>
      </c>
      <c r="M11" s="38">
        <v>0</v>
      </c>
      <c r="N11" s="58">
        <v>0</v>
      </c>
      <c r="O11" s="37">
        <v>0</v>
      </c>
      <c r="P11" s="64">
        <v>0</v>
      </c>
      <c r="Q11" s="38">
        <v>164</v>
      </c>
      <c r="R11" s="38">
        <v>1274</v>
      </c>
      <c r="S11" s="58">
        <v>0</v>
      </c>
      <c r="T11" s="37">
        <v>0</v>
      </c>
      <c r="U11" s="64">
        <v>0</v>
      </c>
      <c r="V11" s="38">
        <v>3434</v>
      </c>
      <c r="W11" s="38">
        <v>8464</v>
      </c>
      <c r="X11" s="58">
        <v>0</v>
      </c>
      <c r="Y11" s="37">
        <v>0</v>
      </c>
      <c r="Z11" s="64">
        <v>0</v>
      </c>
      <c r="AA11" s="38">
        <v>375</v>
      </c>
      <c r="AB11" s="38">
        <v>1559</v>
      </c>
      <c r="AC11" s="58">
        <v>0.95</v>
      </c>
      <c r="AD11" s="38">
        <v>441</v>
      </c>
      <c r="AE11" s="64">
        <v>7.2916666666666668E-3</v>
      </c>
      <c r="AF11" s="38">
        <v>375</v>
      </c>
      <c r="AG11" s="38">
        <v>1559</v>
      </c>
      <c r="AH11" s="58">
        <v>0.95</v>
      </c>
      <c r="AI11" s="38">
        <v>441</v>
      </c>
      <c r="AJ11" s="64">
        <v>7.7546296296296287E-3</v>
      </c>
      <c r="AK11" s="38"/>
      <c r="AL11" s="38"/>
      <c r="AM11" s="58"/>
      <c r="AN11" s="38"/>
      <c r="AO11" s="64"/>
      <c r="AP11" s="38"/>
      <c r="AQ11" s="38"/>
      <c r="AR11" s="58"/>
      <c r="AS11" s="38"/>
      <c r="AT11" s="64"/>
      <c r="AU11" s="38"/>
      <c r="AV11" s="38"/>
      <c r="AW11" s="58"/>
      <c r="AX11" s="38"/>
      <c r="AY11" s="64"/>
      <c r="AZ11" s="38"/>
      <c r="BA11" s="38"/>
      <c r="BB11" s="58"/>
      <c r="BC11" s="38"/>
      <c r="BD11" s="64"/>
      <c r="BE11" s="38"/>
      <c r="BF11" s="38"/>
      <c r="BG11" s="58"/>
      <c r="BH11" s="38"/>
      <c r="BI11" s="64"/>
      <c r="BJ11" s="65">
        <f t="shared" si="1"/>
        <v>4676</v>
      </c>
      <c r="BK11" s="65">
        <f t="shared" si="2"/>
        <v>15404</v>
      </c>
      <c r="BL11" s="63">
        <f t="shared" si="3"/>
        <v>0.95</v>
      </c>
      <c r="BM11" s="65">
        <f t="shared" si="4"/>
        <v>882</v>
      </c>
      <c r="BN11" s="57">
        <f t="shared" si="5"/>
        <v>2.1494708994708994E-3</v>
      </c>
    </row>
    <row r="12" spans="1:66" x14ac:dyDescent="0.25">
      <c r="A12" s="21" t="s">
        <v>8</v>
      </c>
      <c r="B12" s="38">
        <v>258</v>
      </c>
      <c r="C12" s="38">
        <v>855</v>
      </c>
      <c r="D12" s="58">
        <v>0</v>
      </c>
      <c r="E12" s="37">
        <v>0</v>
      </c>
      <c r="F12" s="64">
        <v>0</v>
      </c>
      <c r="G12" s="38">
        <v>258</v>
      </c>
      <c r="H12" s="38">
        <v>855</v>
      </c>
      <c r="I12" s="58">
        <v>0</v>
      </c>
      <c r="J12" s="37">
        <v>0</v>
      </c>
      <c r="K12" s="64">
        <v>0</v>
      </c>
      <c r="L12" s="38">
        <v>0</v>
      </c>
      <c r="M12" s="38">
        <v>0</v>
      </c>
      <c r="N12" s="58">
        <v>0</v>
      </c>
      <c r="O12" s="37">
        <v>0</v>
      </c>
      <c r="P12" s="64">
        <v>0</v>
      </c>
      <c r="Q12" s="38">
        <v>360</v>
      </c>
      <c r="R12" s="38">
        <v>1005</v>
      </c>
      <c r="S12" s="58">
        <v>0</v>
      </c>
      <c r="T12" s="37">
        <v>0</v>
      </c>
      <c r="U12" s="64">
        <v>0</v>
      </c>
      <c r="V12" s="38">
        <v>48724</v>
      </c>
      <c r="W12" s="38">
        <v>119650</v>
      </c>
      <c r="X12" s="58">
        <v>0</v>
      </c>
      <c r="Y12" s="37">
        <v>0</v>
      </c>
      <c r="Z12" s="64">
        <v>0</v>
      </c>
      <c r="AA12" s="38">
        <v>350</v>
      </c>
      <c r="AB12" s="38">
        <v>975</v>
      </c>
      <c r="AC12" s="58">
        <v>0.92</v>
      </c>
      <c r="AD12" s="38">
        <v>195</v>
      </c>
      <c r="AE12" s="64">
        <v>1.546875E-2</v>
      </c>
      <c r="AF12" s="38">
        <v>350</v>
      </c>
      <c r="AG12" s="38">
        <v>975</v>
      </c>
      <c r="AH12" s="58">
        <v>0.91</v>
      </c>
      <c r="AI12" s="38">
        <v>195</v>
      </c>
      <c r="AJ12" s="64">
        <v>1.3674768518518518E-2</v>
      </c>
      <c r="AK12" s="38"/>
      <c r="AL12" s="38"/>
      <c r="AM12" s="58"/>
      <c r="AN12" s="38"/>
      <c r="AO12" s="64"/>
      <c r="AP12" s="38"/>
      <c r="AQ12" s="38"/>
      <c r="AR12" s="58"/>
      <c r="AS12" s="38"/>
      <c r="AT12" s="64"/>
      <c r="AU12" s="38"/>
      <c r="AV12" s="38"/>
      <c r="AW12" s="58"/>
      <c r="AX12" s="38"/>
      <c r="AY12" s="64"/>
      <c r="AZ12" s="38"/>
      <c r="BA12" s="38"/>
      <c r="BB12" s="58"/>
      <c r="BC12" s="38"/>
      <c r="BD12" s="64"/>
      <c r="BE12" s="38"/>
      <c r="BF12" s="38"/>
      <c r="BG12" s="58"/>
      <c r="BH12" s="38"/>
      <c r="BI12" s="64"/>
      <c r="BJ12" s="65">
        <f t="shared" si="1"/>
        <v>50300</v>
      </c>
      <c r="BK12" s="65">
        <f t="shared" si="2"/>
        <v>124315</v>
      </c>
      <c r="BL12" s="63">
        <f t="shared" si="3"/>
        <v>0.91500000000000004</v>
      </c>
      <c r="BM12" s="65">
        <f t="shared" si="4"/>
        <v>390</v>
      </c>
      <c r="BN12" s="57">
        <f t="shared" si="5"/>
        <v>4.1633597883597882E-3</v>
      </c>
    </row>
    <row r="13" spans="1:66" x14ac:dyDescent="0.25">
      <c r="A13" s="21" t="s">
        <v>9</v>
      </c>
      <c r="B13" s="38">
        <v>547</v>
      </c>
      <c r="C13" s="38">
        <v>923</v>
      </c>
      <c r="D13" s="58">
        <v>0</v>
      </c>
      <c r="E13" s="37">
        <v>0</v>
      </c>
      <c r="F13" s="64">
        <v>0</v>
      </c>
      <c r="G13" s="38">
        <v>547</v>
      </c>
      <c r="H13" s="38">
        <v>923</v>
      </c>
      <c r="I13" s="58">
        <v>0</v>
      </c>
      <c r="J13" s="37">
        <v>0</v>
      </c>
      <c r="K13" s="64">
        <v>0</v>
      </c>
      <c r="L13" s="38">
        <v>0</v>
      </c>
      <c r="M13" s="38">
        <v>0</v>
      </c>
      <c r="N13" s="58">
        <v>0</v>
      </c>
      <c r="O13" s="37">
        <v>0</v>
      </c>
      <c r="P13" s="64">
        <v>0</v>
      </c>
      <c r="Q13" s="38">
        <v>547</v>
      </c>
      <c r="R13" s="38">
        <v>923</v>
      </c>
      <c r="S13" s="58">
        <v>0</v>
      </c>
      <c r="T13" s="37">
        <v>0</v>
      </c>
      <c r="U13" s="64">
        <v>0</v>
      </c>
      <c r="V13" s="38">
        <v>547</v>
      </c>
      <c r="W13" s="38">
        <v>926</v>
      </c>
      <c r="X13" s="58">
        <v>0</v>
      </c>
      <c r="Y13" s="37">
        <v>0</v>
      </c>
      <c r="Z13" s="64">
        <v>0</v>
      </c>
      <c r="AA13" s="38">
        <v>547</v>
      </c>
      <c r="AB13" s="38">
        <v>926</v>
      </c>
      <c r="AC13" s="58">
        <v>0.85</v>
      </c>
      <c r="AD13" s="38">
        <v>209</v>
      </c>
      <c r="AE13" s="64">
        <v>2.6608796296296297E-2</v>
      </c>
      <c r="AF13" s="38">
        <v>548</v>
      </c>
      <c r="AG13" s="38">
        <v>928</v>
      </c>
      <c r="AH13" s="58">
        <v>0.87</v>
      </c>
      <c r="AI13" s="38">
        <v>209</v>
      </c>
      <c r="AJ13" s="64">
        <v>3.0393518518518518E-2</v>
      </c>
      <c r="AK13" s="38"/>
      <c r="AL13" s="38"/>
      <c r="AM13" s="58"/>
      <c r="AN13" s="38"/>
      <c r="AO13" s="64"/>
      <c r="AP13" s="38"/>
      <c r="AQ13" s="38"/>
      <c r="AR13" s="58"/>
      <c r="AS13" s="38"/>
      <c r="AT13" s="64"/>
      <c r="AU13" s="38"/>
      <c r="AV13" s="38"/>
      <c r="AW13" s="58"/>
      <c r="AX13" s="38"/>
      <c r="AY13" s="64"/>
      <c r="AZ13" s="38"/>
      <c r="BA13" s="38"/>
      <c r="BB13" s="58"/>
      <c r="BC13" s="38"/>
      <c r="BD13" s="64"/>
      <c r="BE13" s="38"/>
      <c r="BF13" s="38"/>
      <c r="BG13" s="58"/>
      <c r="BH13" s="38"/>
      <c r="BI13" s="64"/>
      <c r="BJ13" s="65">
        <f t="shared" si="1"/>
        <v>3283</v>
      </c>
      <c r="BK13" s="65">
        <f t="shared" si="2"/>
        <v>5549</v>
      </c>
      <c r="BL13" s="63">
        <f t="shared" si="3"/>
        <v>0.86</v>
      </c>
      <c r="BM13" s="65">
        <f t="shared" si="4"/>
        <v>418</v>
      </c>
      <c r="BN13" s="57">
        <f t="shared" si="5"/>
        <v>8.1431878306878307E-3</v>
      </c>
    </row>
    <row r="14" spans="1:66" x14ac:dyDescent="0.25">
      <c r="A14" s="21" t="s">
        <v>10</v>
      </c>
      <c r="B14" s="38">
        <v>1333</v>
      </c>
      <c r="C14" s="38">
        <v>4281</v>
      </c>
      <c r="D14" s="58">
        <v>0</v>
      </c>
      <c r="E14" s="37">
        <v>0</v>
      </c>
      <c r="F14" s="64">
        <v>0</v>
      </c>
      <c r="G14" s="38">
        <v>1333</v>
      </c>
      <c r="H14" s="38">
        <v>4281</v>
      </c>
      <c r="I14" s="58">
        <v>0</v>
      </c>
      <c r="J14" s="37">
        <v>0</v>
      </c>
      <c r="K14" s="64">
        <v>0</v>
      </c>
      <c r="L14" s="38">
        <v>0</v>
      </c>
      <c r="M14" s="38">
        <v>0</v>
      </c>
      <c r="N14" s="58">
        <v>0</v>
      </c>
      <c r="O14" s="37">
        <v>0</v>
      </c>
      <c r="P14" s="64">
        <v>0</v>
      </c>
      <c r="Q14" s="38">
        <v>1333</v>
      </c>
      <c r="R14" s="38">
        <v>4281</v>
      </c>
      <c r="S14" s="58">
        <v>0</v>
      </c>
      <c r="T14" s="37">
        <v>0</v>
      </c>
      <c r="U14" s="64">
        <v>0</v>
      </c>
      <c r="V14" s="38">
        <v>1333</v>
      </c>
      <c r="W14" s="38">
        <v>4281</v>
      </c>
      <c r="X14" s="58">
        <v>0</v>
      </c>
      <c r="Y14" s="37">
        <v>0</v>
      </c>
      <c r="Z14" s="64">
        <v>0</v>
      </c>
      <c r="AA14" s="38">
        <v>1333</v>
      </c>
      <c r="AB14" s="38">
        <v>4281</v>
      </c>
      <c r="AC14" s="58">
        <v>0.997</v>
      </c>
      <c r="AD14" s="38">
        <v>825</v>
      </c>
      <c r="AE14" s="64">
        <v>9.7337962962962959E-3</v>
      </c>
      <c r="AF14" s="38">
        <v>1333</v>
      </c>
      <c r="AG14" s="38">
        <v>4281</v>
      </c>
      <c r="AH14" s="58">
        <v>0.99</v>
      </c>
      <c r="AI14" s="38">
        <v>825</v>
      </c>
      <c r="AJ14" s="64">
        <v>1.0393518518518519E-2</v>
      </c>
      <c r="AK14" s="38"/>
      <c r="AL14" s="38"/>
      <c r="AM14" s="58"/>
      <c r="AN14" s="38"/>
      <c r="AO14" s="64"/>
      <c r="AP14" s="38"/>
      <c r="AQ14" s="38"/>
      <c r="AR14" s="58"/>
      <c r="AS14" s="38"/>
      <c r="AT14" s="64"/>
      <c r="AU14" s="38"/>
      <c r="AV14" s="38"/>
      <c r="AW14" s="58"/>
      <c r="AX14" s="38"/>
      <c r="AY14" s="64"/>
      <c r="AZ14" s="38"/>
      <c r="BA14" s="38"/>
      <c r="BB14" s="58"/>
      <c r="BC14" s="38"/>
      <c r="BD14" s="64"/>
      <c r="BE14" s="38"/>
      <c r="BF14" s="38"/>
      <c r="BG14" s="58"/>
      <c r="BH14" s="38"/>
      <c r="BI14" s="64"/>
      <c r="BJ14" s="65">
        <f t="shared" si="1"/>
        <v>7998</v>
      </c>
      <c r="BK14" s="65">
        <f t="shared" si="2"/>
        <v>25686</v>
      </c>
      <c r="BL14" s="63">
        <f t="shared" si="3"/>
        <v>0.99350000000000005</v>
      </c>
      <c r="BM14" s="65">
        <f t="shared" si="4"/>
        <v>1650</v>
      </c>
      <c r="BN14" s="57">
        <f t="shared" si="5"/>
        <v>2.8753306878306875E-3</v>
      </c>
    </row>
    <row r="15" spans="1:66" x14ac:dyDescent="0.25">
      <c r="A15" s="21" t="s">
        <v>11</v>
      </c>
      <c r="B15" s="38">
        <v>734</v>
      </c>
      <c r="C15" s="38">
        <v>1207</v>
      </c>
      <c r="D15" s="58">
        <v>0</v>
      </c>
      <c r="E15" s="37">
        <v>0</v>
      </c>
      <c r="F15" s="64">
        <v>0</v>
      </c>
      <c r="G15" s="38">
        <v>734</v>
      </c>
      <c r="H15" s="38">
        <v>1207</v>
      </c>
      <c r="I15" s="58">
        <v>0</v>
      </c>
      <c r="J15" s="37">
        <v>0</v>
      </c>
      <c r="K15" s="64">
        <v>0</v>
      </c>
      <c r="L15" s="38">
        <v>0</v>
      </c>
      <c r="M15" s="38">
        <v>0</v>
      </c>
      <c r="N15" s="58">
        <v>0</v>
      </c>
      <c r="O15" s="37">
        <v>0</v>
      </c>
      <c r="P15" s="64">
        <v>0</v>
      </c>
      <c r="Q15" s="38">
        <v>715</v>
      </c>
      <c r="R15" s="38">
        <v>1368</v>
      </c>
      <c r="S15" s="58">
        <v>0</v>
      </c>
      <c r="T15" s="37">
        <v>0</v>
      </c>
      <c r="U15" s="64">
        <v>0</v>
      </c>
      <c r="V15" s="38">
        <v>715</v>
      </c>
      <c r="W15" s="38">
        <v>1368</v>
      </c>
      <c r="X15" s="58">
        <v>0</v>
      </c>
      <c r="Y15" s="37">
        <v>0</v>
      </c>
      <c r="Z15" s="64">
        <v>0</v>
      </c>
      <c r="AA15" s="38">
        <v>789</v>
      </c>
      <c r="AB15" s="38">
        <v>1381</v>
      </c>
      <c r="AC15" s="58">
        <v>0.95</v>
      </c>
      <c r="AD15" s="38">
        <v>58</v>
      </c>
      <c r="AE15" s="64">
        <v>6.1574074074074074E-3</v>
      </c>
      <c r="AF15" s="38">
        <v>789</v>
      </c>
      <c r="AG15" s="38">
        <v>1381</v>
      </c>
      <c r="AH15" s="58">
        <v>0.95</v>
      </c>
      <c r="AI15" s="38">
        <v>58</v>
      </c>
      <c r="AJ15" s="64">
        <v>3.7673611111111111E-3</v>
      </c>
      <c r="AK15" s="38"/>
      <c r="AL15" s="38"/>
      <c r="AM15" s="58"/>
      <c r="AN15" s="38"/>
      <c r="AO15" s="64"/>
      <c r="AP15" s="38"/>
      <c r="AQ15" s="38"/>
      <c r="AR15" s="58"/>
      <c r="AS15" s="38"/>
      <c r="AT15" s="64"/>
      <c r="AU15" s="38"/>
      <c r="AV15" s="38"/>
      <c r="AW15" s="58"/>
      <c r="AX15" s="38"/>
      <c r="AY15" s="64"/>
      <c r="AZ15" s="38"/>
      <c r="BA15" s="38"/>
      <c r="BB15" s="58"/>
      <c r="BC15" s="38"/>
      <c r="BD15" s="64"/>
      <c r="BE15" s="38"/>
      <c r="BF15" s="38"/>
      <c r="BG15" s="58"/>
      <c r="BH15" s="38"/>
      <c r="BI15" s="64"/>
      <c r="BJ15" s="65">
        <f t="shared" si="1"/>
        <v>4476</v>
      </c>
      <c r="BK15" s="65">
        <f t="shared" si="2"/>
        <v>7912</v>
      </c>
      <c r="BL15" s="63">
        <f t="shared" si="3"/>
        <v>0.95</v>
      </c>
      <c r="BM15" s="65">
        <f t="shared" si="4"/>
        <v>116</v>
      </c>
      <c r="BN15" s="57">
        <f t="shared" si="5"/>
        <v>1.4178240740740742E-3</v>
      </c>
    </row>
    <row r="16" spans="1:66" x14ac:dyDescent="0.25">
      <c r="A16" s="21" t="s">
        <v>12</v>
      </c>
      <c r="B16" s="38">
        <v>1457</v>
      </c>
      <c r="C16" s="38">
        <v>5531</v>
      </c>
      <c r="D16" s="58">
        <v>0</v>
      </c>
      <c r="E16" s="37">
        <v>0</v>
      </c>
      <c r="F16" s="64">
        <v>0</v>
      </c>
      <c r="G16" s="38">
        <v>1457</v>
      </c>
      <c r="H16" s="38">
        <v>5531</v>
      </c>
      <c r="I16" s="58">
        <v>0</v>
      </c>
      <c r="J16" s="37">
        <v>0</v>
      </c>
      <c r="K16" s="64">
        <v>0</v>
      </c>
      <c r="L16" s="38">
        <v>0</v>
      </c>
      <c r="M16" s="38">
        <v>0</v>
      </c>
      <c r="N16" s="58">
        <v>0</v>
      </c>
      <c r="O16" s="37">
        <v>0</v>
      </c>
      <c r="P16" s="64">
        <v>0</v>
      </c>
      <c r="Q16" s="38">
        <v>1457</v>
      </c>
      <c r="R16" s="38">
        <v>5531</v>
      </c>
      <c r="S16" s="58">
        <v>0</v>
      </c>
      <c r="T16" s="37">
        <v>0</v>
      </c>
      <c r="U16" s="64">
        <v>0</v>
      </c>
      <c r="V16" s="38">
        <v>1458</v>
      </c>
      <c r="W16" s="38">
        <v>5531</v>
      </c>
      <c r="X16" s="58">
        <v>0</v>
      </c>
      <c r="Y16" s="37">
        <v>0</v>
      </c>
      <c r="Z16" s="64">
        <v>0</v>
      </c>
      <c r="AA16" s="38">
        <v>1458</v>
      </c>
      <c r="AB16" s="38">
        <v>5531</v>
      </c>
      <c r="AC16" s="58">
        <v>0.96</v>
      </c>
      <c r="AD16" s="38">
        <v>757</v>
      </c>
      <c r="AE16" s="64">
        <v>2.1093750000000001E-2</v>
      </c>
      <c r="AF16" s="38">
        <v>1458</v>
      </c>
      <c r="AG16" s="38">
        <v>5531</v>
      </c>
      <c r="AH16" s="58">
        <v>0.96</v>
      </c>
      <c r="AI16" s="38">
        <v>757</v>
      </c>
      <c r="AJ16" s="64">
        <v>2.0532407407407409E-2</v>
      </c>
      <c r="AK16" s="38"/>
      <c r="AL16" s="38"/>
      <c r="AM16" s="58"/>
      <c r="AN16" s="38"/>
      <c r="AO16" s="64"/>
      <c r="AP16" s="38"/>
      <c r="AQ16" s="38"/>
      <c r="AR16" s="58"/>
      <c r="AS16" s="38"/>
      <c r="AT16" s="64"/>
      <c r="AU16" s="38"/>
      <c r="AV16" s="38"/>
      <c r="AW16" s="58"/>
      <c r="AX16" s="38"/>
      <c r="AY16" s="64"/>
      <c r="AZ16" s="38"/>
      <c r="BA16" s="38"/>
      <c r="BB16" s="58"/>
      <c r="BC16" s="38"/>
      <c r="BD16" s="64"/>
      <c r="BE16" s="38"/>
      <c r="BF16" s="38"/>
      <c r="BG16" s="58"/>
      <c r="BH16" s="38"/>
      <c r="BI16" s="64"/>
      <c r="BJ16" s="65">
        <f t="shared" si="1"/>
        <v>8745</v>
      </c>
      <c r="BK16" s="65">
        <f t="shared" si="2"/>
        <v>33186</v>
      </c>
      <c r="BL16" s="63">
        <f t="shared" si="3"/>
        <v>0.96</v>
      </c>
      <c r="BM16" s="65">
        <f t="shared" si="4"/>
        <v>1514</v>
      </c>
      <c r="BN16" s="57">
        <f t="shared" si="5"/>
        <v>5.9465939153439161E-3</v>
      </c>
    </row>
    <row r="17" spans="1:66" x14ac:dyDescent="0.25">
      <c r="A17" s="21" t="s">
        <v>13</v>
      </c>
      <c r="B17" s="38">
        <v>2702</v>
      </c>
      <c r="C17" s="38">
        <v>6890</v>
      </c>
      <c r="D17" s="58">
        <v>0</v>
      </c>
      <c r="E17" s="37">
        <v>0</v>
      </c>
      <c r="F17" s="64">
        <v>0</v>
      </c>
      <c r="G17" s="38">
        <v>2702</v>
      </c>
      <c r="H17" s="38">
        <v>6940</v>
      </c>
      <c r="I17" s="58">
        <v>0</v>
      </c>
      <c r="J17" s="37">
        <v>0</v>
      </c>
      <c r="K17" s="64">
        <v>0</v>
      </c>
      <c r="L17" s="38">
        <v>0</v>
      </c>
      <c r="M17" s="38">
        <v>0</v>
      </c>
      <c r="N17" s="58">
        <v>0</v>
      </c>
      <c r="O17" s="37">
        <v>0</v>
      </c>
      <c r="P17" s="64">
        <v>0</v>
      </c>
      <c r="Q17" s="38">
        <v>2702</v>
      </c>
      <c r="R17" s="38">
        <v>6940</v>
      </c>
      <c r="S17" s="58">
        <v>0</v>
      </c>
      <c r="T17" s="37">
        <v>0</v>
      </c>
      <c r="U17" s="64">
        <v>0</v>
      </c>
      <c r="V17" s="38">
        <v>2699</v>
      </c>
      <c r="W17" s="38">
        <v>6940</v>
      </c>
      <c r="X17" s="58">
        <v>0</v>
      </c>
      <c r="Y17" s="37">
        <v>0</v>
      </c>
      <c r="Z17" s="64">
        <v>0</v>
      </c>
      <c r="AA17" s="38">
        <v>2698</v>
      </c>
      <c r="AB17" s="38">
        <v>7001</v>
      </c>
      <c r="AC17" s="58">
        <v>0.91</v>
      </c>
      <c r="AD17" s="38">
        <v>298</v>
      </c>
      <c r="AE17" s="64">
        <v>3.920717592592593E-2</v>
      </c>
      <c r="AF17" s="38">
        <v>2713</v>
      </c>
      <c r="AG17" s="38">
        <v>7043</v>
      </c>
      <c r="AH17" s="58">
        <v>0.89</v>
      </c>
      <c r="AI17" s="38">
        <v>301</v>
      </c>
      <c r="AJ17" s="64">
        <v>3.9212962962962963E-2</v>
      </c>
      <c r="AK17" s="38"/>
      <c r="AL17" s="38"/>
      <c r="AM17" s="58"/>
      <c r="AN17" s="38"/>
      <c r="AO17" s="64"/>
      <c r="AP17" s="38"/>
      <c r="AQ17" s="38"/>
      <c r="AR17" s="58"/>
      <c r="AS17" s="38"/>
      <c r="AT17" s="64"/>
      <c r="AU17" s="38"/>
      <c r="AV17" s="38"/>
      <c r="AW17" s="58"/>
      <c r="AX17" s="38"/>
      <c r="AY17" s="64"/>
      <c r="AZ17" s="38"/>
      <c r="BA17" s="38"/>
      <c r="BB17" s="58"/>
      <c r="BC17" s="38"/>
      <c r="BD17" s="64"/>
      <c r="BE17" s="38"/>
      <c r="BF17" s="38"/>
      <c r="BG17" s="58"/>
      <c r="BH17" s="38"/>
      <c r="BI17" s="64"/>
      <c r="BJ17" s="65">
        <f t="shared" si="1"/>
        <v>16216</v>
      </c>
      <c r="BK17" s="65">
        <f t="shared" si="2"/>
        <v>41754</v>
      </c>
      <c r="BL17" s="63">
        <f t="shared" si="3"/>
        <v>0.9</v>
      </c>
      <c r="BM17" s="65">
        <f t="shared" si="4"/>
        <v>599</v>
      </c>
      <c r="BN17" s="57">
        <f t="shared" si="5"/>
        <v>1.1202876984126985E-2</v>
      </c>
    </row>
    <row r="18" spans="1:66" x14ac:dyDescent="0.25">
      <c r="A18" s="21" t="s">
        <v>34</v>
      </c>
      <c r="B18" s="38">
        <v>5000</v>
      </c>
      <c r="C18" s="38">
        <v>20000</v>
      </c>
      <c r="D18" s="58">
        <v>0</v>
      </c>
      <c r="E18" s="37">
        <v>0</v>
      </c>
      <c r="F18" s="64">
        <v>0</v>
      </c>
      <c r="G18" s="38">
        <v>5000</v>
      </c>
      <c r="H18" s="38">
        <v>20000</v>
      </c>
      <c r="I18" s="58">
        <v>0</v>
      </c>
      <c r="J18" s="37">
        <v>0</v>
      </c>
      <c r="K18" s="64">
        <v>0</v>
      </c>
      <c r="L18" s="38">
        <v>0</v>
      </c>
      <c r="M18" s="38">
        <v>0</v>
      </c>
      <c r="N18" s="58">
        <v>0</v>
      </c>
      <c r="O18" s="37">
        <v>0</v>
      </c>
      <c r="P18" s="64">
        <v>0</v>
      </c>
      <c r="Q18" s="38">
        <v>5000</v>
      </c>
      <c r="R18" s="38">
        <v>20000</v>
      </c>
      <c r="S18" s="58">
        <v>0</v>
      </c>
      <c r="T18" s="37">
        <v>0</v>
      </c>
      <c r="U18" s="64">
        <v>0</v>
      </c>
      <c r="V18" s="38">
        <v>5000</v>
      </c>
      <c r="W18" s="38">
        <v>20000</v>
      </c>
      <c r="X18" s="58">
        <v>0</v>
      </c>
      <c r="Y18" s="37">
        <v>0</v>
      </c>
      <c r="Z18" s="64">
        <v>0</v>
      </c>
      <c r="AA18" s="38">
        <v>5000</v>
      </c>
      <c r="AB18" s="38">
        <v>20000</v>
      </c>
      <c r="AC18" s="58">
        <v>0.85</v>
      </c>
      <c r="AD18" s="38">
        <v>815</v>
      </c>
      <c r="AE18" s="64">
        <v>7.7141203703703712E-3</v>
      </c>
      <c r="AF18" s="38">
        <v>5000</v>
      </c>
      <c r="AG18" s="38">
        <v>20000</v>
      </c>
      <c r="AH18" s="58">
        <v>0.88</v>
      </c>
      <c r="AI18" s="38">
        <v>815</v>
      </c>
      <c r="AJ18" s="64">
        <v>8.292824074074074E-3</v>
      </c>
      <c r="AK18" s="38"/>
      <c r="AL18" s="38"/>
      <c r="AM18" s="58"/>
      <c r="AN18" s="38"/>
      <c r="AO18" s="64"/>
      <c r="AP18" s="38"/>
      <c r="AQ18" s="38"/>
      <c r="AR18" s="58"/>
      <c r="AS18" s="38"/>
      <c r="AT18" s="64"/>
      <c r="AU18" s="38"/>
      <c r="AV18" s="38"/>
      <c r="AW18" s="58"/>
      <c r="AX18" s="38"/>
      <c r="AY18" s="64"/>
      <c r="AZ18" s="38"/>
      <c r="BA18" s="38"/>
      <c r="BB18" s="58"/>
      <c r="BC18" s="38"/>
      <c r="BD18" s="64"/>
      <c r="BE18" s="38"/>
      <c r="BF18" s="38"/>
      <c r="BG18" s="58"/>
      <c r="BH18" s="38"/>
      <c r="BI18" s="64"/>
      <c r="BJ18" s="65">
        <f t="shared" si="1"/>
        <v>30000</v>
      </c>
      <c r="BK18" s="65">
        <f t="shared" si="2"/>
        <v>120000</v>
      </c>
      <c r="BL18" s="63">
        <f t="shared" si="3"/>
        <v>0.86499999999999999</v>
      </c>
      <c r="BM18" s="65">
        <f t="shared" si="4"/>
        <v>1630</v>
      </c>
      <c r="BN18" s="57">
        <f t="shared" si="5"/>
        <v>2.2867063492063495E-3</v>
      </c>
    </row>
    <row r="19" spans="1:66" x14ac:dyDescent="0.25">
      <c r="A19" s="21" t="s">
        <v>15</v>
      </c>
      <c r="B19" s="38">
        <v>1319</v>
      </c>
      <c r="C19" s="38">
        <v>5795</v>
      </c>
      <c r="D19" s="58">
        <v>0</v>
      </c>
      <c r="E19" s="37">
        <v>0</v>
      </c>
      <c r="F19" s="64">
        <v>0</v>
      </c>
      <c r="G19" s="38">
        <v>1320</v>
      </c>
      <c r="H19" s="38">
        <v>5867</v>
      </c>
      <c r="I19" s="58">
        <v>0</v>
      </c>
      <c r="J19" s="37">
        <v>0</v>
      </c>
      <c r="K19" s="64">
        <v>0</v>
      </c>
      <c r="L19" s="38">
        <v>0</v>
      </c>
      <c r="M19" s="38">
        <v>0</v>
      </c>
      <c r="N19" s="58">
        <v>0</v>
      </c>
      <c r="O19" s="37">
        <v>0</v>
      </c>
      <c r="P19" s="64">
        <v>0</v>
      </c>
      <c r="Q19" s="38">
        <v>1319</v>
      </c>
      <c r="R19" s="38">
        <v>5795</v>
      </c>
      <c r="S19" s="58">
        <v>0</v>
      </c>
      <c r="T19" s="37">
        <v>0</v>
      </c>
      <c r="U19" s="64">
        <v>0</v>
      </c>
      <c r="V19" s="38">
        <v>1301</v>
      </c>
      <c r="W19" s="38">
        <v>5820</v>
      </c>
      <c r="X19" s="58">
        <v>0</v>
      </c>
      <c r="Y19" s="37">
        <v>0</v>
      </c>
      <c r="Z19" s="64">
        <v>0</v>
      </c>
      <c r="AA19" s="38">
        <v>1303</v>
      </c>
      <c r="AB19" s="38">
        <v>5868</v>
      </c>
      <c r="AC19" s="58">
        <v>0.91</v>
      </c>
      <c r="AD19" s="38">
        <v>137</v>
      </c>
      <c r="AE19" s="64">
        <v>2.6371527777777778E-2</v>
      </c>
      <c r="AF19" s="38">
        <v>1303</v>
      </c>
      <c r="AG19" s="38">
        <v>5868</v>
      </c>
      <c r="AH19" s="58">
        <v>0.91</v>
      </c>
      <c r="AI19" s="38">
        <v>133</v>
      </c>
      <c r="AJ19" s="64">
        <v>2.509259259259259E-2</v>
      </c>
      <c r="AK19" s="38"/>
      <c r="AL19" s="38"/>
      <c r="AM19" s="58"/>
      <c r="AN19" s="38"/>
      <c r="AO19" s="64"/>
      <c r="AP19" s="38"/>
      <c r="AQ19" s="38"/>
      <c r="AR19" s="58"/>
      <c r="AS19" s="38"/>
      <c r="AT19" s="64"/>
      <c r="AU19" s="38"/>
      <c r="AV19" s="38"/>
      <c r="AW19" s="58"/>
      <c r="AX19" s="38"/>
      <c r="AY19" s="64"/>
      <c r="AZ19" s="38"/>
      <c r="BA19" s="38"/>
      <c r="BB19" s="58"/>
      <c r="BC19" s="38"/>
      <c r="BD19" s="64"/>
      <c r="BE19" s="38"/>
      <c r="BF19" s="38"/>
      <c r="BG19" s="58"/>
      <c r="BH19" s="38"/>
      <c r="BI19" s="64"/>
      <c r="BJ19" s="65">
        <f t="shared" si="1"/>
        <v>7865</v>
      </c>
      <c r="BK19" s="65">
        <f t="shared" si="2"/>
        <v>35013</v>
      </c>
      <c r="BL19" s="63">
        <f t="shared" si="3"/>
        <v>0.91</v>
      </c>
      <c r="BM19" s="65">
        <f t="shared" si="4"/>
        <v>270</v>
      </c>
      <c r="BN19" s="57">
        <f t="shared" si="5"/>
        <v>7.3520171957671956E-3</v>
      </c>
    </row>
    <row r="20" spans="1:66" x14ac:dyDescent="0.25">
      <c r="A20" s="21" t="s">
        <v>16</v>
      </c>
      <c r="B20" s="38">
        <v>324</v>
      </c>
      <c r="C20" s="38">
        <v>934</v>
      </c>
      <c r="D20" s="58">
        <v>0</v>
      </c>
      <c r="E20" s="37">
        <v>0</v>
      </c>
      <c r="F20" s="64">
        <v>0</v>
      </c>
      <c r="G20" s="38">
        <v>333</v>
      </c>
      <c r="H20" s="38">
        <v>962</v>
      </c>
      <c r="I20" s="58">
        <v>0</v>
      </c>
      <c r="J20" s="37">
        <v>0</v>
      </c>
      <c r="K20" s="64">
        <v>0</v>
      </c>
      <c r="L20" s="38">
        <v>0</v>
      </c>
      <c r="M20" s="38">
        <v>0</v>
      </c>
      <c r="N20" s="58">
        <v>0</v>
      </c>
      <c r="O20" s="37">
        <v>0</v>
      </c>
      <c r="P20" s="64">
        <v>0</v>
      </c>
      <c r="Q20" s="38">
        <v>347</v>
      </c>
      <c r="R20" s="38">
        <v>1012</v>
      </c>
      <c r="S20" s="58">
        <v>0</v>
      </c>
      <c r="T20" s="37">
        <v>0</v>
      </c>
      <c r="U20" s="64">
        <v>0</v>
      </c>
      <c r="V20" s="38">
        <v>354</v>
      </c>
      <c r="W20" s="38">
        <v>1047</v>
      </c>
      <c r="X20" s="58">
        <v>0</v>
      </c>
      <c r="Y20" s="37">
        <v>0</v>
      </c>
      <c r="Z20" s="64">
        <v>0</v>
      </c>
      <c r="AA20" s="38">
        <v>364</v>
      </c>
      <c r="AB20" s="38">
        <v>1097</v>
      </c>
      <c r="AC20" s="58">
        <v>0.85</v>
      </c>
      <c r="AD20" s="38">
        <v>160</v>
      </c>
      <c r="AE20" s="64">
        <v>6.4004629629629637E-3</v>
      </c>
      <c r="AF20" s="38">
        <v>377</v>
      </c>
      <c r="AG20" s="38">
        <v>1157</v>
      </c>
      <c r="AH20" s="58">
        <v>0.92</v>
      </c>
      <c r="AI20" s="38">
        <v>163</v>
      </c>
      <c r="AJ20" s="64">
        <v>5.7581018518518519E-3</v>
      </c>
      <c r="AK20" s="38"/>
      <c r="AL20" s="38"/>
      <c r="AM20" s="58"/>
      <c r="AN20" s="38"/>
      <c r="AO20" s="64"/>
      <c r="AP20" s="38"/>
      <c r="AQ20" s="38"/>
      <c r="AR20" s="58"/>
      <c r="AS20" s="38"/>
      <c r="AT20" s="64"/>
      <c r="AU20" s="38"/>
      <c r="AV20" s="38"/>
      <c r="AW20" s="58"/>
      <c r="AX20" s="38"/>
      <c r="AY20" s="64"/>
      <c r="AZ20" s="38"/>
      <c r="BA20" s="38"/>
      <c r="BB20" s="58"/>
      <c r="BC20" s="38"/>
      <c r="BD20" s="64"/>
      <c r="BE20" s="38"/>
      <c r="BF20" s="38"/>
      <c r="BG20" s="58"/>
      <c r="BH20" s="38"/>
      <c r="BI20" s="64"/>
      <c r="BJ20" s="65">
        <f t="shared" si="1"/>
        <v>2099</v>
      </c>
      <c r="BK20" s="65">
        <f t="shared" si="2"/>
        <v>6209</v>
      </c>
      <c r="BL20" s="63">
        <f t="shared" si="3"/>
        <v>0.88500000000000001</v>
      </c>
      <c r="BM20" s="65">
        <f t="shared" si="4"/>
        <v>323</v>
      </c>
      <c r="BN20" s="57">
        <f t="shared" si="5"/>
        <v>1.7369378306878308E-3</v>
      </c>
    </row>
    <row r="21" spans="1:66" x14ac:dyDescent="0.25">
      <c r="A21" s="21" t="s">
        <v>17</v>
      </c>
      <c r="B21" s="38">
        <v>183</v>
      </c>
      <c r="C21" s="38">
        <v>236</v>
      </c>
      <c r="D21" s="58">
        <v>0</v>
      </c>
      <c r="E21" s="37">
        <v>0</v>
      </c>
      <c r="F21" s="64">
        <v>0</v>
      </c>
      <c r="G21" s="38">
        <v>189</v>
      </c>
      <c r="H21" s="38">
        <v>248</v>
      </c>
      <c r="I21" s="58">
        <v>0</v>
      </c>
      <c r="J21" s="37">
        <v>0</v>
      </c>
      <c r="K21" s="64">
        <v>0</v>
      </c>
      <c r="L21" s="38">
        <v>0</v>
      </c>
      <c r="M21" s="38">
        <v>0</v>
      </c>
      <c r="N21" s="58">
        <v>0</v>
      </c>
      <c r="O21" s="37">
        <v>0</v>
      </c>
      <c r="P21" s="64">
        <v>0</v>
      </c>
      <c r="Q21" s="38">
        <v>189</v>
      </c>
      <c r="R21" s="38">
        <v>248</v>
      </c>
      <c r="S21" s="58">
        <v>0</v>
      </c>
      <c r="T21" s="37">
        <v>0</v>
      </c>
      <c r="U21" s="64">
        <v>0</v>
      </c>
      <c r="V21" s="38">
        <v>189</v>
      </c>
      <c r="W21" s="38">
        <v>248</v>
      </c>
      <c r="X21" s="58">
        <v>0</v>
      </c>
      <c r="Y21" s="37">
        <v>0</v>
      </c>
      <c r="Z21" s="64">
        <v>0</v>
      </c>
      <c r="AA21" s="38">
        <v>189</v>
      </c>
      <c r="AB21" s="38">
        <v>248</v>
      </c>
      <c r="AC21" s="58">
        <v>0.86</v>
      </c>
      <c r="AD21" s="38">
        <v>17</v>
      </c>
      <c r="AE21" s="64">
        <v>3.0850694444444444E-2</v>
      </c>
      <c r="AF21" s="38">
        <v>189</v>
      </c>
      <c r="AG21" s="38">
        <v>248</v>
      </c>
      <c r="AH21" s="58">
        <v>0.86</v>
      </c>
      <c r="AI21" s="38">
        <v>17</v>
      </c>
      <c r="AJ21" s="64">
        <v>1.0862268518518518E-2</v>
      </c>
      <c r="AK21" s="38"/>
      <c r="AL21" s="38"/>
      <c r="AM21" s="58"/>
      <c r="AN21" s="38"/>
      <c r="AO21" s="64"/>
      <c r="AP21" s="38"/>
      <c r="AQ21" s="38"/>
      <c r="AR21" s="58"/>
      <c r="AS21" s="38"/>
      <c r="AT21" s="64"/>
      <c r="AU21" s="38"/>
      <c r="AV21" s="38"/>
      <c r="AW21" s="58"/>
      <c r="AX21" s="38"/>
      <c r="AY21" s="64"/>
      <c r="AZ21" s="38"/>
      <c r="BA21" s="38"/>
      <c r="BB21" s="58"/>
      <c r="BC21" s="38"/>
      <c r="BD21" s="64"/>
      <c r="BE21" s="38"/>
      <c r="BF21" s="38"/>
      <c r="BG21" s="58"/>
      <c r="BH21" s="38"/>
      <c r="BI21" s="64"/>
      <c r="BJ21" s="65">
        <f t="shared" si="1"/>
        <v>1128</v>
      </c>
      <c r="BK21" s="65">
        <f t="shared" si="2"/>
        <v>1476</v>
      </c>
      <c r="BL21" s="63">
        <f t="shared" si="3"/>
        <v>0.86</v>
      </c>
      <c r="BM21" s="65">
        <f t="shared" si="4"/>
        <v>34</v>
      </c>
      <c r="BN21" s="57">
        <f t="shared" si="5"/>
        <v>5.9589947089947097E-3</v>
      </c>
    </row>
    <row r="22" spans="1:66" x14ac:dyDescent="0.25">
      <c r="A22" s="21" t="s">
        <v>35</v>
      </c>
      <c r="B22" s="38">
        <v>347</v>
      </c>
      <c r="C22" s="38">
        <v>1030</v>
      </c>
      <c r="D22" s="58">
        <v>0</v>
      </c>
      <c r="E22" s="37">
        <v>0</v>
      </c>
      <c r="F22" s="64">
        <v>0</v>
      </c>
      <c r="G22" s="38">
        <v>318</v>
      </c>
      <c r="H22" s="38">
        <v>1030</v>
      </c>
      <c r="I22" s="58">
        <v>0</v>
      </c>
      <c r="J22" s="37">
        <v>0</v>
      </c>
      <c r="K22" s="64">
        <v>0</v>
      </c>
      <c r="L22" s="38">
        <v>0</v>
      </c>
      <c r="M22" s="38">
        <v>0</v>
      </c>
      <c r="N22" s="58">
        <v>0</v>
      </c>
      <c r="O22" s="37">
        <v>0</v>
      </c>
      <c r="P22" s="64">
        <v>0</v>
      </c>
      <c r="Q22" s="38">
        <v>347</v>
      </c>
      <c r="R22" s="38">
        <v>1035</v>
      </c>
      <c r="S22" s="58">
        <v>0</v>
      </c>
      <c r="T22" s="37">
        <v>0</v>
      </c>
      <c r="U22" s="64">
        <v>0</v>
      </c>
      <c r="V22" s="38">
        <v>347</v>
      </c>
      <c r="W22" s="38">
        <v>1030</v>
      </c>
      <c r="X22" s="58">
        <v>0</v>
      </c>
      <c r="Y22" s="37">
        <v>0</v>
      </c>
      <c r="Z22" s="64">
        <v>0</v>
      </c>
      <c r="AA22" s="38">
        <v>398</v>
      </c>
      <c r="AB22" s="38">
        <v>1096</v>
      </c>
      <c r="AC22" s="58">
        <v>0.53</v>
      </c>
      <c r="AD22" s="38">
        <v>549</v>
      </c>
      <c r="AE22" s="64">
        <v>1.804398148148148E-2</v>
      </c>
      <c r="AF22" s="38">
        <v>318</v>
      </c>
      <c r="AG22" s="38">
        <v>1047</v>
      </c>
      <c r="AH22" s="58">
        <v>0.42</v>
      </c>
      <c r="AI22" s="38">
        <v>700</v>
      </c>
      <c r="AJ22" s="64">
        <v>1.6620370370370369E-2</v>
      </c>
      <c r="AK22" s="38"/>
      <c r="AL22" s="38"/>
      <c r="AM22" s="58"/>
      <c r="AN22" s="38"/>
      <c r="AO22" s="64"/>
      <c r="AP22" s="38"/>
      <c r="AQ22" s="38"/>
      <c r="AR22" s="58"/>
      <c r="AS22" s="38"/>
      <c r="AT22" s="64"/>
      <c r="AU22" s="38"/>
      <c r="AV22" s="38"/>
      <c r="AW22" s="58"/>
      <c r="AX22" s="38"/>
      <c r="AY22" s="64"/>
      <c r="AZ22" s="38"/>
      <c r="BA22" s="38"/>
      <c r="BB22" s="58"/>
      <c r="BC22" s="38"/>
      <c r="BD22" s="64"/>
      <c r="BE22" s="38"/>
      <c r="BF22" s="38"/>
      <c r="BG22" s="58"/>
      <c r="BH22" s="38"/>
      <c r="BI22" s="64"/>
      <c r="BJ22" s="65">
        <f t="shared" si="1"/>
        <v>2075</v>
      </c>
      <c r="BK22" s="65">
        <f t="shared" si="2"/>
        <v>6268</v>
      </c>
      <c r="BL22" s="63">
        <f t="shared" si="3"/>
        <v>0.47499999999999998</v>
      </c>
      <c r="BM22" s="65">
        <f t="shared" si="4"/>
        <v>1249</v>
      </c>
      <c r="BN22" s="57">
        <f t="shared" si="5"/>
        <v>4.952050264550264E-3</v>
      </c>
    </row>
    <row r="23" spans="1:66" x14ac:dyDescent="0.25">
      <c r="A23" s="21" t="s">
        <v>19</v>
      </c>
      <c r="B23" s="38">
        <v>450</v>
      </c>
      <c r="C23" s="38">
        <v>1623</v>
      </c>
      <c r="D23" s="58">
        <v>0</v>
      </c>
      <c r="E23" s="37">
        <v>0</v>
      </c>
      <c r="F23" s="64">
        <v>0</v>
      </c>
      <c r="G23" s="38">
        <v>485</v>
      </c>
      <c r="H23" s="38">
        <v>1713</v>
      </c>
      <c r="I23" s="58">
        <v>0</v>
      </c>
      <c r="J23" s="37">
        <v>0</v>
      </c>
      <c r="K23" s="64">
        <v>0</v>
      </c>
      <c r="L23" s="38">
        <v>0</v>
      </c>
      <c r="M23" s="38">
        <v>0</v>
      </c>
      <c r="N23" s="58">
        <v>0</v>
      </c>
      <c r="O23" s="37">
        <v>0</v>
      </c>
      <c r="P23" s="64">
        <v>0</v>
      </c>
      <c r="Q23" s="38">
        <v>485</v>
      </c>
      <c r="R23" s="38">
        <v>1713</v>
      </c>
      <c r="S23" s="58">
        <v>0</v>
      </c>
      <c r="T23" s="37">
        <v>0</v>
      </c>
      <c r="U23" s="64">
        <v>0</v>
      </c>
      <c r="V23" s="38">
        <v>561</v>
      </c>
      <c r="W23" s="38">
        <v>1861</v>
      </c>
      <c r="X23" s="58">
        <v>0</v>
      </c>
      <c r="Y23" s="37">
        <v>0</v>
      </c>
      <c r="Z23" s="64">
        <v>0</v>
      </c>
      <c r="AA23" s="38">
        <v>561</v>
      </c>
      <c r="AB23" s="38">
        <v>1861</v>
      </c>
      <c r="AC23" s="58">
        <v>0.92</v>
      </c>
      <c r="AD23" s="38">
        <v>206</v>
      </c>
      <c r="AE23" s="64">
        <v>7.0023148148148154E-3</v>
      </c>
      <c r="AF23" s="38">
        <v>597</v>
      </c>
      <c r="AG23" s="38">
        <v>1979</v>
      </c>
      <c r="AH23" s="58">
        <v>0.82</v>
      </c>
      <c r="AI23" s="38">
        <v>206</v>
      </c>
      <c r="AJ23" s="64">
        <v>7.0081018518518522E-3</v>
      </c>
      <c r="AK23" s="38"/>
      <c r="AL23" s="38"/>
      <c r="AM23" s="58"/>
      <c r="AN23" s="38"/>
      <c r="AO23" s="64"/>
      <c r="AP23" s="38"/>
      <c r="AQ23" s="38"/>
      <c r="AR23" s="58"/>
      <c r="AS23" s="38"/>
      <c r="AT23" s="64"/>
      <c r="AU23" s="38"/>
      <c r="AV23" s="38"/>
      <c r="AW23" s="58"/>
      <c r="AX23" s="38"/>
      <c r="AY23" s="64"/>
      <c r="AZ23" s="38"/>
      <c r="BA23" s="38"/>
      <c r="BB23" s="58"/>
      <c r="BC23" s="38"/>
      <c r="BD23" s="64"/>
      <c r="BE23" s="38"/>
      <c r="BF23" s="38"/>
      <c r="BG23" s="58"/>
      <c r="BH23" s="38"/>
      <c r="BI23" s="64"/>
      <c r="BJ23" s="65">
        <f t="shared" si="1"/>
        <v>3139</v>
      </c>
      <c r="BK23" s="65">
        <f t="shared" si="2"/>
        <v>10750</v>
      </c>
      <c r="BL23" s="63">
        <f t="shared" si="3"/>
        <v>0.87</v>
      </c>
      <c r="BM23" s="65">
        <f t="shared" si="4"/>
        <v>412</v>
      </c>
      <c r="BN23" s="57">
        <f t="shared" si="5"/>
        <v>2.0014880952380952E-3</v>
      </c>
    </row>
    <row r="24" spans="1:66" x14ac:dyDescent="0.25">
      <c r="A24" s="21" t="s">
        <v>20</v>
      </c>
      <c r="B24" s="38">
        <v>306</v>
      </c>
      <c r="C24" s="38">
        <v>857</v>
      </c>
      <c r="D24" s="58">
        <v>0</v>
      </c>
      <c r="E24" s="37">
        <v>0</v>
      </c>
      <c r="F24" s="64">
        <v>0</v>
      </c>
      <c r="G24" s="38">
        <v>306</v>
      </c>
      <c r="H24" s="38">
        <v>857</v>
      </c>
      <c r="I24" s="58">
        <v>0</v>
      </c>
      <c r="J24" s="37">
        <v>0</v>
      </c>
      <c r="K24" s="64">
        <v>0</v>
      </c>
      <c r="L24" s="38">
        <v>0</v>
      </c>
      <c r="M24" s="38">
        <v>0</v>
      </c>
      <c r="N24" s="58">
        <v>0</v>
      </c>
      <c r="O24" s="37">
        <v>0</v>
      </c>
      <c r="P24" s="64">
        <v>0</v>
      </c>
      <c r="Q24" s="38">
        <v>306</v>
      </c>
      <c r="R24" s="38">
        <v>857</v>
      </c>
      <c r="S24" s="58">
        <v>0</v>
      </c>
      <c r="T24" s="37">
        <v>0</v>
      </c>
      <c r="U24" s="64">
        <v>0</v>
      </c>
      <c r="V24" s="38">
        <v>306</v>
      </c>
      <c r="W24" s="38">
        <v>857</v>
      </c>
      <c r="X24" s="58">
        <v>0</v>
      </c>
      <c r="Y24" s="37">
        <v>0</v>
      </c>
      <c r="Z24" s="64">
        <v>0</v>
      </c>
      <c r="AA24" s="38">
        <v>306</v>
      </c>
      <c r="AB24" s="38">
        <v>857</v>
      </c>
      <c r="AC24" s="58">
        <v>0.75</v>
      </c>
      <c r="AD24" s="38">
        <v>258</v>
      </c>
      <c r="AE24" s="64">
        <v>7.2395833333333331E-3</v>
      </c>
      <c r="AF24" s="38">
        <v>306</v>
      </c>
      <c r="AG24" s="38">
        <v>857</v>
      </c>
      <c r="AH24" s="58">
        <v>0.72</v>
      </c>
      <c r="AI24" s="38">
        <v>268</v>
      </c>
      <c r="AJ24" s="64">
        <v>7.2395833333333331E-3</v>
      </c>
      <c r="AK24" s="38"/>
      <c r="AL24" s="38"/>
      <c r="AM24" s="58"/>
      <c r="AN24" s="38"/>
      <c r="AO24" s="64"/>
      <c r="AP24" s="38"/>
      <c r="AQ24" s="38"/>
      <c r="AR24" s="58"/>
      <c r="AS24" s="38"/>
      <c r="AT24" s="64"/>
      <c r="AU24" s="38"/>
      <c r="AV24" s="38"/>
      <c r="AW24" s="58"/>
      <c r="AX24" s="38"/>
      <c r="AY24" s="64"/>
      <c r="AZ24" s="38"/>
      <c r="BA24" s="38"/>
      <c r="BB24" s="58"/>
      <c r="BC24" s="38"/>
      <c r="BD24" s="64"/>
      <c r="BE24" s="38"/>
      <c r="BF24" s="38"/>
      <c r="BG24" s="58"/>
      <c r="BH24" s="38"/>
      <c r="BI24" s="64"/>
      <c r="BJ24" s="65">
        <f t="shared" si="1"/>
        <v>1836</v>
      </c>
      <c r="BK24" s="65">
        <f t="shared" si="2"/>
        <v>5142</v>
      </c>
      <c r="BL24" s="63">
        <f t="shared" si="3"/>
        <v>0.73499999999999999</v>
      </c>
      <c r="BM24" s="65">
        <f t="shared" si="4"/>
        <v>526</v>
      </c>
      <c r="BN24" s="57">
        <f t="shared" si="5"/>
        <v>2.0684523809523809E-3</v>
      </c>
    </row>
    <row r="25" spans="1:66" x14ac:dyDescent="0.25">
      <c r="A25" s="21" t="s">
        <v>21</v>
      </c>
      <c r="B25" s="38">
        <v>757</v>
      </c>
      <c r="C25" s="38">
        <v>2684</v>
      </c>
      <c r="D25" s="58">
        <v>0</v>
      </c>
      <c r="E25" s="37">
        <v>0</v>
      </c>
      <c r="F25" s="64">
        <v>0</v>
      </c>
      <c r="G25" s="38">
        <v>757</v>
      </c>
      <c r="H25" s="38">
        <v>2684</v>
      </c>
      <c r="I25" s="58">
        <v>0</v>
      </c>
      <c r="J25" s="37">
        <v>0</v>
      </c>
      <c r="K25" s="64">
        <v>0</v>
      </c>
      <c r="L25" s="38">
        <v>0</v>
      </c>
      <c r="M25" s="38">
        <v>0</v>
      </c>
      <c r="N25" s="58">
        <v>0</v>
      </c>
      <c r="O25" s="37">
        <v>0</v>
      </c>
      <c r="P25" s="64">
        <v>0</v>
      </c>
      <c r="Q25" s="38">
        <v>757</v>
      </c>
      <c r="R25" s="38">
        <v>2684</v>
      </c>
      <c r="S25" s="58">
        <v>0</v>
      </c>
      <c r="T25" s="37">
        <v>0</v>
      </c>
      <c r="U25" s="64">
        <v>0</v>
      </c>
      <c r="V25" s="38">
        <v>757</v>
      </c>
      <c r="W25" s="38">
        <v>2684</v>
      </c>
      <c r="X25" s="58">
        <v>0</v>
      </c>
      <c r="Y25" s="37">
        <v>0</v>
      </c>
      <c r="Z25" s="64">
        <v>0</v>
      </c>
      <c r="AA25" s="38">
        <v>757</v>
      </c>
      <c r="AB25" s="38">
        <v>2684</v>
      </c>
      <c r="AC25" s="58">
        <v>0.91</v>
      </c>
      <c r="AD25" s="38">
        <v>232</v>
      </c>
      <c r="AE25" s="64">
        <v>2.7922453703703703E-2</v>
      </c>
      <c r="AF25" s="38">
        <v>757</v>
      </c>
      <c r="AG25" s="38">
        <v>2684</v>
      </c>
      <c r="AH25" s="58">
        <v>0.93</v>
      </c>
      <c r="AI25" s="38">
        <v>232</v>
      </c>
      <c r="AJ25" s="64">
        <v>0</v>
      </c>
      <c r="AK25" s="38"/>
      <c r="AL25" s="38"/>
      <c r="AM25" s="58"/>
      <c r="AN25" s="38"/>
      <c r="AO25" s="64"/>
      <c r="AP25" s="38"/>
      <c r="AQ25" s="38"/>
      <c r="AR25" s="58"/>
      <c r="AS25" s="38"/>
      <c r="AT25" s="64"/>
      <c r="AU25" s="38"/>
      <c r="AV25" s="38"/>
      <c r="AW25" s="58"/>
      <c r="AX25" s="38"/>
      <c r="AY25" s="64"/>
      <c r="AZ25" s="38"/>
      <c r="BA25" s="38"/>
      <c r="BB25" s="58"/>
      <c r="BC25" s="38"/>
      <c r="BD25" s="64"/>
      <c r="BE25" s="38"/>
      <c r="BF25" s="38"/>
      <c r="BG25" s="58"/>
      <c r="BH25" s="38"/>
      <c r="BI25" s="64"/>
      <c r="BJ25" s="65">
        <f t="shared" si="1"/>
        <v>4542</v>
      </c>
      <c r="BK25" s="65">
        <f t="shared" si="2"/>
        <v>16104</v>
      </c>
      <c r="BL25" s="63">
        <f t="shared" si="3"/>
        <v>0.92</v>
      </c>
      <c r="BM25" s="65">
        <f t="shared" si="4"/>
        <v>464</v>
      </c>
      <c r="BN25" s="57">
        <f t="shared" si="5"/>
        <v>3.9889219576719577E-3</v>
      </c>
    </row>
    <row r="26" spans="1:66" x14ac:dyDescent="0.25">
      <c r="A26" s="21" t="s">
        <v>22</v>
      </c>
      <c r="B26" s="38">
        <v>1016</v>
      </c>
      <c r="C26" s="38">
        <v>3614</v>
      </c>
      <c r="D26" s="58">
        <v>0</v>
      </c>
      <c r="E26" s="37">
        <v>0</v>
      </c>
      <c r="F26" s="64">
        <v>0</v>
      </c>
      <c r="G26" s="38">
        <v>1016</v>
      </c>
      <c r="H26" s="38">
        <v>3614</v>
      </c>
      <c r="I26" s="58">
        <v>0</v>
      </c>
      <c r="J26" s="37">
        <v>0</v>
      </c>
      <c r="K26" s="64">
        <v>0</v>
      </c>
      <c r="L26" s="38">
        <v>0</v>
      </c>
      <c r="M26" s="38">
        <v>0</v>
      </c>
      <c r="N26" s="58">
        <v>0</v>
      </c>
      <c r="O26" s="37">
        <v>0</v>
      </c>
      <c r="P26" s="64">
        <v>0</v>
      </c>
      <c r="Q26" s="38">
        <v>1016</v>
      </c>
      <c r="R26" s="38">
        <v>3614</v>
      </c>
      <c r="S26" s="58">
        <v>0</v>
      </c>
      <c r="T26" s="37">
        <v>0</v>
      </c>
      <c r="U26" s="64">
        <v>0</v>
      </c>
      <c r="V26" s="38">
        <v>1141</v>
      </c>
      <c r="W26" s="38">
        <v>4564</v>
      </c>
      <c r="X26" s="58">
        <v>0</v>
      </c>
      <c r="Y26" s="37">
        <v>0</v>
      </c>
      <c r="Z26" s="64">
        <v>0</v>
      </c>
      <c r="AA26" s="38">
        <v>925</v>
      </c>
      <c r="AB26" s="38">
        <v>3700</v>
      </c>
      <c r="AC26" s="58">
        <v>0.96</v>
      </c>
      <c r="AD26" s="38">
        <v>367</v>
      </c>
      <c r="AE26" s="64">
        <v>6.2962962962962964E-3</v>
      </c>
      <c r="AF26" s="38">
        <v>926</v>
      </c>
      <c r="AG26" s="38">
        <v>3704</v>
      </c>
      <c r="AH26" s="58">
        <v>0.99</v>
      </c>
      <c r="AI26" s="38">
        <v>359</v>
      </c>
      <c r="AJ26" s="64">
        <v>0</v>
      </c>
      <c r="AK26" s="38"/>
      <c r="AL26" s="38"/>
      <c r="AM26" s="58"/>
      <c r="AN26" s="38"/>
      <c r="AO26" s="64"/>
      <c r="AP26" s="38"/>
      <c r="AQ26" s="38"/>
      <c r="AR26" s="58"/>
      <c r="AS26" s="38"/>
      <c r="AT26" s="64"/>
      <c r="AU26" s="38"/>
      <c r="AV26" s="38"/>
      <c r="AW26" s="58"/>
      <c r="AX26" s="38"/>
      <c r="AY26" s="64"/>
      <c r="AZ26" s="38"/>
      <c r="BA26" s="38"/>
      <c r="BB26" s="58"/>
      <c r="BC26" s="38"/>
      <c r="BD26" s="64"/>
      <c r="BE26" s="38"/>
      <c r="BF26" s="38"/>
      <c r="BG26" s="58"/>
      <c r="BH26" s="38"/>
      <c r="BI26" s="64"/>
      <c r="BJ26" s="65">
        <f t="shared" si="1"/>
        <v>6040</v>
      </c>
      <c r="BK26" s="65">
        <f t="shared" si="2"/>
        <v>22810</v>
      </c>
      <c r="BL26" s="63">
        <f t="shared" si="3"/>
        <v>0.97499999999999998</v>
      </c>
      <c r="BM26" s="65">
        <f t="shared" si="4"/>
        <v>726</v>
      </c>
      <c r="BN26" s="57">
        <f t="shared" si="5"/>
        <v>8.9947089947089943E-4</v>
      </c>
    </row>
    <row r="27" spans="1:66" x14ac:dyDescent="0.25">
      <c r="A27" s="21" t="s">
        <v>23</v>
      </c>
      <c r="B27" s="38">
        <v>383</v>
      </c>
      <c r="C27" s="38">
        <v>1305</v>
      </c>
      <c r="D27" s="58">
        <v>0</v>
      </c>
      <c r="E27" s="37">
        <v>0</v>
      </c>
      <c r="F27" s="64">
        <v>0</v>
      </c>
      <c r="G27" s="38">
        <v>1305</v>
      </c>
      <c r="H27" s="38">
        <v>382</v>
      </c>
      <c r="I27" s="58">
        <v>0</v>
      </c>
      <c r="J27" s="37">
        <v>0</v>
      </c>
      <c r="K27" s="64">
        <v>0</v>
      </c>
      <c r="L27" s="38">
        <v>0</v>
      </c>
      <c r="M27" s="38">
        <v>0</v>
      </c>
      <c r="N27" s="58">
        <v>0</v>
      </c>
      <c r="O27" s="37">
        <v>0</v>
      </c>
      <c r="P27" s="64">
        <v>0</v>
      </c>
      <c r="Q27" s="38">
        <v>1305</v>
      </c>
      <c r="R27" s="38">
        <v>383</v>
      </c>
      <c r="S27" s="58">
        <v>0</v>
      </c>
      <c r="T27" s="37">
        <v>0</v>
      </c>
      <c r="U27" s="64">
        <v>0</v>
      </c>
      <c r="V27" s="38">
        <v>478</v>
      </c>
      <c r="W27" s="38">
        <v>1713</v>
      </c>
      <c r="X27" s="58">
        <v>0</v>
      </c>
      <c r="Y27" s="37">
        <v>0</v>
      </c>
      <c r="Z27" s="64">
        <v>0</v>
      </c>
      <c r="AA27" s="38">
        <v>478</v>
      </c>
      <c r="AB27" s="38">
        <v>1713</v>
      </c>
      <c r="AC27" s="58">
        <v>0.71</v>
      </c>
      <c r="AD27" s="38">
        <v>264</v>
      </c>
      <c r="AE27" s="64">
        <v>3.6030092592592593E-2</v>
      </c>
      <c r="AF27" s="38">
        <v>478</v>
      </c>
      <c r="AG27" s="38">
        <v>1713</v>
      </c>
      <c r="AH27" s="58">
        <v>0.71</v>
      </c>
      <c r="AI27" s="38">
        <v>264</v>
      </c>
      <c r="AJ27" s="64">
        <v>0</v>
      </c>
      <c r="AK27" s="38"/>
      <c r="AL27" s="38"/>
      <c r="AM27" s="58"/>
      <c r="AN27" s="38"/>
      <c r="AO27" s="64"/>
      <c r="AP27" s="38"/>
      <c r="AQ27" s="38"/>
      <c r="AR27" s="58"/>
      <c r="AS27" s="38"/>
      <c r="AT27" s="64"/>
      <c r="AU27" s="38"/>
      <c r="AV27" s="38"/>
      <c r="AW27" s="58"/>
      <c r="AX27" s="38"/>
      <c r="AY27" s="64"/>
      <c r="AZ27" s="38"/>
      <c r="BA27" s="38"/>
      <c r="BB27" s="58"/>
      <c r="BC27" s="38"/>
      <c r="BD27" s="64"/>
      <c r="BE27" s="38"/>
      <c r="BF27" s="38"/>
      <c r="BG27" s="58"/>
      <c r="BH27" s="38"/>
      <c r="BI27" s="64"/>
      <c r="BJ27" s="65">
        <f t="shared" si="1"/>
        <v>4427</v>
      </c>
      <c r="BK27" s="65">
        <f t="shared" si="2"/>
        <v>7209</v>
      </c>
      <c r="BL27" s="63">
        <f t="shared" si="3"/>
        <v>0.71</v>
      </c>
      <c r="BM27" s="65">
        <f t="shared" si="4"/>
        <v>528</v>
      </c>
      <c r="BN27" s="57">
        <f t="shared" si="5"/>
        <v>5.147156084656085E-3</v>
      </c>
    </row>
    <row r="28" spans="1:66" x14ac:dyDescent="0.25">
      <c r="A28" s="21" t="s">
        <v>24</v>
      </c>
      <c r="B28" s="38">
        <v>494</v>
      </c>
      <c r="C28" s="38">
        <v>842</v>
      </c>
      <c r="D28" s="58">
        <v>0</v>
      </c>
      <c r="E28" s="37">
        <v>0</v>
      </c>
      <c r="F28" s="64">
        <v>0</v>
      </c>
      <c r="G28" s="38">
        <v>842</v>
      </c>
      <c r="H28" s="38">
        <v>494</v>
      </c>
      <c r="I28" s="58">
        <v>0</v>
      </c>
      <c r="J28" s="37">
        <v>0</v>
      </c>
      <c r="K28" s="64">
        <v>0</v>
      </c>
      <c r="L28" s="38">
        <v>0</v>
      </c>
      <c r="M28" s="38">
        <v>0</v>
      </c>
      <c r="N28" s="58">
        <v>0</v>
      </c>
      <c r="O28" s="37">
        <v>0</v>
      </c>
      <c r="P28" s="64">
        <v>0</v>
      </c>
      <c r="Q28" s="38">
        <v>863</v>
      </c>
      <c r="R28" s="38">
        <v>589</v>
      </c>
      <c r="S28" s="58">
        <v>0</v>
      </c>
      <c r="T28" s="37">
        <v>0</v>
      </c>
      <c r="U28" s="64">
        <v>0</v>
      </c>
      <c r="V28" s="38">
        <v>589</v>
      </c>
      <c r="W28" s="38">
        <v>1191</v>
      </c>
      <c r="X28" s="58">
        <v>0</v>
      </c>
      <c r="Y28" s="37">
        <v>0</v>
      </c>
      <c r="Z28" s="64">
        <v>0</v>
      </c>
      <c r="AA28" s="38">
        <v>589</v>
      </c>
      <c r="AB28" s="38">
        <v>1371</v>
      </c>
      <c r="AC28" s="58">
        <v>0.74</v>
      </c>
      <c r="AD28" s="38">
        <v>47</v>
      </c>
      <c r="AE28" s="64">
        <v>9.0972222222222218E-3</v>
      </c>
      <c r="AF28" s="38">
        <v>589</v>
      </c>
      <c r="AG28" s="38">
        <v>1449</v>
      </c>
      <c r="AH28" s="58">
        <v>0.88</v>
      </c>
      <c r="AI28" s="38">
        <v>60</v>
      </c>
      <c r="AJ28" s="64">
        <v>8.4085648148148149E-3</v>
      </c>
      <c r="AK28" s="38"/>
      <c r="AL28" s="38"/>
      <c r="AM28" s="58"/>
      <c r="AN28" s="38"/>
      <c r="AO28" s="64"/>
      <c r="AP28" s="38"/>
      <c r="AQ28" s="38"/>
      <c r="AR28" s="58"/>
      <c r="AS28" s="38"/>
      <c r="AT28" s="64"/>
      <c r="AU28" s="38"/>
      <c r="AV28" s="38"/>
      <c r="AW28" s="58"/>
      <c r="AX28" s="38"/>
      <c r="AY28" s="64"/>
      <c r="AZ28" s="38"/>
      <c r="BA28" s="38"/>
      <c r="BB28" s="58"/>
      <c r="BC28" s="38"/>
      <c r="BD28" s="64"/>
      <c r="BE28" s="38"/>
      <c r="BF28" s="38"/>
      <c r="BG28" s="58"/>
      <c r="BH28" s="38"/>
      <c r="BI28" s="64"/>
      <c r="BJ28" s="65">
        <f t="shared" si="1"/>
        <v>3966</v>
      </c>
      <c r="BK28" s="65">
        <f t="shared" si="2"/>
        <v>5936</v>
      </c>
      <c r="BL28" s="63">
        <f t="shared" si="3"/>
        <v>0.81</v>
      </c>
      <c r="BM28" s="65">
        <f t="shared" si="4"/>
        <v>107</v>
      </c>
      <c r="BN28" s="57">
        <f t="shared" si="5"/>
        <v>2.5008267195767192E-3</v>
      </c>
    </row>
    <row r="29" spans="1:66" x14ac:dyDescent="0.25">
      <c r="A29" s="21" t="s">
        <v>25</v>
      </c>
      <c r="B29" s="38">
        <v>630</v>
      </c>
      <c r="C29" s="38">
        <v>2520</v>
      </c>
      <c r="D29" s="58">
        <v>0</v>
      </c>
      <c r="E29" s="37">
        <v>0</v>
      </c>
      <c r="F29" s="64">
        <v>0</v>
      </c>
      <c r="G29" s="38">
        <v>2520</v>
      </c>
      <c r="H29" s="38">
        <v>630</v>
      </c>
      <c r="I29" s="58">
        <v>0</v>
      </c>
      <c r="J29" s="37">
        <v>0</v>
      </c>
      <c r="K29" s="64">
        <v>0</v>
      </c>
      <c r="L29" s="38">
        <v>0</v>
      </c>
      <c r="M29" s="38">
        <v>0</v>
      </c>
      <c r="N29" s="58">
        <v>0</v>
      </c>
      <c r="O29" s="37">
        <v>0</v>
      </c>
      <c r="P29" s="64">
        <v>0</v>
      </c>
      <c r="Q29" s="38">
        <v>2520</v>
      </c>
      <c r="R29" s="38">
        <v>630</v>
      </c>
      <c r="S29" s="58">
        <v>0</v>
      </c>
      <c r="T29" s="37">
        <v>0</v>
      </c>
      <c r="U29" s="64">
        <v>0</v>
      </c>
      <c r="V29" s="38">
        <v>630</v>
      </c>
      <c r="W29" s="38">
        <v>2520</v>
      </c>
      <c r="X29" s="58">
        <v>0</v>
      </c>
      <c r="Y29" s="37">
        <v>0</v>
      </c>
      <c r="Z29" s="64">
        <v>0</v>
      </c>
      <c r="AA29" s="38">
        <v>630</v>
      </c>
      <c r="AB29" s="38">
        <v>2520</v>
      </c>
      <c r="AC29" s="58">
        <v>0.97</v>
      </c>
      <c r="AD29" s="38">
        <v>177</v>
      </c>
      <c r="AE29" s="64">
        <v>8.9409722222222217E-3</v>
      </c>
      <c r="AF29" s="38">
        <v>630</v>
      </c>
      <c r="AG29" s="38">
        <v>2520</v>
      </c>
      <c r="AH29" s="58">
        <v>0.97</v>
      </c>
      <c r="AI29" s="38">
        <v>177</v>
      </c>
      <c r="AJ29" s="64">
        <v>9.2071759259259259E-3</v>
      </c>
      <c r="AK29" s="38"/>
      <c r="AL29" s="38"/>
      <c r="AM29" s="58"/>
      <c r="AN29" s="38"/>
      <c r="AO29" s="64"/>
      <c r="AP29" s="38"/>
      <c r="AQ29" s="38"/>
      <c r="AR29" s="58"/>
      <c r="AS29" s="38"/>
      <c r="AT29" s="64"/>
      <c r="AU29" s="38"/>
      <c r="AV29" s="38"/>
      <c r="AW29" s="58"/>
      <c r="AX29" s="38"/>
      <c r="AY29" s="64"/>
      <c r="AZ29" s="38"/>
      <c r="BA29" s="38"/>
      <c r="BB29" s="58"/>
      <c r="BC29" s="38"/>
      <c r="BD29" s="64"/>
      <c r="BE29" s="38"/>
      <c r="BF29" s="38"/>
      <c r="BG29" s="58"/>
      <c r="BH29" s="38"/>
      <c r="BI29" s="64"/>
      <c r="BJ29" s="65">
        <f t="shared" si="1"/>
        <v>7560</v>
      </c>
      <c r="BK29" s="65">
        <f t="shared" si="2"/>
        <v>11340</v>
      </c>
      <c r="BL29" s="63">
        <f t="shared" si="3"/>
        <v>0.97</v>
      </c>
      <c r="BM29" s="65">
        <f t="shared" si="4"/>
        <v>354</v>
      </c>
      <c r="BN29" s="57">
        <f t="shared" si="5"/>
        <v>2.592592592592593E-3</v>
      </c>
    </row>
    <row r="30" spans="1:66" x14ac:dyDescent="0.25">
      <c r="A30" s="21" t="s">
        <v>26</v>
      </c>
      <c r="B30" s="38">
        <v>327</v>
      </c>
      <c r="C30" s="38">
        <v>1027</v>
      </c>
      <c r="D30" s="58">
        <v>0</v>
      </c>
      <c r="E30" s="37">
        <v>0</v>
      </c>
      <c r="F30" s="64">
        <v>0</v>
      </c>
      <c r="G30" s="38">
        <v>1036</v>
      </c>
      <c r="H30" s="38">
        <v>329</v>
      </c>
      <c r="I30" s="58">
        <v>0</v>
      </c>
      <c r="J30" s="37">
        <v>0</v>
      </c>
      <c r="K30" s="64">
        <v>0</v>
      </c>
      <c r="L30" s="38">
        <v>0</v>
      </c>
      <c r="M30" s="38">
        <v>0</v>
      </c>
      <c r="N30" s="58">
        <v>0</v>
      </c>
      <c r="O30" s="37">
        <v>0</v>
      </c>
      <c r="P30" s="64">
        <v>0</v>
      </c>
      <c r="Q30" s="38">
        <v>1036</v>
      </c>
      <c r="R30" s="38">
        <v>329</v>
      </c>
      <c r="S30" s="58">
        <v>0</v>
      </c>
      <c r="T30" s="37">
        <v>0</v>
      </c>
      <c r="U30" s="64">
        <v>0</v>
      </c>
      <c r="V30" s="38">
        <v>428</v>
      </c>
      <c r="W30" s="38">
        <v>1532</v>
      </c>
      <c r="X30" s="58">
        <v>0</v>
      </c>
      <c r="Y30" s="37">
        <v>0</v>
      </c>
      <c r="Z30" s="64">
        <v>0</v>
      </c>
      <c r="AA30" s="38">
        <v>428</v>
      </c>
      <c r="AB30" s="38">
        <v>1532</v>
      </c>
      <c r="AC30" s="58">
        <v>0.96</v>
      </c>
      <c r="AD30" s="38">
        <v>191</v>
      </c>
      <c r="AE30" s="64">
        <v>1.1799768518518518E-2</v>
      </c>
      <c r="AF30" s="38">
        <v>428</v>
      </c>
      <c r="AG30" s="38">
        <v>1532</v>
      </c>
      <c r="AH30" s="58">
        <v>0.97</v>
      </c>
      <c r="AI30" s="38">
        <v>191</v>
      </c>
      <c r="AJ30" s="64">
        <v>1.0590277777777778E-2</v>
      </c>
      <c r="AK30" s="38"/>
      <c r="AL30" s="38"/>
      <c r="AM30" s="58"/>
      <c r="AN30" s="38"/>
      <c r="AO30" s="64"/>
      <c r="AP30" s="38"/>
      <c r="AQ30" s="38"/>
      <c r="AR30" s="58"/>
      <c r="AS30" s="38"/>
      <c r="AT30" s="64"/>
      <c r="AU30" s="38"/>
      <c r="AV30" s="38"/>
      <c r="AW30" s="58"/>
      <c r="AX30" s="38"/>
      <c r="AY30" s="64"/>
      <c r="AZ30" s="38"/>
      <c r="BA30" s="38"/>
      <c r="BB30" s="58"/>
      <c r="BC30" s="38"/>
      <c r="BD30" s="64"/>
      <c r="BE30" s="38"/>
      <c r="BF30" s="38"/>
      <c r="BG30" s="58"/>
      <c r="BH30" s="38"/>
      <c r="BI30" s="64"/>
      <c r="BJ30" s="65">
        <f t="shared" si="1"/>
        <v>3683</v>
      </c>
      <c r="BK30" s="65">
        <f t="shared" si="2"/>
        <v>6281</v>
      </c>
      <c r="BL30" s="63">
        <f t="shared" si="3"/>
        <v>0.96499999999999997</v>
      </c>
      <c r="BM30" s="65">
        <f t="shared" si="4"/>
        <v>382</v>
      </c>
      <c r="BN30" s="57">
        <f t="shared" si="5"/>
        <v>3.1985780423280422E-3</v>
      </c>
    </row>
    <row r="31" spans="1:66" x14ac:dyDescent="0.25">
      <c r="A31" s="21" t="s">
        <v>27</v>
      </c>
      <c r="B31" s="38">
        <v>1642</v>
      </c>
      <c r="C31" s="38">
        <v>5537</v>
      </c>
      <c r="D31" s="58">
        <v>0</v>
      </c>
      <c r="E31" s="37">
        <v>0</v>
      </c>
      <c r="F31" s="64">
        <v>0</v>
      </c>
      <c r="G31" s="38">
        <v>1642</v>
      </c>
      <c r="H31" s="38">
        <v>5537</v>
      </c>
      <c r="I31" s="58">
        <v>0</v>
      </c>
      <c r="J31" s="37">
        <v>0</v>
      </c>
      <c r="K31" s="64">
        <v>0</v>
      </c>
      <c r="L31" s="38">
        <v>0</v>
      </c>
      <c r="M31" s="38">
        <v>0</v>
      </c>
      <c r="N31" s="58">
        <v>0</v>
      </c>
      <c r="O31" s="37">
        <v>0</v>
      </c>
      <c r="P31" s="64">
        <v>0</v>
      </c>
      <c r="Q31" s="38">
        <v>1729</v>
      </c>
      <c r="R31" s="38">
        <v>5870</v>
      </c>
      <c r="S31" s="58">
        <v>0</v>
      </c>
      <c r="T31" s="37">
        <v>0</v>
      </c>
      <c r="U31" s="64">
        <v>0</v>
      </c>
      <c r="V31" s="38">
        <v>1797</v>
      </c>
      <c r="W31" s="38">
        <v>5978</v>
      </c>
      <c r="X31" s="58">
        <v>0</v>
      </c>
      <c r="Y31" s="37">
        <v>0</v>
      </c>
      <c r="Z31" s="64">
        <v>0</v>
      </c>
      <c r="AA31" s="38">
        <v>1813</v>
      </c>
      <c r="AB31" s="38">
        <v>6102</v>
      </c>
      <c r="AC31" s="58">
        <v>0.79</v>
      </c>
      <c r="AD31" s="38">
        <v>213</v>
      </c>
      <c r="AE31" s="64">
        <v>3.1944444444444442E-2</v>
      </c>
      <c r="AF31" s="38">
        <v>1818</v>
      </c>
      <c r="AG31" s="38">
        <v>6127</v>
      </c>
      <c r="AH31" s="58">
        <v>0.81</v>
      </c>
      <c r="AI31" s="38">
        <v>274</v>
      </c>
      <c r="AJ31" s="64">
        <v>3.0011574074074072E-2</v>
      </c>
      <c r="AK31" s="38"/>
      <c r="AL31" s="38"/>
      <c r="AM31" s="58"/>
      <c r="AN31" s="38"/>
      <c r="AO31" s="64"/>
      <c r="AP31" s="38"/>
      <c r="AQ31" s="38"/>
      <c r="AR31" s="58"/>
      <c r="AS31" s="38"/>
      <c r="AT31" s="64"/>
      <c r="AU31" s="38"/>
      <c r="AV31" s="38"/>
      <c r="AW31" s="58"/>
      <c r="AX31" s="38"/>
      <c r="AY31" s="64"/>
      <c r="AZ31" s="38"/>
      <c r="BA31" s="38"/>
      <c r="BB31" s="58"/>
      <c r="BC31" s="38"/>
      <c r="BD31" s="64"/>
      <c r="BE31" s="38"/>
      <c r="BF31" s="38"/>
      <c r="BG31" s="58"/>
      <c r="BH31" s="38"/>
      <c r="BI31" s="64"/>
      <c r="BJ31" s="65">
        <f t="shared" si="1"/>
        <v>10441</v>
      </c>
      <c r="BK31" s="65">
        <f t="shared" si="2"/>
        <v>35151</v>
      </c>
      <c r="BL31" s="63">
        <f t="shared" si="3"/>
        <v>0.8</v>
      </c>
      <c r="BM31" s="65">
        <f t="shared" si="4"/>
        <v>487</v>
      </c>
      <c r="BN31" s="57">
        <f t="shared" si="5"/>
        <v>8.850859788359788E-3</v>
      </c>
    </row>
    <row r="32" spans="1:66" x14ac:dyDescent="0.25">
      <c r="A32" s="21" t="s">
        <v>28</v>
      </c>
      <c r="B32" s="38">
        <v>928</v>
      </c>
      <c r="C32" s="38">
        <v>2366</v>
      </c>
      <c r="D32" s="58">
        <v>0</v>
      </c>
      <c r="E32" s="37">
        <v>0</v>
      </c>
      <c r="F32" s="64">
        <v>0</v>
      </c>
      <c r="G32" s="38">
        <v>928</v>
      </c>
      <c r="H32" s="38">
        <v>2366</v>
      </c>
      <c r="I32" s="58">
        <v>0</v>
      </c>
      <c r="J32" s="37">
        <v>0</v>
      </c>
      <c r="K32" s="64">
        <v>0</v>
      </c>
      <c r="L32" s="38">
        <v>0</v>
      </c>
      <c r="M32" s="38">
        <v>0</v>
      </c>
      <c r="N32" s="58">
        <v>0</v>
      </c>
      <c r="O32" s="37">
        <v>0</v>
      </c>
      <c r="P32" s="64">
        <v>0</v>
      </c>
      <c r="Q32" s="38">
        <v>1082</v>
      </c>
      <c r="R32" s="38">
        <v>2828</v>
      </c>
      <c r="S32" s="58">
        <v>0</v>
      </c>
      <c r="T32" s="37">
        <v>0</v>
      </c>
      <c r="U32" s="64">
        <v>0</v>
      </c>
      <c r="V32" s="38">
        <v>1028</v>
      </c>
      <c r="W32" s="38">
        <v>2747</v>
      </c>
      <c r="X32" s="58">
        <v>0</v>
      </c>
      <c r="Y32" s="37">
        <v>0</v>
      </c>
      <c r="Z32" s="64">
        <v>0</v>
      </c>
      <c r="AA32" s="38">
        <v>1080</v>
      </c>
      <c r="AB32" s="38">
        <v>2921</v>
      </c>
      <c r="AC32" s="58">
        <v>0.9</v>
      </c>
      <c r="AD32" s="38">
        <v>225</v>
      </c>
      <c r="AE32" s="64">
        <v>3.6851851851851858E-2</v>
      </c>
      <c r="AF32" s="38">
        <v>1081</v>
      </c>
      <c r="AG32" s="38">
        <v>2924</v>
      </c>
      <c r="AH32" s="58">
        <v>0.9</v>
      </c>
      <c r="AI32" s="38">
        <v>225</v>
      </c>
      <c r="AJ32" s="64">
        <v>3.8761574074074073E-2</v>
      </c>
      <c r="AK32" s="38"/>
      <c r="AL32" s="38"/>
      <c r="AM32" s="58"/>
      <c r="AN32" s="38"/>
      <c r="AO32" s="64"/>
      <c r="AP32" s="38"/>
      <c r="AQ32" s="38"/>
      <c r="AR32" s="58"/>
      <c r="AS32" s="38"/>
      <c r="AT32" s="64"/>
      <c r="AU32" s="38"/>
      <c r="AV32" s="38"/>
      <c r="AW32" s="58"/>
      <c r="AX32" s="38"/>
      <c r="AY32" s="64"/>
      <c r="AZ32" s="38"/>
      <c r="BA32" s="38"/>
      <c r="BB32" s="58"/>
      <c r="BC32" s="38"/>
      <c r="BD32" s="64"/>
      <c r="BE32" s="38"/>
      <c r="BF32" s="38"/>
      <c r="BG32" s="58"/>
      <c r="BH32" s="38"/>
      <c r="BI32" s="64"/>
      <c r="BJ32" s="65">
        <f t="shared" si="1"/>
        <v>6127</v>
      </c>
      <c r="BK32" s="65">
        <f t="shared" si="2"/>
        <v>16152</v>
      </c>
      <c r="BL32" s="63">
        <f t="shared" si="3"/>
        <v>0.9</v>
      </c>
      <c r="BM32" s="65">
        <f t="shared" si="4"/>
        <v>450</v>
      </c>
      <c r="BN32" s="57">
        <f t="shared" si="5"/>
        <v>1.080191798941799E-2</v>
      </c>
    </row>
    <row r="33" spans="1:66" x14ac:dyDescent="0.25">
      <c r="A33" s="21" t="s">
        <v>29</v>
      </c>
      <c r="B33" s="38">
        <v>2278</v>
      </c>
      <c r="C33" s="38">
        <v>7135</v>
      </c>
      <c r="D33" s="58">
        <v>0</v>
      </c>
      <c r="E33" s="37">
        <v>0</v>
      </c>
      <c r="F33" s="64">
        <v>0</v>
      </c>
      <c r="G33" s="38">
        <v>668</v>
      </c>
      <c r="H33" s="38">
        <v>1997</v>
      </c>
      <c r="I33" s="58">
        <v>0</v>
      </c>
      <c r="J33" s="37">
        <v>0</v>
      </c>
      <c r="K33" s="64">
        <v>0</v>
      </c>
      <c r="L33" s="38">
        <v>0</v>
      </c>
      <c r="M33" s="38">
        <v>0</v>
      </c>
      <c r="N33" s="58">
        <v>0</v>
      </c>
      <c r="O33" s="37">
        <v>0</v>
      </c>
      <c r="P33" s="64">
        <v>0</v>
      </c>
      <c r="Q33" s="38">
        <v>712</v>
      </c>
      <c r="R33" s="38">
        <v>2048</v>
      </c>
      <c r="S33" s="58">
        <v>0</v>
      </c>
      <c r="T33" s="37">
        <v>0</v>
      </c>
      <c r="U33" s="64">
        <v>0</v>
      </c>
      <c r="V33" s="38">
        <v>814</v>
      </c>
      <c r="W33" s="38">
        <v>2078</v>
      </c>
      <c r="X33" s="58">
        <v>0</v>
      </c>
      <c r="Y33" s="37">
        <v>0</v>
      </c>
      <c r="Z33" s="64">
        <v>0</v>
      </c>
      <c r="AA33" s="38">
        <v>814</v>
      </c>
      <c r="AB33" s="38">
        <v>2078</v>
      </c>
      <c r="AC33" s="58">
        <v>0.9</v>
      </c>
      <c r="AD33" s="38">
        <v>133</v>
      </c>
      <c r="AE33" s="64">
        <v>1.0127314814814815E-2</v>
      </c>
      <c r="AF33" s="38">
        <v>837</v>
      </c>
      <c r="AG33" s="38">
        <v>2101</v>
      </c>
      <c r="AH33" s="58">
        <v>0.91</v>
      </c>
      <c r="AI33" s="38">
        <v>133</v>
      </c>
      <c r="AJ33" s="64">
        <v>0.01</v>
      </c>
      <c r="AK33" s="38"/>
      <c r="AL33" s="38"/>
      <c r="AM33" s="58"/>
      <c r="AN33" s="38"/>
      <c r="AO33" s="64"/>
      <c r="AP33" s="38"/>
      <c r="AQ33" s="38"/>
      <c r="AR33" s="58"/>
      <c r="AS33" s="38"/>
      <c r="AT33" s="64"/>
      <c r="AU33" s="38"/>
      <c r="AV33" s="38"/>
      <c r="AW33" s="58"/>
      <c r="AX33" s="38"/>
      <c r="AY33" s="64"/>
      <c r="AZ33" s="38"/>
      <c r="BA33" s="38"/>
      <c r="BB33" s="58"/>
      <c r="BC33" s="38"/>
      <c r="BD33" s="64"/>
      <c r="BE33" s="38"/>
      <c r="BF33" s="38"/>
      <c r="BG33" s="58"/>
      <c r="BH33" s="38"/>
      <c r="BI33" s="64"/>
      <c r="BJ33" s="65">
        <f t="shared" si="1"/>
        <v>6123</v>
      </c>
      <c r="BK33" s="65">
        <f t="shared" si="2"/>
        <v>17437</v>
      </c>
      <c r="BL33" s="63">
        <f t="shared" si="3"/>
        <v>0.90500000000000003</v>
      </c>
      <c r="BM33" s="65">
        <f t="shared" si="4"/>
        <v>266</v>
      </c>
      <c r="BN33" s="57">
        <f t="shared" si="5"/>
        <v>2.8753306878306875E-3</v>
      </c>
    </row>
    <row r="34" spans="1:66" x14ac:dyDescent="0.25">
      <c r="A34" s="21" t="s">
        <v>30</v>
      </c>
      <c r="B34" s="38">
        <v>1090</v>
      </c>
      <c r="C34" s="38">
        <v>5079</v>
      </c>
      <c r="D34" s="58">
        <v>0</v>
      </c>
      <c r="E34" s="37">
        <v>0</v>
      </c>
      <c r="F34" s="64">
        <v>0</v>
      </c>
      <c r="G34" s="38">
        <v>1090</v>
      </c>
      <c r="H34" s="38">
        <v>5079</v>
      </c>
      <c r="I34" s="58">
        <v>0</v>
      </c>
      <c r="J34" s="37">
        <v>0</v>
      </c>
      <c r="K34" s="64">
        <v>0</v>
      </c>
      <c r="L34" s="38">
        <v>0</v>
      </c>
      <c r="M34" s="38">
        <v>0</v>
      </c>
      <c r="N34" s="58">
        <v>0</v>
      </c>
      <c r="O34" s="37">
        <v>0</v>
      </c>
      <c r="P34" s="64">
        <v>0</v>
      </c>
      <c r="Q34" s="38">
        <v>1090</v>
      </c>
      <c r="R34" s="38">
        <v>5775</v>
      </c>
      <c r="S34" s="58">
        <v>0</v>
      </c>
      <c r="T34" s="37">
        <v>0</v>
      </c>
      <c r="U34" s="64">
        <v>0</v>
      </c>
      <c r="V34" s="38">
        <v>970</v>
      </c>
      <c r="W34" s="38">
        <v>5091</v>
      </c>
      <c r="X34" s="58">
        <v>0</v>
      </c>
      <c r="Y34" s="37">
        <v>0</v>
      </c>
      <c r="Z34" s="64">
        <v>0</v>
      </c>
      <c r="AA34" s="38">
        <v>970</v>
      </c>
      <c r="AB34" s="38">
        <v>5091</v>
      </c>
      <c r="AC34" s="58">
        <v>0.83</v>
      </c>
      <c r="AD34" s="38">
        <v>824</v>
      </c>
      <c r="AE34" s="64">
        <v>9.4386574074074078E-3</v>
      </c>
      <c r="AF34" s="38">
        <v>970</v>
      </c>
      <c r="AG34" s="38">
        <v>5091</v>
      </c>
      <c r="AH34" s="58">
        <v>0.83</v>
      </c>
      <c r="AI34" s="38">
        <v>824</v>
      </c>
      <c r="AJ34" s="64">
        <v>9.4386574074074078E-3</v>
      </c>
      <c r="AK34" s="38"/>
      <c r="AL34" s="38"/>
      <c r="AM34" s="58"/>
      <c r="AN34" s="38"/>
      <c r="AO34" s="64"/>
      <c r="AP34" s="38"/>
      <c r="AQ34" s="38"/>
      <c r="AR34" s="58"/>
      <c r="AS34" s="38"/>
      <c r="AT34" s="64"/>
      <c r="AU34" s="38"/>
      <c r="AV34" s="38"/>
      <c r="AW34" s="58"/>
      <c r="AX34" s="38"/>
      <c r="AY34" s="64"/>
      <c r="AZ34" s="38"/>
      <c r="BA34" s="38"/>
      <c r="BB34" s="58"/>
      <c r="BC34" s="38"/>
      <c r="BD34" s="64"/>
      <c r="BE34" s="38"/>
      <c r="BF34" s="38"/>
      <c r="BG34" s="58"/>
      <c r="BH34" s="38"/>
      <c r="BI34" s="64"/>
      <c r="BJ34" s="65">
        <f t="shared" si="1"/>
        <v>6180</v>
      </c>
      <c r="BK34" s="65">
        <f t="shared" si="2"/>
        <v>31206</v>
      </c>
      <c r="BL34" s="63">
        <f t="shared" si="3"/>
        <v>0.83</v>
      </c>
      <c r="BM34" s="65">
        <f t="shared" si="4"/>
        <v>1648</v>
      </c>
      <c r="BN34" s="57">
        <f t="shared" si="5"/>
        <v>2.6967592592592594E-3</v>
      </c>
    </row>
    <row r="35" spans="1:66" x14ac:dyDescent="0.25">
      <c r="A35" s="21" t="s">
        <v>31</v>
      </c>
      <c r="B35" s="38">
        <v>0</v>
      </c>
      <c r="C35" s="38">
        <v>861</v>
      </c>
      <c r="D35" s="58">
        <v>0</v>
      </c>
      <c r="E35" s="37">
        <v>0</v>
      </c>
      <c r="F35" s="64">
        <v>0</v>
      </c>
      <c r="G35" s="38">
        <v>422</v>
      </c>
      <c r="H35" s="38">
        <v>861</v>
      </c>
      <c r="I35" s="58">
        <v>0</v>
      </c>
      <c r="J35" s="37">
        <v>0</v>
      </c>
      <c r="K35" s="64">
        <v>0</v>
      </c>
      <c r="L35" s="38">
        <v>0</v>
      </c>
      <c r="M35" s="38">
        <v>0</v>
      </c>
      <c r="N35" s="58">
        <v>0</v>
      </c>
      <c r="O35" s="37">
        <v>0</v>
      </c>
      <c r="P35" s="64">
        <v>0</v>
      </c>
      <c r="Q35" s="38">
        <v>422</v>
      </c>
      <c r="R35" s="38">
        <v>861</v>
      </c>
      <c r="S35" s="58">
        <v>0</v>
      </c>
      <c r="T35" s="37">
        <v>0</v>
      </c>
      <c r="U35" s="64">
        <v>0</v>
      </c>
      <c r="V35" s="38">
        <v>422</v>
      </c>
      <c r="W35" s="38">
        <v>861</v>
      </c>
      <c r="X35" s="58">
        <v>0</v>
      </c>
      <c r="Y35" s="37">
        <v>0</v>
      </c>
      <c r="Z35" s="64">
        <v>0</v>
      </c>
      <c r="AA35" s="38">
        <v>422</v>
      </c>
      <c r="AB35" s="38">
        <v>861</v>
      </c>
      <c r="AC35" s="58">
        <v>0.97</v>
      </c>
      <c r="AD35" s="38">
        <v>0</v>
      </c>
      <c r="AE35" s="64">
        <v>1.9502314814814813E-2</v>
      </c>
      <c r="AF35" s="38">
        <v>422</v>
      </c>
      <c r="AG35" s="38">
        <v>861</v>
      </c>
      <c r="AH35" s="58">
        <v>0.96</v>
      </c>
      <c r="AI35" s="38">
        <v>0</v>
      </c>
      <c r="AJ35" s="64">
        <v>2.0416666666666666E-2</v>
      </c>
      <c r="AK35" s="38"/>
      <c r="AL35" s="38"/>
      <c r="AM35" s="58"/>
      <c r="AN35" s="38"/>
      <c r="AO35" s="64"/>
      <c r="AP35" s="38"/>
      <c r="AQ35" s="38"/>
      <c r="AR35" s="58"/>
      <c r="AS35" s="38"/>
      <c r="AT35" s="64"/>
      <c r="AU35" s="38"/>
      <c r="AV35" s="38"/>
      <c r="AW35" s="58"/>
      <c r="AX35" s="38"/>
      <c r="AY35" s="64"/>
      <c r="AZ35" s="38"/>
      <c r="BA35" s="38"/>
      <c r="BB35" s="58"/>
      <c r="BC35" s="38"/>
      <c r="BD35" s="64"/>
      <c r="BE35" s="38"/>
      <c r="BF35" s="38"/>
      <c r="BG35" s="58"/>
      <c r="BH35" s="38"/>
      <c r="BI35" s="64"/>
      <c r="BJ35" s="65">
        <f t="shared" si="1"/>
        <v>2110</v>
      </c>
      <c r="BK35" s="65">
        <f t="shared" si="2"/>
        <v>5166</v>
      </c>
      <c r="BL35" s="63">
        <f t="shared" si="3"/>
        <v>0.96499999999999997</v>
      </c>
      <c r="BM35" s="65">
        <f t="shared" si="4"/>
        <v>0</v>
      </c>
      <c r="BN35" s="57">
        <f t="shared" si="5"/>
        <v>5.7027116402116398E-3</v>
      </c>
    </row>
    <row r="36" spans="1:66" x14ac:dyDescent="0.25">
      <c r="A36" s="25" t="s">
        <v>36</v>
      </c>
      <c r="B36" s="24">
        <f>+SUBTOTAL(9,B4:B35)</f>
        <v>80597</v>
      </c>
      <c r="C36" s="24">
        <f t="shared" ref="C36:BH36" si="6">+SUBTOTAL(9,C4:C35)</f>
        <v>225277</v>
      </c>
      <c r="D36" s="59">
        <f>IFERROR((SUBTOTAL(101,D4:D35)),0)</f>
        <v>0</v>
      </c>
      <c r="E36" s="24">
        <f>+SUBTOTAL(9,E4:E35)</f>
        <v>0</v>
      </c>
      <c r="F36" s="55">
        <f>IFERROR((SUBTOTAL(101,F4:F35)),0)</f>
        <v>0</v>
      </c>
      <c r="G36" s="24">
        <f t="shared" si="6"/>
        <v>83282</v>
      </c>
      <c r="H36" s="24">
        <f t="shared" si="6"/>
        <v>216544</v>
      </c>
      <c r="I36" s="59">
        <f>IFERROR((SUBTOTAL(101,I4:I35)),0)</f>
        <v>0</v>
      </c>
      <c r="J36" s="24">
        <f>+SUBTOTAL(9,J4:J35)</f>
        <v>0</v>
      </c>
      <c r="K36" s="55">
        <f>IFERROR((SUBTOTAL(101,K4:K35)),0)</f>
        <v>0</v>
      </c>
      <c r="L36" s="24">
        <f t="shared" si="6"/>
        <v>0</v>
      </c>
      <c r="M36" s="24">
        <f t="shared" si="6"/>
        <v>0</v>
      </c>
      <c r="N36" s="59">
        <f>IFERROR((SUBTOTAL(101,N4:N35)),0)</f>
        <v>0</v>
      </c>
      <c r="O36" s="24">
        <f>+SUBTOTAL(9,O4:O35)</f>
        <v>0</v>
      </c>
      <c r="P36" s="55">
        <f>IFERROR((SUBTOTAL(101,P4:P35)),0)</f>
        <v>0</v>
      </c>
      <c r="Q36" s="24">
        <f t="shared" si="6"/>
        <v>83155</v>
      </c>
      <c r="R36" s="24">
        <f t="shared" si="6"/>
        <v>218172</v>
      </c>
      <c r="S36" s="59">
        <f>IFERROR((SUBTOTAL(101,S4:S35)),0)</f>
        <v>0</v>
      </c>
      <c r="T36" s="24">
        <f>+SUBTOTAL(9,T4:T35)</f>
        <v>0</v>
      </c>
      <c r="U36" s="55">
        <f>IFERROR((SUBTOTAL(101,U4:U35)),0)</f>
        <v>0</v>
      </c>
      <c r="V36" s="24">
        <f t="shared" si="6"/>
        <v>79768</v>
      </c>
      <c r="W36" s="24">
        <f t="shared" si="6"/>
        <v>224446</v>
      </c>
      <c r="X36" s="59">
        <f>IFERROR((SUBTOTAL(101,X4:X35)),0)</f>
        <v>0</v>
      </c>
      <c r="Y36" s="24">
        <f>+SUBTOTAL(9,Y4:Y35)</f>
        <v>0</v>
      </c>
      <c r="Z36" s="55">
        <f>IFERROR((SUBTOTAL(101,Z4:Z35)),0)</f>
        <v>0</v>
      </c>
      <c r="AA36" s="24">
        <f t="shared" si="6"/>
        <v>79333</v>
      </c>
      <c r="AB36" s="24">
        <f t="shared" si="6"/>
        <v>223485</v>
      </c>
      <c r="AC36" s="59">
        <f>+SUBTOTAL(101,AC4:AC35)</f>
        <v>0.88553124999999988</v>
      </c>
      <c r="AD36" s="24">
        <f>+SUBTOTAL(9,AD4:AD35)</f>
        <v>10956</v>
      </c>
      <c r="AE36" s="55">
        <f>IFERROR((SUBTOTAL(101,AE4:AE35)),0)</f>
        <v>1.6733940972222226E-2</v>
      </c>
      <c r="AF36" s="24">
        <f t="shared" ref="AF36" si="7">+SUBTOTAL(9,AF4:AF35)</f>
        <v>79381</v>
      </c>
      <c r="AG36" s="24">
        <f t="shared" ref="AG36" si="8">+SUBTOTAL(9,AG4:AG35)</f>
        <v>224024</v>
      </c>
      <c r="AH36" s="60">
        <f>+SUBTOTAL(101,AH4:AH35)</f>
        <v>0.88249999999999973</v>
      </c>
      <c r="AI36" s="24">
        <f t="shared" ref="AI36" si="9">+SUBTOTAL(9,AI4:AI35)</f>
        <v>11183</v>
      </c>
      <c r="AJ36" s="55">
        <f>IFERROR((SUBTOTAL(101,AJ4:AJ35)),0)</f>
        <v>1.3697012442129633E-2</v>
      </c>
      <c r="AK36" s="24">
        <f t="shared" ref="AK36" si="10">+SUBTOTAL(9,AK4:AK35)</f>
        <v>0</v>
      </c>
      <c r="AL36" s="24">
        <f t="shared" ref="AL36" si="11">+SUBTOTAL(9,AL4:AL35)</f>
        <v>0</v>
      </c>
      <c r="AM36" s="59">
        <f>IFERROR((SUBTOTAL(101,AM4:AM35)),0)</f>
        <v>0</v>
      </c>
      <c r="AN36" s="24">
        <f t="shared" ref="AN36" si="12">+SUBTOTAL(9,AN4:AN35)</f>
        <v>0</v>
      </c>
      <c r="AO36" s="55">
        <f>IFERROR((SUBTOTAL(101,AO4:AO35)),0)</f>
        <v>0</v>
      </c>
      <c r="AP36" s="24">
        <f t="shared" ref="AP36" si="13">+SUBTOTAL(9,AP4:AP35)</f>
        <v>0</v>
      </c>
      <c r="AQ36" s="24">
        <f t="shared" ref="AQ36" si="14">+SUBTOTAL(9,AQ4:AQ35)</f>
        <v>0</v>
      </c>
      <c r="AR36" s="59">
        <f>IFERROR((SUBTOTAL(101,AR4:AR35)),0)</f>
        <v>0</v>
      </c>
      <c r="AS36" s="24">
        <f t="shared" ref="AS36" si="15">+SUBTOTAL(9,AS4:AS35)</f>
        <v>0</v>
      </c>
      <c r="AT36" s="55">
        <f>IFERROR((SUBTOTAL(101,AT4:AT35)),0)</f>
        <v>0</v>
      </c>
      <c r="AU36" s="24">
        <f t="shared" ref="AU36" si="16">+SUBTOTAL(9,AU4:AU35)</f>
        <v>0</v>
      </c>
      <c r="AV36" s="24">
        <f t="shared" ref="AV36" si="17">+SUBTOTAL(9,AV4:AV35)</f>
        <v>0</v>
      </c>
      <c r="AW36" s="59">
        <f>IFERROR((SUBTOTAL(101,AW4:AW35)),0)</f>
        <v>0</v>
      </c>
      <c r="AX36" s="24">
        <f t="shared" ref="AX36" si="18">+SUBTOTAL(9,AX4:AX35)</f>
        <v>0</v>
      </c>
      <c r="AY36" s="55">
        <f>IFERROR((SUBTOTAL(101,AY4:AY35)),0)</f>
        <v>0</v>
      </c>
      <c r="AZ36" s="24">
        <f t="shared" ref="AZ36" si="19">+SUBTOTAL(9,AZ4:AZ35)</f>
        <v>0</v>
      </c>
      <c r="BA36" s="24">
        <f t="shared" ref="BA36" si="20">+SUBTOTAL(9,BA4:BA35)</f>
        <v>0</v>
      </c>
      <c r="BB36" s="59">
        <f>IFERROR((SUBTOTAL(101,BB4:BB35)),0)</f>
        <v>0</v>
      </c>
      <c r="BC36" s="24">
        <f t="shared" ref="BC36" si="21">+SUBTOTAL(9,BC4:BC35)</f>
        <v>0</v>
      </c>
      <c r="BD36" s="55">
        <f>IFERROR((SUBTOTAL(101,BD4:BD35)),0)</f>
        <v>0</v>
      </c>
      <c r="BE36" s="24">
        <f t="shared" si="6"/>
        <v>0</v>
      </c>
      <c r="BF36" s="24">
        <f t="shared" si="6"/>
        <v>0</v>
      </c>
      <c r="BG36" s="59">
        <f>IFERROR((SUBTOTAL(101,BG4:BG35)),0)</f>
        <v>0</v>
      </c>
      <c r="BH36" s="24">
        <f t="shared" si="6"/>
        <v>0</v>
      </c>
      <c r="BI36" s="55">
        <f>IFERROR((SUBTOTAL(101,BI4:BI35)),0)</f>
        <v>0</v>
      </c>
      <c r="BJ36" s="66">
        <f t="shared" ref="BJ36" si="22">+SUBTOTAL(9,BJ4:BJ35)</f>
        <v>485516</v>
      </c>
      <c r="BK36" s="66">
        <f t="shared" ref="BK36" si="23">+SUBTOTAL(9,BK4:BK35)</f>
        <v>1331948</v>
      </c>
      <c r="BL36" s="61"/>
      <c r="BM36" s="67">
        <f t="shared" ref="BM36" si="24">+SUBTOTAL(9,BM4:BM35)</f>
        <v>22139</v>
      </c>
      <c r="BN36" s="62"/>
    </row>
    <row r="37" spans="1:66" x14ac:dyDescent="0.25"/>
    <row r="38" spans="1:66" x14ac:dyDescent="0.25"/>
    <row r="39" spans="1:66" x14ac:dyDescent="0.25"/>
    <row r="40" spans="1:66" x14ac:dyDescent="0.25"/>
    <row r="41" spans="1:66" x14ac:dyDescent="0.25"/>
    <row r="42" spans="1:66" x14ac:dyDescent="0.25"/>
    <row r="43" spans="1:66" x14ac:dyDescent="0.25"/>
    <row r="44" spans="1:66" x14ac:dyDescent="0.25"/>
    <row r="45" spans="1:66" x14ac:dyDescent="0.25"/>
  </sheetData>
  <mergeCells count="14">
    <mergeCell ref="BJ1:BN2"/>
    <mergeCell ref="AP2:AT2"/>
    <mergeCell ref="AU2:AY2"/>
    <mergeCell ref="AZ2:BD2"/>
    <mergeCell ref="BE2:BI2"/>
    <mergeCell ref="A1:BI1"/>
    <mergeCell ref="B2:F2"/>
    <mergeCell ref="G2:K2"/>
    <mergeCell ref="L2:P2"/>
    <mergeCell ref="Q2:U2"/>
    <mergeCell ref="V2:Z2"/>
    <mergeCell ref="AA2:AE2"/>
    <mergeCell ref="AF2:AJ2"/>
    <mergeCell ref="AK2:AO2"/>
  </mergeCells>
  <phoneticPr fontId="2" type="noConversion"/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14B60-A6DD-49A4-A0E7-06EB3F7AD4BD}">
  <sheetPr>
    <pageSetUpPr fitToPage="1"/>
  </sheetPr>
  <dimension ref="A1:F5"/>
  <sheetViews>
    <sheetView showGridLines="0" workbookViewId="0">
      <selection activeCell="D18" sqref="D18"/>
    </sheetView>
  </sheetViews>
  <sheetFormatPr baseColWidth="10" defaultColWidth="11.42578125" defaultRowHeight="15" x14ac:dyDescent="0.25"/>
  <cols>
    <col min="1" max="1" width="37.7109375" customWidth="1"/>
    <col min="2" max="2" width="56.140625" customWidth="1"/>
    <col min="3" max="3" width="49.28515625" customWidth="1"/>
  </cols>
  <sheetData>
    <row r="1" spans="1:6" ht="17.25" x14ac:dyDescent="0.25">
      <c r="A1" s="20" t="s">
        <v>62</v>
      </c>
      <c r="B1" s="20" t="s">
        <v>93</v>
      </c>
      <c r="C1" s="20" t="s">
        <v>63</v>
      </c>
    </row>
    <row r="2" spans="1:6" ht="75.75" customHeight="1" x14ac:dyDescent="0.25">
      <c r="A2" s="75" t="s">
        <v>88</v>
      </c>
      <c r="B2" s="72" t="s">
        <v>89</v>
      </c>
      <c r="C2" s="75" t="s">
        <v>90</v>
      </c>
      <c r="D2" s="76" t="s">
        <v>86</v>
      </c>
      <c r="E2" s="77"/>
      <c r="F2" s="77"/>
    </row>
    <row r="3" spans="1:6" ht="27" customHeight="1" x14ac:dyDescent="0.25">
      <c r="A3" s="75"/>
      <c r="B3" s="72" t="s">
        <v>91</v>
      </c>
      <c r="C3" s="75"/>
      <c r="D3" s="76"/>
      <c r="E3" s="77"/>
      <c r="F3" s="77"/>
    </row>
    <row r="4" spans="1:6" ht="47.25" customHeight="1" x14ac:dyDescent="0.25">
      <c r="A4" s="75"/>
      <c r="B4" s="72" t="s">
        <v>92</v>
      </c>
      <c r="C4" s="75"/>
      <c r="D4" s="76"/>
      <c r="E4" s="77"/>
      <c r="F4" s="77"/>
    </row>
    <row r="5" spans="1:6" ht="92.25" customHeight="1" x14ac:dyDescent="0.25">
      <c r="A5" s="73" t="s">
        <v>64</v>
      </c>
      <c r="B5" s="74" t="s">
        <v>85</v>
      </c>
      <c r="C5" s="74" t="s">
        <v>65</v>
      </c>
    </row>
  </sheetData>
  <mergeCells count="3">
    <mergeCell ref="A2:A4"/>
    <mergeCell ref="C2:C4"/>
    <mergeCell ref="D2:F4"/>
  </mergeCells>
  <pageMargins left="0.7" right="0.7" top="0.75" bottom="0.75" header="0.3" footer="0.3"/>
  <pageSetup paperSize="9" scale="91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CE0F2-D31E-4E64-BDC7-04D6EBB83EDE}">
  <sheetPr>
    <tabColor rgb="FF00B050"/>
  </sheetPr>
  <dimension ref="A1:Q111"/>
  <sheetViews>
    <sheetView showGridLines="0" topLeftCell="A56" zoomScale="90" zoomScaleNormal="90" workbookViewId="0">
      <selection activeCell="Q31" sqref="Q31"/>
    </sheetView>
  </sheetViews>
  <sheetFormatPr baseColWidth="10" defaultColWidth="11.42578125" defaultRowHeight="15" x14ac:dyDescent="0.25"/>
  <cols>
    <col min="1" max="1" width="20.42578125" style="1" customWidth="1"/>
    <col min="2" max="6" width="14.5703125" style="2" customWidth="1"/>
    <col min="7" max="17" width="14.5703125" customWidth="1"/>
  </cols>
  <sheetData>
    <row r="1" spans="1:6" ht="20.25" customHeight="1" x14ac:dyDescent="0.25">
      <c r="A1" s="7" t="s">
        <v>0</v>
      </c>
      <c r="B1" s="8" t="s">
        <v>66</v>
      </c>
      <c r="C1" s="9">
        <v>46023</v>
      </c>
      <c r="D1" s="9">
        <v>46054</v>
      </c>
      <c r="E1" s="9">
        <v>46082</v>
      </c>
      <c r="F1" s="9">
        <v>46113</v>
      </c>
    </row>
    <row r="2" spans="1:6" x14ac:dyDescent="0.25">
      <c r="A2" s="4" t="s">
        <v>1</v>
      </c>
      <c r="B2" s="5" t="s">
        <v>67</v>
      </c>
      <c r="C2" s="6">
        <v>62</v>
      </c>
      <c r="D2" s="6">
        <v>69</v>
      </c>
      <c r="E2" s="6">
        <v>94</v>
      </c>
      <c r="F2" s="6">
        <v>100</v>
      </c>
    </row>
    <row r="3" spans="1:6" x14ac:dyDescent="0.25">
      <c r="A3" s="4" t="s">
        <v>32</v>
      </c>
      <c r="B3" s="6" t="s">
        <v>67</v>
      </c>
      <c r="C3" s="6">
        <v>1469</v>
      </c>
      <c r="D3" s="6">
        <v>1475</v>
      </c>
      <c r="E3" s="6">
        <v>1475</v>
      </c>
      <c r="F3" s="6">
        <v>1752</v>
      </c>
    </row>
    <row r="4" spans="1:6" x14ac:dyDescent="0.25">
      <c r="A4" s="4" t="s">
        <v>3</v>
      </c>
      <c r="B4" s="6" t="s">
        <v>67</v>
      </c>
      <c r="C4" s="6">
        <v>196</v>
      </c>
      <c r="D4" s="6">
        <v>174</v>
      </c>
      <c r="E4" s="6">
        <v>259</v>
      </c>
      <c r="F4" s="6">
        <v>200</v>
      </c>
    </row>
    <row r="5" spans="1:6" x14ac:dyDescent="0.25">
      <c r="A5" s="4" t="s">
        <v>4</v>
      </c>
      <c r="B5" s="6" t="s">
        <v>67</v>
      </c>
      <c r="C5" s="6">
        <v>123</v>
      </c>
      <c r="D5" s="6">
        <v>117</v>
      </c>
      <c r="E5" s="6">
        <v>139</v>
      </c>
      <c r="F5" s="6">
        <v>120</v>
      </c>
    </row>
    <row r="6" spans="1:6" x14ac:dyDescent="0.25">
      <c r="A6" s="4" t="s">
        <v>33</v>
      </c>
      <c r="B6" s="6" t="s">
        <v>67</v>
      </c>
      <c r="C6" s="6">
        <v>278</v>
      </c>
      <c r="D6" s="6">
        <v>338</v>
      </c>
      <c r="E6" s="6">
        <v>374</v>
      </c>
      <c r="F6" s="6">
        <v>346</v>
      </c>
    </row>
    <row r="7" spans="1:6" x14ac:dyDescent="0.25">
      <c r="A7" s="4" t="s">
        <v>8</v>
      </c>
      <c r="B7" s="6" t="s">
        <v>67</v>
      </c>
      <c r="C7" s="6">
        <v>344</v>
      </c>
      <c r="D7" s="6">
        <v>286</v>
      </c>
      <c r="E7" s="6">
        <v>425</v>
      </c>
      <c r="F7" s="6">
        <v>347</v>
      </c>
    </row>
    <row r="8" spans="1:6" x14ac:dyDescent="0.25">
      <c r="A8" s="4" t="s">
        <v>5</v>
      </c>
      <c r="B8" s="6" t="s">
        <v>67</v>
      </c>
      <c r="C8" s="6">
        <v>1210</v>
      </c>
      <c r="D8" s="6">
        <v>1150</v>
      </c>
      <c r="E8" s="6">
        <v>1149</v>
      </c>
      <c r="F8" s="6">
        <v>1246</v>
      </c>
    </row>
    <row r="9" spans="1:6" x14ac:dyDescent="0.25">
      <c r="A9" s="4" t="s">
        <v>6</v>
      </c>
      <c r="B9" s="6" t="s">
        <v>67</v>
      </c>
      <c r="C9" s="6">
        <v>571</v>
      </c>
      <c r="D9" s="6">
        <v>663</v>
      </c>
      <c r="E9" s="6">
        <v>805</v>
      </c>
      <c r="F9" s="6">
        <v>842</v>
      </c>
    </row>
    <row r="10" spans="1:6" x14ac:dyDescent="0.25">
      <c r="A10" s="4" t="s">
        <v>7</v>
      </c>
      <c r="B10" s="6" t="s">
        <v>67</v>
      </c>
      <c r="C10" s="6">
        <v>9936</v>
      </c>
      <c r="D10" s="6">
        <v>8269</v>
      </c>
      <c r="E10" s="6">
        <v>9574</v>
      </c>
      <c r="F10" s="6">
        <v>10180</v>
      </c>
    </row>
    <row r="11" spans="1:6" x14ac:dyDescent="0.25">
      <c r="A11" s="4" t="s">
        <v>9</v>
      </c>
      <c r="B11" s="6" t="s">
        <v>67</v>
      </c>
      <c r="C11" s="6">
        <v>204</v>
      </c>
      <c r="D11" s="6">
        <v>191</v>
      </c>
      <c r="E11" s="6">
        <v>242</v>
      </c>
      <c r="F11" s="6">
        <v>216</v>
      </c>
    </row>
    <row r="12" spans="1:6" x14ac:dyDescent="0.25">
      <c r="A12" s="4" t="s">
        <v>10</v>
      </c>
      <c r="B12" s="6" t="s">
        <v>67</v>
      </c>
      <c r="C12" s="6">
        <v>1329</v>
      </c>
      <c r="D12" s="6">
        <v>1233</v>
      </c>
      <c r="E12" s="6">
        <v>1568</v>
      </c>
      <c r="F12" s="6">
        <v>1634</v>
      </c>
    </row>
    <row r="13" spans="1:6" x14ac:dyDescent="0.25">
      <c r="A13" s="4" t="s">
        <v>11</v>
      </c>
      <c r="B13" s="6" t="s">
        <v>67</v>
      </c>
      <c r="C13" s="6">
        <v>180</v>
      </c>
      <c r="D13" s="6">
        <v>213</v>
      </c>
      <c r="E13" s="6">
        <v>217</v>
      </c>
      <c r="F13" s="6">
        <v>217</v>
      </c>
    </row>
    <row r="14" spans="1:6" x14ac:dyDescent="0.25">
      <c r="A14" s="4" t="s">
        <v>12</v>
      </c>
      <c r="B14" s="6" t="s">
        <v>67</v>
      </c>
      <c r="C14" s="6">
        <v>747</v>
      </c>
      <c r="D14" s="6">
        <v>812</v>
      </c>
      <c r="E14" s="6">
        <v>945</v>
      </c>
      <c r="F14" s="6">
        <v>878</v>
      </c>
    </row>
    <row r="15" spans="1:6" x14ac:dyDescent="0.25">
      <c r="A15" s="4" t="s">
        <v>13</v>
      </c>
      <c r="B15" s="6" t="s">
        <v>67</v>
      </c>
      <c r="C15" s="6">
        <v>1596</v>
      </c>
      <c r="D15" s="6">
        <v>1557</v>
      </c>
      <c r="E15" s="6">
        <v>1929</v>
      </c>
      <c r="F15" s="6">
        <v>2024</v>
      </c>
    </row>
    <row r="16" spans="1:6" x14ac:dyDescent="0.25">
      <c r="A16" s="4" t="s">
        <v>34</v>
      </c>
      <c r="B16" s="6" t="s">
        <v>67</v>
      </c>
      <c r="C16" s="6">
        <v>6376</v>
      </c>
      <c r="D16" s="6">
        <v>6853</v>
      </c>
      <c r="E16" s="6">
        <v>7819</v>
      </c>
      <c r="F16" s="6">
        <v>8090</v>
      </c>
    </row>
    <row r="17" spans="1:6" x14ac:dyDescent="0.25">
      <c r="A17" s="4" t="s">
        <v>15</v>
      </c>
      <c r="B17" s="6" t="s">
        <v>67</v>
      </c>
      <c r="C17" s="6">
        <v>1177</v>
      </c>
      <c r="D17" s="6">
        <v>1287</v>
      </c>
      <c r="E17" s="6">
        <v>1460</v>
      </c>
      <c r="F17" s="6">
        <v>1425</v>
      </c>
    </row>
    <row r="18" spans="1:6" x14ac:dyDescent="0.25">
      <c r="A18" s="4" t="s">
        <v>16</v>
      </c>
      <c r="B18" s="6" t="s">
        <v>67</v>
      </c>
      <c r="C18" s="6">
        <v>585</v>
      </c>
      <c r="D18" s="6">
        <v>504</v>
      </c>
      <c r="E18" s="6">
        <v>619</v>
      </c>
      <c r="F18" s="6">
        <v>752</v>
      </c>
    </row>
    <row r="19" spans="1:6" x14ac:dyDescent="0.25">
      <c r="A19" s="4" t="s">
        <v>17</v>
      </c>
      <c r="B19" s="6" t="s">
        <v>67</v>
      </c>
      <c r="C19" s="6">
        <v>223</v>
      </c>
      <c r="D19" s="6">
        <v>100</v>
      </c>
      <c r="E19" s="6">
        <v>218</v>
      </c>
      <c r="F19" s="6">
        <v>315</v>
      </c>
    </row>
    <row r="20" spans="1:6" x14ac:dyDescent="0.25">
      <c r="A20" s="4" t="s">
        <v>35</v>
      </c>
      <c r="B20" s="6" t="s">
        <v>67</v>
      </c>
      <c r="C20" s="6">
        <v>1720</v>
      </c>
      <c r="D20" s="6">
        <v>1797</v>
      </c>
      <c r="E20" s="6">
        <v>2224</v>
      </c>
      <c r="F20" s="6">
        <v>2207</v>
      </c>
    </row>
    <row r="21" spans="1:6" x14ac:dyDescent="0.25">
      <c r="A21" s="4" t="s">
        <v>19</v>
      </c>
      <c r="B21" s="6" t="s">
        <v>67</v>
      </c>
      <c r="C21" s="6">
        <v>667</v>
      </c>
      <c r="D21" s="6">
        <v>634</v>
      </c>
      <c r="E21" s="6">
        <v>905</v>
      </c>
      <c r="F21" s="6">
        <v>962</v>
      </c>
    </row>
    <row r="22" spans="1:6" x14ac:dyDescent="0.25">
      <c r="A22" s="4" t="s">
        <v>20</v>
      </c>
      <c r="B22" s="6" t="s">
        <v>67</v>
      </c>
      <c r="C22" s="6">
        <v>741</v>
      </c>
      <c r="D22" s="6">
        <v>891</v>
      </c>
      <c r="E22" s="6">
        <v>851</v>
      </c>
      <c r="F22" s="6">
        <v>932</v>
      </c>
    </row>
    <row r="23" spans="1:6" x14ac:dyDescent="0.25">
      <c r="A23" s="4" t="s">
        <v>21</v>
      </c>
      <c r="B23" s="6" t="s">
        <v>67</v>
      </c>
      <c r="C23" s="6">
        <v>1170</v>
      </c>
      <c r="D23" s="6">
        <v>1170</v>
      </c>
      <c r="E23" s="6">
        <v>1685</v>
      </c>
      <c r="F23" s="6">
        <v>1685</v>
      </c>
    </row>
    <row r="24" spans="1:6" x14ac:dyDescent="0.25">
      <c r="A24" s="4" t="s">
        <v>22</v>
      </c>
      <c r="B24" s="6" t="s">
        <v>67</v>
      </c>
      <c r="C24" s="6">
        <v>456</v>
      </c>
      <c r="D24" s="6">
        <v>682</v>
      </c>
      <c r="E24" s="6">
        <v>915</v>
      </c>
      <c r="F24" s="6">
        <v>926</v>
      </c>
    </row>
    <row r="25" spans="1:6" x14ac:dyDescent="0.25">
      <c r="A25" s="4" t="s">
        <v>23</v>
      </c>
      <c r="B25" s="6" t="s">
        <v>67</v>
      </c>
      <c r="C25" s="6">
        <v>173</v>
      </c>
      <c r="D25" s="6">
        <v>175</v>
      </c>
      <c r="E25" s="6">
        <v>186</v>
      </c>
      <c r="F25" s="6">
        <v>125</v>
      </c>
    </row>
    <row r="26" spans="1:6" x14ac:dyDescent="0.25">
      <c r="A26" s="4" t="s">
        <v>24</v>
      </c>
      <c r="B26" s="6" t="s">
        <v>67</v>
      </c>
      <c r="C26" s="6">
        <v>298</v>
      </c>
      <c r="D26" s="6">
        <v>366</v>
      </c>
      <c r="E26" s="6">
        <v>438</v>
      </c>
      <c r="F26" s="6">
        <v>555</v>
      </c>
    </row>
    <row r="27" spans="1:6" x14ac:dyDescent="0.25">
      <c r="A27" s="4" t="s">
        <v>25</v>
      </c>
      <c r="B27" s="6" t="s">
        <v>67</v>
      </c>
      <c r="C27" s="6">
        <v>1069</v>
      </c>
      <c r="D27" s="6">
        <v>1056</v>
      </c>
      <c r="E27" s="6">
        <v>925</v>
      </c>
      <c r="F27" s="6">
        <v>962</v>
      </c>
    </row>
    <row r="28" spans="1:6" x14ac:dyDescent="0.25">
      <c r="A28" s="4" t="s">
        <v>26</v>
      </c>
      <c r="B28" s="6" t="s">
        <v>67</v>
      </c>
      <c r="C28" s="6">
        <v>492</v>
      </c>
      <c r="D28" s="6">
        <v>423</v>
      </c>
      <c r="E28" s="6">
        <v>568</v>
      </c>
      <c r="F28" s="6">
        <v>575</v>
      </c>
    </row>
    <row r="29" spans="1:6" x14ac:dyDescent="0.25">
      <c r="A29" s="4" t="s">
        <v>27</v>
      </c>
      <c r="B29" s="6" t="s">
        <v>67</v>
      </c>
      <c r="C29" s="6">
        <v>438</v>
      </c>
      <c r="D29" s="6">
        <v>458</v>
      </c>
      <c r="E29" s="6">
        <v>543</v>
      </c>
      <c r="F29" s="6">
        <v>470</v>
      </c>
    </row>
    <row r="30" spans="1:6" x14ac:dyDescent="0.25">
      <c r="A30" s="4" t="s">
        <v>28</v>
      </c>
      <c r="B30" s="6" t="s">
        <v>67</v>
      </c>
      <c r="C30" s="6">
        <v>477</v>
      </c>
      <c r="D30" s="6">
        <v>468</v>
      </c>
      <c r="E30" s="6">
        <v>542</v>
      </c>
      <c r="F30" s="6">
        <v>521</v>
      </c>
    </row>
    <row r="31" spans="1:6" x14ac:dyDescent="0.25">
      <c r="A31" s="4" t="s">
        <v>29</v>
      </c>
      <c r="B31" s="6" t="s">
        <v>67</v>
      </c>
      <c r="C31" s="6">
        <v>205</v>
      </c>
      <c r="D31" s="6">
        <v>266</v>
      </c>
      <c r="E31" s="6">
        <v>264</v>
      </c>
      <c r="F31" s="6">
        <v>278</v>
      </c>
    </row>
    <row r="32" spans="1:6" x14ac:dyDescent="0.25">
      <c r="A32" s="4" t="s">
        <v>30</v>
      </c>
      <c r="B32" s="6" t="s">
        <v>67</v>
      </c>
      <c r="C32" s="6">
        <v>177</v>
      </c>
      <c r="D32" s="6">
        <v>171</v>
      </c>
      <c r="E32" s="6">
        <v>171</v>
      </c>
      <c r="F32" s="6">
        <v>149</v>
      </c>
    </row>
    <row r="33" spans="1:17" x14ac:dyDescent="0.25">
      <c r="A33" s="4" t="s">
        <v>31</v>
      </c>
      <c r="B33" s="6" t="s">
        <v>67</v>
      </c>
      <c r="C33" s="6">
        <v>116</v>
      </c>
      <c r="D33" s="6">
        <v>95</v>
      </c>
      <c r="E33" s="6">
        <v>114</v>
      </c>
      <c r="F33" s="6">
        <v>65</v>
      </c>
    </row>
    <row r="36" spans="1:17" ht="15.75" thickBot="1" x14ac:dyDescent="0.3"/>
    <row r="37" spans="1:17" ht="18.75" x14ac:dyDescent="0.3">
      <c r="A37" s="15" t="s">
        <v>68</v>
      </c>
      <c r="B37" s="98">
        <v>46023</v>
      </c>
      <c r="C37" s="99"/>
      <c r="D37" s="99"/>
      <c r="E37" s="100"/>
      <c r="F37" s="101">
        <v>46054</v>
      </c>
      <c r="G37" s="102"/>
      <c r="H37" s="102"/>
      <c r="I37" s="103"/>
      <c r="J37" s="101">
        <v>46082</v>
      </c>
      <c r="K37" s="104"/>
      <c r="L37" s="104"/>
      <c r="M37" s="105"/>
      <c r="N37" s="101">
        <v>46113</v>
      </c>
      <c r="O37" s="104"/>
      <c r="P37" s="104"/>
      <c r="Q37" s="105"/>
    </row>
    <row r="38" spans="1:17" ht="75.75" customHeight="1" x14ac:dyDescent="0.25">
      <c r="A38" s="3" t="s">
        <v>0</v>
      </c>
      <c r="B38" s="17" t="s">
        <v>37</v>
      </c>
      <c r="C38" s="10" t="s">
        <v>38</v>
      </c>
      <c r="D38" s="10" t="s">
        <v>39</v>
      </c>
      <c r="E38" s="11" t="s">
        <v>40</v>
      </c>
      <c r="F38" s="17" t="s">
        <v>37</v>
      </c>
      <c r="G38" s="10" t="s">
        <v>38</v>
      </c>
      <c r="H38" s="10" t="s">
        <v>39</v>
      </c>
      <c r="I38" s="11" t="s">
        <v>40</v>
      </c>
      <c r="J38" s="17" t="s">
        <v>37</v>
      </c>
      <c r="K38" s="10" t="s">
        <v>38</v>
      </c>
      <c r="L38" s="10" t="s">
        <v>39</v>
      </c>
      <c r="M38" s="11" t="s">
        <v>40</v>
      </c>
      <c r="N38" s="17" t="s">
        <v>37</v>
      </c>
      <c r="O38" s="10" t="s">
        <v>38</v>
      </c>
      <c r="P38" s="10" t="s">
        <v>39</v>
      </c>
      <c r="Q38" s="11" t="s">
        <v>40</v>
      </c>
    </row>
    <row r="39" spans="1:17" x14ac:dyDescent="0.25">
      <c r="A39" t="s">
        <v>1</v>
      </c>
      <c r="B39" s="18">
        <v>63</v>
      </c>
      <c r="C39">
        <v>16</v>
      </c>
      <c r="D39">
        <v>47</v>
      </c>
      <c r="E39" s="12"/>
      <c r="F39" s="18">
        <v>69</v>
      </c>
      <c r="G39">
        <v>16</v>
      </c>
      <c r="H39">
        <v>52</v>
      </c>
      <c r="I39" s="12">
        <v>1</v>
      </c>
      <c r="J39" s="18">
        <v>81</v>
      </c>
      <c r="K39">
        <v>17</v>
      </c>
      <c r="L39">
        <v>59</v>
      </c>
      <c r="M39" s="12">
        <v>5</v>
      </c>
      <c r="N39" s="18">
        <v>90</v>
      </c>
      <c r="O39">
        <v>22</v>
      </c>
      <c r="P39">
        <v>68</v>
      </c>
      <c r="Q39" s="12"/>
    </row>
    <row r="40" spans="1:17" x14ac:dyDescent="0.25">
      <c r="A40" t="s">
        <v>2</v>
      </c>
      <c r="B40" s="18">
        <v>983</v>
      </c>
      <c r="C40">
        <v>103</v>
      </c>
      <c r="D40">
        <v>880</v>
      </c>
      <c r="E40" s="12"/>
      <c r="F40" s="18">
        <v>964</v>
      </c>
      <c r="G40">
        <v>97</v>
      </c>
      <c r="H40">
        <v>867</v>
      </c>
      <c r="I40" s="12"/>
      <c r="J40" s="18">
        <v>1031</v>
      </c>
      <c r="K40">
        <v>114</v>
      </c>
      <c r="L40">
        <v>917</v>
      </c>
      <c r="M40" s="12"/>
      <c r="N40" s="18">
        <v>1060</v>
      </c>
      <c r="O40">
        <v>132</v>
      </c>
      <c r="P40">
        <v>928</v>
      </c>
      <c r="Q40" s="12"/>
    </row>
    <row r="41" spans="1:17" x14ac:dyDescent="0.25">
      <c r="A41" t="s">
        <v>3</v>
      </c>
      <c r="B41" s="18">
        <v>148</v>
      </c>
      <c r="C41">
        <v>2</v>
      </c>
      <c r="D41">
        <v>128</v>
      </c>
      <c r="E41" s="12">
        <v>18</v>
      </c>
      <c r="F41" s="18">
        <v>141</v>
      </c>
      <c r="G41">
        <v>1</v>
      </c>
      <c r="H41">
        <v>117</v>
      </c>
      <c r="I41" s="12">
        <v>23</v>
      </c>
      <c r="J41" s="18">
        <v>201</v>
      </c>
      <c r="K41">
        <v>1</v>
      </c>
      <c r="L41">
        <v>181</v>
      </c>
      <c r="M41" s="12">
        <v>19</v>
      </c>
      <c r="N41" s="18">
        <v>158</v>
      </c>
      <c r="O41">
        <v>3</v>
      </c>
      <c r="P41">
        <v>138</v>
      </c>
      <c r="Q41" s="12">
        <v>17</v>
      </c>
    </row>
    <row r="42" spans="1:17" x14ac:dyDescent="0.25">
      <c r="A42" t="s">
        <v>4</v>
      </c>
      <c r="B42" s="18">
        <v>35</v>
      </c>
      <c r="C42">
        <v>4</v>
      </c>
      <c r="D42">
        <v>21</v>
      </c>
      <c r="E42" s="12">
        <v>10</v>
      </c>
      <c r="F42" s="18">
        <v>35</v>
      </c>
      <c r="G42">
        <v>7</v>
      </c>
      <c r="H42">
        <v>20</v>
      </c>
      <c r="I42" s="12">
        <v>8</v>
      </c>
      <c r="J42" s="18">
        <v>47</v>
      </c>
      <c r="K42">
        <v>2</v>
      </c>
      <c r="L42">
        <v>27</v>
      </c>
      <c r="M42" s="12">
        <v>18</v>
      </c>
      <c r="N42" s="18">
        <v>43</v>
      </c>
      <c r="O42">
        <v>6</v>
      </c>
      <c r="P42">
        <v>23</v>
      </c>
      <c r="Q42" s="12">
        <v>14</v>
      </c>
    </row>
    <row r="43" spans="1:17" x14ac:dyDescent="0.25">
      <c r="A43" t="s">
        <v>69</v>
      </c>
      <c r="B43" s="18">
        <v>127</v>
      </c>
      <c r="C43">
        <v>14</v>
      </c>
      <c r="D43">
        <v>101</v>
      </c>
      <c r="E43" s="12">
        <v>12</v>
      </c>
      <c r="F43" s="18">
        <v>134</v>
      </c>
      <c r="G43">
        <v>20</v>
      </c>
      <c r="H43">
        <v>91</v>
      </c>
      <c r="I43" s="12">
        <v>23</v>
      </c>
      <c r="J43" s="18">
        <v>148</v>
      </c>
      <c r="K43">
        <v>31</v>
      </c>
      <c r="L43">
        <v>97</v>
      </c>
      <c r="M43" s="12">
        <v>20</v>
      </c>
      <c r="N43" s="18">
        <v>160</v>
      </c>
      <c r="O43">
        <v>25</v>
      </c>
      <c r="P43">
        <v>99</v>
      </c>
      <c r="Q43" s="12">
        <v>36</v>
      </c>
    </row>
    <row r="44" spans="1:17" x14ac:dyDescent="0.25">
      <c r="A44" t="s">
        <v>8</v>
      </c>
      <c r="B44" s="18">
        <v>110</v>
      </c>
      <c r="C44">
        <v>12</v>
      </c>
      <c r="D44">
        <v>94</v>
      </c>
      <c r="E44" s="12">
        <v>4</v>
      </c>
      <c r="F44" s="18">
        <v>104</v>
      </c>
      <c r="G44">
        <v>2</v>
      </c>
      <c r="H44">
        <v>94</v>
      </c>
      <c r="I44" s="12">
        <v>8</v>
      </c>
      <c r="J44" s="18">
        <v>123</v>
      </c>
      <c r="K44">
        <v>12</v>
      </c>
      <c r="L44">
        <v>104</v>
      </c>
      <c r="M44" s="12">
        <v>7</v>
      </c>
      <c r="N44" s="18">
        <v>110</v>
      </c>
      <c r="O44">
        <v>9</v>
      </c>
      <c r="P44">
        <v>95</v>
      </c>
      <c r="Q44" s="12">
        <v>6</v>
      </c>
    </row>
    <row r="45" spans="1:17" x14ac:dyDescent="0.25">
      <c r="A45" t="s">
        <v>5</v>
      </c>
      <c r="B45" s="18">
        <v>295</v>
      </c>
      <c r="C45">
        <v>26</v>
      </c>
      <c r="D45">
        <v>242</v>
      </c>
      <c r="E45" s="12">
        <v>27</v>
      </c>
      <c r="F45" s="18">
        <v>252</v>
      </c>
      <c r="G45">
        <v>41</v>
      </c>
      <c r="H45">
        <v>200</v>
      </c>
      <c r="I45" s="12">
        <v>11</v>
      </c>
      <c r="J45" s="18">
        <v>299</v>
      </c>
      <c r="K45">
        <v>54</v>
      </c>
      <c r="L45">
        <v>234</v>
      </c>
      <c r="M45" s="12">
        <v>11</v>
      </c>
      <c r="N45" s="18">
        <v>208</v>
      </c>
      <c r="O45">
        <v>28</v>
      </c>
      <c r="P45">
        <v>151</v>
      </c>
      <c r="Q45" s="12">
        <v>29</v>
      </c>
    </row>
    <row r="46" spans="1:17" x14ac:dyDescent="0.25">
      <c r="A46" t="s">
        <v>6</v>
      </c>
      <c r="B46" s="18">
        <v>88</v>
      </c>
      <c r="C46">
        <v>5</v>
      </c>
      <c r="D46">
        <v>79</v>
      </c>
      <c r="E46" s="12">
        <v>4</v>
      </c>
      <c r="F46" s="18">
        <v>123</v>
      </c>
      <c r="G46">
        <v>8</v>
      </c>
      <c r="H46">
        <v>114</v>
      </c>
      <c r="I46" s="12">
        <v>1</v>
      </c>
      <c r="J46" s="18">
        <v>100</v>
      </c>
      <c r="K46">
        <v>10</v>
      </c>
      <c r="L46">
        <v>90</v>
      </c>
      <c r="M46" s="12"/>
      <c r="N46" s="18">
        <v>98</v>
      </c>
      <c r="O46">
        <v>13</v>
      </c>
      <c r="P46">
        <v>84</v>
      </c>
      <c r="Q46" s="12">
        <v>1</v>
      </c>
    </row>
    <row r="47" spans="1:17" x14ac:dyDescent="0.25">
      <c r="A47" t="s">
        <v>7</v>
      </c>
      <c r="B47" s="18">
        <v>2715</v>
      </c>
      <c r="C47">
        <v>270</v>
      </c>
      <c r="D47">
        <v>2378</v>
      </c>
      <c r="E47" s="12">
        <v>67</v>
      </c>
      <c r="F47" s="18">
        <v>2136</v>
      </c>
      <c r="G47">
        <v>216</v>
      </c>
      <c r="H47">
        <v>1848</v>
      </c>
      <c r="I47" s="12">
        <v>72</v>
      </c>
      <c r="J47" s="18">
        <v>2716</v>
      </c>
      <c r="K47">
        <v>206</v>
      </c>
      <c r="L47">
        <v>2364</v>
      </c>
      <c r="M47" s="12">
        <v>146</v>
      </c>
      <c r="N47" s="18">
        <v>2929</v>
      </c>
      <c r="O47">
        <v>223</v>
      </c>
      <c r="P47">
        <v>2557</v>
      </c>
      <c r="Q47" s="12">
        <v>149</v>
      </c>
    </row>
    <row r="48" spans="1:17" x14ac:dyDescent="0.25">
      <c r="A48" t="s">
        <v>9</v>
      </c>
      <c r="B48" s="18">
        <v>167</v>
      </c>
      <c r="C48">
        <v>34</v>
      </c>
      <c r="D48">
        <v>90</v>
      </c>
      <c r="E48" s="12">
        <v>43</v>
      </c>
      <c r="F48" s="18">
        <v>157</v>
      </c>
      <c r="G48">
        <v>38</v>
      </c>
      <c r="H48">
        <v>99</v>
      </c>
      <c r="I48" s="12">
        <v>20</v>
      </c>
      <c r="J48" s="18">
        <v>218</v>
      </c>
      <c r="K48">
        <v>37</v>
      </c>
      <c r="L48">
        <v>138</v>
      </c>
      <c r="M48" s="12">
        <v>43</v>
      </c>
      <c r="N48" s="18">
        <v>190</v>
      </c>
      <c r="O48">
        <v>52</v>
      </c>
      <c r="P48">
        <v>105</v>
      </c>
      <c r="Q48" s="12">
        <v>33</v>
      </c>
    </row>
    <row r="49" spans="1:17" x14ac:dyDescent="0.25">
      <c r="A49" t="s">
        <v>10</v>
      </c>
      <c r="B49" s="18">
        <v>946</v>
      </c>
      <c r="C49">
        <v>151</v>
      </c>
      <c r="D49">
        <v>793</v>
      </c>
      <c r="E49" s="12">
        <v>2</v>
      </c>
      <c r="F49" s="18">
        <v>877</v>
      </c>
      <c r="G49">
        <v>122</v>
      </c>
      <c r="H49">
        <v>755</v>
      </c>
      <c r="I49" s="12"/>
      <c r="J49" s="18">
        <v>1152</v>
      </c>
      <c r="K49">
        <v>134</v>
      </c>
      <c r="L49">
        <v>1017</v>
      </c>
      <c r="M49" s="12">
        <v>1</v>
      </c>
      <c r="N49" s="18">
        <v>1206</v>
      </c>
      <c r="O49">
        <v>136</v>
      </c>
      <c r="P49">
        <v>1068</v>
      </c>
      <c r="Q49" s="12">
        <v>2</v>
      </c>
    </row>
    <row r="50" spans="1:17" x14ac:dyDescent="0.25">
      <c r="A50" t="s">
        <v>11</v>
      </c>
      <c r="B50" s="18">
        <v>171</v>
      </c>
      <c r="C50">
        <v>35</v>
      </c>
      <c r="D50">
        <v>109</v>
      </c>
      <c r="E50" s="12">
        <v>27</v>
      </c>
      <c r="F50" s="18">
        <v>193</v>
      </c>
      <c r="G50">
        <v>36</v>
      </c>
      <c r="H50">
        <v>124</v>
      </c>
      <c r="I50" s="12">
        <v>33</v>
      </c>
      <c r="J50" s="18">
        <v>184</v>
      </c>
      <c r="K50">
        <v>36</v>
      </c>
      <c r="L50">
        <v>108</v>
      </c>
      <c r="M50" s="12">
        <v>40</v>
      </c>
      <c r="N50" s="18">
        <v>188</v>
      </c>
      <c r="O50">
        <v>36</v>
      </c>
      <c r="P50">
        <v>119</v>
      </c>
      <c r="Q50" s="12">
        <v>33</v>
      </c>
    </row>
    <row r="51" spans="1:17" x14ac:dyDescent="0.25">
      <c r="A51" t="s">
        <v>12</v>
      </c>
      <c r="B51" s="18">
        <v>549</v>
      </c>
      <c r="C51">
        <v>80</v>
      </c>
      <c r="D51">
        <v>433</v>
      </c>
      <c r="E51" s="12">
        <v>36</v>
      </c>
      <c r="F51" s="18">
        <v>670</v>
      </c>
      <c r="G51">
        <v>101</v>
      </c>
      <c r="H51">
        <v>529</v>
      </c>
      <c r="I51" s="12">
        <v>40</v>
      </c>
      <c r="J51" s="18">
        <v>766</v>
      </c>
      <c r="K51">
        <v>105</v>
      </c>
      <c r="L51">
        <v>602</v>
      </c>
      <c r="M51" s="12">
        <v>59</v>
      </c>
      <c r="N51" s="18">
        <v>680</v>
      </c>
      <c r="O51">
        <v>96</v>
      </c>
      <c r="P51">
        <v>541</v>
      </c>
      <c r="Q51" s="12">
        <v>43</v>
      </c>
    </row>
    <row r="52" spans="1:17" x14ac:dyDescent="0.25">
      <c r="A52" t="s">
        <v>13</v>
      </c>
      <c r="B52" s="18">
        <v>1263</v>
      </c>
      <c r="C52">
        <v>90</v>
      </c>
      <c r="D52">
        <v>989</v>
      </c>
      <c r="E52" s="12">
        <v>184</v>
      </c>
      <c r="F52" s="18">
        <v>1128</v>
      </c>
      <c r="G52">
        <v>102</v>
      </c>
      <c r="H52">
        <v>852</v>
      </c>
      <c r="I52" s="12">
        <v>174</v>
      </c>
      <c r="J52" s="18">
        <v>1487</v>
      </c>
      <c r="K52">
        <v>133</v>
      </c>
      <c r="L52">
        <v>1146</v>
      </c>
      <c r="M52" s="12">
        <v>208</v>
      </c>
      <c r="N52" s="18">
        <v>1457</v>
      </c>
      <c r="O52">
        <v>96</v>
      </c>
      <c r="P52">
        <v>1232</v>
      </c>
      <c r="Q52" s="12">
        <v>129</v>
      </c>
    </row>
    <row r="53" spans="1:17" x14ac:dyDescent="0.25">
      <c r="A53" t="s">
        <v>14</v>
      </c>
      <c r="B53" s="18">
        <v>3288</v>
      </c>
      <c r="C53">
        <v>330</v>
      </c>
      <c r="D53">
        <v>2586</v>
      </c>
      <c r="E53" s="12">
        <v>372</v>
      </c>
      <c r="F53" s="18">
        <v>3416</v>
      </c>
      <c r="G53">
        <v>382</v>
      </c>
      <c r="H53">
        <v>2641</v>
      </c>
      <c r="I53" s="12">
        <v>393</v>
      </c>
      <c r="J53" s="18">
        <v>4255</v>
      </c>
      <c r="K53">
        <v>424</v>
      </c>
      <c r="L53">
        <v>2786</v>
      </c>
      <c r="M53" s="12">
        <v>1045</v>
      </c>
      <c r="N53" s="18">
        <v>4272</v>
      </c>
      <c r="O53">
        <v>435</v>
      </c>
      <c r="P53">
        <v>3375</v>
      </c>
      <c r="Q53" s="12">
        <v>462</v>
      </c>
    </row>
    <row r="54" spans="1:17" x14ac:dyDescent="0.25">
      <c r="A54" t="s">
        <v>70</v>
      </c>
      <c r="B54" s="18">
        <v>433</v>
      </c>
      <c r="C54">
        <v>86</v>
      </c>
      <c r="D54">
        <v>302</v>
      </c>
      <c r="E54" s="12">
        <v>45</v>
      </c>
      <c r="F54" s="18">
        <v>429</v>
      </c>
      <c r="G54">
        <v>119</v>
      </c>
      <c r="H54">
        <v>248</v>
      </c>
      <c r="I54" s="12">
        <v>62</v>
      </c>
      <c r="J54" s="18">
        <v>437</v>
      </c>
      <c r="K54">
        <v>81</v>
      </c>
      <c r="L54">
        <v>297</v>
      </c>
      <c r="M54" s="12">
        <v>59</v>
      </c>
      <c r="N54" s="18">
        <v>466</v>
      </c>
      <c r="O54">
        <v>99</v>
      </c>
      <c r="P54">
        <v>291</v>
      </c>
      <c r="Q54" s="12">
        <v>76</v>
      </c>
    </row>
    <row r="55" spans="1:17" x14ac:dyDescent="0.25">
      <c r="A55" t="s">
        <v>16</v>
      </c>
      <c r="B55" s="18">
        <v>368</v>
      </c>
      <c r="C55">
        <v>77</v>
      </c>
      <c r="D55">
        <v>217</v>
      </c>
      <c r="E55" s="12">
        <v>74</v>
      </c>
      <c r="F55" s="18">
        <v>308</v>
      </c>
      <c r="G55">
        <v>43</v>
      </c>
      <c r="H55">
        <v>198</v>
      </c>
      <c r="I55" s="12">
        <v>67</v>
      </c>
      <c r="J55" s="18">
        <v>388</v>
      </c>
      <c r="K55">
        <v>112</v>
      </c>
      <c r="L55">
        <v>199</v>
      </c>
      <c r="M55" s="12">
        <v>77</v>
      </c>
      <c r="N55" s="18">
        <v>456</v>
      </c>
      <c r="O55">
        <v>98</v>
      </c>
      <c r="P55">
        <v>266</v>
      </c>
      <c r="Q55" s="12">
        <v>92</v>
      </c>
    </row>
    <row r="56" spans="1:17" x14ac:dyDescent="0.25">
      <c r="A56" t="s">
        <v>17</v>
      </c>
      <c r="B56" s="18">
        <v>160</v>
      </c>
      <c r="C56">
        <v>34</v>
      </c>
      <c r="D56">
        <v>103</v>
      </c>
      <c r="E56" s="12">
        <v>23</v>
      </c>
      <c r="F56" s="18">
        <v>137</v>
      </c>
      <c r="G56">
        <v>29</v>
      </c>
      <c r="H56">
        <v>83</v>
      </c>
      <c r="I56" s="12">
        <v>25</v>
      </c>
      <c r="J56" s="18">
        <v>133</v>
      </c>
      <c r="K56">
        <v>28</v>
      </c>
      <c r="L56">
        <v>83</v>
      </c>
      <c r="M56" s="12">
        <v>22</v>
      </c>
      <c r="N56" s="18">
        <v>145</v>
      </c>
      <c r="O56">
        <v>34</v>
      </c>
      <c r="P56">
        <v>78</v>
      </c>
      <c r="Q56" s="12">
        <v>33</v>
      </c>
    </row>
    <row r="57" spans="1:17" x14ac:dyDescent="0.25">
      <c r="A57" t="s">
        <v>18</v>
      </c>
      <c r="B57" s="18">
        <v>1089</v>
      </c>
      <c r="C57">
        <v>60</v>
      </c>
      <c r="D57">
        <v>913</v>
      </c>
      <c r="E57" s="12">
        <v>116</v>
      </c>
      <c r="F57" s="18">
        <v>1069</v>
      </c>
      <c r="G57">
        <v>47</v>
      </c>
      <c r="H57">
        <v>915</v>
      </c>
      <c r="I57" s="12">
        <v>107</v>
      </c>
      <c r="J57" s="18">
        <v>1411</v>
      </c>
      <c r="K57">
        <v>55</v>
      </c>
      <c r="L57">
        <v>1216</v>
      </c>
      <c r="M57" s="12">
        <v>140</v>
      </c>
      <c r="N57" s="18">
        <v>1390</v>
      </c>
      <c r="O57">
        <v>64</v>
      </c>
      <c r="P57">
        <v>1204</v>
      </c>
      <c r="Q57" s="12">
        <v>122</v>
      </c>
    </row>
    <row r="58" spans="1:17" x14ac:dyDescent="0.25">
      <c r="A58" t="s">
        <v>19</v>
      </c>
      <c r="B58" s="18">
        <v>440</v>
      </c>
      <c r="C58">
        <v>74</v>
      </c>
      <c r="D58">
        <v>317</v>
      </c>
      <c r="E58" s="12">
        <v>49</v>
      </c>
      <c r="F58" s="18">
        <v>462</v>
      </c>
      <c r="G58">
        <v>59</v>
      </c>
      <c r="H58">
        <v>331</v>
      </c>
      <c r="I58" s="12">
        <v>72</v>
      </c>
      <c r="J58" s="18">
        <v>596</v>
      </c>
      <c r="K58">
        <v>87</v>
      </c>
      <c r="L58">
        <v>417</v>
      </c>
      <c r="M58" s="12">
        <v>92</v>
      </c>
      <c r="N58" s="18">
        <v>659</v>
      </c>
      <c r="O58">
        <v>98</v>
      </c>
      <c r="P58">
        <v>462</v>
      </c>
      <c r="Q58" s="12">
        <v>99</v>
      </c>
    </row>
    <row r="59" spans="1:17" x14ac:dyDescent="0.25">
      <c r="A59" t="s">
        <v>20</v>
      </c>
      <c r="B59" s="18">
        <v>741</v>
      </c>
      <c r="C59">
        <v>94</v>
      </c>
      <c r="D59">
        <v>582</v>
      </c>
      <c r="E59" s="12">
        <v>65</v>
      </c>
      <c r="F59" s="18">
        <v>893</v>
      </c>
      <c r="G59">
        <v>141</v>
      </c>
      <c r="H59">
        <v>673</v>
      </c>
      <c r="I59" s="12">
        <v>79</v>
      </c>
      <c r="J59" s="18">
        <v>855</v>
      </c>
      <c r="K59">
        <v>146</v>
      </c>
      <c r="L59">
        <v>641</v>
      </c>
      <c r="M59" s="12">
        <v>68</v>
      </c>
      <c r="N59" s="18">
        <v>942</v>
      </c>
      <c r="O59">
        <v>144</v>
      </c>
      <c r="P59">
        <v>789</v>
      </c>
      <c r="Q59" s="12">
        <v>9</v>
      </c>
    </row>
    <row r="60" spans="1:17" x14ac:dyDescent="0.25">
      <c r="A60" t="s">
        <v>21</v>
      </c>
      <c r="B60" s="18">
        <v>699</v>
      </c>
      <c r="C60">
        <v>109</v>
      </c>
      <c r="D60">
        <v>401</v>
      </c>
      <c r="E60" s="12">
        <v>189</v>
      </c>
      <c r="F60" s="18">
        <v>627</v>
      </c>
      <c r="G60">
        <v>117</v>
      </c>
      <c r="H60">
        <v>351</v>
      </c>
      <c r="I60" s="12">
        <v>159</v>
      </c>
      <c r="J60" s="18">
        <v>740</v>
      </c>
      <c r="K60">
        <v>112</v>
      </c>
      <c r="L60">
        <v>431</v>
      </c>
      <c r="M60" s="12">
        <v>197</v>
      </c>
      <c r="N60" s="18">
        <v>751</v>
      </c>
      <c r="O60">
        <v>111</v>
      </c>
      <c r="P60">
        <v>411</v>
      </c>
      <c r="Q60" s="12">
        <v>229</v>
      </c>
    </row>
    <row r="61" spans="1:17" x14ac:dyDescent="0.25">
      <c r="A61" t="s">
        <v>22</v>
      </c>
      <c r="B61" s="18">
        <v>490</v>
      </c>
      <c r="C61">
        <v>88</v>
      </c>
      <c r="D61">
        <v>331</v>
      </c>
      <c r="E61" s="12">
        <v>71</v>
      </c>
      <c r="F61" s="18">
        <v>479</v>
      </c>
      <c r="G61">
        <v>87</v>
      </c>
      <c r="H61">
        <v>355</v>
      </c>
      <c r="I61" s="12">
        <v>37</v>
      </c>
      <c r="J61" s="18">
        <v>585</v>
      </c>
      <c r="K61">
        <v>133</v>
      </c>
      <c r="L61">
        <v>392</v>
      </c>
      <c r="M61" s="12">
        <v>60</v>
      </c>
      <c r="N61" s="18">
        <v>675</v>
      </c>
      <c r="O61">
        <v>149</v>
      </c>
      <c r="P61">
        <v>457</v>
      </c>
      <c r="Q61" s="12">
        <v>69</v>
      </c>
    </row>
    <row r="62" spans="1:17" x14ac:dyDescent="0.25">
      <c r="A62" t="s">
        <v>23</v>
      </c>
      <c r="B62" s="18">
        <v>79</v>
      </c>
      <c r="C62">
        <v>25</v>
      </c>
      <c r="D62">
        <v>39</v>
      </c>
      <c r="E62" s="12">
        <v>15</v>
      </c>
      <c r="F62" s="18">
        <v>72</v>
      </c>
      <c r="G62">
        <v>21</v>
      </c>
      <c r="H62">
        <v>42</v>
      </c>
      <c r="I62" s="12">
        <v>9</v>
      </c>
      <c r="J62" s="18">
        <v>67</v>
      </c>
      <c r="K62">
        <v>29</v>
      </c>
      <c r="L62">
        <v>33</v>
      </c>
      <c r="M62" s="12">
        <v>5</v>
      </c>
      <c r="N62" s="18">
        <v>50</v>
      </c>
      <c r="O62">
        <v>24</v>
      </c>
      <c r="P62">
        <v>16</v>
      </c>
      <c r="Q62" s="12">
        <v>10</v>
      </c>
    </row>
    <row r="63" spans="1:17" x14ac:dyDescent="0.25">
      <c r="A63" t="s">
        <v>24</v>
      </c>
      <c r="B63" s="18">
        <v>183</v>
      </c>
      <c r="C63">
        <v>37</v>
      </c>
      <c r="D63">
        <v>103</v>
      </c>
      <c r="E63" s="12">
        <v>43</v>
      </c>
      <c r="F63" s="18">
        <v>199</v>
      </c>
      <c r="G63">
        <v>42</v>
      </c>
      <c r="H63">
        <v>156</v>
      </c>
      <c r="I63" s="12">
        <v>1</v>
      </c>
      <c r="J63" s="18">
        <v>237</v>
      </c>
      <c r="K63">
        <v>40</v>
      </c>
      <c r="L63">
        <v>196</v>
      </c>
      <c r="M63" s="12">
        <v>1</v>
      </c>
      <c r="N63" s="18">
        <v>310</v>
      </c>
      <c r="O63">
        <v>41</v>
      </c>
      <c r="P63">
        <v>269</v>
      </c>
      <c r="Q63" s="12"/>
    </row>
    <row r="64" spans="1:17" x14ac:dyDescent="0.25">
      <c r="A64" t="s">
        <v>25</v>
      </c>
      <c r="B64" s="18">
        <v>752</v>
      </c>
      <c r="C64">
        <v>110</v>
      </c>
      <c r="D64">
        <v>642</v>
      </c>
      <c r="E64" s="12"/>
      <c r="F64" s="18">
        <v>734</v>
      </c>
      <c r="G64">
        <v>124</v>
      </c>
      <c r="H64">
        <v>610</v>
      </c>
      <c r="I64" s="12"/>
      <c r="J64" s="18">
        <v>624</v>
      </c>
      <c r="K64">
        <v>132</v>
      </c>
      <c r="L64">
        <v>492</v>
      </c>
      <c r="M64" s="12"/>
      <c r="N64" s="18">
        <v>516</v>
      </c>
      <c r="O64">
        <v>99</v>
      </c>
      <c r="P64">
        <v>417</v>
      </c>
      <c r="Q64" s="12"/>
    </row>
    <row r="65" spans="1:17" x14ac:dyDescent="0.25">
      <c r="A65" t="s">
        <v>26</v>
      </c>
      <c r="B65" s="18">
        <v>282</v>
      </c>
      <c r="C65">
        <v>58</v>
      </c>
      <c r="D65">
        <v>167</v>
      </c>
      <c r="E65" s="12">
        <v>57</v>
      </c>
      <c r="F65" s="18">
        <v>261</v>
      </c>
      <c r="G65">
        <v>59</v>
      </c>
      <c r="H65">
        <v>140</v>
      </c>
      <c r="I65" s="12">
        <v>62</v>
      </c>
      <c r="J65" s="18">
        <v>363</v>
      </c>
      <c r="K65">
        <v>93</v>
      </c>
      <c r="L65">
        <v>215</v>
      </c>
      <c r="M65" s="12">
        <v>55</v>
      </c>
      <c r="N65" s="18">
        <v>424</v>
      </c>
      <c r="O65">
        <v>95</v>
      </c>
      <c r="P65">
        <v>259</v>
      </c>
      <c r="Q65" s="12">
        <v>70</v>
      </c>
    </row>
    <row r="66" spans="1:17" x14ac:dyDescent="0.25">
      <c r="A66" t="s">
        <v>27</v>
      </c>
      <c r="B66" s="18">
        <v>161</v>
      </c>
      <c r="C66">
        <v>17</v>
      </c>
      <c r="D66">
        <v>64</v>
      </c>
      <c r="E66" s="12">
        <v>80</v>
      </c>
      <c r="F66" s="18">
        <v>162</v>
      </c>
      <c r="G66">
        <v>15</v>
      </c>
      <c r="H66">
        <v>51</v>
      </c>
      <c r="I66" s="12">
        <v>96</v>
      </c>
      <c r="J66" s="18">
        <v>215</v>
      </c>
      <c r="K66">
        <v>23</v>
      </c>
      <c r="L66">
        <v>66</v>
      </c>
      <c r="M66" s="12">
        <v>126</v>
      </c>
      <c r="N66" s="18">
        <v>187</v>
      </c>
      <c r="O66">
        <v>17</v>
      </c>
      <c r="P66">
        <v>64</v>
      </c>
      <c r="Q66" s="12">
        <v>106</v>
      </c>
    </row>
    <row r="67" spans="1:17" x14ac:dyDescent="0.25">
      <c r="A67" t="s">
        <v>28</v>
      </c>
      <c r="B67" s="18">
        <v>326</v>
      </c>
      <c r="C67">
        <v>42</v>
      </c>
      <c r="D67">
        <v>236</v>
      </c>
      <c r="E67" s="12">
        <v>48</v>
      </c>
      <c r="F67" s="18">
        <v>297</v>
      </c>
      <c r="G67">
        <v>43</v>
      </c>
      <c r="H67">
        <v>216</v>
      </c>
      <c r="I67" s="12">
        <v>38</v>
      </c>
      <c r="J67" s="18">
        <v>366</v>
      </c>
      <c r="K67">
        <v>43</v>
      </c>
      <c r="L67">
        <v>269</v>
      </c>
      <c r="M67" s="12">
        <v>54</v>
      </c>
      <c r="N67" s="18">
        <v>346</v>
      </c>
      <c r="O67">
        <v>55</v>
      </c>
      <c r="P67">
        <v>252</v>
      </c>
      <c r="Q67" s="12">
        <v>39</v>
      </c>
    </row>
    <row r="68" spans="1:17" x14ac:dyDescent="0.25">
      <c r="A68" t="s">
        <v>71</v>
      </c>
      <c r="B68" s="18">
        <v>1059</v>
      </c>
      <c r="C68">
        <v>93</v>
      </c>
      <c r="D68">
        <v>828</v>
      </c>
      <c r="E68" s="12">
        <v>138</v>
      </c>
      <c r="F68" s="18">
        <v>969</v>
      </c>
      <c r="G68">
        <v>85</v>
      </c>
      <c r="H68">
        <v>762</v>
      </c>
      <c r="I68" s="12">
        <v>122</v>
      </c>
      <c r="J68" s="18">
        <v>1049</v>
      </c>
      <c r="K68">
        <v>74</v>
      </c>
      <c r="L68">
        <v>866</v>
      </c>
      <c r="M68" s="12">
        <v>109</v>
      </c>
      <c r="N68" s="18">
        <v>1021</v>
      </c>
      <c r="O68">
        <v>84</v>
      </c>
      <c r="P68">
        <v>792</v>
      </c>
      <c r="Q68" s="12">
        <v>145</v>
      </c>
    </row>
    <row r="69" spans="1:17" x14ac:dyDescent="0.25">
      <c r="A69" t="s">
        <v>30</v>
      </c>
      <c r="B69" s="18">
        <v>69</v>
      </c>
      <c r="C69">
        <v>10</v>
      </c>
      <c r="D69">
        <v>48</v>
      </c>
      <c r="E69" s="12">
        <v>11</v>
      </c>
      <c r="F69" s="18">
        <v>57</v>
      </c>
      <c r="G69">
        <v>9</v>
      </c>
      <c r="H69">
        <v>38</v>
      </c>
      <c r="I69" s="12">
        <v>10</v>
      </c>
      <c r="J69" s="18">
        <v>62</v>
      </c>
      <c r="K69">
        <v>16</v>
      </c>
      <c r="L69">
        <v>33</v>
      </c>
      <c r="M69" s="12">
        <v>13</v>
      </c>
      <c r="N69" s="18">
        <v>53</v>
      </c>
      <c r="O69">
        <v>17</v>
      </c>
      <c r="P69">
        <v>31</v>
      </c>
      <c r="Q69" s="12">
        <v>5</v>
      </c>
    </row>
    <row r="70" spans="1:17" x14ac:dyDescent="0.25">
      <c r="A70" t="s">
        <v>31</v>
      </c>
      <c r="B70" s="18">
        <v>78</v>
      </c>
      <c r="C70">
        <v>16</v>
      </c>
      <c r="D70">
        <v>1</v>
      </c>
      <c r="E70" s="12">
        <v>61</v>
      </c>
      <c r="F70" s="18">
        <v>70</v>
      </c>
      <c r="G70">
        <v>13</v>
      </c>
      <c r="H70">
        <v>10</v>
      </c>
      <c r="I70" s="12">
        <v>47</v>
      </c>
      <c r="J70" s="18">
        <v>67</v>
      </c>
      <c r="K70">
        <v>14</v>
      </c>
      <c r="L70">
        <v>1</v>
      </c>
      <c r="M70" s="12">
        <v>52</v>
      </c>
      <c r="N70" s="18">
        <v>44</v>
      </c>
      <c r="O70">
        <v>11</v>
      </c>
      <c r="P70">
        <v>1</v>
      </c>
      <c r="Q70" s="12">
        <v>32</v>
      </c>
    </row>
    <row r="71" spans="1:17" ht="15.75" thickBot="1" x14ac:dyDescent="0.3">
      <c r="A71" t="s">
        <v>72</v>
      </c>
      <c r="B71" s="19">
        <v>18357</v>
      </c>
      <c r="C71" s="13">
        <v>2202</v>
      </c>
      <c r="D71" s="13">
        <v>14264</v>
      </c>
      <c r="E71" s="14">
        <v>1891</v>
      </c>
      <c r="F71" s="19">
        <v>17624</v>
      </c>
      <c r="G71" s="13">
        <v>2242</v>
      </c>
      <c r="H71" s="13">
        <v>13582</v>
      </c>
      <c r="I71" s="14">
        <v>1800</v>
      </c>
      <c r="J71" s="19">
        <v>21003</v>
      </c>
      <c r="K71" s="13">
        <v>2534</v>
      </c>
      <c r="L71" s="13">
        <v>15717</v>
      </c>
      <c r="M71" s="14">
        <v>2752</v>
      </c>
      <c r="N71" s="19">
        <v>21284</v>
      </c>
      <c r="O71" s="13">
        <v>2552</v>
      </c>
      <c r="P71" s="13">
        <v>16642</v>
      </c>
      <c r="Q71" s="14">
        <v>2090</v>
      </c>
    </row>
    <row r="72" spans="1:17" x14ac:dyDescent="0.25">
      <c r="A72"/>
      <c r="B72"/>
      <c r="C72"/>
      <c r="D72"/>
      <c r="E72"/>
      <c r="F72"/>
    </row>
    <row r="73" spans="1:17" x14ac:dyDescent="0.25">
      <c r="A73"/>
      <c r="B73"/>
      <c r="C73"/>
      <c r="D73"/>
      <c r="E73"/>
      <c r="F73"/>
    </row>
    <row r="74" spans="1:17" x14ac:dyDescent="0.25">
      <c r="A74"/>
      <c r="B74"/>
      <c r="C74"/>
      <c r="D74"/>
      <c r="E74"/>
      <c r="F74"/>
    </row>
    <row r="75" spans="1:17" x14ac:dyDescent="0.25">
      <c r="A75"/>
      <c r="B75"/>
      <c r="C75"/>
      <c r="D75"/>
      <c r="E75"/>
      <c r="F75"/>
    </row>
    <row r="76" spans="1:17" ht="15.75" thickBot="1" x14ac:dyDescent="0.3">
      <c r="A76"/>
      <c r="B76"/>
      <c r="C76"/>
      <c r="D76"/>
      <c r="E76"/>
      <c r="F76"/>
    </row>
    <row r="77" spans="1:17" ht="18.75" x14ac:dyDescent="0.3">
      <c r="A77" s="16" t="s">
        <v>73</v>
      </c>
      <c r="B77" s="98">
        <v>46023</v>
      </c>
      <c r="C77" s="99"/>
      <c r="D77" s="99"/>
      <c r="E77" s="100"/>
      <c r="F77" s="101">
        <v>46054</v>
      </c>
      <c r="G77" s="102"/>
      <c r="H77" s="102"/>
      <c r="I77" s="103"/>
      <c r="J77" s="101">
        <v>46082</v>
      </c>
      <c r="K77" s="104"/>
      <c r="L77" s="104"/>
      <c r="M77" s="105"/>
      <c r="N77" s="101">
        <v>46113</v>
      </c>
      <c r="O77" s="104"/>
      <c r="P77" s="104"/>
      <c r="Q77" s="105"/>
    </row>
    <row r="78" spans="1:17" ht="82.5" customHeight="1" x14ac:dyDescent="0.25">
      <c r="A78" s="3" t="s">
        <v>0</v>
      </c>
      <c r="B78" s="17" t="s">
        <v>37</v>
      </c>
      <c r="C78" s="10" t="s">
        <v>38</v>
      </c>
      <c r="D78" s="10" t="s">
        <v>39</v>
      </c>
      <c r="E78" s="11" t="s">
        <v>40</v>
      </c>
      <c r="F78" s="17" t="s">
        <v>37</v>
      </c>
      <c r="G78" s="10" t="s">
        <v>38</v>
      </c>
      <c r="H78" s="10" t="s">
        <v>39</v>
      </c>
      <c r="I78" s="11" t="s">
        <v>40</v>
      </c>
      <c r="J78" s="17" t="s">
        <v>37</v>
      </c>
      <c r="K78" s="10" t="s">
        <v>38</v>
      </c>
      <c r="L78" s="10" t="s">
        <v>39</v>
      </c>
      <c r="M78" s="11" t="s">
        <v>40</v>
      </c>
      <c r="N78" s="17" t="s">
        <v>37</v>
      </c>
      <c r="O78" s="10" t="s">
        <v>38</v>
      </c>
      <c r="P78" s="10" t="s">
        <v>39</v>
      </c>
      <c r="Q78" s="11" t="s">
        <v>40</v>
      </c>
    </row>
    <row r="79" spans="1:17" x14ac:dyDescent="0.25">
      <c r="A79" t="s">
        <v>1</v>
      </c>
      <c r="B79" s="18">
        <v>22</v>
      </c>
      <c r="C79">
        <v>2</v>
      </c>
      <c r="D79">
        <v>18</v>
      </c>
      <c r="E79" s="12">
        <v>2</v>
      </c>
      <c r="F79" s="18">
        <v>8</v>
      </c>
      <c r="G79">
        <v>1</v>
      </c>
      <c r="H79">
        <v>6</v>
      </c>
      <c r="I79" s="12">
        <v>1</v>
      </c>
      <c r="J79" s="18">
        <v>4</v>
      </c>
      <c r="L79">
        <v>4</v>
      </c>
      <c r="M79" s="12"/>
      <c r="N79" s="18">
        <v>2</v>
      </c>
      <c r="P79">
        <v>2</v>
      </c>
      <c r="Q79" s="12"/>
    </row>
    <row r="80" spans="1:17" x14ac:dyDescent="0.25">
      <c r="A80" t="s">
        <v>2</v>
      </c>
      <c r="B80" s="18">
        <v>66</v>
      </c>
      <c r="C80">
        <v>15</v>
      </c>
      <c r="D80">
        <v>41</v>
      </c>
      <c r="E80" s="12">
        <v>10</v>
      </c>
      <c r="F80" s="18">
        <v>26</v>
      </c>
      <c r="G80">
        <v>4</v>
      </c>
      <c r="H80">
        <v>21</v>
      </c>
      <c r="I80" s="12">
        <v>1</v>
      </c>
      <c r="J80" s="18">
        <v>19</v>
      </c>
      <c r="K80">
        <v>3</v>
      </c>
      <c r="L80">
        <v>16</v>
      </c>
      <c r="M80" s="12"/>
      <c r="N80" s="18">
        <v>14</v>
      </c>
      <c r="O80">
        <v>4</v>
      </c>
      <c r="P80">
        <v>8</v>
      </c>
      <c r="Q80" s="12">
        <v>2</v>
      </c>
    </row>
    <row r="81" spans="1:17" x14ac:dyDescent="0.25">
      <c r="A81" t="s">
        <v>3</v>
      </c>
      <c r="B81" s="18">
        <v>20</v>
      </c>
      <c r="C81">
        <v>3</v>
      </c>
      <c r="D81">
        <v>15</v>
      </c>
      <c r="E81" s="12">
        <v>2</v>
      </c>
      <c r="F81" s="18">
        <v>7</v>
      </c>
      <c r="H81">
        <v>6</v>
      </c>
      <c r="I81" s="12">
        <v>1</v>
      </c>
      <c r="J81" s="18">
        <v>4</v>
      </c>
      <c r="K81">
        <v>2</v>
      </c>
      <c r="L81">
        <v>2</v>
      </c>
      <c r="M81" s="12"/>
      <c r="N81" s="18">
        <v>4</v>
      </c>
      <c r="O81">
        <v>2</v>
      </c>
      <c r="P81">
        <v>2</v>
      </c>
      <c r="Q81" s="12"/>
    </row>
    <row r="82" spans="1:17" x14ac:dyDescent="0.25">
      <c r="A82" t="s">
        <v>4</v>
      </c>
      <c r="B82" s="18">
        <v>13</v>
      </c>
      <c r="C82">
        <v>4</v>
      </c>
      <c r="D82">
        <v>8</v>
      </c>
      <c r="E82" s="12">
        <v>1</v>
      </c>
      <c r="F82" s="18">
        <v>8</v>
      </c>
      <c r="H82">
        <v>6</v>
      </c>
      <c r="I82" s="12">
        <v>2</v>
      </c>
      <c r="J82" s="18"/>
      <c r="M82" s="12"/>
      <c r="N82" s="18">
        <v>3</v>
      </c>
      <c r="O82">
        <v>1</v>
      </c>
      <c r="P82">
        <v>2</v>
      </c>
      <c r="Q82" s="12"/>
    </row>
    <row r="83" spans="1:17" x14ac:dyDescent="0.25">
      <c r="A83" t="s">
        <v>69</v>
      </c>
      <c r="B83" s="18">
        <v>38</v>
      </c>
      <c r="C83">
        <v>10</v>
      </c>
      <c r="D83">
        <v>26</v>
      </c>
      <c r="E83" s="12">
        <v>2</v>
      </c>
      <c r="F83" s="18">
        <v>19</v>
      </c>
      <c r="G83">
        <v>3</v>
      </c>
      <c r="H83">
        <v>14</v>
      </c>
      <c r="I83" s="12">
        <v>2</v>
      </c>
      <c r="J83" s="18">
        <v>13</v>
      </c>
      <c r="K83">
        <v>1</v>
      </c>
      <c r="L83">
        <v>11</v>
      </c>
      <c r="M83" s="12">
        <v>1</v>
      </c>
      <c r="N83" s="18">
        <v>11</v>
      </c>
      <c r="O83">
        <v>3</v>
      </c>
      <c r="P83">
        <v>6</v>
      </c>
      <c r="Q83" s="12">
        <v>2</v>
      </c>
    </row>
    <row r="84" spans="1:17" x14ac:dyDescent="0.25">
      <c r="A84" t="s">
        <v>8</v>
      </c>
      <c r="B84" s="18">
        <v>16</v>
      </c>
      <c r="C84">
        <v>3</v>
      </c>
      <c r="D84">
        <v>11</v>
      </c>
      <c r="E84" s="12">
        <v>2</v>
      </c>
      <c r="F84" s="18"/>
      <c r="I84" s="12"/>
      <c r="J84" s="18">
        <v>3</v>
      </c>
      <c r="K84">
        <v>1</v>
      </c>
      <c r="L84">
        <v>2</v>
      </c>
      <c r="M84" s="12"/>
      <c r="N84" s="18">
        <v>5</v>
      </c>
      <c r="P84">
        <v>5</v>
      </c>
      <c r="Q84" s="12"/>
    </row>
    <row r="85" spans="1:17" x14ac:dyDescent="0.25">
      <c r="A85" t="s">
        <v>5</v>
      </c>
      <c r="B85" s="18">
        <v>39</v>
      </c>
      <c r="C85">
        <v>9</v>
      </c>
      <c r="D85">
        <v>21</v>
      </c>
      <c r="E85" s="12">
        <v>9</v>
      </c>
      <c r="F85" s="18">
        <v>22</v>
      </c>
      <c r="G85">
        <v>4</v>
      </c>
      <c r="H85">
        <v>15</v>
      </c>
      <c r="I85" s="12">
        <v>3</v>
      </c>
      <c r="J85" s="18">
        <v>17</v>
      </c>
      <c r="K85">
        <v>2</v>
      </c>
      <c r="L85">
        <v>13</v>
      </c>
      <c r="M85" s="12">
        <v>2</v>
      </c>
      <c r="N85" s="18">
        <v>15</v>
      </c>
      <c r="O85">
        <v>2</v>
      </c>
      <c r="P85">
        <v>12</v>
      </c>
      <c r="Q85" s="12">
        <v>1</v>
      </c>
    </row>
    <row r="86" spans="1:17" x14ac:dyDescent="0.25">
      <c r="A86" t="s">
        <v>6</v>
      </c>
      <c r="B86" s="18">
        <v>33</v>
      </c>
      <c r="C86">
        <v>8</v>
      </c>
      <c r="D86">
        <v>22</v>
      </c>
      <c r="E86" s="12">
        <v>3</v>
      </c>
      <c r="F86" s="18">
        <v>14</v>
      </c>
      <c r="G86">
        <v>1</v>
      </c>
      <c r="H86">
        <v>12</v>
      </c>
      <c r="I86" s="12">
        <v>1</v>
      </c>
      <c r="J86" s="18">
        <v>7</v>
      </c>
      <c r="K86">
        <v>1</v>
      </c>
      <c r="L86">
        <v>6</v>
      </c>
      <c r="M86" s="12"/>
      <c r="N86" s="18">
        <v>5</v>
      </c>
      <c r="O86">
        <v>1</v>
      </c>
      <c r="P86">
        <v>4</v>
      </c>
      <c r="Q86" s="12"/>
    </row>
    <row r="87" spans="1:17" x14ac:dyDescent="0.25">
      <c r="A87" t="s">
        <v>7</v>
      </c>
      <c r="B87" s="18">
        <v>423</v>
      </c>
      <c r="C87">
        <v>53</v>
      </c>
      <c r="D87">
        <v>332</v>
      </c>
      <c r="E87" s="12">
        <v>38</v>
      </c>
      <c r="F87" s="18">
        <v>184</v>
      </c>
      <c r="G87">
        <v>20</v>
      </c>
      <c r="H87">
        <v>135</v>
      </c>
      <c r="I87" s="12">
        <v>29</v>
      </c>
      <c r="J87" s="18">
        <v>105</v>
      </c>
      <c r="K87">
        <v>12</v>
      </c>
      <c r="L87">
        <v>79</v>
      </c>
      <c r="M87" s="12">
        <v>14</v>
      </c>
      <c r="N87" s="18">
        <v>90</v>
      </c>
      <c r="O87">
        <v>13</v>
      </c>
      <c r="P87">
        <v>70</v>
      </c>
      <c r="Q87" s="12">
        <v>7</v>
      </c>
    </row>
    <row r="88" spans="1:17" x14ac:dyDescent="0.25">
      <c r="A88" t="s">
        <v>9</v>
      </c>
      <c r="B88" s="18">
        <v>21</v>
      </c>
      <c r="C88">
        <v>8</v>
      </c>
      <c r="D88">
        <v>11</v>
      </c>
      <c r="E88" s="12">
        <v>2</v>
      </c>
      <c r="F88" s="18">
        <v>11</v>
      </c>
      <c r="G88">
        <v>2</v>
      </c>
      <c r="H88">
        <v>6</v>
      </c>
      <c r="I88" s="12">
        <v>3</v>
      </c>
      <c r="J88" s="18">
        <v>3</v>
      </c>
      <c r="L88">
        <v>3</v>
      </c>
      <c r="M88" s="12"/>
      <c r="N88" s="18">
        <v>5</v>
      </c>
      <c r="P88">
        <v>4</v>
      </c>
      <c r="Q88" s="12">
        <v>1</v>
      </c>
    </row>
    <row r="89" spans="1:17" x14ac:dyDescent="0.25">
      <c r="A89" t="s">
        <v>10</v>
      </c>
      <c r="B89" s="18">
        <v>75</v>
      </c>
      <c r="C89">
        <v>16</v>
      </c>
      <c r="D89">
        <v>51</v>
      </c>
      <c r="E89" s="12">
        <v>8</v>
      </c>
      <c r="F89" s="18">
        <v>50</v>
      </c>
      <c r="G89">
        <v>11</v>
      </c>
      <c r="H89">
        <v>36</v>
      </c>
      <c r="I89" s="12">
        <v>3</v>
      </c>
      <c r="J89" s="18">
        <v>31</v>
      </c>
      <c r="K89">
        <v>7</v>
      </c>
      <c r="L89">
        <v>21</v>
      </c>
      <c r="M89" s="12">
        <v>3</v>
      </c>
      <c r="N89" s="18">
        <v>29</v>
      </c>
      <c r="O89">
        <v>6</v>
      </c>
      <c r="P89">
        <v>19</v>
      </c>
      <c r="Q89" s="12">
        <v>4</v>
      </c>
    </row>
    <row r="90" spans="1:17" x14ac:dyDescent="0.25">
      <c r="A90" t="s">
        <v>11</v>
      </c>
      <c r="B90" s="18">
        <v>26</v>
      </c>
      <c r="C90">
        <v>9</v>
      </c>
      <c r="D90">
        <v>14</v>
      </c>
      <c r="E90" s="12">
        <v>3</v>
      </c>
      <c r="F90" s="18">
        <v>14</v>
      </c>
      <c r="G90">
        <v>4</v>
      </c>
      <c r="H90">
        <v>8</v>
      </c>
      <c r="I90" s="12">
        <v>2</v>
      </c>
      <c r="J90" s="18">
        <v>9</v>
      </c>
      <c r="K90">
        <v>2</v>
      </c>
      <c r="L90">
        <v>4</v>
      </c>
      <c r="M90" s="12">
        <v>3</v>
      </c>
      <c r="N90" s="18">
        <v>12</v>
      </c>
      <c r="O90">
        <v>2</v>
      </c>
      <c r="P90">
        <v>8</v>
      </c>
      <c r="Q90" s="12">
        <v>2</v>
      </c>
    </row>
    <row r="91" spans="1:17" x14ac:dyDescent="0.25">
      <c r="A91" t="s">
        <v>12</v>
      </c>
      <c r="B91" s="18">
        <v>46</v>
      </c>
      <c r="C91">
        <v>11</v>
      </c>
      <c r="D91">
        <v>31</v>
      </c>
      <c r="E91" s="12">
        <v>4</v>
      </c>
      <c r="F91" s="18">
        <v>20</v>
      </c>
      <c r="G91">
        <v>2</v>
      </c>
      <c r="H91">
        <v>17</v>
      </c>
      <c r="I91" s="12">
        <v>1</v>
      </c>
      <c r="J91" s="18">
        <v>17</v>
      </c>
      <c r="K91">
        <v>3</v>
      </c>
      <c r="L91">
        <v>10</v>
      </c>
      <c r="M91" s="12">
        <v>4</v>
      </c>
      <c r="N91" s="18">
        <v>10</v>
      </c>
      <c r="O91">
        <v>3</v>
      </c>
      <c r="P91">
        <v>6</v>
      </c>
      <c r="Q91" s="12">
        <v>1</v>
      </c>
    </row>
    <row r="92" spans="1:17" x14ac:dyDescent="0.25">
      <c r="A92" t="s">
        <v>13</v>
      </c>
      <c r="B92" s="18">
        <v>163</v>
      </c>
      <c r="C92">
        <v>31</v>
      </c>
      <c r="D92">
        <v>120</v>
      </c>
      <c r="E92" s="12">
        <v>12</v>
      </c>
      <c r="F92" s="18">
        <v>75</v>
      </c>
      <c r="G92">
        <v>12</v>
      </c>
      <c r="H92">
        <v>57</v>
      </c>
      <c r="I92" s="12">
        <v>6</v>
      </c>
      <c r="J92" s="18">
        <v>26</v>
      </c>
      <c r="K92">
        <v>6</v>
      </c>
      <c r="L92">
        <v>17</v>
      </c>
      <c r="M92" s="12">
        <v>3</v>
      </c>
      <c r="N92" s="18">
        <v>36</v>
      </c>
      <c r="O92">
        <v>6</v>
      </c>
      <c r="P92">
        <v>24</v>
      </c>
      <c r="Q92" s="12">
        <v>6</v>
      </c>
    </row>
    <row r="93" spans="1:17" x14ac:dyDescent="0.25">
      <c r="A93" t="s">
        <v>14</v>
      </c>
      <c r="B93" s="18">
        <v>377</v>
      </c>
      <c r="C93">
        <v>64</v>
      </c>
      <c r="D93">
        <v>270</v>
      </c>
      <c r="E93" s="12">
        <v>43</v>
      </c>
      <c r="F93" s="18">
        <v>210</v>
      </c>
      <c r="G93">
        <v>36</v>
      </c>
      <c r="H93">
        <v>152</v>
      </c>
      <c r="I93" s="12">
        <v>22</v>
      </c>
      <c r="J93" s="18">
        <v>116</v>
      </c>
      <c r="K93">
        <v>15</v>
      </c>
      <c r="L93">
        <v>84</v>
      </c>
      <c r="M93" s="12">
        <v>17</v>
      </c>
      <c r="N93" s="18">
        <v>73</v>
      </c>
      <c r="O93">
        <v>18</v>
      </c>
      <c r="P93">
        <v>45</v>
      </c>
      <c r="Q93" s="12">
        <v>10</v>
      </c>
    </row>
    <row r="94" spans="1:17" x14ac:dyDescent="0.25">
      <c r="A94" t="s">
        <v>70</v>
      </c>
      <c r="B94" s="18">
        <v>47</v>
      </c>
      <c r="C94">
        <v>6</v>
      </c>
      <c r="D94">
        <v>37</v>
      </c>
      <c r="E94" s="12">
        <v>4</v>
      </c>
      <c r="F94" s="18">
        <v>22</v>
      </c>
      <c r="G94">
        <v>3</v>
      </c>
      <c r="H94">
        <v>16</v>
      </c>
      <c r="I94" s="12">
        <v>3</v>
      </c>
      <c r="J94" s="18">
        <v>15</v>
      </c>
      <c r="K94">
        <v>3</v>
      </c>
      <c r="L94">
        <v>9</v>
      </c>
      <c r="M94" s="12">
        <v>3</v>
      </c>
      <c r="N94" s="18">
        <v>11</v>
      </c>
      <c r="O94">
        <v>2</v>
      </c>
      <c r="P94">
        <v>6</v>
      </c>
      <c r="Q94" s="12">
        <v>3</v>
      </c>
    </row>
    <row r="95" spans="1:17" x14ac:dyDescent="0.25">
      <c r="A95" t="s">
        <v>16</v>
      </c>
      <c r="B95" s="18">
        <v>49</v>
      </c>
      <c r="C95">
        <v>2</v>
      </c>
      <c r="D95">
        <v>44</v>
      </c>
      <c r="E95" s="12">
        <v>3</v>
      </c>
      <c r="F95" s="18">
        <v>34</v>
      </c>
      <c r="G95">
        <v>2</v>
      </c>
      <c r="H95">
        <v>28</v>
      </c>
      <c r="I95" s="12">
        <v>4</v>
      </c>
      <c r="J95" s="18">
        <v>19</v>
      </c>
      <c r="K95">
        <v>2</v>
      </c>
      <c r="L95">
        <v>14</v>
      </c>
      <c r="M95" s="12">
        <v>3</v>
      </c>
      <c r="N95" s="18">
        <v>23</v>
      </c>
      <c r="O95">
        <v>2</v>
      </c>
      <c r="P95">
        <v>19</v>
      </c>
      <c r="Q95" s="12">
        <v>2</v>
      </c>
    </row>
    <row r="96" spans="1:17" x14ac:dyDescent="0.25">
      <c r="A96" t="s">
        <v>17</v>
      </c>
      <c r="B96" s="18">
        <v>8</v>
      </c>
      <c r="C96">
        <v>2</v>
      </c>
      <c r="D96">
        <v>4</v>
      </c>
      <c r="E96" s="12">
        <v>2</v>
      </c>
      <c r="F96" s="18">
        <v>7</v>
      </c>
      <c r="G96">
        <v>1</v>
      </c>
      <c r="H96">
        <v>4</v>
      </c>
      <c r="I96" s="12">
        <v>2</v>
      </c>
      <c r="J96" s="18">
        <v>4</v>
      </c>
      <c r="K96">
        <v>1</v>
      </c>
      <c r="M96" s="12">
        <v>3</v>
      </c>
      <c r="N96" s="18">
        <v>5</v>
      </c>
      <c r="P96">
        <v>4</v>
      </c>
      <c r="Q96" s="12">
        <v>1</v>
      </c>
    </row>
    <row r="97" spans="1:17" x14ac:dyDescent="0.25">
      <c r="A97" t="s">
        <v>18</v>
      </c>
      <c r="B97" s="18">
        <v>126</v>
      </c>
      <c r="C97">
        <v>28</v>
      </c>
      <c r="D97">
        <v>89</v>
      </c>
      <c r="E97" s="12">
        <v>9</v>
      </c>
      <c r="F97" s="18">
        <v>44</v>
      </c>
      <c r="G97">
        <v>9</v>
      </c>
      <c r="H97">
        <v>33</v>
      </c>
      <c r="I97" s="12">
        <v>2</v>
      </c>
      <c r="J97" s="18">
        <v>23</v>
      </c>
      <c r="K97">
        <v>3</v>
      </c>
      <c r="L97">
        <v>17</v>
      </c>
      <c r="M97" s="12">
        <v>3</v>
      </c>
      <c r="N97" s="18">
        <v>20</v>
      </c>
      <c r="O97">
        <v>4</v>
      </c>
      <c r="P97">
        <v>15</v>
      </c>
      <c r="Q97" s="12">
        <v>1</v>
      </c>
    </row>
    <row r="98" spans="1:17" x14ac:dyDescent="0.25">
      <c r="A98" t="s">
        <v>19</v>
      </c>
      <c r="B98" s="18">
        <v>41</v>
      </c>
      <c r="C98">
        <v>5</v>
      </c>
      <c r="D98">
        <v>32</v>
      </c>
      <c r="E98" s="12">
        <v>4</v>
      </c>
      <c r="F98" s="18">
        <v>21</v>
      </c>
      <c r="G98">
        <v>4</v>
      </c>
      <c r="H98">
        <v>17</v>
      </c>
      <c r="I98" s="12"/>
      <c r="J98" s="18">
        <v>22</v>
      </c>
      <c r="K98">
        <v>4</v>
      </c>
      <c r="L98">
        <v>14</v>
      </c>
      <c r="M98" s="12">
        <v>4</v>
      </c>
      <c r="N98" s="18">
        <v>11</v>
      </c>
      <c r="O98">
        <v>1</v>
      </c>
      <c r="P98">
        <v>8</v>
      </c>
      <c r="Q98" s="12">
        <v>2</v>
      </c>
    </row>
    <row r="99" spans="1:17" x14ac:dyDescent="0.25">
      <c r="A99" t="s">
        <v>20</v>
      </c>
      <c r="B99" s="18">
        <v>58</v>
      </c>
      <c r="C99">
        <v>7</v>
      </c>
      <c r="D99">
        <v>46</v>
      </c>
      <c r="E99" s="12">
        <v>5</v>
      </c>
      <c r="F99" s="18">
        <v>49</v>
      </c>
      <c r="G99">
        <v>13</v>
      </c>
      <c r="H99">
        <v>29</v>
      </c>
      <c r="I99" s="12">
        <v>7</v>
      </c>
      <c r="J99" s="18">
        <v>26</v>
      </c>
      <c r="K99">
        <v>9</v>
      </c>
      <c r="L99">
        <v>15</v>
      </c>
      <c r="M99" s="12">
        <v>2</v>
      </c>
      <c r="N99" s="18">
        <v>22</v>
      </c>
      <c r="O99">
        <v>5</v>
      </c>
      <c r="P99">
        <v>12</v>
      </c>
      <c r="Q99" s="12">
        <v>5</v>
      </c>
    </row>
    <row r="100" spans="1:17" x14ac:dyDescent="0.25">
      <c r="A100" t="s">
        <v>21</v>
      </c>
      <c r="B100" s="18">
        <v>72</v>
      </c>
      <c r="C100">
        <v>4</v>
      </c>
      <c r="D100">
        <v>60</v>
      </c>
      <c r="E100" s="12">
        <v>8</v>
      </c>
      <c r="F100" s="18">
        <v>32</v>
      </c>
      <c r="G100">
        <v>5</v>
      </c>
      <c r="H100">
        <v>22</v>
      </c>
      <c r="I100" s="12">
        <v>5</v>
      </c>
      <c r="J100" s="18">
        <v>14</v>
      </c>
      <c r="K100">
        <v>1</v>
      </c>
      <c r="L100">
        <v>11</v>
      </c>
      <c r="M100" s="12">
        <v>2</v>
      </c>
      <c r="N100" s="18">
        <v>14</v>
      </c>
      <c r="O100">
        <v>5</v>
      </c>
      <c r="P100">
        <v>8</v>
      </c>
      <c r="Q100" s="12">
        <v>1</v>
      </c>
    </row>
    <row r="101" spans="1:17" x14ac:dyDescent="0.25">
      <c r="A101" t="s">
        <v>22</v>
      </c>
      <c r="B101" s="18">
        <v>32</v>
      </c>
      <c r="C101">
        <v>7</v>
      </c>
      <c r="D101">
        <v>23</v>
      </c>
      <c r="E101" s="12">
        <v>2</v>
      </c>
      <c r="F101" s="18">
        <v>8</v>
      </c>
      <c r="H101">
        <v>7</v>
      </c>
      <c r="I101" s="12">
        <v>1</v>
      </c>
      <c r="J101" s="18">
        <v>7</v>
      </c>
      <c r="K101">
        <v>2</v>
      </c>
      <c r="L101">
        <v>5</v>
      </c>
      <c r="M101" s="12"/>
      <c r="N101" s="18">
        <v>6</v>
      </c>
      <c r="O101">
        <v>2</v>
      </c>
      <c r="P101">
        <v>4</v>
      </c>
      <c r="Q101" s="12"/>
    </row>
    <row r="102" spans="1:17" x14ac:dyDescent="0.25">
      <c r="A102" t="s">
        <v>23</v>
      </c>
      <c r="B102" s="18">
        <v>26</v>
      </c>
      <c r="C102">
        <v>5</v>
      </c>
      <c r="D102">
        <v>17</v>
      </c>
      <c r="E102" s="12">
        <v>4</v>
      </c>
      <c r="F102" s="18">
        <v>17</v>
      </c>
      <c r="G102">
        <v>3</v>
      </c>
      <c r="H102">
        <v>12</v>
      </c>
      <c r="I102" s="12">
        <v>2</v>
      </c>
      <c r="J102" s="18">
        <v>9</v>
      </c>
      <c r="L102">
        <v>9</v>
      </c>
      <c r="M102" s="12"/>
      <c r="N102" s="18">
        <v>5</v>
      </c>
      <c r="O102">
        <v>1</v>
      </c>
      <c r="P102">
        <v>4</v>
      </c>
      <c r="Q102" s="12"/>
    </row>
    <row r="103" spans="1:17" x14ac:dyDescent="0.25">
      <c r="A103" t="s">
        <v>24</v>
      </c>
      <c r="B103" s="18">
        <v>36</v>
      </c>
      <c r="C103">
        <v>9</v>
      </c>
      <c r="D103">
        <v>26</v>
      </c>
      <c r="E103" s="12">
        <v>1</v>
      </c>
      <c r="F103" s="18">
        <v>15</v>
      </c>
      <c r="G103">
        <v>2</v>
      </c>
      <c r="H103">
        <v>9</v>
      </c>
      <c r="I103" s="12">
        <v>4</v>
      </c>
      <c r="J103" s="18">
        <v>6</v>
      </c>
      <c r="K103">
        <v>1</v>
      </c>
      <c r="L103">
        <v>2</v>
      </c>
      <c r="M103" s="12">
        <v>3</v>
      </c>
      <c r="N103" s="18">
        <v>10</v>
      </c>
      <c r="O103">
        <v>2</v>
      </c>
      <c r="P103">
        <v>6</v>
      </c>
      <c r="Q103" s="12">
        <v>2</v>
      </c>
    </row>
    <row r="104" spans="1:17" x14ac:dyDescent="0.25">
      <c r="A104" t="s">
        <v>25</v>
      </c>
      <c r="B104" s="18">
        <v>41</v>
      </c>
      <c r="C104">
        <v>5</v>
      </c>
      <c r="D104">
        <v>28</v>
      </c>
      <c r="E104" s="12">
        <v>8</v>
      </c>
      <c r="F104" s="18">
        <v>18</v>
      </c>
      <c r="G104">
        <v>4</v>
      </c>
      <c r="H104">
        <v>12</v>
      </c>
      <c r="I104" s="12">
        <v>2</v>
      </c>
      <c r="J104" s="18">
        <v>6</v>
      </c>
      <c r="K104">
        <v>1</v>
      </c>
      <c r="L104">
        <v>5</v>
      </c>
      <c r="M104" s="12"/>
      <c r="N104" s="18">
        <v>8</v>
      </c>
      <c r="O104">
        <v>3</v>
      </c>
      <c r="P104">
        <v>5</v>
      </c>
      <c r="Q104" s="12"/>
    </row>
    <row r="105" spans="1:17" x14ac:dyDescent="0.25">
      <c r="A105" t="s">
        <v>26</v>
      </c>
      <c r="B105" s="18">
        <v>27</v>
      </c>
      <c r="C105">
        <v>8</v>
      </c>
      <c r="D105">
        <v>15</v>
      </c>
      <c r="E105" s="12">
        <v>4</v>
      </c>
      <c r="F105" s="18">
        <v>11</v>
      </c>
      <c r="G105">
        <v>2</v>
      </c>
      <c r="H105">
        <v>9</v>
      </c>
      <c r="I105" s="12"/>
      <c r="J105" s="18">
        <v>9</v>
      </c>
      <c r="K105">
        <v>1</v>
      </c>
      <c r="L105">
        <v>8</v>
      </c>
      <c r="M105" s="12"/>
      <c r="N105" s="18">
        <v>8</v>
      </c>
      <c r="O105">
        <v>1</v>
      </c>
      <c r="P105">
        <v>6</v>
      </c>
      <c r="Q105" s="12">
        <v>1</v>
      </c>
    </row>
    <row r="106" spans="1:17" x14ac:dyDescent="0.25">
      <c r="A106" t="s">
        <v>27</v>
      </c>
      <c r="B106" s="18">
        <v>29</v>
      </c>
      <c r="C106">
        <v>7</v>
      </c>
      <c r="D106">
        <v>21</v>
      </c>
      <c r="E106" s="12">
        <v>1</v>
      </c>
      <c r="F106" s="18">
        <v>16</v>
      </c>
      <c r="G106">
        <v>9</v>
      </c>
      <c r="H106">
        <v>5</v>
      </c>
      <c r="I106" s="12">
        <v>2</v>
      </c>
      <c r="J106" s="18">
        <v>8</v>
      </c>
      <c r="K106">
        <v>1</v>
      </c>
      <c r="L106">
        <v>6</v>
      </c>
      <c r="M106" s="12">
        <v>1</v>
      </c>
      <c r="N106" s="18">
        <v>5</v>
      </c>
      <c r="P106">
        <v>5</v>
      </c>
      <c r="Q106" s="12"/>
    </row>
    <row r="107" spans="1:17" x14ac:dyDescent="0.25">
      <c r="A107" t="s">
        <v>28</v>
      </c>
      <c r="B107" s="18">
        <v>23</v>
      </c>
      <c r="C107">
        <v>2</v>
      </c>
      <c r="D107">
        <v>17</v>
      </c>
      <c r="E107" s="12">
        <v>4</v>
      </c>
      <c r="F107" s="18">
        <v>6</v>
      </c>
      <c r="G107">
        <v>1</v>
      </c>
      <c r="H107">
        <v>4</v>
      </c>
      <c r="I107" s="12">
        <v>1</v>
      </c>
      <c r="J107" s="18">
        <v>7</v>
      </c>
      <c r="K107">
        <v>2</v>
      </c>
      <c r="L107">
        <v>3</v>
      </c>
      <c r="M107" s="12">
        <v>2</v>
      </c>
      <c r="N107" s="18">
        <v>3</v>
      </c>
      <c r="O107">
        <v>1</v>
      </c>
      <c r="P107">
        <v>2</v>
      </c>
      <c r="Q107" s="12"/>
    </row>
    <row r="108" spans="1:17" x14ac:dyDescent="0.25">
      <c r="A108" t="s">
        <v>71</v>
      </c>
      <c r="B108" s="18">
        <v>73</v>
      </c>
      <c r="C108">
        <v>14</v>
      </c>
      <c r="D108">
        <v>53</v>
      </c>
      <c r="E108" s="12">
        <v>6</v>
      </c>
      <c r="F108" s="18">
        <v>49</v>
      </c>
      <c r="G108">
        <v>13</v>
      </c>
      <c r="H108">
        <v>33</v>
      </c>
      <c r="I108" s="12">
        <v>3</v>
      </c>
      <c r="J108" s="18">
        <v>24</v>
      </c>
      <c r="K108">
        <v>2</v>
      </c>
      <c r="L108">
        <v>17</v>
      </c>
      <c r="M108" s="12">
        <v>5</v>
      </c>
      <c r="N108" s="18">
        <v>28</v>
      </c>
      <c r="O108">
        <v>5</v>
      </c>
      <c r="P108">
        <v>19</v>
      </c>
      <c r="Q108" s="12">
        <v>4</v>
      </c>
    </row>
    <row r="109" spans="1:17" x14ac:dyDescent="0.25">
      <c r="A109" t="s">
        <v>30</v>
      </c>
      <c r="B109" s="18">
        <v>37</v>
      </c>
      <c r="C109">
        <v>3</v>
      </c>
      <c r="D109">
        <v>34</v>
      </c>
      <c r="E109" s="12"/>
      <c r="F109" s="18">
        <v>16</v>
      </c>
      <c r="G109">
        <v>5</v>
      </c>
      <c r="H109">
        <v>11</v>
      </c>
      <c r="I109" s="12"/>
      <c r="J109" s="18">
        <v>9</v>
      </c>
      <c r="K109">
        <v>5</v>
      </c>
      <c r="L109">
        <v>4</v>
      </c>
      <c r="M109" s="12"/>
      <c r="N109" s="18">
        <v>2</v>
      </c>
      <c r="P109">
        <v>2</v>
      </c>
      <c r="Q109" s="12"/>
    </row>
    <row r="110" spans="1:17" x14ac:dyDescent="0.25">
      <c r="A110" t="s">
        <v>31</v>
      </c>
      <c r="B110" s="18">
        <v>14</v>
      </c>
      <c r="C110">
        <v>2</v>
      </c>
      <c r="D110">
        <v>9</v>
      </c>
      <c r="E110" s="12">
        <v>3</v>
      </c>
      <c r="F110" s="18">
        <v>11</v>
      </c>
      <c r="H110">
        <v>10</v>
      </c>
      <c r="I110" s="12">
        <v>1</v>
      </c>
      <c r="J110" s="18">
        <v>1</v>
      </c>
      <c r="L110">
        <v>1</v>
      </c>
      <c r="M110" s="12"/>
      <c r="N110" s="18">
        <v>2</v>
      </c>
      <c r="P110">
        <v>2</v>
      </c>
      <c r="Q110" s="12"/>
    </row>
    <row r="111" spans="1:17" ht="15.75" thickBot="1" x14ac:dyDescent="0.3">
      <c r="A111" t="s">
        <v>72</v>
      </c>
      <c r="B111" s="19">
        <v>2117</v>
      </c>
      <c r="C111" s="13">
        <v>362</v>
      </c>
      <c r="D111" s="13">
        <v>1546</v>
      </c>
      <c r="E111" s="14">
        <v>209</v>
      </c>
      <c r="F111" s="19">
        <v>1044</v>
      </c>
      <c r="G111" s="13">
        <v>176</v>
      </c>
      <c r="H111" s="13">
        <v>752</v>
      </c>
      <c r="I111" s="14">
        <v>116</v>
      </c>
      <c r="J111" s="19">
        <v>583</v>
      </c>
      <c r="K111" s="13">
        <v>93</v>
      </c>
      <c r="L111" s="13">
        <v>412</v>
      </c>
      <c r="M111" s="14">
        <v>78</v>
      </c>
      <c r="N111" s="19">
        <v>497</v>
      </c>
      <c r="O111" s="13">
        <v>95</v>
      </c>
      <c r="P111" s="13">
        <v>344</v>
      </c>
      <c r="Q111" s="14">
        <v>58</v>
      </c>
    </row>
  </sheetData>
  <mergeCells count="8">
    <mergeCell ref="B37:E37"/>
    <mergeCell ref="F37:I37"/>
    <mergeCell ref="J37:M37"/>
    <mergeCell ref="N37:Q37"/>
    <mergeCell ref="B77:E77"/>
    <mergeCell ref="F77:I77"/>
    <mergeCell ref="J77:M77"/>
    <mergeCell ref="N77:Q7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b0249cc-4f4f-48d9-afca-cb2ee53d8f41">
      <Terms xmlns="http://schemas.microsoft.com/office/infopath/2007/PartnerControls"/>
    </lcf76f155ced4ddcb4097134ff3c332f>
    <TaxCatchAll xmlns="fe80eaf3-aa11-411b-bcab-8cfc595826b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E3CB6CD47863F408802544A95959A63" ma:contentTypeVersion="11" ma:contentTypeDescription="Crear nuevo documento." ma:contentTypeScope="" ma:versionID="a0ff4e081d0ad946924d61f6bbace430">
  <xsd:schema xmlns:xsd="http://www.w3.org/2001/XMLSchema" xmlns:xs="http://www.w3.org/2001/XMLSchema" xmlns:p="http://schemas.microsoft.com/office/2006/metadata/properties" xmlns:ns2="eb0249cc-4f4f-48d9-afca-cb2ee53d8f41" xmlns:ns3="fe80eaf3-aa11-411b-bcab-8cfc595826b3" targetNamespace="http://schemas.microsoft.com/office/2006/metadata/properties" ma:root="true" ma:fieldsID="e57bc87ca8db2f8baaaa5c7b5abee98d" ns2:_="" ns3:_="">
    <xsd:import namespace="eb0249cc-4f4f-48d9-afca-cb2ee53d8f41"/>
    <xsd:import namespace="fe80eaf3-aa11-411b-bcab-8cfc595826b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0249cc-4f4f-48d9-afca-cb2ee53d8f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d27adbb2-14e8-4084-9e55-d6e12566c6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80eaf3-aa11-411b-bcab-8cfc595826b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2051511-b0de-455b-aeaa-9372adc1a056}" ma:internalName="TaxCatchAll" ma:showField="CatchAllData" ma:web="fe80eaf3-aa11-411b-bcab-8cfc595826b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B90D4DC-90AE-4AAD-9AD8-FEE5DEFA2A18}">
  <ds:schemaRefs>
    <ds:schemaRef ds:uri="http://schemas.microsoft.com/office/2006/metadata/properties"/>
    <ds:schemaRef ds:uri="http://schemas.microsoft.com/office/infopath/2007/PartnerControls"/>
    <ds:schemaRef ds:uri="eb0249cc-4f4f-48d9-afca-cb2ee53d8f41"/>
    <ds:schemaRef ds:uri="fe80eaf3-aa11-411b-bcab-8cfc595826b3"/>
  </ds:schemaRefs>
</ds:datastoreItem>
</file>

<file path=customXml/itemProps2.xml><?xml version="1.0" encoding="utf-8"?>
<ds:datastoreItem xmlns:ds="http://schemas.openxmlformats.org/officeDocument/2006/customXml" ds:itemID="{11793A7B-E662-4B93-B86B-4F627DD288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971FAED-721E-4DB8-B005-AC7FB7CA91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0249cc-4f4f-48d9-afca-cb2ee53d8f41"/>
    <ds:schemaRef ds:uri="fe80eaf3-aa11-411b-bcab-8cfc595826b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Llamadas 911</vt:lpstr>
      <vt:lpstr>Llamadas 089</vt:lpstr>
      <vt:lpstr>Extor-089</vt:lpstr>
      <vt:lpstr>Extor-088</vt:lpstr>
      <vt:lpstr>Historico 911</vt:lpstr>
      <vt:lpstr>Historico 089</vt:lpstr>
      <vt:lpstr>PMI-Cámaras</vt:lpstr>
      <vt:lpstr>Registros Nacionales</vt:lpstr>
      <vt:lpstr>ext_INFORMACION GENERAL</vt:lpstr>
    </vt:vector>
  </TitlesOfParts>
  <Manager/>
  <Company>Secretaria de Seguridad y Proteccion Ciudadana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María Amparo Hinterholzer Rodriguez</dc:creator>
  <cp:keywords/>
  <dc:description/>
  <cp:lastModifiedBy>Viviana García Del Rio</cp:lastModifiedBy>
  <cp:revision/>
  <dcterms:created xsi:type="dcterms:W3CDTF">2026-02-13T00:57:44Z</dcterms:created>
  <dcterms:modified xsi:type="dcterms:W3CDTF">2026-08-26T14:32:58Z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49c1c616-5fff-47b4-801b-0e98d2d9d072</vt:lpwstr>
  </property>
  <property fmtid="{D5CDD505-2E9C-101B-9397-08002B2CF9AE}" pid="3" name="ContentTypeId">
    <vt:lpwstr>0x0101007E3CB6CD47863F408802544A95959A63</vt:lpwstr>
  </property>
  <property fmtid="{D5CDD505-2E9C-101B-9397-08002B2CF9AE}" pid="4" name="MediaServiceImageTags">
    <vt:lpwstr/>
  </property>
</Properties>
</file>