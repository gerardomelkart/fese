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rector 911\Desktop\ENTREGA\2026\Informes CNI 2026\06_JUNIO 2026\"/>
    </mc:Choice>
  </mc:AlternateContent>
  <xr:revisionPtr revIDLastSave="0" documentId="13_ncr:1_{EBAE96E0-78BF-48FE-96FE-4DC4BF94B837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840" tabRatio="892" activeTab="6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</sheets>
  <externalReferences>
    <externalReference r:id="rId9"/>
  </externalReferences>
  <definedNames>
    <definedName name="_xlnm.Print_Area" localSheetId="6">'C01'!$B$1:$D$302</definedName>
    <definedName name="_xlnm.Print_Area" localSheetId="7">'C02'!$B$1:$D$302</definedName>
    <definedName name="_xlnm.Print_Area" localSheetId="2">INSTRUCCIONES!$B$1:$O$24</definedName>
    <definedName name="_xlnm.Print_Area" localSheetId="1">PRESENTACIÓN!$B$2:$O$52</definedName>
    <definedName name="_xlnm.Print_Area" localSheetId="5">RESUMEN!$A$1:$G$28</definedName>
    <definedName name="IA01_Ezap">'[1]Fte-IA'!$A$2:$B$300</definedName>
    <definedName name="IA02_Ezap">'[1]Fte-IA'!$G$2:$H$300</definedName>
    <definedName name="IA11_Ezap">'[1]Fte-IA'!$BI$2:$BJ$300</definedName>
    <definedName name="Pr01_Ezap">'[1]Fte-Prm'!$A$2:$B$300</definedName>
    <definedName name="Pr02_Ezap">'[1]Fte-Prm'!$G$2:$H$300</definedName>
    <definedName name="Pr11_Ezap">'[1]Fte-Prm'!$BI$2:$BJ$300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2" hidden="1">INSTRUCCIONES!$B$6:$O$24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PRESENTACIÓN!$B$7:$O$52</definedName>
    <definedName name="Z_857CB3B9_618A_49FD_8D38_75EE2A4021B4_.wvu.PrintArea" localSheetId="5" hidden="1">RESUMEN!$A$1:$G$22</definedName>
  </definedNames>
  <calcPr calcId="191028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8" l="1"/>
  <c r="D13" i="8"/>
  <c r="D12" i="8"/>
  <c r="D14" i="4"/>
  <c r="D13" i="4"/>
  <c r="D12" i="4"/>
  <c r="D16" i="7" l="1"/>
  <c r="E16" i="7"/>
  <c r="F16" i="7"/>
  <c r="A16" i="7"/>
  <c r="B16" i="7"/>
  <c r="C16" i="7"/>
  <c r="G16" i="7"/>
  <c r="C13" i="7" l="1"/>
  <c r="D20" i="7" s="1"/>
  <c r="A20" i="7" l="1"/>
  <c r="F20" i="7"/>
  <c r="E20" i="7"/>
  <c r="B20" i="7"/>
  <c r="C20" i="7"/>
  <c r="G20" i="7"/>
</calcChain>
</file>

<file path=xl/sharedStrings.xml><?xml version="1.0" encoding="utf-8"?>
<sst xmlns="http://schemas.openxmlformats.org/spreadsheetml/2006/main" count="763" uniqueCount="427">
  <si>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</si>
  <si>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</si>
  <si>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</si>
  <si>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</si>
  <si>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</si>
  <si>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</si>
  <si>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</si>
  <si>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</si>
  <si>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</si>
  <si>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</si>
  <si>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</si>
  <si>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</si>
  <si>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</si>
  <si>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</si>
  <si>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</si>
  <si>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</si>
  <si>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</si>
  <si>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</si>
  <si>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</si>
  <si>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</si>
  <si>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</si>
  <si>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</si>
  <si>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</si>
  <si>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</si>
  <si>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</si>
  <si>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</si>
  <si>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</si>
  <si>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</si>
  <si>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</si>
  <si>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</si>
  <si>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</si>
  <si>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</si>
  <si>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</si>
  <si>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</si>
  <si>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</si>
  <si>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</si>
  <si>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</si>
  <si>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</si>
  <si>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</si>
  <si>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</si>
  <si>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</si>
  <si>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</si>
  <si>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</si>
  <si>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</si>
  <si>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</si>
  <si>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</si>
  <si>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</si>
  <si>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</si>
  <si>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</si>
  <si>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</si>
  <si>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</si>
  <si>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</si>
  <si>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</si>
  <si>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</si>
  <si>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</si>
  <si>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</si>
  <si>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</si>
  <si>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</si>
  <si>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</si>
  <si>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</si>
  <si>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</si>
  <si>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</si>
  <si>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</si>
  <si>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</si>
  <si>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</si>
  <si>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</si>
  <si>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</si>
  <si>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</si>
  <si>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</si>
  <si>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</si>
  <si>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</si>
  <si>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</si>
  <si>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</si>
  <si>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</si>
  <si>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</si>
  <si>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</si>
  <si>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</si>
  <si>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</si>
  <si>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</si>
  <si>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</si>
  <si>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</si>
  <si>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</si>
  <si>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</si>
  <si>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</si>
  <si>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</si>
  <si>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</si>
  <si>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</si>
  <si>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</si>
  <si>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</si>
  <si>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</si>
  <si>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</si>
  <si>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</si>
  <si>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</si>
  <si>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</si>
  <si>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</si>
  <si>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</si>
  <si>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</si>
  <si>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</si>
  <si>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</si>
  <si>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</si>
  <si>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</si>
  <si>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</si>
  <si>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</si>
  <si>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</si>
  <si>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</si>
  <si>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</si>
  <si>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</si>
  <si>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</si>
  <si>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</si>
  <si>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</si>
  <si>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</si>
  <si>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</si>
  <si>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</si>
  <si>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</si>
  <si>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</si>
  <si>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</si>
  <si>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</si>
  <si>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</si>
  <si>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</si>
  <si>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</si>
  <si>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</si>
  <si>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</si>
  <si>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</si>
  <si>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</si>
  <si>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</si>
  <si>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</si>
  <si>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</si>
  <si>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</si>
  <si>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</si>
  <si>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</si>
  <si>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</si>
  <si>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</si>
  <si>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</si>
  <si>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</si>
  <si>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</si>
  <si>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</si>
  <si>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</si>
  <si>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</si>
  <si>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</si>
  <si>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</si>
  <si>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</si>
  <si>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</si>
  <si>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</si>
  <si>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</si>
  <si>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</si>
  <si>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</si>
  <si>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</si>
  <si>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</si>
  <si>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</si>
  <si>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</si>
  <si>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</si>
  <si>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</si>
  <si>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</si>
  <si>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</si>
  <si>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</si>
  <si>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</si>
  <si>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</si>
  <si>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</si>
  <si>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</si>
  <si>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</si>
  <si>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</si>
  <si>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</si>
  <si>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</si>
  <si>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</si>
  <si>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</si>
  <si>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</si>
  <si>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</si>
  <si>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</si>
  <si>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</si>
  <si>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</si>
  <si>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</si>
  <si>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</si>
  <si>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</si>
  <si>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</si>
  <si>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</si>
  <si>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</si>
  <si>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</si>
  <si>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</si>
  <si>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</si>
  <si>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</si>
  <si>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</si>
  <si>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</si>
  <si>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</si>
  <si>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</si>
  <si>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</si>
  <si>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</si>
  <si>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</si>
  <si>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</si>
  <si>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</si>
  <si>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</si>
  <si>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</si>
  <si>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</si>
  <si>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</si>
  <si>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</si>
  <si>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</si>
  <si>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</si>
  <si>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</si>
  <si>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</si>
  <si>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</si>
  <si>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</si>
  <si>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</si>
  <si>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</si>
  <si>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</si>
  <si>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</si>
  <si>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</si>
  <si>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</si>
  <si>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</si>
  <si>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</si>
  <si>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</si>
  <si>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</si>
  <si>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</si>
  <si>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</si>
  <si>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</si>
  <si>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</si>
  <si>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</si>
  <si>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</si>
  <si>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</si>
  <si>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</si>
  <si>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</si>
  <si>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</si>
  <si>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</si>
  <si>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</si>
  <si>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</si>
  <si>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</si>
  <si>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</si>
  <si>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</si>
  <si>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</si>
  <si>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</si>
  <si>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</si>
  <si>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</si>
  <si>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</si>
  <si>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</si>
  <si>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</si>
  <si>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</si>
  <si>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</si>
  <si>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</si>
  <si>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</si>
  <si>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</si>
  <si>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</si>
  <si>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</si>
  <si>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</si>
  <si>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</si>
  <si>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</si>
  <si>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</si>
  <si>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</si>
  <si>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</si>
  <si>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</si>
  <si>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</si>
  <si>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</si>
  <si>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</si>
  <si>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</si>
  <si>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</si>
  <si>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</si>
  <si>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</si>
  <si>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</si>
  <si>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</si>
  <si>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</si>
  <si>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</si>
  <si>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</si>
  <si>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</si>
  <si>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</si>
  <si>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</si>
  <si>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</si>
  <si>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</si>
  <si>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</si>
  <si>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</si>
  <si>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</si>
  <si>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</si>
  <si>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</si>
  <si>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</si>
  <si>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</si>
  <si>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</si>
  <si>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</si>
  <si>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</si>
  <si>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</si>
  <si>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</si>
  <si>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</si>
  <si>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</si>
  <si>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</si>
  <si>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</si>
  <si>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</si>
  <si>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</si>
  <si>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</si>
  <si>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</si>
  <si>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</si>
  <si>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</si>
  <si>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</si>
  <si>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</si>
  <si>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</si>
  <si>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</si>
  <si>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</si>
  <si>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</si>
  <si>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</si>
  <si>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</si>
  <si>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</si>
  <si>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</si>
  <si>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</si>
  <si>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</si>
  <si>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</si>
  <si>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</si>
  <si>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</si>
  <si>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</si>
  <si>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</si>
  <si>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</si>
  <si>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</si>
  <si>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</si>
  <si>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</si>
  <si>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</si>
  <si>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</si>
  <si>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</si>
  <si>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</si>
  <si>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</si>
  <si>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</si>
  <si>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</si>
  <si>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</si>
  <si>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</si>
  <si>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</si>
  <si>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</si>
  <si>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</si>
  <si>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</si>
  <si>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</si>
  <si>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</si>
  <si>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</si>
  <si>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</si>
  <si>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</si>
  <si>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</si>
  <si>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</si>
  <si>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</si>
  <si>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</si>
  <si>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</si>
  <si>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</si>
  <si>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</si>
  <si>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</si>
  <si>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</si>
  <si>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</si>
  <si>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</si>
  <si>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</si>
  <si>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</si>
  <si>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</si>
  <si>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</si>
  <si>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</si>
  <si>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</si>
  <si>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</si>
  <si>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</si>
  <si>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</si>
  <si>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</si>
  <si>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</si>
  <si>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</si>
  <si>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</si>
  <si>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</si>
  <si>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</si>
  <si>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</si>
  <si>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</si>
  <si>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</si>
  <si>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</si>
  <si>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</si>
  <si>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</si>
  <si>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</si>
  <si>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</si>
  <si>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</si>
  <si>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</si>
  <si>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</si>
  <si>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</si>
  <si>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</si>
  <si>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</si>
  <si>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</si>
  <si>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</si>
  <si>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</si>
  <si>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</si>
  <si>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</si>
  <si>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</si>
  <si>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</si>
  <si>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</si>
  <si>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</si>
  <si>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</si>
  <si>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</si>
  <si>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</si>
  <si>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</si>
  <si>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</si>
  <si>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</si>
  <si>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</si>
  <si>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</si>
  <si>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</si>
  <si>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</si>
  <si>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</si>
  <si>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</si>
  <si>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</si>
  <si>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</si>
  <si>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</si>
  <si>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</si>
  <si>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</si>
  <si>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</si>
  <si>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</si>
  <si>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</si>
  <si>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</si>
  <si>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</si>
  <si>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</si>
  <si>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</si>
  <si>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</si>
  <si>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</si>
  <si>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</si>
  <si>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</si>
  <si>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</si>
  <si>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</si>
  <si>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</si>
  <si>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</si>
  <si>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</si>
  <si>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</si>
  <si>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</si>
  <si>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</si>
  <si>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</si>
  <si>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</si>
  <si>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</si>
  <si>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</si>
  <si>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</si>
  <si>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</si>
  <si>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</si>
  <si>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</si>
  <si>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</si>
  <si>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</si>
  <si>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</si>
  <si>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</si>
  <si>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</si>
  <si>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Emiliano Zapata</t>
  </si>
  <si>
    <t>Cuautla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</si>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</sst>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color indexed="8"/>
      <name val="Arial"/>
      <family val="2"/>
    </font>
    <font>
      <sz val="11"/>
      <color theme="1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14996795556505021"/>
      </top>
      <bottom/>
      <diagonal/>
    </border>
    <border>
      <left style="thick">
        <color rgb="FF638A86"/>
      </left>
      <right/>
      <top style="thin">
        <color theme="0" tint="-0.14996795556505021"/>
      </top>
      <bottom/>
      <diagonal/>
    </border>
    <border>
      <left style="thick">
        <color rgb="FFC17D19"/>
      </left>
      <right/>
      <top style="thin">
        <color theme="0" tint="-0.14996795556505021"/>
      </top>
      <bottom/>
      <diagonal/>
    </border>
    <border>
      <left style="thick">
        <color rgb="FF0088A4"/>
      </left>
      <right/>
      <top style="thin">
        <color theme="0" tint="-0.149967955565050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164" fontId="8" fillId="0" borderId="0" applyFont="0" applyFill="0" applyBorder="0" applyAlignment="0" applyProtection="0"/>
    <xf numFmtId="0" fontId="5" fillId="0" borderId="0"/>
    <xf numFmtId="0" fontId="8" fillId="3" borderId="0" applyBorder="0"/>
    <xf numFmtId="0" fontId="8" fillId="3" borderId="0" applyBorder="0"/>
    <xf numFmtId="0" fontId="8" fillId="3" borderId="0" applyBorder="0"/>
    <xf numFmtId="0" fontId="4" fillId="0" borderId="0"/>
    <xf numFmtId="0" fontId="8" fillId="0" borderId="0"/>
    <xf numFmtId="0" fontId="8" fillId="0" borderId="0"/>
    <xf numFmtId="9" fontId="4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8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165" fontId="7" fillId="0" borderId="0" xfId="1" applyNumberFormat="1" applyFont="1" applyBorder="1" applyAlignme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2"/>
    <xf numFmtId="0" fontId="12" fillId="0" borderId="0" xfId="2" applyFont="1"/>
    <xf numFmtId="0" fontId="13" fillId="0" borderId="0" xfId="2" applyFont="1" applyAlignment="1">
      <alignment horizontal="right"/>
    </xf>
    <xf numFmtId="0" fontId="15" fillId="0" borderId="0" xfId="6" applyFont="1" applyAlignment="1">
      <alignment vertical="top"/>
    </xf>
    <xf numFmtId="0" fontId="16" fillId="0" borderId="0" xfId="6" applyFont="1" applyAlignment="1">
      <alignment vertical="top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center" vertical="top" wrapText="1"/>
    </xf>
    <xf numFmtId="0" fontId="20" fillId="0" borderId="0" xfId="6" applyFont="1" applyAlignment="1">
      <alignment horizontal="left" vertical="top" wrapText="1"/>
    </xf>
    <xf numFmtId="0" fontId="19" fillId="0" borderId="0" xfId="6" applyFont="1" applyAlignment="1">
      <alignment horizontal="left" vertical="top" wrapText="1"/>
    </xf>
    <xf numFmtId="0" fontId="14" fillId="0" borderId="0" xfId="6" applyFont="1" applyAlignment="1">
      <alignment horizontal="center" vertical="top"/>
    </xf>
    <xf numFmtId="0" fontId="8" fillId="0" borderId="0" xfId="8"/>
    <xf numFmtId="0" fontId="6" fillId="0" borderId="0" xfId="8" applyFont="1"/>
    <xf numFmtId="0" fontId="17" fillId="4" borderId="0" xfId="6" applyFont="1" applyFill="1" applyAlignment="1">
      <alignment vertical="top"/>
    </xf>
    <xf numFmtId="0" fontId="8" fillId="0" borderId="0" xfId="0" applyFont="1"/>
    <xf numFmtId="0" fontId="24" fillId="5" borderId="1" xfId="8" applyFont="1" applyFill="1" applyBorder="1" applyAlignment="1">
      <alignment horizontal="center" wrapText="1"/>
    </xf>
    <xf numFmtId="165" fontId="22" fillId="2" borderId="0" xfId="1" applyNumberFormat="1" applyFont="1" applyFill="1" applyBorder="1" applyAlignment="1">
      <alignment horizontal="center"/>
    </xf>
    <xf numFmtId="165" fontId="25" fillId="2" borderId="0" xfId="1" applyNumberFormat="1" applyFont="1" applyFill="1" applyBorder="1" applyAlignment="1"/>
    <xf numFmtId="0" fontId="8" fillId="0" borderId="0" xfId="8" applyAlignment="1">
      <alignment horizontal="center"/>
    </xf>
    <xf numFmtId="0" fontId="17" fillId="6" borderId="0" xfId="6" applyFont="1" applyFill="1" applyAlignment="1">
      <alignment vertical="top"/>
    </xf>
    <xf numFmtId="0" fontId="32" fillId="6" borderId="0" xfId="6" applyFont="1" applyFill="1" applyAlignment="1">
      <alignment vertical="top"/>
    </xf>
    <xf numFmtId="0" fontId="6" fillId="0" borderId="0" xfId="8" applyFont="1" applyAlignment="1">
      <alignment horizontal="right"/>
    </xf>
    <xf numFmtId="0" fontId="8" fillId="0" borderId="0" xfId="8" applyAlignment="1">
      <alignment horizontal="left"/>
    </xf>
    <xf numFmtId="0" fontId="22" fillId="2" borderId="0" xfId="8" applyFont="1" applyFill="1" applyAlignment="1">
      <alignment horizontal="right" wrapText="1" indent="1"/>
    </xf>
    <xf numFmtId="166" fontId="22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1" fillId="2" borderId="0" xfId="0" applyFont="1" applyFill="1"/>
    <xf numFmtId="0" fontId="8" fillId="2" borderId="0" xfId="8" applyFill="1"/>
    <xf numFmtId="165" fontId="23" fillId="2" borderId="0" xfId="1" applyNumberFormat="1" applyFont="1" applyFill="1" applyBorder="1" applyAlignment="1"/>
    <xf numFmtId="0" fontId="37" fillId="2" borderId="0" xfId="7" applyFont="1" applyFill="1" applyAlignment="1" applyProtection="1">
      <alignment horizontal="center" vertical="top" wrapText="1"/>
      <protection hidden="1"/>
    </xf>
    <xf numFmtId="46" fontId="40" fillId="2" borderId="0" xfId="0" applyNumberFormat="1" applyFont="1" applyFill="1" applyAlignment="1">
      <alignment horizontal="center" vertical="center" wrapText="1"/>
    </xf>
    <xf numFmtId="21" fontId="40" fillId="2" borderId="0" xfId="0" applyNumberFormat="1" applyFont="1" applyFill="1" applyAlignment="1">
      <alignment horizontal="center" vertical="center" wrapText="1"/>
    </xf>
    <xf numFmtId="0" fontId="23" fillId="2" borderId="0" xfId="8" applyFont="1" applyFill="1" applyAlignment="1">
      <alignment horizontal="right" wrapText="1" indent="1"/>
    </xf>
    <xf numFmtId="0" fontId="22" fillId="2" borderId="0" xfId="8" applyFont="1" applyFill="1" applyAlignment="1">
      <alignment horizontal="right" wrapText="1" indent="2"/>
    </xf>
    <xf numFmtId="165" fontId="8" fillId="2" borderId="0" xfId="1" applyNumberFormat="1" applyFont="1" applyFill="1" applyBorder="1" applyAlignment="1"/>
    <xf numFmtId="0" fontId="8" fillId="2" borderId="0" xfId="0" applyFont="1" applyFill="1"/>
    <xf numFmtId="0" fontId="43" fillId="0" borderId="0" xfId="2" applyFont="1" applyAlignment="1">
      <alignment horizontal="right"/>
    </xf>
    <xf numFmtId="0" fontId="39" fillId="7" borderId="0" xfId="0" applyFont="1" applyFill="1" applyAlignment="1">
      <alignment horizontal="center" vertical="center" wrapText="1"/>
    </xf>
    <xf numFmtId="0" fontId="4" fillId="0" borderId="0" xfId="2" applyFont="1"/>
    <xf numFmtId="165" fontId="7" fillId="2" borderId="0" xfId="1" applyNumberFormat="1" applyFont="1" applyFill="1" applyBorder="1" applyAlignment="1" applyProtection="1">
      <alignment horizontal="center"/>
    </xf>
    <xf numFmtId="165" fontId="9" fillId="2" borderId="0" xfId="1" applyNumberFormat="1" applyFont="1" applyFill="1" applyBorder="1" applyAlignment="1" applyProtection="1"/>
    <xf numFmtId="165" fontId="22" fillId="2" borderId="0" xfId="1" applyNumberFormat="1" applyFont="1" applyFill="1" applyBorder="1" applyAlignment="1" applyProtection="1">
      <alignment horizontal="center"/>
    </xf>
    <xf numFmtId="166" fontId="22" fillId="2" borderId="0" xfId="1" applyNumberFormat="1" applyFont="1" applyFill="1" applyBorder="1" applyAlignment="1" applyProtection="1">
      <alignment horizontal="center"/>
    </xf>
    <xf numFmtId="0" fontId="26" fillId="0" borderId="1" xfId="8" applyFont="1" applyBorder="1" applyAlignment="1">
      <alignment horizontal="left" wrapText="1" indent="3"/>
    </xf>
    <xf numFmtId="0" fontId="24" fillId="5" borderId="6" xfId="8" applyFont="1" applyFill="1" applyBorder="1" applyAlignment="1">
      <alignment horizontal="center" wrapText="1"/>
    </xf>
    <xf numFmtId="0" fontId="24" fillId="5" borderId="9" xfId="8" applyFont="1" applyFill="1" applyBorder="1" applyAlignment="1">
      <alignment horizontal="left" wrapText="1" indent="6"/>
    </xf>
    <xf numFmtId="0" fontId="24" fillId="5" borderId="8" xfId="8" applyFont="1" applyFill="1" applyBorder="1" applyAlignment="1">
      <alignment horizont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24" fillId="2" borderId="1" xfId="8" applyFont="1" applyFill="1" applyBorder="1" applyAlignment="1">
      <alignment horizontal="center" wrapText="1"/>
    </xf>
    <xf numFmtId="0" fontId="42" fillId="6" borderId="1" xfId="8" applyFont="1" applyFill="1" applyBorder="1" applyAlignment="1">
      <alignment horizontal="center" wrapText="1"/>
    </xf>
    <xf numFmtId="9" fontId="40" fillId="2" borderId="10" xfId="9" applyFont="1" applyFill="1" applyBorder="1" applyAlignment="1" applyProtection="1">
      <alignment horizontal="center" vertical="center" wrapText="1"/>
    </xf>
    <xf numFmtId="0" fontId="10" fillId="8" borderId="11" xfId="8" applyFont="1" applyFill="1" applyBorder="1" applyAlignment="1">
      <alignment horizontal="center" vertical="center"/>
    </xf>
    <xf numFmtId="0" fontId="10" fillId="8" borderId="12" xfId="8" applyFont="1" applyFill="1" applyBorder="1" applyAlignment="1">
      <alignment horizontal="left" vertical="center" indent="1"/>
    </xf>
    <xf numFmtId="0" fontId="10" fillId="8" borderId="14" xfId="8" applyFont="1" applyFill="1" applyBorder="1" applyAlignment="1">
      <alignment horizontal="center" vertical="center"/>
    </xf>
    <xf numFmtId="0" fontId="10" fillId="8" borderId="15" xfId="8" applyFont="1" applyFill="1" applyBorder="1" applyAlignment="1">
      <alignment horizontal="left" vertical="center" indent="1"/>
    </xf>
    <xf numFmtId="0" fontId="10" fillId="8" borderId="16" xfId="8" applyFont="1" applyFill="1" applyBorder="1" applyAlignment="1">
      <alignment horizontal="center" vertical="center"/>
    </xf>
    <xf numFmtId="0" fontId="10" fillId="8" borderId="17" xfId="8" applyFont="1" applyFill="1" applyBorder="1" applyAlignment="1">
      <alignment horizontal="left" vertical="center" indent="1"/>
    </xf>
    <xf numFmtId="0" fontId="46" fillId="11" borderId="16" xfId="8" applyFont="1" applyFill="1" applyBorder="1" applyAlignment="1">
      <alignment horizontal="center" vertical="center"/>
    </xf>
    <xf numFmtId="0" fontId="46" fillId="11" borderId="17" xfId="8" applyFont="1" applyFill="1" applyBorder="1" applyAlignment="1">
      <alignment horizontal="left" vertical="center" indent="1"/>
    </xf>
    <xf numFmtId="0" fontId="46" fillId="12" borderId="16" xfId="8" applyFont="1" applyFill="1" applyBorder="1" applyAlignment="1">
      <alignment horizontal="center" vertical="center"/>
    </xf>
    <xf numFmtId="0" fontId="46" fillId="12" borderId="17" xfId="8" applyFont="1" applyFill="1" applyBorder="1" applyAlignment="1">
      <alignment horizontal="left" vertical="center" indent="1"/>
    </xf>
    <xf numFmtId="0" fontId="46" fillId="9" borderId="11" xfId="8" applyFont="1" applyFill="1" applyBorder="1" applyAlignment="1">
      <alignment horizontal="center" vertical="center"/>
    </xf>
    <xf numFmtId="0" fontId="46" fillId="9" borderId="12" xfId="8" applyFont="1" applyFill="1" applyBorder="1" applyAlignment="1">
      <alignment horizontal="left" vertical="center" indent="1"/>
    </xf>
    <xf numFmtId="167" fontId="46" fillId="10" borderId="14" xfId="8" applyNumberFormat="1" applyFont="1" applyFill="1" applyBorder="1" applyAlignment="1">
      <alignment horizontal="center" vertical="top"/>
    </xf>
    <xf numFmtId="0" fontId="46" fillId="10" borderId="15" xfId="8" applyFont="1" applyFill="1" applyBorder="1" applyAlignment="1">
      <alignment horizontal="left" vertical="top" indent="1"/>
    </xf>
    <xf numFmtId="0" fontId="46" fillId="13" borderId="16" xfId="8" applyFont="1" applyFill="1" applyBorder="1" applyAlignment="1">
      <alignment horizontal="center" vertical="center"/>
    </xf>
    <xf numFmtId="0" fontId="46" fillId="13" borderId="17" xfId="8" applyFont="1" applyFill="1" applyBorder="1" applyAlignment="1">
      <alignment horizontal="left" vertical="center" indent="1"/>
    </xf>
    <xf numFmtId="0" fontId="46" fillId="14" borderId="16" xfId="8" applyFont="1" applyFill="1" applyBorder="1" applyAlignment="1">
      <alignment horizontal="center" vertical="center"/>
    </xf>
    <xf numFmtId="0" fontId="46" fillId="14" borderId="17" xfId="8" applyFont="1" applyFill="1" applyBorder="1" applyAlignment="1">
      <alignment horizontal="left" vertical="center" indent="1"/>
    </xf>
    <xf numFmtId="0" fontId="46" fillId="15" borderId="16" xfId="8" applyFont="1" applyFill="1" applyBorder="1" applyAlignment="1">
      <alignment horizontal="center" vertical="center"/>
    </xf>
    <xf numFmtId="0" fontId="46" fillId="15" borderId="17" xfId="8" applyFont="1" applyFill="1" applyBorder="1" applyAlignment="1">
      <alignment horizontal="left" vertical="center" indent="1"/>
    </xf>
    <xf numFmtId="0" fontId="10" fillId="8" borderId="18" xfId="8" applyFont="1" applyFill="1" applyBorder="1" applyAlignment="1">
      <alignment horizontal="center" vertical="center"/>
    </xf>
    <xf numFmtId="0" fontId="10" fillId="8" borderId="19" xfId="8" applyFont="1" applyFill="1" applyBorder="1" applyAlignment="1">
      <alignment horizontal="left" vertical="center" indent="1"/>
    </xf>
    <xf numFmtId="0" fontId="24" fillId="5" borderId="20" xfId="8" applyFont="1" applyFill="1" applyBorder="1" applyAlignment="1">
      <alignment horizontal="center" wrapText="1"/>
    </xf>
    <xf numFmtId="0" fontId="24" fillId="5" borderId="21" xfId="8" applyFont="1" applyFill="1" applyBorder="1" applyAlignment="1">
      <alignment horizontal="left" wrapText="1"/>
    </xf>
    <xf numFmtId="0" fontId="24" fillId="2" borderId="0" xfId="8" applyFont="1" applyFill="1" applyAlignment="1">
      <alignment horizontal="center" wrapText="1"/>
    </xf>
    <xf numFmtId="165" fontId="22" fillId="2" borderId="1" xfId="1" applyNumberFormat="1" applyFont="1" applyFill="1" applyBorder="1" applyAlignment="1">
      <alignment horizontal="center" vertical="center"/>
    </xf>
    <xf numFmtId="3" fontId="45" fillId="2" borderId="0" xfId="7" applyNumberFormat="1" applyFont="1" applyFill="1" applyAlignment="1" applyProtection="1">
      <alignment horizontal="center" vertical="center" wrapText="1"/>
      <protection hidden="1"/>
    </xf>
    <xf numFmtId="0" fontId="47" fillId="2" borderId="13" xfId="8" applyFont="1" applyFill="1" applyBorder="1" applyAlignment="1" applyProtection="1">
      <alignment horizontal="center" vertical="center"/>
      <protection locked="0"/>
    </xf>
    <xf numFmtId="3" fontId="46" fillId="9" borderId="12" xfId="8" applyNumberFormat="1" applyFont="1" applyFill="1" applyBorder="1" applyAlignment="1">
      <alignment horizontal="center" vertical="center"/>
    </xf>
    <xf numFmtId="0" fontId="46" fillId="9" borderId="22" xfId="8" applyFont="1" applyFill="1" applyBorder="1" applyAlignment="1">
      <alignment horizontal="center" vertical="center"/>
    </xf>
    <xf numFmtId="0" fontId="46" fillId="9" borderId="23" xfId="8" applyFont="1" applyFill="1" applyBorder="1" applyAlignment="1">
      <alignment horizontal="left" vertical="center" indent="1"/>
    </xf>
    <xf numFmtId="0" fontId="49" fillId="8" borderId="22" xfId="8" applyFont="1" applyFill="1" applyBorder="1" applyAlignment="1">
      <alignment horizontal="center" vertical="center"/>
    </xf>
    <xf numFmtId="0" fontId="49" fillId="8" borderId="23" xfId="8" applyFont="1" applyFill="1" applyBorder="1" applyAlignment="1">
      <alignment horizontal="left" vertical="center" indent="1"/>
    </xf>
    <xf numFmtId="167" fontId="46" fillId="10" borderId="22" xfId="8" applyNumberFormat="1" applyFont="1" applyFill="1" applyBorder="1" applyAlignment="1">
      <alignment horizontal="center" vertical="top"/>
    </xf>
    <xf numFmtId="0" fontId="46" fillId="10" borderId="24" xfId="8" applyFont="1" applyFill="1" applyBorder="1" applyAlignment="1">
      <alignment horizontal="left" vertical="top" indent="1"/>
    </xf>
    <xf numFmtId="0" fontId="49" fillId="8" borderId="24" xfId="8" applyFont="1" applyFill="1" applyBorder="1" applyAlignment="1">
      <alignment horizontal="left" vertical="center" indent="1"/>
    </xf>
    <xf numFmtId="0" fontId="46" fillId="11" borderId="22" xfId="8" applyFont="1" applyFill="1" applyBorder="1" applyAlignment="1">
      <alignment horizontal="center" vertical="center"/>
    </xf>
    <xf numFmtId="0" fontId="46" fillId="11" borderId="25" xfId="8" applyFont="1" applyFill="1" applyBorder="1" applyAlignment="1">
      <alignment horizontal="left" vertical="center" indent="1"/>
    </xf>
    <xf numFmtId="0" fontId="49" fillId="8" borderId="25" xfId="8" applyFont="1" applyFill="1" applyBorder="1" applyAlignment="1">
      <alignment horizontal="left" vertical="center" indent="1"/>
    </xf>
    <xf numFmtId="0" fontId="46" fillId="12" borderId="22" xfId="8" applyFont="1" applyFill="1" applyBorder="1" applyAlignment="1">
      <alignment horizontal="center" vertical="center"/>
    </xf>
    <xf numFmtId="0" fontId="46" fillId="12" borderId="25" xfId="8" applyFont="1" applyFill="1" applyBorder="1" applyAlignment="1">
      <alignment horizontal="left" vertical="center" indent="1"/>
    </xf>
    <xf numFmtId="0" fontId="46" fillId="13" borderId="22" xfId="8" applyFont="1" applyFill="1" applyBorder="1" applyAlignment="1">
      <alignment horizontal="center" vertical="center"/>
    </xf>
    <xf numFmtId="0" fontId="46" fillId="13" borderId="25" xfId="8" applyFont="1" applyFill="1" applyBorder="1" applyAlignment="1">
      <alignment horizontal="left" vertical="center" indent="1"/>
    </xf>
    <xf numFmtId="0" fontId="46" fillId="14" borderId="22" xfId="8" applyFont="1" applyFill="1" applyBorder="1" applyAlignment="1">
      <alignment horizontal="center" vertical="center"/>
    </xf>
    <xf numFmtId="0" fontId="46" fillId="14" borderId="25" xfId="8" applyFont="1" applyFill="1" applyBorder="1" applyAlignment="1">
      <alignment horizontal="left" vertical="center" indent="1"/>
    </xf>
    <xf numFmtId="0" fontId="46" fillId="15" borderId="22" xfId="8" applyFont="1" applyFill="1" applyBorder="1" applyAlignment="1">
      <alignment horizontal="center" vertical="center"/>
    </xf>
    <xf numFmtId="0" fontId="46" fillId="15" borderId="25" xfId="8" applyFont="1" applyFill="1" applyBorder="1" applyAlignment="1">
      <alignment horizontal="left" vertical="center" indent="1"/>
    </xf>
    <xf numFmtId="0" fontId="24" fillId="5" borderId="26" xfId="8" applyFont="1" applyFill="1" applyBorder="1" applyAlignment="1">
      <alignment horizontal="center" wrapText="1"/>
    </xf>
    <xf numFmtId="0" fontId="24" fillId="5" borderId="27" xfId="8" applyFont="1" applyFill="1" applyBorder="1" applyAlignment="1">
      <alignment horizontal="left" wrapText="1"/>
    </xf>
    <xf numFmtId="165" fontId="8" fillId="2" borderId="0" xfId="1" applyNumberFormat="1" applyFont="1" applyFill="1" applyBorder="1" applyAlignment="1">
      <alignment horizontal="center"/>
    </xf>
    <xf numFmtId="0" fontId="37" fillId="2" borderId="0" xfId="7" applyFont="1" applyFill="1" applyAlignment="1" applyProtection="1">
      <alignment horizontal="center" vertical="top" wrapText="1"/>
      <protection hidden="1"/>
    </xf>
    <xf numFmtId="0" fontId="29" fillId="0" borderId="0" xfId="2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left" vertical="top" wrapText="1"/>
    </xf>
    <xf numFmtId="0" fontId="17" fillId="4" borderId="0" xfId="6" applyFont="1" applyFill="1" applyAlignment="1">
      <alignment horizontal="center" vertical="top" wrapText="1"/>
    </xf>
    <xf numFmtId="0" fontId="17" fillId="4" borderId="0" xfId="6" applyFont="1" applyFill="1" applyAlignment="1">
      <alignment horizontal="center" vertical="top"/>
    </xf>
    <xf numFmtId="0" fontId="15" fillId="0" borderId="0" xfId="6" applyFont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1" fillId="0" borderId="0" xfId="7" applyFont="1" applyAlignment="1" applyProtection="1">
      <alignment horizontal="center" vertical="top" wrapText="1"/>
      <protection hidden="1"/>
    </xf>
    <xf numFmtId="0" fontId="16" fillId="0" borderId="0" xfId="6" applyFont="1" applyAlignment="1">
      <alignment horizontal="center" vertical="top" wrapText="1"/>
    </xf>
    <xf numFmtId="0" fontId="34" fillId="0" borderId="0" xfId="7" applyFont="1" applyAlignment="1">
      <alignment horizontal="center" vertical="top" wrapText="1"/>
    </xf>
    <xf numFmtId="0" fontId="36" fillId="0" borderId="0" xfId="6" applyFont="1" applyAlignment="1">
      <alignment horizontal="center" vertical="top" wrapText="1"/>
    </xf>
    <xf numFmtId="0" fontId="15" fillId="0" borderId="0" xfId="6" applyFont="1" applyAlignment="1">
      <alignment horizontal="left" vertical="top"/>
    </xf>
    <xf numFmtId="0" fontId="21" fillId="0" borderId="0" xfId="6" applyFont="1" applyAlignment="1">
      <alignment horizontal="left" vertical="top" wrapText="1"/>
    </xf>
    <xf numFmtId="0" fontId="35" fillId="0" borderId="0" xfId="6" applyFont="1" applyAlignment="1">
      <alignment horizontal="left" vertical="top" wrapText="1"/>
    </xf>
    <xf numFmtId="0" fontId="32" fillId="6" borderId="0" xfId="6" applyFont="1" applyFill="1" applyAlignment="1">
      <alignment horizontal="left" vertical="top"/>
    </xf>
    <xf numFmtId="0" fontId="32" fillId="6" borderId="0" xfId="6" applyFont="1" applyFill="1" applyAlignment="1">
      <alignment horizontal="left" vertical="top" wrapText="1"/>
    </xf>
    <xf numFmtId="0" fontId="2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4" fillId="0" borderId="0" xfId="6" applyFont="1" applyAlignment="1">
      <alignment horizontal="center" vertical="top" wrapText="1"/>
    </xf>
    <xf numFmtId="0" fontId="18" fillId="0" borderId="0" xfId="6" applyFont="1" applyAlignment="1">
      <alignment horizontal="center" vertical="top"/>
    </xf>
    <xf numFmtId="0" fontId="8" fillId="0" borderId="0" xfId="8" applyAlignment="1">
      <alignment horizontal="center"/>
    </xf>
    <xf numFmtId="0" fontId="30" fillId="7" borderId="0" xfId="0" applyFont="1" applyFill="1" applyAlignment="1">
      <alignment horizontal="center" vertical="center" wrapText="1"/>
    </xf>
    <xf numFmtId="0" fontId="26" fillId="0" borderId="3" xfId="8" applyFont="1" applyBorder="1" applyAlignment="1">
      <alignment horizontal="right" wrapText="1" indent="2"/>
    </xf>
    <xf numFmtId="0" fontId="26" fillId="0" borderId="2" xfId="8" applyFont="1" applyBorder="1" applyAlignment="1">
      <alignment horizontal="right" wrapText="1" indent="2"/>
    </xf>
    <xf numFmtId="165" fontId="8" fillId="0" borderId="0" xfId="1" applyNumberFormat="1" applyFont="1" applyBorder="1" applyAlignment="1" applyProtection="1">
      <alignment horizontal="center"/>
    </xf>
    <xf numFmtId="165" fontId="23" fillId="0" borderId="0" xfId="1" applyNumberFormat="1" applyFont="1" applyBorder="1" applyAlignment="1" applyProtection="1">
      <alignment horizontal="center"/>
    </xf>
    <xf numFmtId="165" fontId="38" fillId="0" borderId="0" xfId="1" applyNumberFormat="1" applyFont="1" applyBorder="1" applyAlignment="1" applyProtection="1">
      <alignment horizontal="center"/>
    </xf>
    <xf numFmtId="0" fontId="26" fillId="0" borderId="5" xfId="8" applyFont="1" applyBorder="1" applyAlignment="1">
      <alignment horizontal="right" wrapText="1" indent="2"/>
    </xf>
    <xf numFmtId="0" fontId="26" fillId="0" borderId="7" xfId="8" applyFont="1" applyBorder="1" applyAlignment="1">
      <alignment horizontal="right" wrapText="1" indent="2"/>
    </xf>
    <xf numFmtId="0" fontId="24" fillId="5" borderId="5" xfId="8" applyFont="1" applyFill="1" applyBorder="1" applyAlignment="1">
      <alignment horizontal="center" wrapText="1"/>
    </xf>
    <xf numFmtId="0" fontId="24" fillId="5" borderId="4" xfId="8" applyFont="1" applyFill="1" applyBorder="1" applyAlignment="1">
      <alignment horizontal="center" wrapText="1"/>
    </xf>
    <xf numFmtId="0" fontId="24" fillId="5" borderId="7" xfId="8" applyFont="1" applyFill="1" applyBorder="1" applyAlignment="1">
      <alignment horizontal="center" wrapText="1"/>
    </xf>
  </cellXfs>
  <cellStyles count="20">
    <cellStyle name="Millares 2" xfId="1" xr:uid="{00000000-0005-0000-0000-000000000000}"/>
    <cellStyle name="Millares 3" xfId="11" xr:uid="{00000000-0005-0000-0000-000001000000}"/>
    <cellStyle name="Millares 4" xfId="15" xr:uid="{00000000-0005-0000-0000-000002000000}"/>
    <cellStyle name="Millares 5" xfId="18" xr:uid="{00000000-0005-0000-0000-000003000000}"/>
    <cellStyle name="Normal" xfId="0" builtinId="0"/>
    <cellStyle name="Normal 2" xfId="2" xr:uid="{00000000-0005-0000-0000-000005000000}"/>
    <cellStyle name="Normal 2 2" xfId="3" xr:uid="{00000000-0005-0000-0000-000006000000}"/>
    <cellStyle name="Normal 2 3" xfId="13" xr:uid="{00000000-0005-0000-0000-000007000000}"/>
    <cellStyle name="Normal 3" xfId="4" xr:uid="{00000000-0005-0000-0000-000008000000}"/>
    <cellStyle name="Normal 4" xfId="5" xr:uid="{00000000-0005-0000-0000-000009000000}"/>
    <cellStyle name="Normal 5" xfId="6" xr:uid="{00000000-0005-0000-0000-00000A000000}"/>
    <cellStyle name="Normal 6" xfId="8" xr:uid="{00000000-0005-0000-0000-00000B000000}"/>
    <cellStyle name="Normal 7" xfId="10" xr:uid="{00000000-0005-0000-0000-00000C000000}"/>
    <cellStyle name="Normal 8" xfId="14" xr:uid="{00000000-0005-0000-0000-00000D000000}"/>
    <cellStyle name="Normal 9" xfId="17" xr:uid="{00000000-0005-0000-0000-00000E000000}"/>
    <cellStyle name="Normal_Zac ene 6 del 2000" xfId="7" xr:uid="{00000000-0005-0000-0000-00000F000000}"/>
    <cellStyle name="Porcentaje" xfId="9" builtinId="5"/>
    <cellStyle name="Porcentaje 2" xfId="12" xr:uid="{00000000-0005-0000-0000-000011000000}"/>
    <cellStyle name="Porcentaje 3" xfId="16" xr:uid="{00000000-0005-0000-0000-000012000000}"/>
    <cellStyle name="Porcentaje 4" xfId="19" xr:uid="{00000000-0005-0000-0000-00001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600075</xdr:colOff>
      <xdr:row>1</xdr:row>
      <xdr:rowOff>142874</xdr:rowOff>
    </xdr:from>
    <xdr:to>
      <xdr:col>10</xdr:col>
      <xdr:colOff>163768</xdr:colOff>
      <xdr:row>7</xdr:row>
      <xdr:rowOff>19049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333374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504825</xdr:colOff>
      <xdr:row>1</xdr:row>
      <xdr:rowOff>85725</xdr:rowOff>
    </xdr:from>
    <xdr:to>
      <xdr:col>11</xdr:col>
      <xdr:colOff>727075</xdr:colOff>
      <xdr:row>5</xdr:row>
      <xdr:rowOff>148166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323850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38100</xdr:rowOff>
    </xdr:from>
    <xdr:to>
      <xdr:col>13</xdr:col>
      <xdr:colOff>440332</xdr:colOff>
      <xdr:row>6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3810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0</xdr:row>
      <xdr:rowOff>9525</xdr:rowOff>
    </xdr:from>
    <xdr:to>
      <xdr:col>5</xdr:col>
      <xdr:colOff>1491244</xdr:colOff>
      <xdr:row>3</xdr:row>
      <xdr:rowOff>65555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104775</xdr:rowOff>
    </xdr:from>
    <xdr:to>
      <xdr:col>3</xdr:col>
      <xdr:colOff>1831975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508906</xdr:colOff>
      <xdr:row>0</xdr:row>
      <xdr:rowOff>80282</xdr:rowOff>
    </xdr:from>
    <xdr:to>
      <xdr:col>3</xdr:col>
      <xdr:colOff>1792513</xdr:colOff>
      <xdr:row>4</xdr:row>
      <xdr:rowOff>191826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6656" y="80282"/>
          <a:ext cx="6312807" cy="10259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Acum"/>
      <sheetName val="Fte-IA"/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Fte-Prm"/>
    </sheetNames>
    <sheetDataSet>
      <sheetData sheetId="0"/>
      <sheetData sheetId="1"/>
      <sheetData sheetId="2">
        <row r="2">
          <cell r="A2" t="str">
            <v>(2)Ezap</v>
          </cell>
          <cell r="B2" t="str">
            <v>Llam</v>
          </cell>
          <cell r="G2" t="str">
            <v>(2)Ezap</v>
          </cell>
          <cell r="H2" t="str">
            <v>Llam</v>
          </cell>
          <cell r="BI2" t="str">
            <v>(2)Ezap</v>
          </cell>
          <cell r="BJ2" t="str">
            <v>Llam</v>
          </cell>
        </row>
        <row r="3">
          <cell r="A3">
            <v>10107</v>
          </cell>
          <cell r="B3">
            <v>2</v>
          </cell>
          <cell r="G3">
            <v>10107</v>
          </cell>
          <cell r="H3">
            <v>1</v>
          </cell>
          <cell r="BI3">
            <v>10107</v>
          </cell>
          <cell r="BJ3">
            <v>1</v>
          </cell>
        </row>
        <row r="4">
          <cell r="A4">
            <v>10110</v>
          </cell>
          <cell r="B4">
            <v>2</v>
          </cell>
          <cell r="G4">
            <v>10110</v>
          </cell>
          <cell r="H4">
            <v>5</v>
          </cell>
          <cell r="BI4">
            <v>10110</v>
          </cell>
          <cell r="BJ4">
            <v>3</v>
          </cell>
        </row>
        <row r="5">
          <cell r="A5">
            <v>10116</v>
          </cell>
          <cell r="B5">
            <v>90</v>
          </cell>
          <cell r="G5">
            <v>10116</v>
          </cell>
          <cell r="H5">
            <v>95</v>
          </cell>
          <cell r="BI5">
            <v>10116</v>
          </cell>
          <cell r="BJ5">
            <v>111</v>
          </cell>
        </row>
        <row r="6">
          <cell r="A6">
            <v>10121</v>
          </cell>
          <cell r="B6">
            <v>20</v>
          </cell>
          <cell r="G6">
            <v>10121</v>
          </cell>
          <cell r="H6">
            <v>18</v>
          </cell>
          <cell r="BI6">
            <v>10121</v>
          </cell>
          <cell r="BJ6">
            <v>21</v>
          </cell>
        </row>
        <row r="7">
          <cell r="A7">
            <v>10201</v>
          </cell>
          <cell r="B7">
            <v>4</v>
          </cell>
          <cell r="G7">
            <v>10201</v>
          </cell>
          <cell r="H7">
            <v>4</v>
          </cell>
          <cell r="BI7">
            <v>10201</v>
          </cell>
          <cell r="BJ7">
            <v>2</v>
          </cell>
        </row>
        <row r="8">
          <cell r="A8">
            <v>10203</v>
          </cell>
          <cell r="B8">
            <v>1</v>
          </cell>
          <cell r="G8">
            <v>10202</v>
          </cell>
          <cell r="H8">
            <v>1</v>
          </cell>
          <cell r="BI8">
            <v>10203</v>
          </cell>
          <cell r="BJ8">
            <v>6</v>
          </cell>
        </row>
        <row r="9">
          <cell r="A9">
            <v>10204</v>
          </cell>
          <cell r="B9">
            <v>203</v>
          </cell>
          <cell r="G9">
            <v>10203</v>
          </cell>
          <cell r="H9">
            <v>5</v>
          </cell>
          <cell r="BI9">
            <v>10204</v>
          </cell>
          <cell r="BJ9">
            <v>185</v>
          </cell>
        </row>
        <row r="10">
          <cell r="A10">
            <v>10205</v>
          </cell>
          <cell r="B10">
            <v>5</v>
          </cell>
          <cell r="G10">
            <v>10204</v>
          </cell>
          <cell r="H10">
            <v>199</v>
          </cell>
          <cell r="BI10">
            <v>10205</v>
          </cell>
          <cell r="BJ10">
            <v>4</v>
          </cell>
        </row>
        <row r="11">
          <cell r="A11">
            <v>10206</v>
          </cell>
          <cell r="B11">
            <v>17</v>
          </cell>
          <cell r="G11">
            <v>10205</v>
          </cell>
          <cell r="H11">
            <v>1</v>
          </cell>
          <cell r="BI11">
            <v>10206</v>
          </cell>
          <cell r="BJ11">
            <v>24</v>
          </cell>
        </row>
        <row r="12">
          <cell r="A12">
            <v>10207</v>
          </cell>
          <cell r="B12">
            <v>18</v>
          </cell>
          <cell r="G12">
            <v>10206</v>
          </cell>
          <cell r="H12">
            <v>8</v>
          </cell>
          <cell r="BI12">
            <v>10207</v>
          </cell>
          <cell r="BJ12">
            <v>30</v>
          </cell>
        </row>
        <row r="13">
          <cell r="A13">
            <v>10209</v>
          </cell>
          <cell r="B13">
            <v>46</v>
          </cell>
          <cell r="G13">
            <v>10207</v>
          </cell>
          <cell r="H13">
            <v>18</v>
          </cell>
          <cell r="BI13">
            <v>10209</v>
          </cell>
          <cell r="BJ13">
            <v>32</v>
          </cell>
        </row>
        <row r="14">
          <cell r="A14">
            <v>10210</v>
          </cell>
          <cell r="B14">
            <v>8</v>
          </cell>
          <cell r="G14">
            <v>10209</v>
          </cell>
          <cell r="H14">
            <v>51</v>
          </cell>
          <cell r="BI14">
            <v>10210</v>
          </cell>
          <cell r="BJ14">
            <v>7</v>
          </cell>
        </row>
        <row r="15">
          <cell r="A15">
            <v>10211</v>
          </cell>
          <cell r="B15">
            <v>1</v>
          </cell>
          <cell r="G15">
            <v>10210</v>
          </cell>
          <cell r="H15">
            <v>4</v>
          </cell>
          <cell r="BI15">
            <v>10211</v>
          </cell>
          <cell r="BJ15">
            <v>5</v>
          </cell>
        </row>
        <row r="16">
          <cell r="A16">
            <v>10212</v>
          </cell>
          <cell r="B16">
            <v>2</v>
          </cell>
          <cell r="G16">
            <v>10211</v>
          </cell>
          <cell r="H16">
            <v>2</v>
          </cell>
          <cell r="BI16">
            <v>10212</v>
          </cell>
          <cell r="BJ16">
            <v>8</v>
          </cell>
        </row>
        <row r="17">
          <cell r="A17">
            <v>10213</v>
          </cell>
          <cell r="B17">
            <v>11</v>
          </cell>
          <cell r="G17">
            <v>10212</v>
          </cell>
          <cell r="H17">
            <v>3</v>
          </cell>
          <cell r="BI17">
            <v>10213</v>
          </cell>
          <cell r="BJ17">
            <v>2</v>
          </cell>
        </row>
        <row r="18">
          <cell r="A18">
            <v>10219</v>
          </cell>
          <cell r="B18">
            <v>4</v>
          </cell>
          <cell r="G18">
            <v>10213</v>
          </cell>
          <cell r="H18">
            <v>1</v>
          </cell>
          <cell r="BI18">
            <v>10220</v>
          </cell>
          <cell r="BJ18">
            <v>42</v>
          </cell>
        </row>
        <row r="19">
          <cell r="A19">
            <v>10220</v>
          </cell>
          <cell r="B19">
            <v>45</v>
          </cell>
          <cell r="G19">
            <v>10219</v>
          </cell>
          <cell r="H19">
            <v>1</v>
          </cell>
          <cell r="BI19">
            <v>10301</v>
          </cell>
          <cell r="BJ19">
            <v>9</v>
          </cell>
        </row>
        <row r="20">
          <cell r="A20">
            <v>10301</v>
          </cell>
          <cell r="B20">
            <v>6</v>
          </cell>
          <cell r="G20">
            <v>10220</v>
          </cell>
          <cell r="H20">
            <v>35</v>
          </cell>
          <cell r="BI20">
            <v>10302</v>
          </cell>
          <cell r="BJ20">
            <v>7</v>
          </cell>
        </row>
        <row r="21">
          <cell r="A21">
            <v>10302</v>
          </cell>
          <cell r="B21">
            <v>5</v>
          </cell>
          <cell r="G21">
            <v>10301</v>
          </cell>
          <cell r="H21">
            <v>6</v>
          </cell>
          <cell r="BI21">
            <v>10303</v>
          </cell>
          <cell r="BJ21">
            <v>9</v>
          </cell>
        </row>
        <row r="22">
          <cell r="A22">
            <v>10303</v>
          </cell>
          <cell r="B22">
            <v>6</v>
          </cell>
          <cell r="G22">
            <v>10302</v>
          </cell>
          <cell r="H22">
            <v>4</v>
          </cell>
          <cell r="BI22">
            <v>10304</v>
          </cell>
          <cell r="BJ22">
            <v>2</v>
          </cell>
        </row>
        <row r="23">
          <cell r="A23">
            <v>10305</v>
          </cell>
          <cell r="B23">
            <v>87</v>
          </cell>
          <cell r="G23">
            <v>10303</v>
          </cell>
          <cell r="H23">
            <v>4</v>
          </cell>
          <cell r="BI23">
            <v>10305</v>
          </cell>
          <cell r="BJ23">
            <v>86</v>
          </cell>
        </row>
        <row r="24">
          <cell r="A24">
            <v>10306</v>
          </cell>
          <cell r="B24">
            <v>13</v>
          </cell>
          <cell r="G24">
            <v>10305</v>
          </cell>
          <cell r="H24">
            <v>85</v>
          </cell>
          <cell r="BI24">
            <v>10306</v>
          </cell>
          <cell r="BJ24">
            <v>10</v>
          </cell>
        </row>
        <row r="25">
          <cell r="A25">
            <v>10307</v>
          </cell>
          <cell r="B25">
            <v>75</v>
          </cell>
          <cell r="G25">
            <v>10306</v>
          </cell>
          <cell r="H25">
            <v>8</v>
          </cell>
          <cell r="BI25">
            <v>10307</v>
          </cell>
          <cell r="BJ25">
            <v>92</v>
          </cell>
        </row>
        <row r="26">
          <cell r="A26">
            <v>10308</v>
          </cell>
          <cell r="B26">
            <v>228</v>
          </cell>
          <cell r="G26">
            <v>10307</v>
          </cell>
          <cell r="H26">
            <v>69</v>
          </cell>
          <cell r="BI26">
            <v>10308</v>
          </cell>
          <cell r="BJ26">
            <v>208</v>
          </cell>
        </row>
        <row r="27">
          <cell r="A27">
            <v>10309</v>
          </cell>
          <cell r="B27">
            <v>6</v>
          </cell>
          <cell r="G27">
            <v>10308</v>
          </cell>
          <cell r="H27">
            <v>200</v>
          </cell>
          <cell r="BI27">
            <v>10309</v>
          </cell>
          <cell r="BJ27">
            <v>15</v>
          </cell>
        </row>
        <row r="28">
          <cell r="A28">
            <v>10310</v>
          </cell>
          <cell r="B28">
            <v>254</v>
          </cell>
          <cell r="G28">
            <v>10309</v>
          </cell>
          <cell r="H28">
            <v>8</v>
          </cell>
          <cell r="BI28">
            <v>10310</v>
          </cell>
          <cell r="BJ28">
            <v>246</v>
          </cell>
        </row>
        <row r="29">
          <cell r="A29">
            <v>10311</v>
          </cell>
          <cell r="B29">
            <v>11</v>
          </cell>
          <cell r="G29">
            <v>10310</v>
          </cell>
          <cell r="H29">
            <v>250</v>
          </cell>
          <cell r="BI29">
            <v>10311</v>
          </cell>
          <cell r="BJ29">
            <v>17</v>
          </cell>
        </row>
        <row r="30">
          <cell r="A30">
            <v>10312</v>
          </cell>
          <cell r="B30">
            <v>30</v>
          </cell>
          <cell r="G30">
            <v>10311</v>
          </cell>
          <cell r="H30">
            <v>3</v>
          </cell>
          <cell r="BI30">
            <v>10312</v>
          </cell>
          <cell r="BJ30">
            <v>22</v>
          </cell>
        </row>
        <row r="31">
          <cell r="A31">
            <v>10313</v>
          </cell>
          <cell r="B31">
            <v>17</v>
          </cell>
          <cell r="G31">
            <v>10312</v>
          </cell>
          <cell r="H31">
            <v>26</v>
          </cell>
          <cell r="BI31">
            <v>10313</v>
          </cell>
          <cell r="BJ31">
            <v>14</v>
          </cell>
        </row>
        <row r="32">
          <cell r="A32">
            <v>10314</v>
          </cell>
          <cell r="B32">
            <v>8</v>
          </cell>
          <cell r="G32">
            <v>10313</v>
          </cell>
          <cell r="H32">
            <v>4</v>
          </cell>
          <cell r="BI32">
            <v>10314</v>
          </cell>
          <cell r="BJ32">
            <v>12</v>
          </cell>
        </row>
        <row r="33">
          <cell r="A33">
            <v>10315</v>
          </cell>
          <cell r="B33">
            <v>14</v>
          </cell>
          <cell r="G33">
            <v>10314</v>
          </cell>
          <cell r="H33">
            <v>9</v>
          </cell>
          <cell r="BI33">
            <v>10315</v>
          </cell>
          <cell r="BJ33">
            <v>11</v>
          </cell>
        </row>
        <row r="34">
          <cell r="A34">
            <v>10317</v>
          </cell>
          <cell r="B34">
            <v>23</v>
          </cell>
          <cell r="G34">
            <v>10315</v>
          </cell>
          <cell r="H34">
            <v>17</v>
          </cell>
          <cell r="BI34">
            <v>10317</v>
          </cell>
          <cell r="BJ34">
            <v>39</v>
          </cell>
        </row>
        <row r="35">
          <cell r="A35">
            <v>10318</v>
          </cell>
          <cell r="B35">
            <v>7</v>
          </cell>
          <cell r="G35">
            <v>10317</v>
          </cell>
          <cell r="H35">
            <v>26</v>
          </cell>
          <cell r="BI35">
            <v>10318</v>
          </cell>
          <cell r="BJ35">
            <v>15</v>
          </cell>
        </row>
        <row r="36">
          <cell r="A36">
            <v>20103</v>
          </cell>
          <cell r="B36">
            <v>16</v>
          </cell>
          <cell r="G36">
            <v>10318</v>
          </cell>
          <cell r="H36">
            <v>4</v>
          </cell>
          <cell r="BI36">
            <v>20103</v>
          </cell>
          <cell r="BJ36">
            <v>32</v>
          </cell>
        </row>
        <row r="37">
          <cell r="A37">
            <v>20104</v>
          </cell>
          <cell r="B37">
            <v>13</v>
          </cell>
          <cell r="G37">
            <v>20103</v>
          </cell>
          <cell r="H37">
            <v>30</v>
          </cell>
          <cell r="BI37">
            <v>20104</v>
          </cell>
          <cell r="BJ37">
            <v>14</v>
          </cell>
        </row>
        <row r="38">
          <cell r="A38">
            <v>20106</v>
          </cell>
          <cell r="B38">
            <v>4</v>
          </cell>
          <cell r="G38">
            <v>20104</v>
          </cell>
          <cell r="H38">
            <v>15</v>
          </cell>
          <cell r="BI38">
            <v>20107</v>
          </cell>
          <cell r="BJ38">
            <v>15</v>
          </cell>
        </row>
        <row r="39">
          <cell r="A39">
            <v>20107</v>
          </cell>
          <cell r="B39">
            <v>9</v>
          </cell>
          <cell r="G39">
            <v>20106</v>
          </cell>
          <cell r="H39">
            <v>3</v>
          </cell>
          <cell r="BI39">
            <v>20108</v>
          </cell>
          <cell r="BJ39">
            <v>66</v>
          </cell>
        </row>
        <row r="40">
          <cell r="A40">
            <v>20108</v>
          </cell>
          <cell r="B40">
            <v>50</v>
          </cell>
          <cell r="G40">
            <v>20107</v>
          </cell>
          <cell r="H40">
            <v>14</v>
          </cell>
          <cell r="BI40">
            <v>20109</v>
          </cell>
          <cell r="BJ40">
            <v>1</v>
          </cell>
        </row>
        <row r="41">
          <cell r="A41">
            <v>20109</v>
          </cell>
          <cell r="B41">
            <v>4</v>
          </cell>
          <cell r="G41">
            <v>20108</v>
          </cell>
          <cell r="H41">
            <v>45</v>
          </cell>
          <cell r="BI41">
            <v>20110</v>
          </cell>
          <cell r="BJ41">
            <v>16</v>
          </cell>
        </row>
        <row r="42">
          <cell r="A42">
            <v>20110</v>
          </cell>
          <cell r="B42">
            <v>8</v>
          </cell>
          <cell r="G42">
            <v>20109</v>
          </cell>
          <cell r="H42">
            <v>1</v>
          </cell>
          <cell r="BI42">
            <v>20111</v>
          </cell>
          <cell r="BJ42">
            <v>1</v>
          </cell>
        </row>
        <row r="43">
          <cell r="A43">
            <v>20111</v>
          </cell>
          <cell r="B43">
            <v>4</v>
          </cell>
          <cell r="G43">
            <v>20110</v>
          </cell>
          <cell r="H43">
            <v>12</v>
          </cell>
          <cell r="BI43">
            <v>20201</v>
          </cell>
          <cell r="BJ43">
            <v>44</v>
          </cell>
        </row>
        <row r="44">
          <cell r="A44">
            <v>20201</v>
          </cell>
          <cell r="B44">
            <v>59</v>
          </cell>
          <cell r="G44">
            <v>20111</v>
          </cell>
          <cell r="H44">
            <v>19</v>
          </cell>
          <cell r="BI44">
            <v>20202</v>
          </cell>
          <cell r="BJ44">
            <v>1</v>
          </cell>
        </row>
        <row r="45">
          <cell r="A45">
            <v>20202</v>
          </cell>
          <cell r="B45">
            <v>1</v>
          </cell>
          <cell r="G45">
            <v>20201</v>
          </cell>
          <cell r="H45">
            <v>64</v>
          </cell>
          <cell r="BI45">
            <v>20203</v>
          </cell>
          <cell r="BJ45">
            <v>101</v>
          </cell>
        </row>
        <row r="46">
          <cell r="A46">
            <v>20203</v>
          </cell>
          <cell r="B46">
            <v>48</v>
          </cell>
          <cell r="G46">
            <v>20203</v>
          </cell>
          <cell r="H46">
            <v>77</v>
          </cell>
          <cell r="BI46">
            <v>20210</v>
          </cell>
          <cell r="BJ46">
            <v>5</v>
          </cell>
        </row>
        <row r="47">
          <cell r="A47">
            <v>20207</v>
          </cell>
          <cell r="B47">
            <v>1</v>
          </cell>
          <cell r="G47">
            <v>20210</v>
          </cell>
          <cell r="H47">
            <v>14</v>
          </cell>
          <cell r="BI47">
            <v>20303</v>
          </cell>
          <cell r="BJ47">
            <v>20</v>
          </cell>
        </row>
        <row r="48">
          <cell r="A48">
            <v>20210</v>
          </cell>
          <cell r="B48">
            <v>11</v>
          </cell>
          <cell r="G48">
            <v>20301</v>
          </cell>
          <cell r="H48">
            <v>1</v>
          </cell>
          <cell r="BI48">
            <v>20304</v>
          </cell>
          <cell r="BJ48">
            <v>2</v>
          </cell>
        </row>
        <row r="49">
          <cell r="A49">
            <v>20303</v>
          </cell>
          <cell r="B49">
            <v>22</v>
          </cell>
          <cell r="G49">
            <v>20303</v>
          </cell>
          <cell r="H49">
            <v>23</v>
          </cell>
          <cell r="BI49">
            <v>20307</v>
          </cell>
          <cell r="BJ49">
            <v>5</v>
          </cell>
        </row>
        <row r="50">
          <cell r="A50">
            <v>20304</v>
          </cell>
          <cell r="B50">
            <v>6</v>
          </cell>
          <cell r="G50">
            <v>20304</v>
          </cell>
          <cell r="H50">
            <v>4</v>
          </cell>
          <cell r="BI50">
            <v>20308</v>
          </cell>
          <cell r="BJ50">
            <v>12</v>
          </cell>
        </row>
        <row r="51">
          <cell r="A51">
            <v>20307</v>
          </cell>
          <cell r="B51">
            <v>25</v>
          </cell>
          <cell r="G51">
            <v>20307</v>
          </cell>
          <cell r="H51">
            <v>34</v>
          </cell>
          <cell r="BI51">
            <v>20311</v>
          </cell>
          <cell r="BJ51">
            <v>30</v>
          </cell>
        </row>
        <row r="52">
          <cell r="A52">
            <v>20308</v>
          </cell>
          <cell r="B52">
            <v>26</v>
          </cell>
          <cell r="G52">
            <v>20308</v>
          </cell>
          <cell r="H52">
            <v>21</v>
          </cell>
          <cell r="BI52">
            <v>20402</v>
          </cell>
          <cell r="BJ52">
            <v>1</v>
          </cell>
        </row>
        <row r="53">
          <cell r="A53">
            <v>20311</v>
          </cell>
          <cell r="B53">
            <v>228</v>
          </cell>
          <cell r="G53">
            <v>20311</v>
          </cell>
          <cell r="H53">
            <v>268</v>
          </cell>
          <cell r="BI53">
            <v>20403</v>
          </cell>
          <cell r="BJ53">
            <v>5</v>
          </cell>
        </row>
        <row r="54">
          <cell r="A54">
            <v>20402</v>
          </cell>
          <cell r="B54">
            <v>1</v>
          </cell>
          <cell r="G54">
            <v>20403</v>
          </cell>
          <cell r="H54">
            <v>10</v>
          </cell>
          <cell r="BI54">
            <v>20404</v>
          </cell>
          <cell r="BJ54">
            <v>33</v>
          </cell>
        </row>
        <row r="55">
          <cell r="A55">
            <v>20403</v>
          </cell>
          <cell r="B55">
            <v>14</v>
          </cell>
          <cell r="G55">
            <v>20404</v>
          </cell>
          <cell r="H55">
            <v>2</v>
          </cell>
          <cell r="BI55">
            <v>30101</v>
          </cell>
          <cell r="BJ55">
            <v>134</v>
          </cell>
        </row>
        <row r="56">
          <cell r="A56">
            <v>30101</v>
          </cell>
          <cell r="B56">
            <v>142</v>
          </cell>
          <cell r="G56">
            <v>30101</v>
          </cell>
          <cell r="H56">
            <v>162</v>
          </cell>
          <cell r="BI56">
            <v>30102</v>
          </cell>
          <cell r="BJ56">
            <v>33</v>
          </cell>
        </row>
        <row r="57">
          <cell r="A57">
            <v>30102</v>
          </cell>
          <cell r="B57">
            <v>32</v>
          </cell>
          <cell r="G57">
            <v>30102</v>
          </cell>
          <cell r="H57">
            <v>46</v>
          </cell>
          <cell r="BI57">
            <v>30103</v>
          </cell>
          <cell r="BJ57">
            <v>100</v>
          </cell>
        </row>
        <row r="58">
          <cell r="A58">
            <v>30103</v>
          </cell>
          <cell r="B58">
            <v>124</v>
          </cell>
          <cell r="G58">
            <v>30103</v>
          </cell>
          <cell r="H58">
            <v>133</v>
          </cell>
          <cell r="BI58">
            <v>30202</v>
          </cell>
          <cell r="BJ58">
            <v>171</v>
          </cell>
        </row>
        <row r="59">
          <cell r="A59">
            <v>30202</v>
          </cell>
          <cell r="B59">
            <v>199</v>
          </cell>
          <cell r="G59">
            <v>30202</v>
          </cell>
          <cell r="H59">
            <v>159</v>
          </cell>
          <cell r="BI59">
            <v>30205</v>
          </cell>
          <cell r="BJ59">
            <v>16</v>
          </cell>
        </row>
        <row r="60">
          <cell r="A60">
            <v>30205</v>
          </cell>
          <cell r="B60">
            <v>37</v>
          </cell>
          <cell r="G60">
            <v>30205</v>
          </cell>
          <cell r="H60">
            <v>2</v>
          </cell>
          <cell r="BI60">
            <v>30301</v>
          </cell>
          <cell r="BJ60">
            <v>1</v>
          </cell>
        </row>
        <row r="61">
          <cell r="A61">
            <v>30206</v>
          </cell>
          <cell r="B61">
            <v>1</v>
          </cell>
          <cell r="G61">
            <v>30302</v>
          </cell>
          <cell r="H61">
            <v>18</v>
          </cell>
          <cell r="BI61">
            <v>30302</v>
          </cell>
          <cell r="BJ61">
            <v>8</v>
          </cell>
        </row>
        <row r="62">
          <cell r="A62">
            <v>30302</v>
          </cell>
          <cell r="B62">
            <v>9</v>
          </cell>
          <cell r="G62">
            <v>30303</v>
          </cell>
          <cell r="H62">
            <v>159</v>
          </cell>
          <cell r="BI62">
            <v>30303</v>
          </cell>
          <cell r="BJ62">
            <v>144</v>
          </cell>
        </row>
        <row r="63">
          <cell r="A63">
            <v>30303</v>
          </cell>
          <cell r="B63">
            <v>117</v>
          </cell>
          <cell r="G63">
            <v>30304</v>
          </cell>
          <cell r="H63">
            <v>2</v>
          </cell>
          <cell r="BI63">
            <v>30304</v>
          </cell>
          <cell r="BJ63">
            <v>2</v>
          </cell>
        </row>
        <row r="64">
          <cell r="A64">
            <v>30304</v>
          </cell>
          <cell r="B64">
            <v>4</v>
          </cell>
          <cell r="G64">
            <v>30305</v>
          </cell>
          <cell r="H64">
            <v>34</v>
          </cell>
          <cell r="BI64">
            <v>30305</v>
          </cell>
          <cell r="BJ64">
            <v>33</v>
          </cell>
        </row>
        <row r="65">
          <cell r="A65">
            <v>30305</v>
          </cell>
          <cell r="B65">
            <v>27</v>
          </cell>
          <cell r="G65">
            <v>30306</v>
          </cell>
          <cell r="H65">
            <v>3</v>
          </cell>
          <cell r="BI65">
            <v>30306</v>
          </cell>
          <cell r="BJ65">
            <v>2</v>
          </cell>
        </row>
        <row r="66">
          <cell r="A66">
            <v>30306</v>
          </cell>
          <cell r="B66">
            <v>3</v>
          </cell>
          <cell r="G66">
            <v>30307</v>
          </cell>
          <cell r="H66">
            <v>738</v>
          </cell>
          <cell r="BI66">
            <v>30307</v>
          </cell>
          <cell r="BJ66">
            <v>484</v>
          </cell>
        </row>
        <row r="67">
          <cell r="A67">
            <v>30307</v>
          </cell>
          <cell r="B67">
            <v>512</v>
          </cell>
          <cell r="G67">
            <v>30308</v>
          </cell>
          <cell r="H67">
            <v>53</v>
          </cell>
          <cell r="BI67">
            <v>30308</v>
          </cell>
          <cell r="BJ67">
            <v>58</v>
          </cell>
        </row>
        <row r="68">
          <cell r="A68">
            <v>30308</v>
          </cell>
          <cell r="B68">
            <v>49</v>
          </cell>
          <cell r="G68">
            <v>30309</v>
          </cell>
          <cell r="H68">
            <v>628</v>
          </cell>
          <cell r="BI68">
            <v>30309</v>
          </cell>
          <cell r="BJ68">
            <v>655</v>
          </cell>
        </row>
        <row r="69">
          <cell r="A69">
            <v>30309</v>
          </cell>
          <cell r="B69">
            <v>544</v>
          </cell>
          <cell r="G69">
            <v>30310</v>
          </cell>
          <cell r="H69">
            <v>124</v>
          </cell>
          <cell r="BI69">
            <v>30310</v>
          </cell>
          <cell r="BJ69">
            <v>126</v>
          </cell>
        </row>
        <row r="70">
          <cell r="A70">
            <v>30310</v>
          </cell>
          <cell r="B70">
            <v>104</v>
          </cell>
          <cell r="G70">
            <v>30401</v>
          </cell>
          <cell r="H70">
            <v>873</v>
          </cell>
          <cell r="BI70">
            <v>30401</v>
          </cell>
          <cell r="BJ70">
            <v>893</v>
          </cell>
        </row>
        <row r="71">
          <cell r="A71">
            <v>30401</v>
          </cell>
          <cell r="B71">
            <v>905</v>
          </cell>
          <cell r="G71">
            <v>30403</v>
          </cell>
          <cell r="H71">
            <v>25</v>
          </cell>
          <cell r="BI71">
            <v>30402</v>
          </cell>
          <cell r="BJ71">
            <v>1</v>
          </cell>
        </row>
        <row r="72">
          <cell r="A72">
            <v>30402</v>
          </cell>
          <cell r="B72">
            <v>5</v>
          </cell>
          <cell r="G72">
            <v>30404</v>
          </cell>
          <cell r="H72">
            <v>19</v>
          </cell>
          <cell r="BI72">
            <v>30403</v>
          </cell>
          <cell r="BJ72">
            <v>20</v>
          </cell>
        </row>
        <row r="73">
          <cell r="A73">
            <v>30403</v>
          </cell>
          <cell r="B73">
            <v>29</v>
          </cell>
          <cell r="G73">
            <v>30405</v>
          </cell>
          <cell r="H73">
            <v>2</v>
          </cell>
          <cell r="BI73">
            <v>30404</v>
          </cell>
          <cell r="BJ73">
            <v>15</v>
          </cell>
        </row>
        <row r="74">
          <cell r="A74">
            <v>30404</v>
          </cell>
          <cell r="B74">
            <v>21</v>
          </cell>
          <cell r="G74">
            <v>30406</v>
          </cell>
          <cell r="H74">
            <v>56</v>
          </cell>
          <cell r="BI74">
            <v>30405</v>
          </cell>
          <cell r="BJ74">
            <v>2</v>
          </cell>
        </row>
        <row r="75">
          <cell r="A75">
            <v>30405</v>
          </cell>
          <cell r="B75">
            <v>2</v>
          </cell>
          <cell r="G75">
            <v>30410</v>
          </cell>
          <cell r="H75">
            <v>1</v>
          </cell>
          <cell r="BI75">
            <v>30406</v>
          </cell>
          <cell r="BJ75">
            <v>60</v>
          </cell>
        </row>
        <row r="76">
          <cell r="A76">
            <v>30406</v>
          </cell>
          <cell r="B76">
            <v>70</v>
          </cell>
          <cell r="G76">
            <v>30412</v>
          </cell>
          <cell r="H76">
            <v>2</v>
          </cell>
          <cell r="BI76">
            <v>30410</v>
          </cell>
          <cell r="BJ76">
            <v>2</v>
          </cell>
        </row>
        <row r="77">
          <cell r="A77">
            <v>30413</v>
          </cell>
          <cell r="B77">
            <v>10</v>
          </cell>
          <cell r="G77">
            <v>30413</v>
          </cell>
          <cell r="H77">
            <v>7</v>
          </cell>
          <cell r="BI77">
            <v>30413</v>
          </cell>
          <cell r="BJ77">
            <v>10</v>
          </cell>
        </row>
        <row r="78">
          <cell r="A78">
            <v>30414</v>
          </cell>
          <cell r="B78">
            <v>100</v>
          </cell>
          <cell r="G78">
            <v>30414</v>
          </cell>
          <cell r="H78">
            <v>82</v>
          </cell>
          <cell r="BI78">
            <v>30414</v>
          </cell>
          <cell r="BJ78">
            <v>99</v>
          </cell>
        </row>
        <row r="79">
          <cell r="A79">
            <v>30415</v>
          </cell>
          <cell r="B79">
            <v>1</v>
          </cell>
          <cell r="G79">
            <v>30415</v>
          </cell>
          <cell r="H79">
            <v>1</v>
          </cell>
          <cell r="BI79">
            <v>30420</v>
          </cell>
          <cell r="BJ79">
            <v>286</v>
          </cell>
        </row>
        <row r="80">
          <cell r="A80">
            <v>30420</v>
          </cell>
          <cell r="B80">
            <v>219</v>
          </cell>
          <cell r="G80">
            <v>30420</v>
          </cell>
          <cell r="H80">
            <v>237</v>
          </cell>
          <cell r="BI80">
            <v>30421</v>
          </cell>
          <cell r="BJ80">
            <v>133</v>
          </cell>
        </row>
        <row r="81">
          <cell r="A81">
            <v>30421</v>
          </cell>
          <cell r="B81">
            <v>129</v>
          </cell>
          <cell r="G81">
            <v>30421</v>
          </cell>
          <cell r="H81">
            <v>106</v>
          </cell>
          <cell r="BI81">
            <v>30430</v>
          </cell>
          <cell r="BJ81">
            <v>399</v>
          </cell>
        </row>
        <row r="82">
          <cell r="A82">
            <v>30430</v>
          </cell>
          <cell r="B82">
            <v>475</v>
          </cell>
          <cell r="G82">
            <v>30430</v>
          </cell>
          <cell r="H82">
            <v>426</v>
          </cell>
          <cell r="BI82">
            <v>30433</v>
          </cell>
          <cell r="BJ82">
            <v>3</v>
          </cell>
        </row>
        <row r="83">
          <cell r="A83">
            <v>30446</v>
          </cell>
          <cell r="B83">
            <v>158</v>
          </cell>
          <cell r="G83">
            <v>30433</v>
          </cell>
          <cell r="H83">
            <v>1</v>
          </cell>
          <cell r="BI83">
            <v>30446</v>
          </cell>
          <cell r="BJ83">
            <v>139</v>
          </cell>
        </row>
        <row r="84">
          <cell r="A84">
            <v>30501</v>
          </cell>
          <cell r="B84">
            <v>3</v>
          </cell>
          <cell r="G84">
            <v>30446</v>
          </cell>
          <cell r="H84">
            <v>129</v>
          </cell>
          <cell r="BI84">
            <v>30503</v>
          </cell>
          <cell r="BJ84">
            <v>924</v>
          </cell>
        </row>
        <row r="85">
          <cell r="A85">
            <v>30503</v>
          </cell>
          <cell r="B85">
            <v>978</v>
          </cell>
          <cell r="G85">
            <v>30501</v>
          </cell>
          <cell r="H85">
            <v>1</v>
          </cell>
          <cell r="BI85">
            <v>30505</v>
          </cell>
          <cell r="BJ85">
            <v>23</v>
          </cell>
        </row>
        <row r="86">
          <cell r="A86">
            <v>30505</v>
          </cell>
          <cell r="B86">
            <v>17</v>
          </cell>
          <cell r="G86">
            <v>30503</v>
          </cell>
          <cell r="H86">
            <v>1000</v>
          </cell>
          <cell r="BI86">
            <v>30601</v>
          </cell>
          <cell r="BJ86">
            <v>8</v>
          </cell>
        </row>
        <row r="87">
          <cell r="A87">
            <v>30601</v>
          </cell>
          <cell r="B87">
            <v>12</v>
          </cell>
          <cell r="G87">
            <v>30505</v>
          </cell>
          <cell r="H87">
            <v>25</v>
          </cell>
          <cell r="BI87">
            <v>30602</v>
          </cell>
          <cell r="BJ87">
            <v>42</v>
          </cell>
        </row>
        <row r="88">
          <cell r="A88">
            <v>30602</v>
          </cell>
          <cell r="B88">
            <v>60</v>
          </cell>
          <cell r="G88">
            <v>30601</v>
          </cell>
          <cell r="H88">
            <v>7</v>
          </cell>
          <cell r="BI88">
            <v>30603</v>
          </cell>
          <cell r="BJ88">
            <v>13</v>
          </cell>
        </row>
        <row r="89">
          <cell r="A89">
            <v>30603</v>
          </cell>
          <cell r="B89">
            <v>11</v>
          </cell>
          <cell r="G89">
            <v>30602</v>
          </cell>
          <cell r="H89">
            <v>43</v>
          </cell>
          <cell r="BI89">
            <v>30606</v>
          </cell>
          <cell r="BJ89">
            <v>325</v>
          </cell>
        </row>
        <row r="90">
          <cell r="A90">
            <v>30606</v>
          </cell>
          <cell r="B90">
            <v>175</v>
          </cell>
          <cell r="G90">
            <v>30603</v>
          </cell>
          <cell r="H90">
            <v>9</v>
          </cell>
          <cell r="BI90">
            <v>30607</v>
          </cell>
          <cell r="BJ90">
            <v>8</v>
          </cell>
        </row>
        <row r="91">
          <cell r="A91">
            <v>30607</v>
          </cell>
          <cell r="B91">
            <v>9</v>
          </cell>
          <cell r="G91">
            <v>30606</v>
          </cell>
          <cell r="H91">
            <v>189</v>
          </cell>
          <cell r="BI91">
            <v>30701</v>
          </cell>
          <cell r="BJ91">
            <v>1</v>
          </cell>
        </row>
        <row r="92">
          <cell r="A92">
            <v>30701</v>
          </cell>
          <cell r="B92">
            <v>7</v>
          </cell>
          <cell r="G92">
            <v>30607</v>
          </cell>
          <cell r="H92">
            <v>5</v>
          </cell>
          <cell r="BI92">
            <v>30703</v>
          </cell>
          <cell r="BJ92">
            <v>4</v>
          </cell>
        </row>
        <row r="93">
          <cell r="A93">
            <v>30703</v>
          </cell>
          <cell r="B93">
            <v>4</v>
          </cell>
          <cell r="G93">
            <v>30701</v>
          </cell>
          <cell r="H93">
            <v>5</v>
          </cell>
          <cell r="BI93">
            <v>30708</v>
          </cell>
          <cell r="BJ93">
            <v>2</v>
          </cell>
        </row>
        <row r="94">
          <cell r="A94">
            <v>30708</v>
          </cell>
          <cell r="B94">
            <v>1</v>
          </cell>
          <cell r="G94">
            <v>30703</v>
          </cell>
          <cell r="H94">
            <v>4</v>
          </cell>
          <cell r="BI94">
            <v>30711</v>
          </cell>
          <cell r="BJ94">
            <v>1</v>
          </cell>
        </row>
        <row r="95">
          <cell r="A95">
            <v>30711</v>
          </cell>
          <cell r="B95">
            <v>1</v>
          </cell>
          <cell r="G95">
            <v>30708</v>
          </cell>
          <cell r="H95">
            <v>1</v>
          </cell>
          <cell r="BI95">
            <v>30802</v>
          </cell>
          <cell r="BJ95">
            <v>1</v>
          </cell>
        </row>
        <row r="96">
          <cell r="A96">
            <v>30806</v>
          </cell>
          <cell r="B96">
            <v>3</v>
          </cell>
          <cell r="G96">
            <v>30805</v>
          </cell>
          <cell r="H96">
            <v>2</v>
          </cell>
          <cell r="BI96">
            <v>30805</v>
          </cell>
          <cell r="BJ96">
            <v>1</v>
          </cell>
        </row>
        <row r="97">
          <cell r="A97">
            <v>30809</v>
          </cell>
          <cell r="B97">
            <v>12</v>
          </cell>
          <cell r="G97">
            <v>30806</v>
          </cell>
          <cell r="H97">
            <v>3</v>
          </cell>
          <cell r="BI97">
            <v>30806</v>
          </cell>
          <cell r="BJ97">
            <v>6</v>
          </cell>
        </row>
        <row r="98">
          <cell r="A98">
            <v>30903</v>
          </cell>
          <cell r="B98">
            <v>150</v>
          </cell>
          <cell r="G98">
            <v>30809</v>
          </cell>
          <cell r="H98">
            <v>3</v>
          </cell>
          <cell r="BI98">
            <v>30808</v>
          </cell>
          <cell r="BJ98">
            <v>1</v>
          </cell>
        </row>
        <row r="99">
          <cell r="A99">
            <v>30904</v>
          </cell>
          <cell r="B99">
            <v>602</v>
          </cell>
          <cell r="G99">
            <v>30903</v>
          </cell>
          <cell r="H99">
            <v>187</v>
          </cell>
          <cell r="BI99">
            <v>30809</v>
          </cell>
          <cell r="BJ99">
            <v>1</v>
          </cell>
        </row>
        <row r="100">
          <cell r="A100">
            <v>30905</v>
          </cell>
          <cell r="B100">
            <v>9</v>
          </cell>
          <cell r="G100">
            <v>30904</v>
          </cell>
          <cell r="H100">
            <v>642</v>
          </cell>
          <cell r="BI100">
            <v>30903</v>
          </cell>
          <cell r="BJ100">
            <v>168</v>
          </cell>
        </row>
        <row r="101">
          <cell r="A101">
            <v>30906</v>
          </cell>
          <cell r="B101">
            <v>8</v>
          </cell>
          <cell r="G101">
            <v>30905</v>
          </cell>
          <cell r="H101">
            <v>19</v>
          </cell>
          <cell r="BI101">
            <v>30904</v>
          </cell>
          <cell r="BJ101">
            <v>530</v>
          </cell>
        </row>
        <row r="102">
          <cell r="A102">
            <v>30907</v>
          </cell>
          <cell r="B102">
            <v>955</v>
          </cell>
          <cell r="G102">
            <v>30906</v>
          </cell>
          <cell r="H102">
            <v>18</v>
          </cell>
          <cell r="BI102">
            <v>30905</v>
          </cell>
          <cell r="BJ102">
            <v>26</v>
          </cell>
        </row>
        <row r="103">
          <cell r="A103">
            <v>30908</v>
          </cell>
          <cell r="B103">
            <v>7</v>
          </cell>
          <cell r="G103">
            <v>30907</v>
          </cell>
          <cell r="H103">
            <v>928</v>
          </cell>
          <cell r="BI103">
            <v>30906</v>
          </cell>
          <cell r="BJ103">
            <v>5</v>
          </cell>
        </row>
        <row r="104">
          <cell r="A104">
            <v>31001</v>
          </cell>
          <cell r="B104">
            <v>129</v>
          </cell>
          <cell r="G104">
            <v>30908</v>
          </cell>
          <cell r="H104">
            <v>5</v>
          </cell>
          <cell r="BI104">
            <v>30907</v>
          </cell>
          <cell r="BJ104">
            <v>837</v>
          </cell>
        </row>
        <row r="105">
          <cell r="A105">
            <v>31002</v>
          </cell>
          <cell r="B105">
            <v>24</v>
          </cell>
          <cell r="G105">
            <v>31001</v>
          </cell>
          <cell r="H105">
            <v>114</v>
          </cell>
          <cell r="BI105">
            <v>30908</v>
          </cell>
          <cell r="BJ105">
            <v>8</v>
          </cell>
        </row>
        <row r="106">
          <cell r="A106">
            <v>31003</v>
          </cell>
          <cell r="B106">
            <v>5</v>
          </cell>
          <cell r="G106">
            <v>31002</v>
          </cell>
          <cell r="H106">
            <v>38</v>
          </cell>
          <cell r="BI106">
            <v>31001</v>
          </cell>
          <cell r="BJ106">
            <v>101</v>
          </cell>
        </row>
        <row r="107">
          <cell r="A107">
            <v>31004</v>
          </cell>
          <cell r="B107">
            <v>1</v>
          </cell>
          <cell r="G107">
            <v>31004</v>
          </cell>
          <cell r="H107">
            <v>1</v>
          </cell>
          <cell r="BI107">
            <v>31002</v>
          </cell>
          <cell r="BJ107">
            <v>27</v>
          </cell>
        </row>
        <row r="108">
          <cell r="A108">
            <v>31007</v>
          </cell>
          <cell r="B108">
            <v>3</v>
          </cell>
          <cell r="G108">
            <v>31007</v>
          </cell>
          <cell r="H108">
            <v>7</v>
          </cell>
          <cell r="BI108">
            <v>31003</v>
          </cell>
          <cell r="BJ108">
            <v>1</v>
          </cell>
        </row>
        <row r="109">
          <cell r="A109">
            <v>31008</v>
          </cell>
          <cell r="B109">
            <v>7</v>
          </cell>
          <cell r="G109">
            <v>31008</v>
          </cell>
          <cell r="H109">
            <v>4</v>
          </cell>
          <cell r="BI109">
            <v>31007</v>
          </cell>
          <cell r="BJ109">
            <v>8</v>
          </cell>
        </row>
        <row r="110">
          <cell r="A110">
            <v>31010</v>
          </cell>
          <cell r="B110">
            <v>3</v>
          </cell>
          <cell r="G110">
            <v>31010</v>
          </cell>
          <cell r="H110">
            <v>5</v>
          </cell>
          <cell r="BI110">
            <v>31008</v>
          </cell>
          <cell r="BJ110">
            <v>9</v>
          </cell>
        </row>
        <row r="111">
          <cell r="A111">
            <v>31013</v>
          </cell>
          <cell r="B111">
            <v>2</v>
          </cell>
          <cell r="G111">
            <v>31013</v>
          </cell>
          <cell r="H111">
            <v>1</v>
          </cell>
          <cell r="BI111">
            <v>31010</v>
          </cell>
          <cell r="BJ111">
            <v>4</v>
          </cell>
        </row>
        <row r="112">
          <cell r="A112">
            <v>31015</v>
          </cell>
          <cell r="B112">
            <v>108</v>
          </cell>
          <cell r="G112">
            <v>31015</v>
          </cell>
          <cell r="H112">
            <v>97</v>
          </cell>
          <cell r="BI112">
            <v>31013</v>
          </cell>
          <cell r="BJ112">
            <v>2</v>
          </cell>
        </row>
        <row r="113">
          <cell r="A113">
            <v>31103</v>
          </cell>
          <cell r="B113">
            <v>47</v>
          </cell>
          <cell r="G113">
            <v>31103</v>
          </cell>
          <cell r="H113">
            <v>39</v>
          </cell>
          <cell r="BI113">
            <v>31015</v>
          </cell>
          <cell r="BJ113">
            <v>109</v>
          </cell>
        </row>
        <row r="114">
          <cell r="A114">
            <v>31104</v>
          </cell>
          <cell r="B114">
            <v>275</v>
          </cell>
          <cell r="G114">
            <v>31104</v>
          </cell>
          <cell r="H114">
            <v>281</v>
          </cell>
          <cell r="BI114">
            <v>31103</v>
          </cell>
          <cell r="BJ114">
            <v>44</v>
          </cell>
        </row>
        <row r="115">
          <cell r="A115">
            <v>31105</v>
          </cell>
          <cell r="B115">
            <v>166</v>
          </cell>
          <cell r="G115">
            <v>31105</v>
          </cell>
          <cell r="H115">
            <v>174</v>
          </cell>
          <cell r="BI115">
            <v>31104</v>
          </cell>
          <cell r="BJ115">
            <v>315</v>
          </cell>
        </row>
        <row r="116">
          <cell r="A116">
            <v>31108</v>
          </cell>
          <cell r="B116">
            <v>5</v>
          </cell>
          <cell r="G116">
            <v>31108</v>
          </cell>
          <cell r="H116">
            <v>1</v>
          </cell>
          <cell r="BI116">
            <v>31105</v>
          </cell>
          <cell r="BJ116">
            <v>170</v>
          </cell>
        </row>
        <row r="117">
          <cell r="A117">
            <v>31109</v>
          </cell>
          <cell r="B117">
            <v>8</v>
          </cell>
          <cell r="G117">
            <v>31109</v>
          </cell>
          <cell r="H117">
            <v>8</v>
          </cell>
          <cell r="BI117">
            <v>31108</v>
          </cell>
          <cell r="BJ117">
            <v>3</v>
          </cell>
        </row>
        <row r="118">
          <cell r="A118">
            <v>31112</v>
          </cell>
          <cell r="B118">
            <v>271</v>
          </cell>
          <cell r="G118">
            <v>31111</v>
          </cell>
          <cell r="H118">
            <v>1</v>
          </cell>
          <cell r="BI118">
            <v>31109</v>
          </cell>
          <cell r="BJ118">
            <v>8</v>
          </cell>
        </row>
        <row r="119">
          <cell r="A119">
            <v>31113</v>
          </cell>
          <cell r="B119">
            <v>26</v>
          </cell>
          <cell r="G119">
            <v>31112</v>
          </cell>
          <cell r="H119">
            <v>284</v>
          </cell>
          <cell r="BI119">
            <v>31112</v>
          </cell>
          <cell r="BJ119">
            <v>267</v>
          </cell>
        </row>
        <row r="120">
          <cell r="A120">
            <v>31114</v>
          </cell>
          <cell r="B120">
            <v>494</v>
          </cell>
          <cell r="G120">
            <v>31113</v>
          </cell>
          <cell r="H120">
            <v>29</v>
          </cell>
          <cell r="BI120">
            <v>31113</v>
          </cell>
          <cell r="BJ120">
            <v>26</v>
          </cell>
        </row>
        <row r="121">
          <cell r="A121">
            <v>40102</v>
          </cell>
          <cell r="B121">
            <v>4</v>
          </cell>
          <cell r="G121">
            <v>31114</v>
          </cell>
          <cell r="H121">
            <v>483</v>
          </cell>
          <cell r="BI121">
            <v>31114</v>
          </cell>
          <cell r="BJ121">
            <v>515</v>
          </cell>
        </row>
        <row r="122">
          <cell r="A122">
            <v>40103</v>
          </cell>
          <cell r="B122">
            <v>1</v>
          </cell>
          <cell r="G122">
            <v>40102</v>
          </cell>
          <cell r="H122">
            <v>8</v>
          </cell>
          <cell r="BI122">
            <v>40102</v>
          </cell>
          <cell r="BJ122">
            <v>6</v>
          </cell>
        </row>
        <row r="123">
          <cell r="A123">
            <v>40104</v>
          </cell>
          <cell r="B123">
            <v>7</v>
          </cell>
          <cell r="G123">
            <v>40104</v>
          </cell>
          <cell r="H123">
            <v>11</v>
          </cell>
          <cell r="BI123">
            <v>40104</v>
          </cell>
          <cell r="BJ123">
            <v>4</v>
          </cell>
        </row>
        <row r="124">
          <cell r="A124">
            <v>40105</v>
          </cell>
          <cell r="B124">
            <v>7</v>
          </cell>
          <cell r="G124">
            <v>40105</v>
          </cell>
          <cell r="H124">
            <v>11</v>
          </cell>
          <cell r="BI124">
            <v>40105</v>
          </cell>
          <cell r="BJ124">
            <v>3</v>
          </cell>
        </row>
        <row r="125">
          <cell r="A125">
            <v>40106</v>
          </cell>
          <cell r="B125">
            <v>12</v>
          </cell>
          <cell r="G125">
            <v>40106</v>
          </cell>
          <cell r="H125">
            <v>15</v>
          </cell>
          <cell r="BI125">
            <v>40106</v>
          </cell>
          <cell r="BJ125">
            <v>17</v>
          </cell>
        </row>
        <row r="126">
          <cell r="A126">
            <v>40107</v>
          </cell>
          <cell r="B126">
            <v>11</v>
          </cell>
          <cell r="G126">
            <v>40107</v>
          </cell>
          <cell r="H126">
            <v>11</v>
          </cell>
          <cell r="BI126">
            <v>40107</v>
          </cell>
          <cell r="BJ126">
            <v>5</v>
          </cell>
        </row>
        <row r="127">
          <cell r="A127">
            <v>40110</v>
          </cell>
          <cell r="B127">
            <v>2</v>
          </cell>
          <cell r="G127">
            <v>40110</v>
          </cell>
          <cell r="H127">
            <v>1</v>
          </cell>
          <cell r="BI127">
            <v>40110</v>
          </cell>
          <cell r="BJ127">
            <v>4</v>
          </cell>
        </row>
        <row r="128">
          <cell r="A128">
            <v>50101</v>
          </cell>
          <cell r="B128">
            <v>44</v>
          </cell>
          <cell r="G128">
            <v>50101</v>
          </cell>
          <cell r="H128">
            <v>56</v>
          </cell>
          <cell r="BI128">
            <v>50101</v>
          </cell>
          <cell r="BJ128">
            <v>37</v>
          </cell>
        </row>
        <row r="129">
          <cell r="A129">
            <v>50102</v>
          </cell>
          <cell r="B129">
            <v>19</v>
          </cell>
          <cell r="G129">
            <v>50102</v>
          </cell>
          <cell r="H129">
            <v>17</v>
          </cell>
          <cell r="BI129">
            <v>50102</v>
          </cell>
          <cell r="BJ129">
            <v>25</v>
          </cell>
        </row>
        <row r="130">
          <cell r="A130">
            <v>50103</v>
          </cell>
          <cell r="B130">
            <v>3</v>
          </cell>
          <cell r="G130">
            <v>50103</v>
          </cell>
          <cell r="H130">
            <v>2</v>
          </cell>
          <cell r="BI130">
            <v>50103</v>
          </cell>
          <cell r="BJ130">
            <v>3</v>
          </cell>
        </row>
        <row r="131">
          <cell r="A131">
            <v>50104</v>
          </cell>
          <cell r="B131">
            <v>3</v>
          </cell>
          <cell r="G131">
            <v>50104</v>
          </cell>
          <cell r="H131">
            <v>3</v>
          </cell>
          <cell r="BI131">
            <v>50104</v>
          </cell>
          <cell r="BJ131">
            <v>5</v>
          </cell>
        </row>
        <row r="132">
          <cell r="A132">
            <v>50107</v>
          </cell>
          <cell r="B132">
            <v>17</v>
          </cell>
          <cell r="G132">
            <v>50106</v>
          </cell>
          <cell r="H132">
            <v>1</v>
          </cell>
          <cell r="BI132">
            <v>50106</v>
          </cell>
          <cell r="BJ132">
            <v>1</v>
          </cell>
        </row>
        <row r="133">
          <cell r="A133">
            <v>50108</v>
          </cell>
          <cell r="B133">
            <v>47</v>
          </cell>
          <cell r="G133">
            <v>50107</v>
          </cell>
          <cell r="H133">
            <v>23</v>
          </cell>
          <cell r="BI133">
            <v>50107</v>
          </cell>
          <cell r="BJ133">
            <v>26</v>
          </cell>
        </row>
        <row r="134">
          <cell r="A134">
            <v>50201</v>
          </cell>
          <cell r="B134">
            <v>2</v>
          </cell>
          <cell r="G134">
            <v>50108</v>
          </cell>
          <cell r="H134">
            <v>41</v>
          </cell>
          <cell r="BI134">
            <v>50108</v>
          </cell>
          <cell r="BJ134">
            <v>42</v>
          </cell>
        </row>
        <row r="135">
          <cell r="A135">
            <v>50202</v>
          </cell>
          <cell r="B135">
            <v>1</v>
          </cell>
          <cell r="G135">
            <v>50201</v>
          </cell>
          <cell r="H135">
            <v>9</v>
          </cell>
          <cell r="BI135">
            <v>50201</v>
          </cell>
          <cell r="BJ135">
            <v>6</v>
          </cell>
        </row>
        <row r="136">
          <cell r="A136">
            <v>50203</v>
          </cell>
          <cell r="B136">
            <v>101</v>
          </cell>
          <cell r="G136">
            <v>50202</v>
          </cell>
          <cell r="H136">
            <v>3</v>
          </cell>
          <cell r="BI136">
            <v>50203</v>
          </cell>
          <cell r="BJ136">
            <v>73</v>
          </cell>
        </row>
        <row r="137">
          <cell r="A137">
            <v>50301</v>
          </cell>
          <cell r="B137">
            <v>257</v>
          </cell>
          <cell r="G137">
            <v>50203</v>
          </cell>
          <cell r="H137">
            <v>67</v>
          </cell>
          <cell r="BI137">
            <v>50301</v>
          </cell>
          <cell r="BJ137">
            <v>246</v>
          </cell>
        </row>
        <row r="138">
          <cell r="A138">
            <v>50302</v>
          </cell>
          <cell r="B138">
            <v>15</v>
          </cell>
          <cell r="G138">
            <v>50301</v>
          </cell>
          <cell r="H138">
            <v>333</v>
          </cell>
          <cell r="BI138">
            <v>50302</v>
          </cell>
          <cell r="BJ138">
            <v>7</v>
          </cell>
        </row>
        <row r="139">
          <cell r="A139">
            <v>50303</v>
          </cell>
          <cell r="B139">
            <v>7</v>
          </cell>
          <cell r="G139">
            <v>50302</v>
          </cell>
          <cell r="H139">
            <v>3</v>
          </cell>
          <cell r="BI139">
            <v>50303</v>
          </cell>
          <cell r="BJ139">
            <v>5</v>
          </cell>
        </row>
        <row r="140">
          <cell r="A140">
            <v>50304</v>
          </cell>
          <cell r="B140">
            <v>25</v>
          </cell>
          <cell r="G140">
            <v>50303</v>
          </cell>
          <cell r="H140">
            <v>3</v>
          </cell>
          <cell r="BI140">
            <v>50304</v>
          </cell>
          <cell r="BJ140">
            <v>46</v>
          </cell>
        </row>
        <row r="141">
          <cell r="A141">
            <v>50305</v>
          </cell>
          <cell r="B141">
            <v>47</v>
          </cell>
          <cell r="G141">
            <v>50304</v>
          </cell>
          <cell r="H141">
            <v>18</v>
          </cell>
          <cell r="BI141">
            <v>50305</v>
          </cell>
          <cell r="BJ141">
            <v>53</v>
          </cell>
        </row>
        <row r="142">
          <cell r="A142">
            <v>60102</v>
          </cell>
          <cell r="B142">
            <v>2</v>
          </cell>
          <cell r="G142">
            <v>50305</v>
          </cell>
          <cell r="H142">
            <v>58</v>
          </cell>
          <cell r="BI142">
            <v>60102</v>
          </cell>
          <cell r="BJ142">
            <v>2</v>
          </cell>
        </row>
        <row r="143">
          <cell r="A143">
            <v>70101</v>
          </cell>
          <cell r="B143">
            <v>189</v>
          </cell>
          <cell r="G143">
            <v>60102</v>
          </cell>
          <cell r="H143">
            <v>5</v>
          </cell>
          <cell r="BI143">
            <v>70101</v>
          </cell>
          <cell r="BJ143">
            <v>207</v>
          </cell>
        </row>
        <row r="144">
          <cell r="A144">
            <v>70103</v>
          </cell>
          <cell r="B144">
            <v>56</v>
          </cell>
          <cell r="G144">
            <v>70101</v>
          </cell>
          <cell r="H144">
            <v>116</v>
          </cell>
          <cell r="BI144">
            <v>70103</v>
          </cell>
          <cell r="BJ144">
            <v>49</v>
          </cell>
        </row>
        <row r="145">
          <cell r="A145">
            <v>70104</v>
          </cell>
          <cell r="B145">
            <v>2239</v>
          </cell>
          <cell r="G145">
            <v>70103</v>
          </cell>
          <cell r="H145">
            <v>36</v>
          </cell>
          <cell r="BI145">
            <v>70104</v>
          </cell>
          <cell r="BJ145">
            <v>2946</v>
          </cell>
        </row>
        <row r="146">
          <cell r="A146">
            <v>70105</v>
          </cell>
          <cell r="B146">
            <v>6663</v>
          </cell>
          <cell r="G146">
            <v>70104</v>
          </cell>
          <cell r="H146">
            <v>1289</v>
          </cell>
          <cell r="BI146">
            <v>70105</v>
          </cell>
          <cell r="BJ146">
            <v>11178</v>
          </cell>
        </row>
        <row r="147">
          <cell r="A147">
            <v>70106</v>
          </cell>
          <cell r="B147">
            <v>231</v>
          </cell>
          <cell r="G147">
            <v>70105</v>
          </cell>
          <cell r="H147">
            <v>3600</v>
          </cell>
          <cell r="BI147">
            <v>70106</v>
          </cell>
          <cell r="BJ147">
            <v>236</v>
          </cell>
        </row>
        <row r="148">
          <cell r="A148">
            <v>70107</v>
          </cell>
          <cell r="B148">
            <v>715</v>
          </cell>
          <cell r="G148">
            <v>70106</v>
          </cell>
          <cell r="H148">
            <v>106</v>
          </cell>
          <cell r="BI148">
            <v>70107</v>
          </cell>
          <cell r="BJ148">
            <v>945</v>
          </cell>
        </row>
        <row r="149">
          <cell r="A149">
            <v>70108</v>
          </cell>
          <cell r="B149">
            <v>23217</v>
          </cell>
          <cell r="G149">
            <v>70107</v>
          </cell>
          <cell r="H149">
            <v>421</v>
          </cell>
          <cell r="BI149">
            <v>70108</v>
          </cell>
          <cell r="BJ149">
            <v>26199</v>
          </cell>
        </row>
        <row r="150">
          <cell r="A150">
            <v>0</v>
          </cell>
          <cell r="B150">
            <v>0</v>
          </cell>
          <cell r="G150">
            <v>70108</v>
          </cell>
          <cell r="H150">
            <v>17492</v>
          </cell>
        </row>
        <row r="151">
          <cell r="A151">
            <v>0</v>
          </cell>
          <cell r="B151">
            <v>0</v>
          </cell>
        </row>
        <row r="152">
          <cell r="A152">
            <v>0</v>
          </cell>
          <cell r="B152">
            <v>0</v>
          </cell>
        </row>
        <row r="153">
          <cell r="A153">
            <v>0</v>
          </cell>
          <cell r="B153">
            <v>0</v>
          </cell>
        </row>
        <row r="154">
          <cell r="A154">
            <v>0</v>
          </cell>
          <cell r="B154">
            <v>0</v>
          </cell>
        </row>
        <row r="155">
          <cell r="A155">
            <v>0</v>
          </cell>
          <cell r="B155">
            <v>0</v>
          </cell>
        </row>
        <row r="156">
          <cell r="A156">
            <v>0</v>
          </cell>
          <cell r="B156">
            <v>0</v>
          </cell>
        </row>
        <row r="157">
          <cell r="A157">
            <v>0</v>
          </cell>
          <cell r="B157">
            <v>0</v>
          </cell>
        </row>
        <row r="158">
          <cell r="A158">
            <v>0</v>
          </cell>
          <cell r="B158">
            <v>0</v>
          </cell>
        </row>
        <row r="159">
          <cell r="A159">
            <v>0</v>
          </cell>
          <cell r="B159">
            <v>0</v>
          </cell>
        </row>
        <row r="160">
          <cell r="A160">
            <v>0</v>
          </cell>
          <cell r="B160">
            <v>0</v>
          </cell>
        </row>
        <row r="161">
          <cell r="A161">
            <v>0</v>
          </cell>
          <cell r="B161">
            <v>0</v>
          </cell>
        </row>
        <row r="162">
          <cell r="A162">
            <v>0</v>
          </cell>
          <cell r="B162">
            <v>0</v>
          </cell>
        </row>
        <row r="163">
          <cell r="A163">
            <v>0</v>
          </cell>
          <cell r="B163">
            <v>0</v>
          </cell>
        </row>
        <row r="164">
          <cell r="A164">
            <v>0</v>
          </cell>
          <cell r="B164">
            <v>0</v>
          </cell>
        </row>
        <row r="165">
          <cell r="A165">
            <v>0</v>
          </cell>
          <cell r="B165">
            <v>0</v>
          </cell>
        </row>
        <row r="166">
          <cell r="A166">
            <v>0</v>
          </cell>
          <cell r="B166">
            <v>0</v>
          </cell>
        </row>
        <row r="167">
          <cell r="A167">
            <v>0</v>
          </cell>
          <cell r="B167">
            <v>0</v>
          </cell>
        </row>
        <row r="168">
          <cell r="A168">
            <v>0</v>
          </cell>
          <cell r="B168">
            <v>0</v>
          </cell>
        </row>
        <row r="169">
          <cell r="A169">
            <v>0</v>
          </cell>
          <cell r="B169">
            <v>0</v>
          </cell>
        </row>
        <row r="170">
          <cell r="A170">
            <v>0</v>
          </cell>
          <cell r="B170">
            <v>0</v>
          </cell>
        </row>
        <row r="171">
          <cell r="A171">
            <v>0</v>
          </cell>
          <cell r="B171">
            <v>0</v>
          </cell>
        </row>
        <row r="172">
          <cell r="A172">
            <v>0</v>
          </cell>
          <cell r="B172">
            <v>0</v>
          </cell>
        </row>
        <row r="173">
          <cell r="A173">
            <v>0</v>
          </cell>
          <cell r="B173">
            <v>0</v>
          </cell>
        </row>
        <row r="174">
          <cell r="A174">
            <v>0</v>
          </cell>
          <cell r="B174">
            <v>0</v>
          </cell>
        </row>
        <row r="175">
          <cell r="A175">
            <v>0</v>
          </cell>
          <cell r="B175">
            <v>0</v>
          </cell>
        </row>
        <row r="176">
          <cell r="A176">
            <v>0</v>
          </cell>
          <cell r="B176">
            <v>0</v>
          </cell>
        </row>
        <row r="177">
          <cell r="A177">
            <v>0</v>
          </cell>
          <cell r="B177">
            <v>0</v>
          </cell>
        </row>
        <row r="178">
          <cell r="A178">
            <v>0</v>
          </cell>
          <cell r="B178">
            <v>0</v>
          </cell>
        </row>
        <row r="179">
          <cell r="A179">
            <v>0</v>
          </cell>
          <cell r="B179">
            <v>0</v>
          </cell>
        </row>
        <row r="180">
          <cell r="A180">
            <v>0</v>
          </cell>
          <cell r="B180">
            <v>0</v>
          </cell>
        </row>
        <row r="181">
          <cell r="A181">
            <v>0</v>
          </cell>
          <cell r="B181">
            <v>0</v>
          </cell>
        </row>
        <row r="182">
          <cell r="A182">
            <v>0</v>
          </cell>
          <cell r="B182">
            <v>0</v>
          </cell>
        </row>
        <row r="183">
          <cell r="A183">
            <v>0</v>
          </cell>
          <cell r="B183">
            <v>0</v>
          </cell>
        </row>
        <row r="184">
          <cell r="A184">
            <v>0</v>
          </cell>
          <cell r="B184">
            <v>0</v>
          </cell>
        </row>
        <row r="185">
          <cell r="A185">
            <v>0</v>
          </cell>
          <cell r="B185">
            <v>0</v>
          </cell>
        </row>
        <row r="186">
          <cell r="A186">
            <v>0</v>
          </cell>
          <cell r="B186">
            <v>0</v>
          </cell>
        </row>
        <row r="187">
          <cell r="A187">
            <v>0</v>
          </cell>
          <cell r="B187">
            <v>0</v>
          </cell>
        </row>
        <row r="188">
          <cell r="A188">
            <v>0</v>
          </cell>
          <cell r="B188">
            <v>0</v>
          </cell>
        </row>
        <row r="189">
          <cell r="A189">
            <v>0</v>
          </cell>
          <cell r="B189">
            <v>0</v>
          </cell>
        </row>
        <row r="190">
          <cell r="A190">
            <v>0</v>
          </cell>
          <cell r="B190">
            <v>0</v>
          </cell>
        </row>
        <row r="191">
          <cell r="A191">
            <v>0</v>
          </cell>
          <cell r="B191">
            <v>0</v>
          </cell>
        </row>
        <row r="192">
          <cell r="A192">
            <v>0</v>
          </cell>
          <cell r="B192">
            <v>0</v>
          </cell>
        </row>
        <row r="193">
          <cell r="A193">
            <v>0</v>
          </cell>
          <cell r="B193">
            <v>0</v>
          </cell>
        </row>
        <row r="194">
          <cell r="A194">
            <v>0</v>
          </cell>
          <cell r="B194">
            <v>0</v>
          </cell>
        </row>
        <row r="195">
          <cell r="A195">
            <v>0</v>
          </cell>
          <cell r="B195">
            <v>0</v>
          </cell>
        </row>
        <row r="196">
          <cell r="A196">
            <v>0</v>
          </cell>
          <cell r="B196">
            <v>0</v>
          </cell>
        </row>
        <row r="197">
          <cell r="A197">
            <v>0</v>
          </cell>
          <cell r="B197">
            <v>0</v>
          </cell>
        </row>
        <row r="198">
          <cell r="A198">
            <v>0</v>
          </cell>
          <cell r="B198">
            <v>0</v>
          </cell>
        </row>
        <row r="199">
          <cell r="A199">
            <v>0</v>
          </cell>
          <cell r="B199">
            <v>0</v>
          </cell>
        </row>
        <row r="200">
          <cell r="A200">
            <v>0</v>
          </cell>
          <cell r="B200">
            <v>0</v>
          </cell>
        </row>
        <row r="201">
          <cell r="A201">
            <v>0</v>
          </cell>
          <cell r="B201">
            <v>0</v>
          </cell>
        </row>
        <row r="202">
          <cell r="A202">
            <v>0</v>
          </cell>
          <cell r="B202">
            <v>0</v>
          </cell>
        </row>
        <row r="203">
          <cell r="A203">
            <v>0</v>
          </cell>
          <cell r="B203">
            <v>0</v>
          </cell>
        </row>
        <row r="204">
          <cell r="A204">
            <v>0</v>
          </cell>
          <cell r="B204">
            <v>0</v>
          </cell>
        </row>
        <row r="205">
          <cell r="A205">
            <v>0</v>
          </cell>
          <cell r="B205">
            <v>0</v>
          </cell>
        </row>
        <row r="206">
          <cell r="A206">
            <v>0</v>
          </cell>
          <cell r="B206">
            <v>0</v>
          </cell>
        </row>
        <row r="207">
          <cell r="A207">
            <v>0</v>
          </cell>
          <cell r="B207">
            <v>0</v>
          </cell>
        </row>
        <row r="208">
          <cell r="A208">
            <v>0</v>
          </cell>
          <cell r="B208">
            <v>0</v>
          </cell>
        </row>
        <row r="209">
          <cell r="A209">
            <v>0</v>
          </cell>
          <cell r="B209">
            <v>0</v>
          </cell>
        </row>
        <row r="210">
          <cell r="A210">
            <v>0</v>
          </cell>
          <cell r="B210">
            <v>0</v>
          </cell>
        </row>
        <row r="211">
          <cell r="A211">
            <v>0</v>
          </cell>
          <cell r="B211">
            <v>0</v>
          </cell>
        </row>
        <row r="212">
          <cell r="A212">
            <v>0</v>
          </cell>
          <cell r="B212">
            <v>0</v>
          </cell>
        </row>
        <row r="213">
          <cell r="A213">
            <v>0</v>
          </cell>
          <cell r="B213">
            <v>0</v>
          </cell>
        </row>
        <row r="214">
          <cell r="A214">
            <v>0</v>
          </cell>
          <cell r="B214">
            <v>0</v>
          </cell>
        </row>
        <row r="215">
          <cell r="A215">
            <v>0</v>
          </cell>
          <cell r="B215">
            <v>0</v>
          </cell>
        </row>
        <row r="216">
          <cell r="A216">
            <v>0</v>
          </cell>
          <cell r="B216">
            <v>0</v>
          </cell>
        </row>
        <row r="217">
          <cell r="A217">
            <v>0</v>
          </cell>
          <cell r="B217">
            <v>0</v>
          </cell>
        </row>
        <row r="218">
          <cell r="A218">
            <v>0</v>
          </cell>
          <cell r="B218">
            <v>0</v>
          </cell>
        </row>
        <row r="219">
          <cell r="A219">
            <v>0</v>
          </cell>
          <cell r="B219">
            <v>0</v>
          </cell>
        </row>
        <row r="220">
          <cell r="A220">
            <v>0</v>
          </cell>
          <cell r="B220">
            <v>0</v>
          </cell>
        </row>
        <row r="221">
          <cell r="A221">
            <v>0</v>
          </cell>
          <cell r="B221">
            <v>0</v>
          </cell>
        </row>
        <row r="222">
          <cell r="A222">
            <v>0</v>
          </cell>
          <cell r="B222">
            <v>0</v>
          </cell>
        </row>
        <row r="223">
          <cell r="A223">
            <v>0</v>
          </cell>
          <cell r="B223">
            <v>0</v>
          </cell>
        </row>
        <row r="224">
          <cell r="A224">
            <v>0</v>
          </cell>
          <cell r="B224">
            <v>0</v>
          </cell>
        </row>
        <row r="225">
          <cell r="A225">
            <v>0</v>
          </cell>
          <cell r="B225">
            <v>0</v>
          </cell>
        </row>
        <row r="226">
          <cell r="A226">
            <v>0</v>
          </cell>
          <cell r="B226">
            <v>0</v>
          </cell>
        </row>
        <row r="227">
          <cell r="A227">
            <v>0</v>
          </cell>
          <cell r="B227">
            <v>0</v>
          </cell>
        </row>
        <row r="228">
          <cell r="A228">
            <v>0</v>
          </cell>
          <cell r="B228">
            <v>0</v>
          </cell>
        </row>
        <row r="229">
          <cell r="A229">
            <v>0</v>
          </cell>
          <cell r="B229">
            <v>0</v>
          </cell>
        </row>
        <row r="230">
          <cell r="A230">
            <v>0</v>
          </cell>
          <cell r="B230">
            <v>0</v>
          </cell>
        </row>
        <row r="231">
          <cell r="A231">
            <v>0</v>
          </cell>
          <cell r="B231">
            <v>0</v>
          </cell>
        </row>
        <row r="232">
          <cell r="A232">
            <v>0</v>
          </cell>
          <cell r="B232">
            <v>0</v>
          </cell>
        </row>
        <row r="233">
          <cell r="A233">
            <v>0</v>
          </cell>
          <cell r="B233">
            <v>0</v>
          </cell>
        </row>
        <row r="234">
          <cell r="A234">
            <v>0</v>
          </cell>
          <cell r="B234">
            <v>0</v>
          </cell>
        </row>
        <row r="235">
          <cell r="A235">
            <v>0</v>
          </cell>
          <cell r="B235">
            <v>0</v>
          </cell>
        </row>
        <row r="236">
          <cell r="A236">
            <v>0</v>
          </cell>
          <cell r="B236">
            <v>0</v>
          </cell>
        </row>
        <row r="237">
          <cell r="A237">
            <v>0</v>
          </cell>
          <cell r="B237">
            <v>0</v>
          </cell>
        </row>
        <row r="238">
          <cell r="A238">
            <v>0</v>
          </cell>
          <cell r="B238">
            <v>0</v>
          </cell>
        </row>
        <row r="239">
          <cell r="A239">
            <v>0</v>
          </cell>
          <cell r="B239">
            <v>0</v>
          </cell>
        </row>
        <row r="240">
          <cell r="A240">
            <v>0</v>
          </cell>
          <cell r="B240">
            <v>0</v>
          </cell>
        </row>
        <row r="241">
          <cell r="A241">
            <v>0</v>
          </cell>
          <cell r="B241">
            <v>0</v>
          </cell>
        </row>
        <row r="242">
          <cell r="A242">
            <v>0</v>
          </cell>
          <cell r="B242">
            <v>0</v>
          </cell>
        </row>
        <row r="243">
          <cell r="A243">
            <v>0</v>
          </cell>
          <cell r="B243">
            <v>0</v>
          </cell>
        </row>
        <row r="244">
          <cell r="A244">
            <v>0</v>
          </cell>
          <cell r="B244">
            <v>0</v>
          </cell>
        </row>
        <row r="245">
          <cell r="A245">
            <v>0</v>
          </cell>
          <cell r="B245">
            <v>0</v>
          </cell>
        </row>
        <row r="246">
          <cell r="A246">
            <v>0</v>
          </cell>
          <cell r="B246">
            <v>0</v>
          </cell>
        </row>
        <row r="247">
          <cell r="A247">
            <v>0</v>
          </cell>
          <cell r="B247">
            <v>0</v>
          </cell>
        </row>
        <row r="248">
          <cell r="A248">
            <v>0</v>
          </cell>
          <cell r="B248">
            <v>0</v>
          </cell>
        </row>
        <row r="249">
          <cell r="A249">
            <v>0</v>
          </cell>
          <cell r="B249">
            <v>0</v>
          </cell>
        </row>
        <row r="250">
          <cell r="A250">
            <v>0</v>
          </cell>
          <cell r="B250">
            <v>0</v>
          </cell>
        </row>
        <row r="251">
          <cell r="A251">
            <v>0</v>
          </cell>
          <cell r="B251">
            <v>0</v>
          </cell>
        </row>
        <row r="252">
          <cell r="A252">
            <v>0</v>
          </cell>
          <cell r="B252">
            <v>0</v>
          </cell>
        </row>
        <row r="253">
          <cell r="A253">
            <v>0</v>
          </cell>
          <cell r="B253">
            <v>0</v>
          </cell>
        </row>
        <row r="254">
          <cell r="A254">
            <v>0</v>
          </cell>
          <cell r="B254">
            <v>0</v>
          </cell>
        </row>
        <row r="255">
          <cell r="A255">
            <v>0</v>
          </cell>
          <cell r="B255">
            <v>0</v>
          </cell>
        </row>
        <row r="256">
          <cell r="A256">
            <v>0</v>
          </cell>
          <cell r="B256">
            <v>0</v>
          </cell>
        </row>
        <row r="257">
          <cell r="A257">
            <v>0</v>
          </cell>
          <cell r="B257">
            <v>0</v>
          </cell>
        </row>
        <row r="258">
          <cell r="A258">
            <v>0</v>
          </cell>
          <cell r="B258">
            <v>0</v>
          </cell>
        </row>
        <row r="259">
          <cell r="A259">
            <v>0</v>
          </cell>
          <cell r="B259">
            <v>0</v>
          </cell>
        </row>
        <row r="260">
          <cell r="A260">
            <v>0</v>
          </cell>
          <cell r="B260">
            <v>0</v>
          </cell>
        </row>
        <row r="261">
          <cell r="A261">
            <v>0</v>
          </cell>
          <cell r="B261">
            <v>0</v>
          </cell>
        </row>
        <row r="262">
          <cell r="A262">
            <v>0</v>
          </cell>
          <cell r="B262">
            <v>0</v>
          </cell>
        </row>
        <row r="263">
          <cell r="A263">
            <v>0</v>
          </cell>
          <cell r="B263">
            <v>0</v>
          </cell>
        </row>
        <row r="264">
          <cell r="A264">
            <v>0</v>
          </cell>
          <cell r="B264">
            <v>0</v>
          </cell>
        </row>
        <row r="265">
          <cell r="A265">
            <v>0</v>
          </cell>
          <cell r="B265">
            <v>0</v>
          </cell>
        </row>
        <row r="266">
          <cell r="A266">
            <v>0</v>
          </cell>
          <cell r="B266">
            <v>0</v>
          </cell>
        </row>
        <row r="267">
          <cell r="A267">
            <v>0</v>
          </cell>
          <cell r="B267">
            <v>0</v>
          </cell>
        </row>
        <row r="268">
          <cell r="A268">
            <v>0</v>
          </cell>
          <cell r="B268">
            <v>0</v>
          </cell>
        </row>
        <row r="269">
          <cell r="A269">
            <v>0</v>
          </cell>
          <cell r="B269">
            <v>0</v>
          </cell>
        </row>
        <row r="270">
          <cell r="A270">
            <v>0</v>
          </cell>
          <cell r="B270">
            <v>0</v>
          </cell>
        </row>
        <row r="271">
          <cell r="A271">
            <v>0</v>
          </cell>
          <cell r="B271">
            <v>0</v>
          </cell>
        </row>
        <row r="272">
          <cell r="A272">
            <v>0</v>
          </cell>
          <cell r="B272">
            <v>0</v>
          </cell>
        </row>
        <row r="273">
          <cell r="A273">
            <v>0</v>
          </cell>
          <cell r="B273">
            <v>0</v>
          </cell>
        </row>
        <row r="274">
          <cell r="A274">
            <v>0</v>
          </cell>
          <cell r="B274">
            <v>0</v>
          </cell>
        </row>
        <row r="275">
          <cell r="A275">
            <v>0</v>
          </cell>
          <cell r="B275">
            <v>0</v>
          </cell>
        </row>
        <row r="276">
          <cell r="A276">
            <v>0</v>
          </cell>
          <cell r="B276">
            <v>0</v>
          </cell>
        </row>
        <row r="277">
          <cell r="A277">
            <v>0</v>
          </cell>
          <cell r="B277">
            <v>0</v>
          </cell>
        </row>
        <row r="278">
          <cell r="A278">
            <v>0</v>
          </cell>
          <cell r="B278">
            <v>0</v>
          </cell>
        </row>
        <row r="279">
          <cell r="A279">
            <v>0</v>
          </cell>
          <cell r="B279">
            <v>0</v>
          </cell>
        </row>
        <row r="280">
          <cell r="A280">
            <v>0</v>
          </cell>
          <cell r="B280">
            <v>0</v>
          </cell>
        </row>
        <row r="281">
          <cell r="A281">
            <v>0</v>
          </cell>
          <cell r="B281">
            <v>0</v>
          </cell>
        </row>
        <row r="282">
          <cell r="A282">
            <v>0</v>
          </cell>
          <cell r="B282">
            <v>0</v>
          </cell>
        </row>
        <row r="283">
          <cell r="A283">
            <v>0</v>
          </cell>
          <cell r="B283">
            <v>0</v>
          </cell>
        </row>
        <row r="284">
          <cell r="A284">
            <v>0</v>
          </cell>
          <cell r="B284">
            <v>0</v>
          </cell>
        </row>
        <row r="285">
          <cell r="A285">
            <v>0</v>
          </cell>
          <cell r="B285">
            <v>0</v>
          </cell>
        </row>
        <row r="286">
          <cell r="A286">
            <v>0</v>
          </cell>
          <cell r="B286">
            <v>0</v>
          </cell>
        </row>
        <row r="287">
          <cell r="A287">
            <v>0</v>
          </cell>
          <cell r="B287">
            <v>0</v>
          </cell>
        </row>
        <row r="288">
          <cell r="A288">
            <v>0</v>
          </cell>
          <cell r="B288">
            <v>0</v>
          </cell>
        </row>
        <row r="289">
          <cell r="A289">
            <v>0</v>
          </cell>
          <cell r="B289">
            <v>0</v>
          </cell>
        </row>
        <row r="290">
          <cell r="A290">
            <v>0</v>
          </cell>
          <cell r="B290">
            <v>0</v>
          </cell>
        </row>
        <row r="291">
          <cell r="A291">
            <v>0</v>
          </cell>
          <cell r="B291">
            <v>0</v>
          </cell>
        </row>
        <row r="292">
          <cell r="A292">
            <v>0</v>
          </cell>
          <cell r="B292">
            <v>0</v>
          </cell>
        </row>
        <row r="293">
          <cell r="A293">
            <v>0</v>
          </cell>
          <cell r="B293">
            <v>0</v>
          </cell>
        </row>
        <row r="294">
          <cell r="A294">
            <v>0</v>
          </cell>
          <cell r="B294">
            <v>0</v>
          </cell>
        </row>
        <row r="295">
          <cell r="A295">
            <v>0</v>
          </cell>
          <cell r="B295">
            <v>0</v>
          </cell>
        </row>
        <row r="296">
          <cell r="A296">
            <v>0</v>
          </cell>
          <cell r="B296">
            <v>0</v>
          </cell>
        </row>
        <row r="297">
          <cell r="A297">
            <v>0</v>
          </cell>
          <cell r="B297">
            <v>0</v>
          </cell>
        </row>
        <row r="298">
          <cell r="A298">
            <v>0</v>
          </cell>
          <cell r="B298">
            <v>0</v>
          </cell>
        </row>
        <row r="299">
          <cell r="A299">
            <v>0</v>
          </cell>
          <cell r="B299">
            <v>0</v>
          </cell>
        </row>
        <row r="300">
          <cell r="A300">
            <v>0</v>
          </cell>
          <cell r="B30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(2)Ezap</v>
          </cell>
          <cell r="B2" t="str">
            <v>Llam</v>
          </cell>
          <cell r="G2" t="str">
            <v>(2)Ezap</v>
          </cell>
          <cell r="H2" t="str">
            <v>Llam</v>
          </cell>
          <cell r="BI2" t="str">
            <v>(2)Ezap</v>
          </cell>
          <cell r="BJ2" t="str">
            <v>Llam</v>
          </cell>
        </row>
        <row r="3">
          <cell r="A3">
            <v>0</v>
          </cell>
          <cell r="B3">
            <v>0</v>
          </cell>
        </row>
        <row r="4">
          <cell r="A4">
            <v>0</v>
          </cell>
          <cell r="B4">
            <v>0</v>
          </cell>
        </row>
        <row r="5">
          <cell r="A5">
            <v>0</v>
          </cell>
          <cell r="B5">
            <v>0</v>
          </cell>
        </row>
        <row r="6">
          <cell r="A6">
            <v>0</v>
          </cell>
          <cell r="B6">
            <v>0</v>
          </cell>
        </row>
        <row r="7">
          <cell r="A7">
            <v>0</v>
          </cell>
          <cell r="B7">
            <v>0</v>
          </cell>
        </row>
        <row r="8">
          <cell r="A8">
            <v>0</v>
          </cell>
          <cell r="B8">
            <v>0</v>
          </cell>
        </row>
        <row r="9">
          <cell r="A9">
            <v>0</v>
          </cell>
          <cell r="B9">
            <v>0</v>
          </cell>
        </row>
        <row r="10">
          <cell r="A10">
            <v>0</v>
          </cell>
          <cell r="B10">
            <v>0</v>
          </cell>
        </row>
        <row r="11">
          <cell r="A11">
            <v>0</v>
          </cell>
          <cell r="B11">
            <v>0</v>
          </cell>
        </row>
        <row r="12">
          <cell r="A12">
            <v>0</v>
          </cell>
          <cell r="B12">
            <v>0</v>
          </cell>
        </row>
        <row r="13">
          <cell r="A13">
            <v>0</v>
          </cell>
          <cell r="B13">
            <v>0</v>
          </cell>
        </row>
        <row r="14">
          <cell r="A14">
            <v>0</v>
          </cell>
          <cell r="B14">
            <v>0</v>
          </cell>
        </row>
        <row r="15">
          <cell r="A15">
            <v>0</v>
          </cell>
          <cell r="B15">
            <v>0</v>
          </cell>
        </row>
        <row r="16">
          <cell r="A16">
            <v>0</v>
          </cell>
          <cell r="B16">
            <v>0</v>
          </cell>
        </row>
        <row r="17">
          <cell r="A17">
            <v>0</v>
          </cell>
          <cell r="B17">
            <v>0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>
            <v>0</v>
          </cell>
        </row>
        <row r="24">
          <cell r="A24">
            <v>0</v>
          </cell>
          <cell r="B24">
            <v>0</v>
          </cell>
        </row>
        <row r="25">
          <cell r="A25">
            <v>0</v>
          </cell>
          <cell r="B25">
            <v>0</v>
          </cell>
        </row>
        <row r="26">
          <cell r="A26">
            <v>0</v>
          </cell>
          <cell r="B26">
            <v>0</v>
          </cell>
        </row>
        <row r="27">
          <cell r="A27">
            <v>0</v>
          </cell>
          <cell r="B27">
            <v>0</v>
          </cell>
        </row>
        <row r="28">
          <cell r="A28">
            <v>0</v>
          </cell>
          <cell r="B28">
            <v>0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  <cell r="B30">
            <v>0</v>
          </cell>
        </row>
        <row r="31">
          <cell r="A31">
            <v>0</v>
          </cell>
          <cell r="B31">
            <v>0</v>
          </cell>
        </row>
        <row r="32">
          <cell r="A32">
            <v>0</v>
          </cell>
          <cell r="B32">
            <v>0</v>
          </cell>
        </row>
        <row r="33">
          <cell r="A33">
            <v>0</v>
          </cell>
          <cell r="B33">
            <v>0</v>
          </cell>
        </row>
        <row r="34">
          <cell r="A34">
            <v>0</v>
          </cell>
          <cell r="B34">
            <v>0</v>
          </cell>
        </row>
        <row r="35">
          <cell r="A35">
            <v>0</v>
          </cell>
          <cell r="B35">
            <v>0</v>
          </cell>
        </row>
        <row r="36">
          <cell r="A36">
            <v>0</v>
          </cell>
          <cell r="B36">
            <v>0</v>
          </cell>
        </row>
        <row r="37">
          <cell r="A37">
            <v>0</v>
          </cell>
          <cell r="B37">
            <v>0</v>
          </cell>
        </row>
        <row r="38">
          <cell r="A38">
            <v>0</v>
          </cell>
          <cell r="B38">
            <v>0</v>
          </cell>
        </row>
        <row r="39">
          <cell r="A39">
            <v>0</v>
          </cell>
          <cell r="B39">
            <v>0</v>
          </cell>
        </row>
        <row r="40">
          <cell r="A40">
            <v>0</v>
          </cell>
          <cell r="B40">
            <v>0</v>
          </cell>
        </row>
        <row r="41">
          <cell r="A41">
            <v>0</v>
          </cell>
          <cell r="B41">
            <v>0</v>
          </cell>
        </row>
        <row r="42">
          <cell r="A42">
            <v>0</v>
          </cell>
          <cell r="B42">
            <v>0</v>
          </cell>
        </row>
        <row r="43">
          <cell r="A43">
            <v>0</v>
          </cell>
          <cell r="B43">
            <v>0</v>
          </cell>
        </row>
        <row r="44">
          <cell r="A44">
            <v>0</v>
          </cell>
          <cell r="B44">
            <v>0</v>
          </cell>
        </row>
        <row r="45">
          <cell r="A45">
            <v>0</v>
          </cell>
          <cell r="B45">
            <v>0</v>
          </cell>
        </row>
        <row r="46">
          <cell r="A46">
            <v>0</v>
          </cell>
          <cell r="B46">
            <v>0</v>
          </cell>
        </row>
        <row r="47">
          <cell r="A47">
            <v>0</v>
          </cell>
          <cell r="B47">
            <v>0</v>
          </cell>
        </row>
        <row r="48">
          <cell r="A48">
            <v>0</v>
          </cell>
          <cell r="B48">
            <v>0</v>
          </cell>
        </row>
        <row r="49">
          <cell r="A49">
            <v>0</v>
          </cell>
          <cell r="B49">
            <v>0</v>
          </cell>
        </row>
        <row r="50">
          <cell r="A50">
            <v>0</v>
          </cell>
          <cell r="B50">
            <v>0</v>
          </cell>
        </row>
        <row r="51">
          <cell r="A51">
            <v>0</v>
          </cell>
          <cell r="B51">
            <v>0</v>
          </cell>
        </row>
        <row r="52">
          <cell r="A52">
            <v>0</v>
          </cell>
          <cell r="B52">
            <v>0</v>
          </cell>
        </row>
        <row r="53">
          <cell r="A53">
            <v>0</v>
          </cell>
          <cell r="B53">
            <v>0</v>
          </cell>
        </row>
        <row r="54">
          <cell r="A54">
            <v>0</v>
          </cell>
          <cell r="B54">
            <v>0</v>
          </cell>
        </row>
        <row r="55">
          <cell r="A55">
            <v>0</v>
          </cell>
          <cell r="B55">
            <v>0</v>
          </cell>
        </row>
        <row r="56">
          <cell r="A56">
            <v>0</v>
          </cell>
          <cell r="B56">
            <v>0</v>
          </cell>
        </row>
        <row r="57">
          <cell r="A57">
            <v>0</v>
          </cell>
          <cell r="B57">
            <v>0</v>
          </cell>
        </row>
        <row r="58">
          <cell r="A58">
            <v>0</v>
          </cell>
          <cell r="B58">
            <v>0</v>
          </cell>
        </row>
        <row r="59">
          <cell r="A59">
            <v>0</v>
          </cell>
          <cell r="B59">
            <v>0</v>
          </cell>
        </row>
        <row r="60">
          <cell r="A60">
            <v>0</v>
          </cell>
          <cell r="B60">
            <v>0</v>
          </cell>
        </row>
        <row r="61">
          <cell r="A61">
            <v>0</v>
          </cell>
          <cell r="B61">
            <v>0</v>
          </cell>
        </row>
        <row r="62">
          <cell r="A62">
            <v>0</v>
          </cell>
          <cell r="B62">
            <v>0</v>
          </cell>
        </row>
        <row r="63">
          <cell r="A63">
            <v>0</v>
          </cell>
          <cell r="B63">
            <v>0</v>
          </cell>
        </row>
        <row r="64">
          <cell r="A64">
            <v>0</v>
          </cell>
          <cell r="B64">
            <v>0</v>
          </cell>
        </row>
        <row r="65">
          <cell r="A65">
            <v>0</v>
          </cell>
          <cell r="B65">
            <v>0</v>
          </cell>
        </row>
        <row r="66">
          <cell r="A66">
            <v>0</v>
          </cell>
          <cell r="B66">
            <v>0</v>
          </cell>
        </row>
        <row r="67">
          <cell r="A67">
            <v>0</v>
          </cell>
          <cell r="B67">
            <v>0</v>
          </cell>
        </row>
        <row r="68">
          <cell r="A68">
            <v>0</v>
          </cell>
          <cell r="B68">
            <v>0</v>
          </cell>
        </row>
        <row r="69">
          <cell r="A69">
            <v>0</v>
          </cell>
          <cell r="B69">
            <v>0</v>
          </cell>
        </row>
        <row r="70">
          <cell r="A70">
            <v>0</v>
          </cell>
          <cell r="B70">
            <v>0</v>
          </cell>
        </row>
        <row r="71">
          <cell r="A71">
            <v>0</v>
          </cell>
          <cell r="B71">
            <v>0</v>
          </cell>
        </row>
        <row r="72">
          <cell r="A72">
            <v>0</v>
          </cell>
          <cell r="B72">
            <v>0</v>
          </cell>
        </row>
        <row r="73">
          <cell r="A73">
            <v>0</v>
          </cell>
          <cell r="B73">
            <v>0</v>
          </cell>
        </row>
        <row r="74">
          <cell r="A74">
            <v>0</v>
          </cell>
          <cell r="B74">
            <v>0</v>
          </cell>
        </row>
        <row r="75">
          <cell r="A75">
            <v>0</v>
          </cell>
          <cell r="B75">
            <v>0</v>
          </cell>
        </row>
        <row r="76">
          <cell r="A76">
            <v>0</v>
          </cell>
          <cell r="B76">
            <v>0</v>
          </cell>
        </row>
        <row r="77">
          <cell r="A77">
            <v>0</v>
          </cell>
          <cell r="B77">
            <v>0</v>
          </cell>
        </row>
        <row r="78">
          <cell r="A78">
            <v>0</v>
          </cell>
          <cell r="B78">
            <v>0</v>
          </cell>
        </row>
        <row r="79">
          <cell r="A79">
            <v>0</v>
          </cell>
          <cell r="B79">
            <v>0</v>
          </cell>
        </row>
        <row r="80">
          <cell r="A80">
            <v>0</v>
          </cell>
          <cell r="B80">
            <v>0</v>
          </cell>
        </row>
        <row r="81">
          <cell r="A81">
            <v>0</v>
          </cell>
          <cell r="B81">
            <v>0</v>
          </cell>
        </row>
        <row r="82">
          <cell r="A82">
            <v>0</v>
          </cell>
          <cell r="B82">
            <v>0</v>
          </cell>
        </row>
        <row r="83">
          <cell r="A83">
            <v>0</v>
          </cell>
          <cell r="B83">
            <v>0</v>
          </cell>
        </row>
        <row r="84">
          <cell r="A84">
            <v>0</v>
          </cell>
          <cell r="B84">
            <v>0</v>
          </cell>
        </row>
        <row r="85">
          <cell r="A85">
            <v>0</v>
          </cell>
          <cell r="B85">
            <v>0</v>
          </cell>
        </row>
        <row r="86">
          <cell r="A86">
            <v>0</v>
          </cell>
          <cell r="B86">
            <v>0</v>
          </cell>
        </row>
        <row r="87">
          <cell r="A87">
            <v>0</v>
          </cell>
          <cell r="B87">
            <v>0</v>
          </cell>
        </row>
        <row r="88">
          <cell r="A88">
            <v>0</v>
          </cell>
          <cell r="B88">
            <v>0</v>
          </cell>
        </row>
        <row r="89">
          <cell r="A89">
            <v>0</v>
          </cell>
          <cell r="B89">
            <v>0</v>
          </cell>
        </row>
        <row r="90">
          <cell r="A90">
            <v>0</v>
          </cell>
          <cell r="B90">
            <v>0</v>
          </cell>
        </row>
        <row r="91">
          <cell r="A91">
            <v>0</v>
          </cell>
          <cell r="B91">
            <v>0</v>
          </cell>
        </row>
        <row r="92">
          <cell r="A92">
            <v>0</v>
          </cell>
          <cell r="B92">
            <v>0</v>
          </cell>
        </row>
        <row r="93">
          <cell r="A93">
            <v>0</v>
          </cell>
          <cell r="B93">
            <v>0</v>
          </cell>
        </row>
        <row r="94">
          <cell r="A94">
            <v>0</v>
          </cell>
          <cell r="B94">
            <v>0</v>
          </cell>
        </row>
        <row r="95">
          <cell r="A95">
            <v>0</v>
          </cell>
          <cell r="B95">
            <v>0</v>
          </cell>
        </row>
        <row r="96">
          <cell r="A96">
            <v>0</v>
          </cell>
          <cell r="B96">
            <v>0</v>
          </cell>
        </row>
        <row r="97">
          <cell r="A97">
            <v>0</v>
          </cell>
          <cell r="B97">
            <v>0</v>
          </cell>
        </row>
        <row r="98">
          <cell r="A98">
            <v>0</v>
          </cell>
          <cell r="B98">
            <v>0</v>
          </cell>
        </row>
        <row r="99">
          <cell r="A99">
            <v>0</v>
          </cell>
          <cell r="B99">
            <v>0</v>
          </cell>
        </row>
        <row r="100">
          <cell r="A100">
            <v>0</v>
          </cell>
          <cell r="B100">
            <v>0</v>
          </cell>
        </row>
        <row r="101">
          <cell r="A101">
            <v>0</v>
          </cell>
          <cell r="B101">
            <v>0</v>
          </cell>
        </row>
        <row r="102">
          <cell r="A102">
            <v>0</v>
          </cell>
          <cell r="B102">
            <v>0</v>
          </cell>
        </row>
        <row r="103">
          <cell r="A103">
            <v>0</v>
          </cell>
          <cell r="B103">
            <v>0</v>
          </cell>
        </row>
        <row r="104">
          <cell r="A104">
            <v>0</v>
          </cell>
          <cell r="B104">
            <v>0</v>
          </cell>
        </row>
        <row r="105">
          <cell r="A105">
            <v>0</v>
          </cell>
          <cell r="B105">
            <v>0</v>
          </cell>
        </row>
        <row r="106">
          <cell r="A106">
            <v>0</v>
          </cell>
          <cell r="B106">
            <v>0</v>
          </cell>
        </row>
        <row r="107">
          <cell r="A107">
            <v>0</v>
          </cell>
          <cell r="B107">
            <v>0</v>
          </cell>
        </row>
        <row r="108">
          <cell r="A108">
            <v>0</v>
          </cell>
          <cell r="B108">
            <v>0</v>
          </cell>
        </row>
        <row r="109">
          <cell r="A109">
            <v>0</v>
          </cell>
          <cell r="B109">
            <v>0</v>
          </cell>
        </row>
        <row r="110">
          <cell r="A110">
            <v>0</v>
          </cell>
          <cell r="B110">
            <v>0</v>
          </cell>
        </row>
        <row r="111">
          <cell r="A111">
            <v>0</v>
          </cell>
          <cell r="B111">
            <v>0</v>
          </cell>
        </row>
        <row r="112">
          <cell r="A112">
            <v>0</v>
          </cell>
          <cell r="B112">
            <v>0</v>
          </cell>
        </row>
        <row r="113">
          <cell r="A113">
            <v>0</v>
          </cell>
          <cell r="B113">
            <v>0</v>
          </cell>
        </row>
        <row r="114">
          <cell r="A114">
            <v>0</v>
          </cell>
          <cell r="B114">
            <v>0</v>
          </cell>
        </row>
        <row r="115">
          <cell r="A115">
            <v>0</v>
          </cell>
          <cell r="B115">
            <v>0</v>
          </cell>
        </row>
        <row r="116">
          <cell r="A116">
            <v>0</v>
          </cell>
          <cell r="B116">
            <v>0</v>
          </cell>
        </row>
        <row r="117">
          <cell r="A117">
            <v>0</v>
          </cell>
          <cell r="B117">
            <v>0</v>
          </cell>
        </row>
        <row r="118">
          <cell r="A118">
            <v>0</v>
          </cell>
          <cell r="B118">
            <v>0</v>
          </cell>
        </row>
        <row r="119">
          <cell r="A119">
            <v>0</v>
          </cell>
          <cell r="B119">
            <v>0</v>
          </cell>
        </row>
        <row r="120">
          <cell r="A120">
            <v>0</v>
          </cell>
          <cell r="B120">
            <v>0</v>
          </cell>
        </row>
        <row r="121">
          <cell r="A121">
            <v>0</v>
          </cell>
          <cell r="B121">
            <v>0</v>
          </cell>
        </row>
        <row r="122">
          <cell r="A122">
            <v>0</v>
          </cell>
          <cell r="B122">
            <v>0</v>
          </cell>
        </row>
        <row r="123">
          <cell r="A123">
            <v>0</v>
          </cell>
          <cell r="B123">
            <v>0</v>
          </cell>
        </row>
        <row r="124">
          <cell r="A124">
            <v>0</v>
          </cell>
          <cell r="B124">
            <v>0</v>
          </cell>
        </row>
        <row r="125">
          <cell r="A125">
            <v>0</v>
          </cell>
          <cell r="B125">
            <v>0</v>
          </cell>
        </row>
        <row r="126">
          <cell r="A126">
            <v>0</v>
          </cell>
          <cell r="B126">
            <v>0</v>
          </cell>
        </row>
        <row r="127">
          <cell r="A127">
            <v>0</v>
          </cell>
          <cell r="B127">
            <v>0</v>
          </cell>
        </row>
        <row r="128">
          <cell r="A128">
            <v>0</v>
          </cell>
          <cell r="B128">
            <v>0</v>
          </cell>
        </row>
        <row r="129">
          <cell r="A129">
            <v>0</v>
          </cell>
          <cell r="B129">
            <v>0</v>
          </cell>
        </row>
        <row r="130">
          <cell r="A130">
            <v>0</v>
          </cell>
          <cell r="B130">
            <v>0</v>
          </cell>
        </row>
        <row r="131">
          <cell r="A131">
            <v>0</v>
          </cell>
          <cell r="B131">
            <v>0</v>
          </cell>
        </row>
        <row r="132">
          <cell r="A132">
            <v>0</v>
          </cell>
          <cell r="B132">
            <v>0</v>
          </cell>
        </row>
        <row r="133">
          <cell r="A133">
            <v>0</v>
          </cell>
          <cell r="B133">
            <v>0</v>
          </cell>
        </row>
        <row r="134">
          <cell r="A134">
            <v>0</v>
          </cell>
          <cell r="B134">
            <v>0</v>
          </cell>
        </row>
        <row r="135">
          <cell r="A135">
            <v>0</v>
          </cell>
          <cell r="B135">
            <v>0</v>
          </cell>
        </row>
        <row r="136">
          <cell r="A136">
            <v>0</v>
          </cell>
          <cell r="B136">
            <v>0</v>
          </cell>
        </row>
        <row r="137">
          <cell r="A137">
            <v>0</v>
          </cell>
          <cell r="B137">
            <v>0</v>
          </cell>
        </row>
        <row r="138">
          <cell r="A138">
            <v>0</v>
          </cell>
          <cell r="B138">
            <v>0</v>
          </cell>
        </row>
        <row r="139">
          <cell r="A139">
            <v>0</v>
          </cell>
          <cell r="B139">
            <v>0</v>
          </cell>
        </row>
        <row r="140">
          <cell r="A140">
            <v>0</v>
          </cell>
          <cell r="B140">
            <v>0</v>
          </cell>
        </row>
        <row r="141">
          <cell r="A141">
            <v>0</v>
          </cell>
          <cell r="B141">
            <v>0</v>
          </cell>
        </row>
        <row r="142">
          <cell r="A142">
            <v>0</v>
          </cell>
          <cell r="B142">
            <v>0</v>
          </cell>
        </row>
        <row r="143">
          <cell r="A143">
            <v>0</v>
          </cell>
          <cell r="B143">
            <v>0</v>
          </cell>
        </row>
        <row r="144">
          <cell r="A144">
            <v>0</v>
          </cell>
          <cell r="B144">
            <v>0</v>
          </cell>
        </row>
        <row r="145">
          <cell r="A145">
            <v>0</v>
          </cell>
          <cell r="B145">
            <v>0</v>
          </cell>
        </row>
        <row r="146">
          <cell r="A146">
            <v>0</v>
          </cell>
          <cell r="B146">
            <v>0</v>
          </cell>
        </row>
        <row r="147">
          <cell r="A147">
            <v>0</v>
          </cell>
          <cell r="B147">
            <v>0</v>
          </cell>
        </row>
        <row r="148">
          <cell r="A148">
            <v>0</v>
          </cell>
          <cell r="B148">
            <v>0</v>
          </cell>
        </row>
        <row r="149">
          <cell r="A149">
            <v>0</v>
          </cell>
          <cell r="B149">
            <v>0</v>
          </cell>
        </row>
        <row r="150">
          <cell r="A150">
            <v>0</v>
          </cell>
          <cell r="B150">
            <v>0</v>
          </cell>
        </row>
        <row r="151">
          <cell r="A151">
            <v>0</v>
          </cell>
          <cell r="B151">
            <v>0</v>
          </cell>
        </row>
        <row r="152">
          <cell r="A152">
            <v>0</v>
          </cell>
          <cell r="B152">
            <v>0</v>
          </cell>
        </row>
        <row r="153">
          <cell r="A153">
            <v>0</v>
          </cell>
          <cell r="B153">
            <v>0</v>
          </cell>
        </row>
        <row r="154">
          <cell r="A154">
            <v>0</v>
          </cell>
          <cell r="B154">
            <v>0</v>
          </cell>
        </row>
        <row r="155">
          <cell r="A155">
            <v>0</v>
          </cell>
          <cell r="B155">
            <v>0</v>
          </cell>
        </row>
        <row r="156">
          <cell r="A156">
            <v>0</v>
          </cell>
          <cell r="B156">
            <v>0</v>
          </cell>
        </row>
        <row r="157">
          <cell r="A157">
            <v>0</v>
          </cell>
          <cell r="B157">
            <v>0</v>
          </cell>
        </row>
        <row r="158">
          <cell r="A158">
            <v>0</v>
          </cell>
          <cell r="B158">
            <v>0</v>
          </cell>
        </row>
        <row r="159">
          <cell r="A159">
            <v>0</v>
          </cell>
          <cell r="B159">
            <v>0</v>
          </cell>
        </row>
        <row r="160">
          <cell r="A160">
            <v>0</v>
          </cell>
          <cell r="B160">
            <v>0</v>
          </cell>
        </row>
        <row r="161">
          <cell r="A161">
            <v>0</v>
          </cell>
          <cell r="B161">
            <v>0</v>
          </cell>
        </row>
        <row r="162">
          <cell r="A162">
            <v>0</v>
          </cell>
          <cell r="B162">
            <v>0</v>
          </cell>
        </row>
        <row r="163">
          <cell r="A163">
            <v>0</v>
          </cell>
          <cell r="B163">
            <v>0</v>
          </cell>
        </row>
        <row r="164">
          <cell r="A164">
            <v>0</v>
          </cell>
          <cell r="B164">
            <v>0</v>
          </cell>
        </row>
        <row r="165">
          <cell r="A165">
            <v>0</v>
          </cell>
          <cell r="B165">
            <v>0</v>
          </cell>
        </row>
        <row r="166">
          <cell r="A166">
            <v>0</v>
          </cell>
          <cell r="B166">
            <v>0</v>
          </cell>
        </row>
        <row r="167">
          <cell r="A167">
            <v>0</v>
          </cell>
          <cell r="B167">
            <v>0</v>
          </cell>
        </row>
        <row r="168">
          <cell r="A168">
            <v>0</v>
          </cell>
          <cell r="B168">
            <v>0</v>
          </cell>
        </row>
        <row r="169">
          <cell r="A169">
            <v>0</v>
          </cell>
          <cell r="B169">
            <v>0</v>
          </cell>
        </row>
        <row r="170">
          <cell r="A170">
            <v>0</v>
          </cell>
          <cell r="B170">
            <v>0</v>
          </cell>
        </row>
        <row r="171">
          <cell r="A171">
            <v>0</v>
          </cell>
          <cell r="B171">
            <v>0</v>
          </cell>
        </row>
        <row r="172">
          <cell r="A172">
            <v>0</v>
          </cell>
          <cell r="B172">
            <v>0</v>
          </cell>
        </row>
        <row r="173">
          <cell r="A173">
            <v>0</v>
          </cell>
          <cell r="B173">
            <v>0</v>
          </cell>
        </row>
        <row r="174">
          <cell r="A174">
            <v>0</v>
          </cell>
          <cell r="B174">
            <v>0</v>
          </cell>
        </row>
        <row r="175">
          <cell r="A175">
            <v>0</v>
          </cell>
          <cell r="B175">
            <v>0</v>
          </cell>
        </row>
        <row r="176">
          <cell r="A176">
            <v>0</v>
          </cell>
          <cell r="B176">
            <v>0</v>
          </cell>
        </row>
        <row r="177">
          <cell r="A177">
            <v>0</v>
          </cell>
          <cell r="B177">
            <v>0</v>
          </cell>
        </row>
        <row r="178">
          <cell r="A178">
            <v>0</v>
          </cell>
          <cell r="B178">
            <v>0</v>
          </cell>
        </row>
        <row r="179">
          <cell r="A179">
            <v>0</v>
          </cell>
          <cell r="B179">
            <v>0</v>
          </cell>
        </row>
        <row r="180">
          <cell r="A180">
            <v>0</v>
          </cell>
          <cell r="B180">
            <v>0</v>
          </cell>
        </row>
        <row r="181">
          <cell r="A181">
            <v>0</v>
          </cell>
          <cell r="B181">
            <v>0</v>
          </cell>
        </row>
        <row r="182">
          <cell r="A182">
            <v>0</v>
          </cell>
          <cell r="B182">
            <v>0</v>
          </cell>
        </row>
        <row r="183">
          <cell r="A183">
            <v>0</v>
          </cell>
          <cell r="B183">
            <v>0</v>
          </cell>
        </row>
        <row r="184">
          <cell r="A184">
            <v>0</v>
          </cell>
          <cell r="B184">
            <v>0</v>
          </cell>
        </row>
        <row r="185">
          <cell r="A185">
            <v>0</v>
          </cell>
          <cell r="B185">
            <v>0</v>
          </cell>
        </row>
        <row r="186">
          <cell r="A186">
            <v>0</v>
          </cell>
          <cell r="B186">
            <v>0</v>
          </cell>
        </row>
        <row r="187">
          <cell r="A187">
            <v>0</v>
          </cell>
          <cell r="B187">
            <v>0</v>
          </cell>
        </row>
        <row r="188">
          <cell r="A188">
            <v>0</v>
          </cell>
          <cell r="B188">
            <v>0</v>
          </cell>
        </row>
        <row r="189">
          <cell r="A189">
            <v>0</v>
          </cell>
          <cell r="B189">
            <v>0</v>
          </cell>
        </row>
        <row r="190">
          <cell r="A190">
            <v>0</v>
          </cell>
          <cell r="B190">
            <v>0</v>
          </cell>
        </row>
        <row r="191">
          <cell r="A191">
            <v>0</v>
          </cell>
          <cell r="B191">
            <v>0</v>
          </cell>
        </row>
        <row r="192">
          <cell r="A192">
            <v>0</v>
          </cell>
          <cell r="B192">
            <v>0</v>
          </cell>
        </row>
        <row r="193">
          <cell r="A193">
            <v>0</v>
          </cell>
          <cell r="B193">
            <v>0</v>
          </cell>
        </row>
        <row r="194">
          <cell r="A194">
            <v>0</v>
          </cell>
          <cell r="B194">
            <v>0</v>
          </cell>
        </row>
        <row r="195">
          <cell r="A195">
            <v>0</v>
          </cell>
          <cell r="B195">
            <v>0</v>
          </cell>
        </row>
        <row r="196">
          <cell r="A196">
            <v>0</v>
          </cell>
          <cell r="B196">
            <v>0</v>
          </cell>
        </row>
        <row r="197">
          <cell r="A197">
            <v>0</v>
          </cell>
          <cell r="B197">
            <v>0</v>
          </cell>
        </row>
        <row r="198">
          <cell r="A198">
            <v>0</v>
          </cell>
          <cell r="B198">
            <v>0</v>
          </cell>
        </row>
        <row r="199">
          <cell r="A199">
            <v>0</v>
          </cell>
          <cell r="B199">
            <v>0</v>
          </cell>
        </row>
        <row r="200">
          <cell r="A200">
            <v>0</v>
          </cell>
          <cell r="B200">
            <v>0</v>
          </cell>
        </row>
        <row r="201">
          <cell r="A201">
            <v>0</v>
          </cell>
          <cell r="B201">
            <v>0</v>
          </cell>
        </row>
        <row r="202">
          <cell r="A202">
            <v>0</v>
          </cell>
          <cell r="B202">
            <v>0</v>
          </cell>
        </row>
        <row r="203">
          <cell r="A203">
            <v>0</v>
          </cell>
          <cell r="B203">
            <v>0</v>
          </cell>
        </row>
        <row r="204">
          <cell r="A204">
            <v>0</v>
          </cell>
          <cell r="B204">
            <v>0</v>
          </cell>
        </row>
        <row r="205">
          <cell r="A205">
            <v>0</v>
          </cell>
          <cell r="B205">
            <v>0</v>
          </cell>
        </row>
        <row r="206">
          <cell r="A206">
            <v>0</v>
          </cell>
          <cell r="B206">
            <v>0</v>
          </cell>
        </row>
        <row r="207">
          <cell r="A207">
            <v>0</v>
          </cell>
          <cell r="B207">
            <v>0</v>
          </cell>
        </row>
        <row r="208">
          <cell r="A208">
            <v>0</v>
          </cell>
          <cell r="B208">
            <v>0</v>
          </cell>
        </row>
        <row r="209">
          <cell r="A209">
            <v>0</v>
          </cell>
          <cell r="B209">
            <v>0</v>
          </cell>
        </row>
        <row r="210">
          <cell r="A210">
            <v>0</v>
          </cell>
          <cell r="B210">
            <v>0</v>
          </cell>
        </row>
        <row r="211">
          <cell r="A211">
            <v>0</v>
          </cell>
          <cell r="B211">
            <v>0</v>
          </cell>
        </row>
        <row r="212">
          <cell r="A212">
            <v>0</v>
          </cell>
          <cell r="B212">
            <v>0</v>
          </cell>
        </row>
        <row r="213">
          <cell r="A213">
            <v>0</v>
          </cell>
          <cell r="B213">
            <v>0</v>
          </cell>
        </row>
        <row r="214">
          <cell r="A214">
            <v>0</v>
          </cell>
          <cell r="B214">
            <v>0</v>
          </cell>
        </row>
        <row r="215">
          <cell r="A215">
            <v>0</v>
          </cell>
          <cell r="B215">
            <v>0</v>
          </cell>
        </row>
        <row r="216">
          <cell r="A216">
            <v>0</v>
          </cell>
          <cell r="B216">
            <v>0</v>
          </cell>
        </row>
        <row r="217">
          <cell r="A217">
            <v>0</v>
          </cell>
          <cell r="B217">
            <v>0</v>
          </cell>
        </row>
        <row r="218">
          <cell r="A218">
            <v>0</v>
          </cell>
          <cell r="B218">
            <v>0</v>
          </cell>
        </row>
        <row r="219">
          <cell r="A219">
            <v>0</v>
          </cell>
          <cell r="B219">
            <v>0</v>
          </cell>
        </row>
        <row r="220">
          <cell r="A220">
            <v>0</v>
          </cell>
          <cell r="B220">
            <v>0</v>
          </cell>
        </row>
        <row r="221">
          <cell r="A221">
            <v>0</v>
          </cell>
          <cell r="B221">
            <v>0</v>
          </cell>
        </row>
        <row r="222">
          <cell r="A222">
            <v>0</v>
          </cell>
          <cell r="B222">
            <v>0</v>
          </cell>
        </row>
        <row r="223">
          <cell r="A223">
            <v>0</v>
          </cell>
          <cell r="B223">
            <v>0</v>
          </cell>
        </row>
        <row r="224">
          <cell r="A224">
            <v>0</v>
          </cell>
          <cell r="B224">
            <v>0</v>
          </cell>
        </row>
        <row r="225">
          <cell r="A225">
            <v>0</v>
          </cell>
          <cell r="B225">
            <v>0</v>
          </cell>
        </row>
        <row r="226">
          <cell r="A226">
            <v>0</v>
          </cell>
          <cell r="B226">
            <v>0</v>
          </cell>
        </row>
        <row r="227">
          <cell r="A227">
            <v>0</v>
          </cell>
          <cell r="B227">
            <v>0</v>
          </cell>
        </row>
        <row r="228">
          <cell r="A228">
            <v>0</v>
          </cell>
          <cell r="B228">
            <v>0</v>
          </cell>
        </row>
        <row r="229">
          <cell r="A229">
            <v>0</v>
          </cell>
          <cell r="B229">
            <v>0</v>
          </cell>
        </row>
        <row r="230">
          <cell r="A230">
            <v>0</v>
          </cell>
          <cell r="B230">
            <v>0</v>
          </cell>
        </row>
        <row r="231">
          <cell r="A231">
            <v>0</v>
          </cell>
          <cell r="B231">
            <v>0</v>
          </cell>
        </row>
        <row r="232">
          <cell r="A232">
            <v>0</v>
          </cell>
          <cell r="B232">
            <v>0</v>
          </cell>
        </row>
        <row r="233">
          <cell r="A233">
            <v>0</v>
          </cell>
          <cell r="B233">
            <v>0</v>
          </cell>
        </row>
        <row r="234">
          <cell r="A234">
            <v>0</v>
          </cell>
          <cell r="B234">
            <v>0</v>
          </cell>
        </row>
        <row r="235">
          <cell r="A235">
            <v>0</v>
          </cell>
          <cell r="B235">
            <v>0</v>
          </cell>
        </row>
        <row r="236">
          <cell r="A236">
            <v>0</v>
          </cell>
          <cell r="B236">
            <v>0</v>
          </cell>
        </row>
        <row r="237">
          <cell r="A237">
            <v>0</v>
          </cell>
          <cell r="B237">
            <v>0</v>
          </cell>
        </row>
        <row r="238">
          <cell r="A238">
            <v>0</v>
          </cell>
          <cell r="B238">
            <v>0</v>
          </cell>
        </row>
        <row r="239">
          <cell r="A239">
            <v>0</v>
          </cell>
          <cell r="B239">
            <v>0</v>
          </cell>
        </row>
        <row r="240">
          <cell r="A240">
            <v>0</v>
          </cell>
          <cell r="B240">
            <v>0</v>
          </cell>
        </row>
        <row r="241">
          <cell r="A241">
            <v>0</v>
          </cell>
          <cell r="B241">
            <v>0</v>
          </cell>
        </row>
        <row r="242">
          <cell r="A242">
            <v>0</v>
          </cell>
          <cell r="B242">
            <v>0</v>
          </cell>
        </row>
        <row r="243">
          <cell r="A243">
            <v>0</v>
          </cell>
          <cell r="B243">
            <v>0</v>
          </cell>
        </row>
        <row r="244">
          <cell r="A244">
            <v>0</v>
          </cell>
          <cell r="B244">
            <v>0</v>
          </cell>
        </row>
        <row r="245">
          <cell r="A245">
            <v>0</v>
          </cell>
          <cell r="B245">
            <v>0</v>
          </cell>
        </row>
        <row r="246">
          <cell r="A246">
            <v>0</v>
          </cell>
          <cell r="B246">
            <v>0</v>
          </cell>
        </row>
        <row r="247">
          <cell r="A247">
            <v>0</v>
          </cell>
          <cell r="B247">
            <v>0</v>
          </cell>
        </row>
        <row r="248">
          <cell r="A248">
            <v>0</v>
          </cell>
          <cell r="B248">
            <v>0</v>
          </cell>
        </row>
        <row r="249">
          <cell r="A249">
            <v>0</v>
          </cell>
          <cell r="B249">
            <v>0</v>
          </cell>
        </row>
        <row r="250">
          <cell r="A250">
            <v>0</v>
          </cell>
          <cell r="B250">
            <v>0</v>
          </cell>
        </row>
        <row r="251">
          <cell r="A251">
            <v>0</v>
          </cell>
          <cell r="B251">
            <v>0</v>
          </cell>
        </row>
        <row r="252">
          <cell r="A252">
            <v>0</v>
          </cell>
          <cell r="B252">
            <v>0</v>
          </cell>
        </row>
        <row r="253">
          <cell r="A253">
            <v>0</v>
          </cell>
          <cell r="B253">
            <v>0</v>
          </cell>
        </row>
        <row r="254">
          <cell r="A254">
            <v>0</v>
          </cell>
          <cell r="B254">
            <v>0</v>
          </cell>
        </row>
        <row r="255">
          <cell r="A255">
            <v>0</v>
          </cell>
          <cell r="B255">
            <v>0</v>
          </cell>
        </row>
        <row r="256">
          <cell r="A256">
            <v>0</v>
          </cell>
          <cell r="B256">
            <v>0</v>
          </cell>
        </row>
        <row r="257">
          <cell r="A257">
            <v>0</v>
          </cell>
          <cell r="B257">
            <v>0</v>
          </cell>
        </row>
        <row r="258">
          <cell r="A258">
            <v>0</v>
          </cell>
          <cell r="B258">
            <v>0</v>
          </cell>
        </row>
        <row r="259">
          <cell r="A259">
            <v>0</v>
          </cell>
          <cell r="B259">
            <v>0</v>
          </cell>
        </row>
        <row r="260">
          <cell r="A260">
            <v>0</v>
          </cell>
          <cell r="B260">
            <v>0</v>
          </cell>
        </row>
        <row r="261">
          <cell r="A261">
            <v>0</v>
          </cell>
          <cell r="B261">
            <v>0</v>
          </cell>
        </row>
        <row r="262">
          <cell r="A262">
            <v>0</v>
          </cell>
          <cell r="B262">
            <v>0</v>
          </cell>
        </row>
        <row r="263">
          <cell r="A263">
            <v>0</v>
          </cell>
          <cell r="B263">
            <v>0</v>
          </cell>
        </row>
        <row r="264">
          <cell r="A264">
            <v>0</v>
          </cell>
          <cell r="B264">
            <v>0</v>
          </cell>
        </row>
        <row r="265">
          <cell r="A265">
            <v>0</v>
          </cell>
          <cell r="B265">
            <v>0</v>
          </cell>
        </row>
        <row r="266">
          <cell r="A266">
            <v>0</v>
          </cell>
          <cell r="B266">
            <v>0</v>
          </cell>
        </row>
        <row r="267">
          <cell r="A267">
            <v>0</v>
          </cell>
          <cell r="B267">
            <v>0</v>
          </cell>
        </row>
        <row r="268">
          <cell r="A268">
            <v>0</v>
          </cell>
          <cell r="B268">
            <v>0</v>
          </cell>
        </row>
        <row r="269">
          <cell r="A269">
            <v>0</v>
          </cell>
          <cell r="B269">
            <v>0</v>
          </cell>
        </row>
        <row r="270">
          <cell r="A270">
            <v>0</v>
          </cell>
          <cell r="B270">
            <v>0</v>
          </cell>
        </row>
        <row r="271">
          <cell r="A271">
            <v>0</v>
          </cell>
          <cell r="B271">
            <v>0</v>
          </cell>
        </row>
        <row r="272">
          <cell r="A272">
            <v>0</v>
          </cell>
          <cell r="B272">
            <v>0</v>
          </cell>
        </row>
        <row r="273">
          <cell r="A273">
            <v>0</v>
          </cell>
          <cell r="B273">
            <v>0</v>
          </cell>
        </row>
        <row r="274">
          <cell r="A274">
            <v>0</v>
          </cell>
          <cell r="B274">
            <v>0</v>
          </cell>
        </row>
        <row r="275">
          <cell r="A275">
            <v>0</v>
          </cell>
          <cell r="B275">
            <v>0</v>
          </cell>
        </row>
        <row r="276">
          <cell r="A276">
            <v>0</v>
          </cell>
          <cell r="B276">
            <v>0</v>
          </cell>
        </row>
        <row r="277">
          <cell r="A277">
            <v>0</v>
          </cell>
          <cell r="B277">
            <v>0</v>
          </cell>
        </row>
        <row r="278">
          <cell r="A278">
            <v>0</v>
          </cell>
          <cell r="B278">
            <v>0</v>
          </cell>
        </row>
        <row r="279">
          <cell r="A279">
            <v>0</v>
          </cell>
          <cell r="B279">
            <v>0</v>
          </cell>
        </row>
        <row r="280">
          <cell r="A280">
            <v>0</v>
          </cell>
          <cell r="B280">
            <v>0</v>
          </cell>
        </row>
        <row r="281">
          <cell r="A281">
            <v>0</v>
          </cell>
          <cell r="B281">
            <v>0</v>
          </cell>
        </row>
        <row r="282">
          <cell r="A282">
            <v>0</v>
          </cell>
          <cell r="B282">
            <v>0</v>
          </cell>
        </row>
        <row r="283">
          <cell r="A283">
            <v>0</v>
          </cell>
          <cell r="B283">
            <v>0</v>
          </cell>
        </row>
        <row r="284">
          <cell r="A284">
            <v>0</v>
          </cell>
          <cell r="B284">
            <v>0</v>
          </cell>
        </row>
        <row r="285">
          <cell r="A285">
            <v>0</v>
          </cell>
          <cell r="B285">
            <v>0</v>
          </cell>
        </row>
        <row r="286">
          <cell r="A286">
            <v>0</v>
          </cell>
          <cell r="B286">
            <v>0</v>
          </cell>
        </row>
        <row r="287">
          <cell r="A287">
            <v>0</v>
          </cell>
          <cell r="B287">
            <v>0</v>
          </cell>
        </row>
        <row r="288">
          <cell r="A288">
            <v>0</v>
          </cell>
          <cell r="B288">
            <v>0</v>
          </cell>
        </row>
        <row r="289">
          <cell r="A289">
            <v>0</v>
          </cell>
          <cell r="B289">
            <v>0</v>
          </cell>
        </row>
        <row r="290">
          <cell r="A290">
            <v>0</v>
          </cell>
          <cell r="B290">
            <v>0</v>
          </cell>
        </row>
        <row r="291">
          <cell r="A291">
            <v>0</v>
          </cell>
          <cell r="B291">
            <v>0</v>
          </cell>
        </row>
        <row r="292">
          <cell r="A292">
            <v>0</v>
          </cell>
          <cell r="B292">
            <v>0</v>
          </cell>
        </row>
        <row r="293">
          <cell r="A293">
            <v>0</v>
          </cell>
          <cell r="B293">
            <v>0</v>
          </cell>
        </row>
        <row r="294">
          <cell r="A294">
            <v>0</v>
          </cell>
          <cell r="B294">
            <v>0</v>
          </cell>
        </row>
        <row r="295">
          <cell r="A295">
            <v>0</v>
          </cell>
          <cell r="B295">
            <v>0</v>
          </cell>
        </row>
        <row r="296">
          <cell r="A296">
            <v>0</v>
          </cell>
          <cell r="B296">
            <v>0</v>
          </cell>
        </row>
        <row r="297">
          <cell r="A297">
            <v>0</v>
          </cell>
          <cell r="B297">
            <v>0</v>
          </cell>
        </row>
        <row r="298">
          <cell r="A298">
            <v>0</v>
          </cell>
          <cell r="B298">
            <v>0</v>
          </cell>
        </row>
        <row r="299">
          <cell r="A299">
            <v>0</v>
          </cell>
          <cell r="B299">
            <v>0</v>
          </cell>
        </row>
        <row r="300">
          <cell r="A300">
            <v>0</v>
          </cell>
          <cell r="B30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8" zoomScaleNormal="70" zoomScaleSheetLayoutView="100" zoomScalePageLayoutView="82" workbookViewId="0">
      <selection activeCell="C31" sqref="C31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4" t="s">
        <v>63</v>
      </c>
    </row>
    <row r="8" spans="2:11" ht="92.25">
      <c r="F8" s="109"/>
      <c r="G8" s="109"/>
    </row>
    <row r="12" spans="2:11">
      <c r="B12" s="108" t="s">
        <v>261</v>
      </c>
      <c r="C12" s="108"/>
      <c r="D12" s="108"/>
      <c r="E12" s="108"/>
      <c r="F12" s="108"/>
      <c r="G12" s="108"/>
      <c r="H12" s="108"/>
      <c r="I12" s="108"/>
      <c r="J12" s="108"/>
      <c r="K12" s="108"/>
    </row>
    <row r="13" spans="2:11">
      <c r="B13" s="108"/>
      <c r="C13" s="108"/>
      <c r="D13" s="108"/>
      <c r="E13" s="108"/>
      <c r="F13" s="108"/>
      <c r="G13" s="108"/>
      <c r="H13" s="108"/>
      <c r="I13" s="108"/>
      <c r="J13" s="108"/>
      <c r="K13" s="108"/>
    </row>
    <row r="14" spans="2:11" ht="15" customHeight="1">
      <c r="B14" s="108"/>
      <c r="C14" s="108"/>
      <c r="D14" s="108"/>
      <c r="E14" s="108"/>
      <c r="F14" s="108"/>
      <c r="G14" s="108"/>
      <c r="H14" s="108"/>
      <c r="I14" s="108"/>
      <c r="J14" s="108"/>
      <c r="K14" s="108"/>
    </row>
    <row r="15" spans="2:11" ht="15" customHeight="1">
      <c r="B15" s="108"/>
      <c r="C15" s="108"/>
      <c r="D15" s="108"/>
      <c r="E15" s="108"/>
      <c r="F15" s="108"/>
      <c r="G15" s="108"/>
      <c r="H15" s="108"/>
      <c r="I15" s="108"/>
      <c r="J15" s="108"/>
      <c r="K15" s="108"/>
    </row>
    <row r="16" spans="2:11" ht="15" customHeight="1">
      <c r="B16" s="108"/>
      <c r="C16" s="108"/>
      <c r="D16" s="108"/>
      <c r="E16" s="108"/>
      <c r="F16" s="108"/>
      <c r="G16" s="108"/>
      <c r="H16" s="108"/>
      <c r="I16" s="108"/>
      <c r="J16" s="108"/>
      <c r="K16" s="108"/>
    </row>
    <row r="17" spans="2:11" ht="15" customHeight="1">
      <c r="B17" s="108"/>
      <c r="C17" s="108"/>
      <c r="D17" s="108"/>
      <c r="E17" s="108"/>
      <c r="F17" s="108"/>
      <c r="G17" s="108"/>
      <c r="H17" s="108"/>
      <c r="I17" s="108"/>
      <c r="J17" s="108"/>
      <c r="K17" s="108"/>
    </row>
    <row r="18" spans="2:11" ht="15" customHeight="1">
      <c r="B18" s="108"/>
      <c r="C18" s="108"/>
      <c r="D18" s="108"/>
      <c r="E18" s="108"/>
      <c r="F18" s="108"/>
      <c r="G18" s="108"/>
      <c r="H18" s="108"/>
      <c r="I18" s="108"/>
      <c r="J18" s="108"/>
      <c r="K18" s="108"/>
    </row>
    <row r="19" spans="2:11" ht="15" customHeight="1">
      <c r="B19" s="108"/>
      <c r="C19" s="108"/>
      <c r="D19" s="108"/>
      <c r="E19" s="108"/>
      <c r="F19" s="108"/>
      <c r="G19" s="108"/>
      <c r="H19" s="108"/>
      <c r="I19" s="108"/>
      <c r="J19" s="108"/>
      <c r="K19" s="108"/>
    </row>
    <row r="20" spans="2:11" ht="15" customHeight="1">
      <c r="B20" s="108"/>
      <c r="C20" s="108"/>
      <c r="D20" s="108"/>
      <c r="E20" s="108"/>
      <c r="F20" s="108"/>
      <c r="G20" s="108"/>
      <c r="H20" s="108"/>
      <c r="I20" s="108"/>
      <c r="J20" s="108"/>
      <c r="K20" s="108"/>
    </row>
    <row r="21" spans="2:11" ht="15" customHeight="1">
      <c r="B21" s="108"/>
      <c r="C21" s="108"/>
      <c r="D21" s="108"/>
      <c r="E21" s="108"/>
      <c r="F21" s="108"/>
      <c r="G21" s="108"/>
      <c r="H21" s="108"/>
      <c r="I21" s="108"/>
      <c r="J21" s="108"/>
      <c r="K21" s="108"/>
    </row>
    <row r="22" spans="2:11" ht="15" customHeight="1">
      <c r="B22" s="108"/>
      <c r="C22" s="108"/>
      <c r="D22" s="108"/>
      <c r="E22" s="108"/>
      <c r="F22" s="108"/>
      <c r="G22" s="108"/>
      <c r="H22" s="108"/>
      <c r="I22" s="108"/>
      <c r="J22" s="108"/>
      <c r="K22" s="108"/>
    </row>
    <row r="23" spans="2:11" ht="15" customHeight="1">
      <c r="B23" s="108"/>
      <c r="C23" s="108"/>
      <c r="D23" s="108"/>
      <c r="E23" s="108"/>
      <c r="F23" s="108"/>
      <c r="G23" s="108"/>
      <c r="H23" s="108"/>
      <c r="I23" s="108"/>
      <c r="J23" s="108"/>
      <c r="K23" s="108"/>
    </row>
    <row r="24" spans="2:11" ht="15" customHeight="1">
      <c r="B24" s="108"/>
      <c r="C24" s="108"/>
      <c r="D24" s="108"/>
      <c r="E24" s="108"/>
      <c r="F24" s="108"/>
      <c r="G24" s="108"/>
      <c r="H24" s="108"/>
      <c r="I24" s="108"/>
      <c r="J24" s="108"/>
      <c r="K24" s="108"/>
    </row>
    <row r="25" spans="2:11" ht="15" customHeight="1">
      <c r="B25" s="108"/>
      <c r="C25" s="108"/>
      <c r="D25" s="108"/>
      <c r="E25" s="108"/>
      <c r="F25" s="108"/>
      <c r="G25" s="108"/>
      <c r="H25" s="108"/>
      <c r="I25" s="108"/>
      <c r="J25" s="108"/>
      <c r="K25" s="108"/>
    </row>
    <row r="26" spans="2:11" ht="15" customHeight="1">
      <c r="B26" s="108"/>
      <c r="C26" s="108"/>
      <c r="D26" s="108"/>
      <c r="E26" s="108"/>
      <c r="F26" s="108"/>
      <c r="G26" s="108"/>
      <c r="H26" s="108"/>
      <c r="I26" s="108"/>
      <c r="J26" s="108"/>
      <c r="K26" s="108"/>
    </row>
    <row r="27" spans="2:11" ht="15" customHeight="1">
      <c r="B27" s="108"/>
      <c r="C27" s="108"/>
      <c r="D27" s="108"/>
      <c r="E27" s="108"/>
      <c r="F27" s="108"/>
      <c r="G27" s="108"/>
      <c r="H27" s="108"/>
      <c r="I27" s="108"/>
      <c r="J27" s="108"/>
      <c r="K27" s="108"/>
    </row>
    <row r="28" spans="2:11" ht="15" customHeight="1">
      <c r="B28" s="108"/>
      <c r="C28" s="108"/>
      <c r="D28" s="108"/>
      <c r="E28" s="108"/>
      <c r="F28" s="108"/>
      <c r="G28" s="108"/>
      <c r="H28" s="108"/>
      <c r="I28" s="108"/>
      <c r="J28" s="108"/>
      <c r="K28" s="108"/>
    </row>
    <row r="29" spans="2:11" ht="15" customHeight="1">
      <c r="B29" s="108"/>
      <c r="C29" s="108"/>
      <c r="D29" s="108"/>
      <c r="E29" s="108"/>
      <c r="F29" s="108"/>
      <c r="G29" s="108"/>
      <c r="H29" s="108"/>
      <c r="I29" s="108"/>
      <c r="J29" s="108"/>
      <c r="K29" s="108"/>
    </row>
    <row r="30" spans="2:11" ht="15" customHeight="1">
      <c r="B30" s="108"/>
      <c r="C30" s="108"/>
      <c r="D30" s="108"/>
      <c r="E30" s="108"/>
      <c r="F30" s="108"/>
      <c r="G30" s="108"/>
      <c r="H30" s="108"/>
      <c r="I30" s="108"/>
      <c r="J30" s="108"/>
      <c r="K30" s="108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2">
        <v>2025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6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A23" zoomScale="80" zoomScaleNormal="80" zoomScaleSheetLayoutView="80" workbookViewId="0">
      <selection activeCell="B13" sqref="B13:O15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4" t="s">
        <v>0</v>
      </c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</row>
    <row r="8" spans="2:30">
      <c r="B8" s="115" t="s">
        <v>55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</row>
    <row r="9" spans="2:30" s="10" customFormat="1" ht="60.75" customHeight="1">
      <c r="B9" s="116" t="s">
        <v>233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</row>
    <row r="10" spans="2:30" ht="23.25">
      <c r="B10" s="118" t="s">
        <v>260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</row>
    <row r="12" spans="2:30">
      <c r="B12" s="113" t="s">
        <v>56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</row>
    <row r="13" spans="2:30" ht="15" customHeight="1">
      <c r="B13" s="111" t="s">
        <v>426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</row>
    <row r="14" spans="2:30" ht="15" customHeight="1"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</row>
    <row r="15" spans="2:30" ht="15" customHeight="1"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</row>
    <row r="17" spans="2:30" ht="18.75" customHeight="1">
      <c r="B17" s="112" t="s">
        <v>58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</row>
    <row r="18" spans="2:30" ht="18.75" customHeight="1">
      <c r="B18" s="111" t="s">
        <v>66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</row>
    <row r="19" spans="2:30"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12" t="s">
        <v>59</v>
      </c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1" t="s">
        <v>235</v>
      </c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12" t="s">
        <v>60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11" t="s">
        <v>262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12" t="s">
        <v>61</v>
      </c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11" t="s">
        <v>68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12" t="s">
        <v>62</v>
      </c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</row>
    <row r="52" spans="2:30" ht="54.75" customHeight="1">
      <c r="B52" s="111" t="s">
        <v>67</v>
      </c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48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D277" sqref="D27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14" t="s">
        <v>0</v>
      </c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</row>
    <row r="8" spans="2:15">
      <c r="B8" s="126" t="s">
        <v>55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</row>
    <row r="9" spans="2:15" ht="19.5">
      <c r="B9" s="116" t="s">
        <v>57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</row>
    <row r="10" spans="2:15" ht="23.25">
      <c r="B10" s="118" t="s">
        <v>260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</row>
    <row r="12" spans="2:15" ht="19.5">
      <c r="B12" s="128" t="s">
        <v>64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</row>
    <row r="13" spans="2:15" s="10" customFormat="1" ht="46.5" customHeight="1">
      <c r="B13" s="116" t="s">
        <v>236</v>
      </c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</row>
    <row r="14" spans="2:15" ht="33" customHeight="1">
      <c r="B14" s="25"/>
      <c r="C14" s="123" t="s">
        <v>237</v>
      </c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26"/>
    </row>
    <row r="15" spans="2:15" ht="48" customHeight="1">
      <c r="B15" s="25"/>
      <c r="C15" s="124" t="s">
        <v>234</v>
      </c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13" t="s">
        <v>65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</row>
    <row r="18" spans="2:15">
      <c r="B18" s="16">
        <v>1</v>
      </c>
      <c r="C18" s="120" t="s">
        <v>240</v>
      </c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</row>
    <row r="19" spans="2:15">
      <c r="B19" s="16">
        <v>2</v>
      </c>
      <c r="C19" s="111" t="s">
        <v>241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</row>
    <row r="20" spans="2:15">
      <c r="B20" s="16">
        <v>3</v>
      </c>
      <c r="C20" s="121" t="s">
        <v>238</v>
      </c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</row>
    <row r="21" spans="2:15">
      <c r="B21" s="16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2:15">
      <c r="B22" s="16"/>
      <c r="C22" s="122" t="s">
        <v>239</v>
      </c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7:O7"/>
    <mergeCell ref="B8:O8"/>
    <mergeCell ref="B9:O9"/>
    <mergeCell ref="B10:O10"/>
    <mergeCell ref="B12:O12"/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0.7109375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ColWidth="10.7109375" defaultRowHeight="12.75"/>
  <cols>
    <col min="1" max="1" width="26.85546875" customWidth="1"/>
    <col min="3" max="3" width="20.7109375" customWidth="1"/>
  </cols>
  <sheetData>
    <row r="1" spans="1:3">
      <c r="A1" s="20" t="s">
        <v>201</v>
      </c>
      <c r="B1" s="20" t="s">
        <v>9</v>
      </c>
      <c r="C1" t="s">
        <v>3</v>
      </c>
    </row>
    <row r="2" spans="1:3">
      <c r="A2" t="s">
        <v>202</v>
      </c>
      <c r="B2" s="20" t="s">
        <v>10</v>
      </c>
      <c r="C2" t="s">
        <v>4</v>
      </c>
    </row>
    <row r="3" spans="1:3">
      <c r="A3" t="s">
        <v>203</v>
      </c>
      <c r="B3" s="20" t="s">
        <v>11</v>
      </c>
      <c r="C3" t="s">
        <v>232</v>
      </c>
    </row>
    <row r="4" spans="1:3">
      <c r="A4" t="s">
        <v>204</v>
      </c>
      <c r="B4" s="20" t="s">
        <v>12</v>
      </c>
    </row>
    <row r="5" spans="1:3">
      <c r="A5" t="s">
        <v>205</v>
      </c>
      <c r="B5" s="20" t="s">
        <v>13</v>
      </c>
    </row>
    <row r="6" spans="1:3">
      <c r="A6" t="s">
        <v>206</v>
      </c>
      <c r="B6" s="20" t="s">
        <v>14</v>
      </c>
    </row>
    <row r="7" spans="1:3">
      <c r="A7" t="s">
        <v>207</v>
      </c>
      <c r="B7" s="20" t="s">
        <v>15</v>
      </c>
    </row>
    <row r="8" spans="1:3">
      <c r="A8" t="s">
        <v>208</v>
      </c>
      <c r="B8" s="20" t="s">
        <v>16</v>
      </c>
    </row>
    <row r="9" spans="1:3">
      <c r="A9" t="s">
        <v>209</v>
      </c>
      <c r="B9" s="20" t="s">
        <v>17</v>
      </c>
    </row>
    <row r="10" spans="1:3">
      <c r="A10" t="s">
        <v>210</v>
      </c>
      <c r="B10" s="20" t="s">
        <v>18</v>
      </c>
    </row>
    <row r="11" spans="1:3">
      <c r="A11" t="s">
        <v>211</v>
      </c>
      <c r="B11" s="20" t="s">
        <v>19</v>
      </c>
    </row>
    <row r="12" spans="1:3">
      <c r="A12" t="s">
        <v>212</v>
      </c>
      <c r="B12" s="20" t="s">
        <v>20</v>
      </c>
    </row>
    <row r="13" spans="1:3">
      <c r="A13" t="s">
        <v>213</v>
      </c>
      <c r="B13" s="20" t="s">
        <v>21</v>
      </c>
    </row>
    <row r="14" spans="1:3">
      <c r="A14" t="s">
        <v>70</v>
      </c>
      <c r="B14" s="20" t="s">
        <v>10</v>
      </c>
    </row>
    <row r="15" spans="1:3">
      <c r="A15" t="s">
        <v>214</v>
      </c>
      <c r="B15" s="20" t="s">
        <v>11</v>
      </c>
    </row>
    <row r="16" spans="1:3">
      <c r="A16" t="s">
        <v>215</v>
      </c>
      <c r="B16" s="20" t="s">
        <v>12</v>
      </c>
    </row>
    <row r="17" spans="1:2">
      <c r="A17" t="s">
        <v>216</v>
      </c>
      <c r="B17" s="20" t="s">
        <v>13</v>
      </c>
    </row>
    <row r="18" spans="1:2">
      <c r="A18" t="s">
        <v>6</v>
      </c>
      <c r="B18" s="20" t="s">
        <v>14</v>
      </c>
    </row>
    <row r="19" spans="1:2">
      <c r="A19" t="s">
        <v>217</v>
      </c>
      <c r="B19" s="20" t="s">
        <v>15</v>
      </c>
    </row>
    <row r="20" spans="1:2">
      <c r="A20" t="s">
        <v>218</v>
      </c>
      <c r="B20" s="20" t="s">
        <v>16</v>
      </c>
    </row>
    <row r="21" spans="1:2">
      <c r="A21" t="s">
        <v>219</v>
      </c>
      <c r="B21" s="20" t="s">
        <v>17</v>
      </c>
    </row>
    <row r="22" spans="1:2">
      <c r="A22" t="s">
        <v>220</v>
      </c>
      <c r="B22" s="20" t="s">
        <v>18</v>
      </c>
    </row>
    <row r="23" spans="1:2">
      <c r="A23" t="s">
        <v>221</v>
      </c>
      <c r="B23" s="20" t="s">
        <v>19</v>
      </c>
    </row>
    <row r="24" spans="1:2">
      <c r="A24" t="s">
        <v>222</v>
      </c>
      <c r="B24" s="20" t="s">
        <v>20</v>
      </c>
    </row>
    <row r="25" spans="1:2">
      <c r="A25" t="s">
        <v>223</v>
      </c>
      <c r="B25" s="20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view="pageBreakPreview" zoomScaleNormal="100" zoomScaleSheetLayoutView="100" workbookViewId="0">
      <selection activeCell="C13" sqref="C13"/>
    </sheetView>
  </sheetViews>
  <sheetFormatPr baseColWidth="10" defaultColWidth="11.42578125" defaultRowHeight="12.75"/>
  <cols>
    <col min="1" max="1" width="23.28515625" style="31" customWidth="1"/>
    <col min="2" max="2" width="26.140625" style="31" customWidth="1"/>
    <col min="3" max="3" width="28.28515625" style="31" customWidth="1"/>
    <col min="4" max="4" width="23.28515625" style="31" customWidth="1"/>
    <col min="5" max="5" width="25.7109375" style="31" customWidth="1"/>
    <col min="6" max="6" width="26.85546875" style="31" customWidth="1"/>
    <col min="7" max="7" width="29.42578125" style="31" customWidth="1"/>
    <col min="8" max="16384" width="11.42578125" style="31"/>
  </cols>
  <sheetData>
    <row r="3" spans="1:228" ht="69.75" customHeight="1">
      <c r="B3" s="32"/>
      <c r="C3" s="32"/>
    </row>
    <row r="4" spans="1:228" ht="21.75" customHeight="1">
      <c r="B4" s="106" t="s">
        <v>425</v>
      </c>
      <c r="C4" s="106"/>
      <c r="D4" s="106"/>
    </row>
    <row r="5" spans="1:228" ht="12.75" customHeight="1">
      <c r="B5" s="40" t="s">
        <v>247</v>
      </c>
      <c r="C5" s="40"/>
    </row>
    <row r="6" spans="1:228" s="17" customFormat="1" ht="18" customHeight="1">
      <c r="A6" s="33"/>
      <c r="B6" s="106" t="s">
        <v>0</v>
      </c>
      <c r="C6" s="106"/>
      <c r="D6" s="34"/>
      <c r="E6" s="34"/>
      <c r="F6" s="34"/>
      <c r="G6" s="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3"/>
      <c r="B7" s="33"/>
      <c r="C7" s="33"/>
      <c r="D7" s="34"/>
      <c r="E7" s="34"/>
      <c r="F7" s="34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07" t="s">
        <v>248</v>
      </c>
      <c r="B8" s="107"/>
      <c r="C8" s="107"/>
      <c r="D8" s="107"/>
      <c r="E8" s="35"/>
      <c r="F8" s="35"/>
      <c r="G8" s="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5"/>
      <c r="B10" s="38" t="s">
        <v>242</v>
      </c>
      <c r="C10" s="82" t="s">
        <v>6</v>
      </c>
      <c r="D10" s="35"/>
      <c r="E10" s="35"/>
      <c r="F10" s="35"/>
    </row>
    <row r="11" spans="1:228" ht="18">
      <c r="A11" s="35"/>
      <c r="B11" s="29" t="s">
        <v>243</v>
      </c>
      <c r="C11" s="30">
        <v>2026</v>
      </c>
      <c r="D11" s="35"/>
      <c r="E11" s="35"/>
      <c r="F11" s="35"/>
    </row>
    <row r="12" spans="1:228" ht="18">
      <c r="A12" s="35"/>
      <c r="B12" s="29" t="s">
        <v>244</v>
      </c>
      <c r="C12" s="84" t="s">
        <v>15</v>
      </c>
      <c r="D12" s="35"/>
      <c r="E12" s="35"/>
      <c r="F12" s="35"/>
    </row>
    <row r="13" spans="1:228" ht="18">
      <c r="A13" s="35"/>
      <c r="B13" s="29" t="s">
        <v>249</v>
      </c>
      <c r="C13" s="83">
        <f>A16+B16+C16+D16+E16+F16+G16</f>
        <v>37032</v>
      </c>
    </row>
    <row r="15" spans="1:228" ht="63.6" customHeight="1">
      <c r="A15" s="21" t="s">
        <v>255</v>
      </c>
      <c r="B15" s="21" t="s">
        <v>256</v>
      </c>
      <c r="C15" s="21" t="s">
        <v>257</v>
      </c>
      <c r="D15" s="21" t="s">
        <v>258</v>
      </c>
      <c r="E15" s="21" t="s">
        <v>419</v>
      </c>
      <c r="F15" s="21" t="s">
        <v>420</v>
      </c>
      <c r="G15" s="21" t="s">
        <v>259</v>
      </c>
    </row>
    <row r="16" spans="1:228" ht="16.5">
      <c r="A16" s="53">
        <f>SUM('C01'!D20:'C01'!D79,'C02'!D20:'C02'!D79)</f>
        <v>2303</v>
      </c>
      <c r="B16" s="53">
        <f>SUM('C01'!D80:'C01'!D122,'C02'!D80:'C02'!D122)</f>
        <v>599</v>
      </c>
      <c r="C16" s="53">
        <f>SUM('C01'!D123:'C01'!D263,'C02'!D123:'C02'!D263)</f>
        <v>7801</v>
      </c>
      <c r="D16" s="53">
        <f>SUM('C01'!D264:D273,'C02'!D264:D273)</f>
        <v>185</v>
      </c>
      <c r="E16" s="53">
        <f>SUM('C01'!D274:'C01'!D290,'C02'!D274:'C02'!D290)</f>
        <v>6080</v>
      </c>
      <c r="F16" s="53">
        <f>SUM('C01'!D291:'C01'!D293,'C02'!D291:'C02'!D293)</f>
        <v>42</v>
      </c>
      <c r="G16" s="53">
        <f>SUM('C01'!D294:'C01'!D301,'C02'!D294:'C02'!D301)</f>
        <v>20022</v>
      </c>
    </row>
    <row r="17" spans="1:7" ht="15">
      <c r="A17" s="21"/>
      <c r="B17" s="21"/>
      <c r="C17" s="21"/>
      <c r="D17" s="21"/>
      <c r="E17" s="21"/>
      <c r="F17" s="21"/>
      <c r="G17" s="21"/>
    </row>
    <row r="18" spans="1:7" ht="15">
      <c r="A18" s="54"/>
      <c r="B18" s="54"/>
      <c r="C18" s="54"/>
      <c r="D18" s="54"/>
      <c r="E18" s="81"/>
      <c r="F18" s="81"/>
    </row>
    <row r="19" spans="1:7" s="41" customFormat="1" ht="38.25">
      <c r="A19" s="55" t="s">
        <v>250</v>
      </c>
      <c r="B19" s="55" t="s">
        <v>251</v>
      </c>
      <c r="C19" s="55" t="s">
        <v>252</v>
      </c>
      <c r="D19" s="55" t="s">
        <v>253</v>
      </c>
      <c r="E19" s="55" t="s">
        <v>421</v>
      </c>
      <c r="F19" s="55" t="s">
        <v>422</v>
      </c>
      <c r="G19" s="55" t="s">
        <v>254</v>
      </c>
    </row>
    <row r="20" spans="1:7" ht="30">
      <c r="A20" s="56">
        <f>IFERROR(A16/$C$13,0)</f>
        <v>6.2189457766256208E-2</v>
      </c>
      <c r="B20" s="56">
        <f>IFERROR(B16/$C$13,0)</f>
        <v>1.6175199827176495E-2</v>
      </c>
      <c r="C20" s="56">
        <f t="shared" ref="C20:G20" si="0">IFERROR(C16/$C$13,0)</f>
        <v>0.21065564916828688</v>
      </c>
      <c r="D20" s="56">
        <f t="shared" si="0"/>
        <v>4.9956794124000866E-3</v>
      </c>
      <c r="E20" s="56">
        <f t="shared" si="0"/>
        <v>0.16418232879671635</v>
      </c>
      <c r="F20" s="56">
        <f t="shared" si="0"/>
        <v>1.1341542449773169E-3</v>
      </c>
      <c r="G20" s="56">
        <f t="shared" si="0"/>
        <v>0.54066753078418661</v>
      </c>
    </row>
    <row r="21" spans="1:7" ht="15">
      <c r="A21" s="21"/>
      <c r="B21" s="21"/>
      <c r="C21" s="21"/>
      <c r="D21" s="21"/>
      <c r="E21" s="21"/>
      <c r="F21" s="21"/>
      <c r="G21" s="21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Q302"/>
  <sheetViews>
    <sheetView showGridLines="0" tabSelected="1" view="pageBreakPreview" zoomScaleNormal="100" zoomScaleSheetLayoutView="100" workbookViewId="0">
      <selection activeCell="D20" sqref="D20:D302"/>
    </sheetView>
  </sheetViews>
  <sheetFormatPr baseColWidth="10" defaultColWidth="11.42578125" defaultRowHeight="12.75"/>
  <cols>
    <col min="1" max="1" width="8" style="17" customWidth="1"/>
    <col min="2" max="2" width="7.7109375" style="24" customWidth="1"/>
    <col min="3" max="3" width="77" style="17" bestFit="1" customWidth="1"/>
    <col min="4" max="4" width="36.7109375" style="24" customWidth="1"/>
    <col min="5" max="6" width="14.85546875" style="17" bestFit="1" customWidth="1"/>
    <col min="7" max="9" width="13.85546875" style="17" bestFit="1" customWidth="1"/>
    <col min="10" max="16384" width="11.42578125" style="17"/>
  </cols>
  <sheetData>
    <row r="1" spans="2:225">
      <c r="D1" s="17"/>
    </row>
    <row r="2" spans="2:225">
      <c r="D2" s="17"/>
    </row>
    <row r="3" spans="2:225" ht="16.5">
      <c r="D3" s="17"/>
      <c r="E3" s="43"/>
      <c r="F3" s="43"/>
      <c r="G3" s="43"/>
      <c r="H3" s="43"/>
      <c r="I3" s="43"/>
    </row>
    <row r="4" spans="2:225" ht="30">
      <c r="B4" s="17"/>
      <c r="D4" s="17"/>
      <c r="E4" s="36"/>
      <c r="F4" s="36"/>
      <c r="G4" s="36"/>
      <c r="H4" s="36"/>
      <c r="I4" s="3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</row>
    <row r="5" spans="2:225" ht="30">
      <c r="B5" s="17"/>
      <c r="D5" s="17"/>
      <c r="E5" s="36"/>
      <c r="F5" s="36"/>
      <c r="G5" s="36"/>
      <c r="H5" s="36"/>
      <c r="I5" s="3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</row>
    <row r="6" spans="2:225" ht="19.5" customHeight="1">
      <c r="B6" s="129" t="s">
        <v>425</v>
      </c>
      <c r="C6" s="129"/>
      <c r="D6" s="129"/>
      <c r="E6" s="36"/>
      <c r="F6" s="36"/>
      <c r="G6" s="36"/>
      <c r="H6" s="36"/>
      <c r="I6" s="3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</row>
    <row r="7" spans="2:225" ht="19.5" customHeight="1">
      <c r="B7" s="133" t="s">
        <v>247</v>
      </c>
      <c r="C7" s="134"/>
      <c r="D7" s="134"/>
      <c r="E7" s="36"/>
      <c r="F7" s="36"/>
      <c r="G7" s="36"/>
      <c r="H7" s="36"/>
      <c r="I7" s="3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</row>
    <row r="8" spans="2:225" ht="19.5" customHeight="1">
      <c r="B8" s="133" t="s">
        <v>0</v>
      </c>
      <c r="C8" s="134"/>
      <c r="D8" s="134"/>
      <c r="E8" s="130"/>
      <c r="F8" s="130"/>
      <c r="G8" s="130"/>
      <c r="H8" s="130"/>
      <c r="I8" s="130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</row>
    <row r="9" spans="2:225" ht="16.5">
      <c r="B9" s="133"/>
      <c r="C9" s="134"/>
      <c r="D9" s="134"/>
      <c r="E9" s="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</row>
    <row r="10" spans="2:225" ht="23.25">
      <c r="B10" s="135" t="s">
        <v>418</v>
      </c>
      <c r="C10" s="135"/>
      <c r="D10" s="135"/>
      <c r="E10" s="1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</row>
    <row r="11" spans="2:225" ht="16.5">
      <c r="C11" s="45"/>
      <c r="D11" s="4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</row>
    <row r="12" spans="2:225" ht="16.5" customHeight="1">
      <c r="C12" s="39" t="s">
        <v>242</v>
      </c>
      <c r="D12" s="47" t="str">
        <f>RESUMEN!C10</f>
        <v>Morelos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</row>
    <row r="13" spans="2:225" ht="15">
      <c r="C13" s="39" t="s">
        <v>243</v>
      </c>
      <c r="D13" s="48">
        <f>RESUMEN!C11</f>
        <v>2026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</row>
    <row r="14" spans="2:225" ht="15">
      <c r="C14" s="39" t="s">
        <v>244</v>
      </c>
      <c r="D14" s="48" t="str">
        <f>RESUMEN!C12</f>
        <v>Junio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</row>
    <row r="15" spans="2:225" ht="15">
      <c r="C15" s="22"/>
      <c r="D15" s="23"/>
      <c r="E15" s="18"/>
      <c r="F15" s="18"/>
      <c r="G15" s="2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</row>
    <row r="16" spans="2:225" ht="15" customHeight="1">
      <c r="B16" s="138" t="s">
        <v>2</v>
      </c>
      <c r="C16" s="139"/>
      <c r="D16" s="140"/>
    </row>
    <row r="17" spans="2:6" ht="15">
      <c r="B17" s="136" t="s">
        <v>245</v>
      </c>
      <c r="C17" s="137"/>
      <c r="D17" s="49" t="s">
        <v>4</v>
      </c>
    </row>
    <row r="18" spans="2:6" ht="15">
      <c r="B18" s="131" t="s">
        <v>246</v>
      </c>
      <c r="C18" s="132"/>
      <c r="D18" s="49" t="s">
        <v>423</v>
      </c>
    </row>
    <row r="19" spans="2:6" ht="15">
      <c r="B19" s="50" t="s">
        <v>73</v>
      </c>
      <c r="C19" s="51" t="s">
        <v>72</v>
      </c>
      <c r="D19" s="52" t="s">
        <v>71</v>
      </c>
      <c r="F19" s="28"/>
    </row>
    <row r="20" spans="2:6" ht="16.5">
      <c r="B20" s="67">
        <v>10101</v>
      </c>
      <c r="C20" s="68" t="s">
        <v>264</v>
      </c>
      <c r="D20" s="85">
        <v>0</v>
      </c>
    </row>
    <row r="21" spans="2:6" ht="16.5">
      <c r="B21" s="57">
        <v>10102</v>
      </c>
      <c r="C21" s="58" t="s">
        <v>265</v>
      </c>
      <c r="D21" s="85">
        <v>0</v>
      </c>
    </row>
    <row r="22" spans="2:6" ht="16.5">
      <c r="B22" s="67">
        <v>10103</v>
      </c>
      <c r="C22" s="68" t="s">
        <v>266</v>
      </c>
      <c r="D22" s="85">
        <v>155</v>
      </c>
    </row>
    <row r="23" spans="2:6" ht="16.5">
      <c r="B23" s="57">
        <v>10104</v>
      </c>
      <c r="C23" s="58" t="s">
        <v>267</v>
      </c>
      <c r="D23" s="85">
        <v>309</v>
      </c>
    </row>
    <row r="24" spans="2:6" ht="16.5">
      <c r="B24" s="67">
        <v>10105</v>
      </c>
      <c r="C24" s="68" t="s">
        <v>268</v>
      </c>
      <c r="D24" s="85">
        <v>0</v>
      </c>
    </row>
    <row r="25" spans="2:6" ht="16.5">
      <c r="B25" s="57">
        <v>10106</v>
      </c>
      <c r="C25" s="58" t="s">
        <v>269</v>
      </c>
      <c r="D25" s="85">
        <v>0</v>
      </c>
    </row>
    <row r="26" spans="2:6" ht="16.5">
      <c r="B26" s="67">
        <v>10107</v>
      </c>
      <c r="C26" s="68" t="s">
        <v>270</v>
      </c>
      <c r="D26" s="85">
        <v>7</v>
      </c>
    </row>
    <row r="27" spans="2:6" ht="16.5">
      <c r="B27" s="57">
        <v>10108</v>
      </c>
      <c r="C27" s="58" t="s">
        <v>271</v>
      </c>
      <c r="D27" s="85">
        <v>1</v>
      </c>
    </row>
    <row r="28" spans="2:6" ht="16.5">
      <c r="B28" s="67">
        <v>10109</v>
      </c>
      <c r="C28" s="68" t="s">
        <v>272</v>
      </c>
      <c r="D28" s="85">
        <v>2</v>
      </c>
    </row>
    <row r="29" spans="2:6" ht="16.5">
      <c r="B29" s="57">
        <v>10110</v>
      </c>
      <c r="C29" s="58" t="s">
        <v>273</v>
      </c>
      <c r="D29" s="85">
        <v>0</v>
      </c>
    </row>
    <row r="30" spans="2:6" ht="16.5">
      <c r="B30" s="67">
        <v>10111</v>
      </c>
      <c r="C30" s="68" t="s">
        <v>274</v>
      </c>
      <c r="D30" s="85">
        <v>3</v>
      </c>
    </row>
    <row r="31" spans="2:6" ht="16.5">
      <c r="B31" s="57">
        <v>10112</v>
      </c>
      <c r="C31" s="58" t="s">
        <v>275</v>
      </c>
      <c r="D31" s="85">
        <v>0</v>
      </c>
    </row>
    <row r="32" spans="2:6" ht="16.5">
      <c r="B32" s="67">
        <v>10113</v>
      </c>
      <c r="C32" s="68" t="s">
        <v>276</v>
      </c>
      <c r="D32" s="85">
        <v>0</v>
      </c>
    </row>
    <row r="33" spans="2:4" ht="16.5">
      <c r="B33" s="57">
        <v>10114</v>
      </c>
      <c r="C33" s="58" t="s">
        <v>277</v>
      </c>
      <c r="D33" s="85">
        <v>0</v>
      </c>
    </row>
    <row r="34" spans="2:4" ht="16.5">
      <c r="B34" s="67">
        <v>10115</v>
      </c>
      <c r="C34" s="68" t="s">
        <v>278</v>
      </c>
      <c r="D34" s="85">
        <v>0</v>
      </c>
    </row>
    <row r="35" spans="2:4" ht="16.5">
      <c r="B35" s="57">
        <v>10116</v>
      </c>
      <c r="C35" s="58" t="s">
        <v>279</v>
      </c>
      <c r="D35" s="85">
        <v>30</v>
      </c>
    </row>
    <row r="36" spans="2:4" ht="16.5">
      <c r="B36" s="67">
        <v>10117</v>
      </c>
      <c r="C36" s="68" t="s">
        <v>280</v>
      </c>
      <c r="D36" s="85">
        <v>0</v>
      </c>
    </row>
    <row r="37" spans="2:4" ht="16.5">
      <c r="B37" s="57">
        <v>10118</v>
      </c>
      <c r="C37" s="58" t="s">
        <v>281</v>
      </c>
      <c r="D37" s="85">
        <v>0</v>
      </c>
    </row>
    <row r="38" spans="2:4" ht="16.5">
      <c r="B38" s="67">
        <v>10119</v>
      </c>
      <c r="C38" s="68" t="s">
        <v>282</v>
      </c>
      <c r="D38" s="85">
        <v>0</v>
      </c>
    </row>
    <row r="39" spans="2:4" ht="16.5">
      <c r="B39" s="57">
        <v>10120</v>
      </c>
      <c r="C39" s="58" t="s">
        <v>283</v>
      </c>
      <c r="D39" s="85">
        <v>0</v>
      </c>
    </row>
    <row r="40" spans="2:4" ht="16.5">
      <c r="B40" s="67">
        <v>10121</v>
      </c>
      <c r="C40" s="68" t="s">
        <v>284</v>
      </c>
      <c r="D40" s="85">
        <v>5</v>
      </c>
    </row>
    <row r="41" spans="2:4" ht="16.5">
      <c r="B41" s="57">
        <v>10201</v>
      </c>
      <c r="C41" s="58" t="s">
        <v>285</v>
      </c>
      <c r="D41" s="85">
        <v>3</v>
      </c>
    </row>
    <row r="42" spans="2:4" ht="16.5">
      <c r="B42" s="67">
        <v>10202</v>
      </c>
      <c r="C42" s="68" t="s">
        <v>286</v>
      </c>
      <c r="D42" s="85">
        <v>1</v>
      </c>
    </row>
    <row r="43" spans="2:4" ht="16.5">
      <c r="B43" s="57">
        <v>10203</v>
      </c>
      <c r="C43" s="58" t="s">
        <v>287</v>
      </c>
      <c r="D43" s="85">
        <v>3</v>
      </c>
    </row>
    <row r="44" spans="2:4" ht="16.5">
      <c r="B44" s="67">
        <v>10204</v>
      </c>
      <c r="C44" s="68" t="s">
        <v>288</v>
      </c>
      <c r="D44" s="85">
        <v>175</v>
      </c>
    </row>
    <row r="45" spans="2:4" ht="16.5">
      <c r="B45" s="57">
        <v>10205</v>
      </c>
      <c r="C45" s="58" t="s">
        <v>289</v>
      </c>
      <c r="D45" s="85">
        <v>3</v>
      </c>
    </row>
    <row r="46" spans="2:4" ht="16.5">
      <c r="B46" s="67">
        <v>10206</v>
      </c>
      <c r="C46" s="68" t="s">
        <v>290</v>
      </c>
      <c r="D46" s="85">
        <v>12</v>
      </c>
    </row>
    <row r="47" spans="2:4" ht="16.5">
      <c r="B47" s="57">
        <v>10207</v>
      </c>
      <c r="C47" s="58" t="s">
        <v>291</v>
      </c>
      <c r="D47" s="85">
        <v>20</v>
      </c>
    </row>
    <row r="48" spans="2:4" ht="16.5">
      <c r="B48" s="67">
        <v>10208</v>
      </c>
      <c r="C48" s="68" t="s">
        <v>292</v>
      </c>
      <c r="D48" s="85">
        <v>17</v>
      </c>
    </row>
    <row r="49" spans="2:4" ht="16.5">
      <c r="B49" s="57">
        <v>10209</v>
      </c>
      <c r="C49" s="58" t="s">
        <v>293</v>
      </c>
      <c r="D49" s="85">
        <v>25</v>
      </c>
    </row>
    <row r="50" spans="2:4" ht="16.5">
      <c r="B50" s="67">
        <v>10210</v>
      </c>
      <c r="C50" s="68" t="s">
        <v>294</v>
      </c>
      <c r="D50" s="85">
        <v>12</v>
      </c>
    </row>
    <row r="51" spans="2:4" ht="16.5">
      <c r="B51" s="57">
        <v>10211</v>
      </c>
      <c r="C51" s="58" t="s">
        <v>76</v>
      </c>
      <c r="D51" s="85">
        <v>5</v>
      </c>
    </row>
    <row r="52" spans="2:4" ht="16.5">
      <c r="B52" s="67">
        <v>10212</v>
      </c>
      <c r="C52" s="68" t="s">
        <v>295</v>
      </c>
      <c r="D52" s="85">
        <v>0</v>
      </c>
    </row>
    <row r="53" spans="2:4" ht="16.5">
      <c r="B53" s="57">
        <v>10213</v>
      </c>
      <c r="C53" s="58" t="s">
        <v>296</v>
      </c>
      <c r="D53" s="85">
        <v>1</v>
      </c>
    </row>
    <row r="54" spans="2:4" ht="16.5">
      <c r="B54" s="67">
        <v>10214</v>
      </c>
      <c r="C54" s="68" t="s">
        <v>297</v>
      </c>
      <c r="D54" s="85">
        <v>0</v>
      </c>
    </row>
    <row r="55" spans="2:4" ht="16.5">
      <c r="B55" s="57">
        <v>10215</v>
      </c>
      <c r="C55" s="58" t="s">
        <v>298</v>
      </c>
      <c r="D55" s="85">
        <v>0</v>
      </c>
    </row>
    <row r="56" spans="2:4" ht="16.5" customHeight="1">
      <c r="B56" s="67">
        <v>10216</v>
      </c>
      <c r="C56" s="68" t="s">
        <v>299</v>
      </c>
      <c r="D56" s="85">
        <v>0</v>
      </c>
    </row>
    <row r="57" spans="2:4" ht="16.5">
      <c r="B57" s="57">
        <v>10217</v>
      </c>
      <c r="C57" s="58" t="s">
        <v>300</v>
      </c>
      <c r="D57" s="85">
        <v>0</v>
      </c>
    </row>
    <row r="58" spans="2:4" ht="16.5">
      <c r="B58" s="67">
        <v>10218</v>
      </c>
      <c r="C58" s="68" t="s">
        <v>301</v>
      </c>
      <c r="D58" s="85">
        <v>0</v>
      </c>
    </row>
    <row r="59" spans="2:4" ht="16.5">
      <c r="B59" s="57">
        <v>10219</v>
      </c>
      <c r="C59" s="58" t="s">
        <v>302</v>
      </c>
      <c r="D59" s="85">
        <v>4</v>
      </c>
    </row>
    <row r="60" spans="2:4" ht="16.5">
      <c r="B60" s="67">
        <v>10220</v>
      </c>
      <c r="C60" s="68" t="s">
        <v>303</v>
      </c>
      <c r="D60" s="85">
        <v>39</v>
      </c>
    </row>
    <row r="61" spans="2:4" ht="16.5">
      <c r="B61" s="57">
        <v>10301</v>
      </c>
      <c r="C61" s="58" t="s">
        <v>304</v>
      </c>
      <c r="D61" s="85">
        <v>4</v>
      </c>
    </row>
    <row r="62" spans="2:4" ht="16.5">
      <c r="B62" s="67">
        <v>10302</v>
      </c>
      <c r="C62" s="68" t="s">
        <v>305</v>
      </c>
      <c r="D62" s="85">
        <v>0</v>
      </c>
    </row>
    <row r="63" spans="2:4" ht="16.5">
      <c r="B63" s="57">
        <v>10303</v>
      </c>
      <c r="C63" s="58" t="s">
        <v>306</v>
      </c>
      <c r="D63" s="85">
        <v>7</v>
      </c>
    </row>
    <row r="64" spans="2:4" ht="16.5">
      <c r="B64" s="67">
        <v>10304</v>
      </c>
      <c r="C64" s="68" t="s">
        <v>307</v>
      </c>
      <c r="D64" s="85">
        <v>2</v>
      </c>
    </row>
    <row r="65" spans="2:4" ht="16.5">
      <c r="B65" s="57">
        <v>10305</v>
      </c>
      <c r="C65" s="58" t="s">
        <v>308</v>
      </c>
      <c r="D65" s="85">
        <v>86</v>
      </c>
    </row>
    <row r="66" spans="2:4" ht="16.5">
      <c r="B66" s="67">
        <v>10306</v>
      </c>
      <c r="C66" s="68" t="s">
        <v>309</v>
      </c>
      <c r="D66" s="85">
        <v>4</v>
      </c>
    </row>
    <row r="67" spans="2:4" ht="16.5">
      <c r="B67" s="57">
        <v>10307</v>
      </c>
      <c r="C67" s="58" t="s">
        <v>74</v>
      </c>
      <c r="D67" s="85">
        <v>60</v>
      </c>
    </row>
    <row r="68" spans="2:4" ht="16.5">
      <c r="B68" s="67">
        <v>10308</v>
      </c>
      <c r="C68" s="68" t="s">
        <v>310</v>
      </c>
      <c r="D68" s="85">
        <v>180</v>
      </c>
    </row>
    <row r="69" spans="2:4" ht="16.5">
      <c r="B69" s="57">
        <v>10309</v>
      </c>
      <c r="C69" s="58" t="s">
        <v>311</v>
      </c>
      <c r="D69" s="85">
        <v>9</v>
      </c>
    </row>
    <row r="70" spans="2:4" ht="16.5">
      <c r="B70" s="67">
        <v>10310</v>
      </c>
      <c r="C70" s="68" t="s">
        <v>312</v>
      </c>
      <c r="D70" s="85">
        <v>133</v>
      </c>
    </row>
    <row r="71" spans="2:4" ht="16.5">
      <c r="B71" s="57">
        <v>10311</v>
      </c>
      <c r="C71" s="58" t="s">
        <v>313</v>
      </c>
      <c r="D71" s="85">
        <v>18</v>
      </c>
    </row>
    <row r="72" spans="2:4" ht="16.5">
      <c r="B72" s="67">
        <v>10312</v>
      </c>
      <c r="C72" s="68" t="s">
        <v>314</v>
      </c>
      <c r="D72" s="85">
        <v>14</v>
      </c>
    </row>
    <row r="73" spans="2:4" ht="16.5">
      <c r="B73" s="57">
        <v>10313</v>
      </c>
      <c r="C73" s="58" t="s">
        <v>315</v>
      </c>
      <c r="D73" s="85">
        <v>0</v>
      </c>
    </row>
    <row r="74" spans="2:4" ht="16.5">
      <c r="B74" s="67">
        <v>10314</v>
      </c>
      <c r="C74" s="68" t="s">
        <v>316</v>
      </c>
      <c r="D74" s="85">
        <v>24</v>
      </c>
    </row>
    <row r="75" spans="2:4" ht="16.5">
      <c r="B75" s="57">
        <v>10315</v>
      </c>
      <c r="C75" s="58" t="s">
        <v>317</v>
      </c>
      <c r="D75" s="85">
        <v>15</v>
      </c>
    </row>
    <row r="76" spans="2:4" ht="16.5">
      <c r="B76" s="67">
        <v>10316</v>
      </c>
      <c r="C76" s="68" t="s">
        <v>318</v>
      </c>
      <c r="D76" s="85">
        <v>85</v>
      </c>
    </row>
    <row r="77" spans="2:4" ht="16.5">
      <c r="B77" s="57">
        <v>10317</v>
      </c>
      <c r="C77" s="58" t="s">
        <v>319</v>
      </c>
      <c r="D77" s="85">
        <v>102</v>
      </c>
    </row>
    <row r="78" spans="2:4" ht="16.5">
      <c r="B78" s="67">
        <v>10318</v>
      </c>
      <c r="C78" s="68" t="s">
        <v>320</v>
      </c>
      <c r="D78" s="85">
        <v>35</v>
      </c>
    </row>
    <row r="79" spans="2:4" ht="16.5">
      <c r="B79" s="57">
        <v>10319</v>
      </c>
      <c r="C79" s="58" t="s">
        <v>80</v>
      </c>
      <c r="D79" s="85">
        <v>0</v>
      </c>
    </row>
    <row r="80" spans="2:4" ht="16.5">
      <c r="B80" s="69">
        <v>20101</v>
      </c>
      <c r="C80" s="70" t="s">
        <v>321</v>
      </c>
      <c r="D80" s="85">
        <v>0</v>
      </c>
    </row>
    <row r="81" spans="2:4" ht="16.5">
      <c r="B81" s="59">
        <v>20102</v>
      </c>
      <c r="C81" s="60" t="s">
        <v>263</v>
      </c>
      <c r="D81" s="85">
        <v>0</v>
      </c>
    </row>
    <row r="82" spans="2:4" ht="16.5">
      <c r="B82" s="69">
        <v>20103</v>
      </c>
      <c r="C82" s="70" t="s">
        <v>78</v>
      </c>
      <c r="D82" s="85">
        <v>29</v>
      </c>
    </row>
    <row r="83" spans="2:4" ht="16.5">
      <c r="B83" s="59">
        <v>20104</v>
      </c>
      <c r="C83" s="60" t="s">
        <v>79</v>
      </c>
      <c r="D83" s="85">
        <v>15</v>
      </c>
    </row>
    <row r="84" spans="2:4" ht="16.5">
      <c r="B84" s="69">
        <v>20105</v>
      </c>
      <c r="C84" s="70" t="s">
        <v>322</v>
      </c>
      <c r="D84" s="85">
        <v>0</v>
      </c>
    </row>
    <row r="85" spans="2:4" ht="16.5">
      <c r="B85" s="59">
        <v>20106</v>
      </c>
      <c r="C85" s="60" t="s">
        <v>323</v>
      </c>
      <c r="D85" s="85">
        <v>0</v>
      </c>
    </row>
    <row r="86" spans="2:4" ht="16.5">
      <c r="B86" s="69">
        <v>20107</v>
      </c>
      <c r="C86" s="70" t="s">
        <v>81</v>
      </c>
      <c r="D86" s="85">
        <v>0</v>
      </c>
    </row>
    <row r="87" spans="2:4" ht="16.5">
      <c r="B87" s="59">
        <v>20108</v>
      </c>
      <c r="C87" s="60" t="s">
        <v>324</v>
      </c>
      <c r="D87" s="85">
        <v>0</v>
      </c>
    </row>
    <row r="88" spans="2:4" ht="16.5">
      <c r="B88" s="69">
        <v>20109</v>
      </c>
      <c r="C88" s="70" t="s">
        <v>325</v>
      </c>
      <c r="D88" s="85">
        <v>3</v>
      </c>
    </row>
    <row r="89" spans="2:4" ht="16.5">
      <c r="B89" s="59">
        <v>20110</v>
      </c>
      <c r="C89" s="60" t="s">
        <v>326</v>
      </c>
      <c r="D89" s="85">
        <v>65</v>
      </c>
    </row>
    <row r="90" spans="2:4" ht="16.5">
      <c r="B90" s="69">
        <v>20111</v>
      </c>
      <c r="C90" s="70" t="s">
        <v>327</v>
      </c>
      <c r="D90" s="85">
        <v>1</v>
      </c>
    </row>
    <row r="91" spans="2:4" ht="16.5">
      <c r="B91" s="59">
        <v>20112</v>
      </c>
      <c r="C91" s="60" t="s">
        <v>328</v>
      </c>
      <c r="D91" s="85">
        <v>0</v>
      </c>
    </row>
    <row r="92" spans="2:4" ht="16.5">
      <c r="B92" s="69">
        <v>20113</v>
      </c>
      <c r="C92" s="70" t="s">
        <v>195</v>
      </c>
      <c r="D92" s="85">
        <v>0</v>
      </c>
    </row>
    <row r="93" spans="2:4" ht="16.5">
      <c r="B93" s="59">
        <v>20114</v>
      </c>
      <c r="C93" s="60" t="s">
        <v>82</v>
      </c>
      <c r="D93" s="85">
        <v>0</v>
      </c>
    </row>
    <row r="94" spans="2:4" ht="16.5">
      <c r="B94" s="69">
        <v>20201</v>
      </c>
      <c r="C94" s="70" t="s">
        <v>83</v>
      </c>
      <c r="D94" s="85">
        <v>24</v>
      </c>
    </row>
    <row r="95" spans="2:4" ht="16.5">
      <c r="B95" s="59">
        <v>20202</v>
      </c>
      <c r="C95" s="60" t="s">
        <v>84</v>
      </c>
      <c r="D95" s="85">
        <v>3</v>
      </c>
    </row>
    <row r="96" spans="2:4" ht="16.5">
      <c r="B96" s="69">
        <v>20203</v>
      </c>
      <c r="C96" s="70" t="s">
        <v>85</v>
      </c>
      <c r="D96" s="85">
        <v>39</v>
      </c>
    </row>
    <row r="97" spans="2:4" ht="16.5">
      <c r="B97" s="59">
        <v>20204</v>
      </c>
      <c r="C97" s="60" t="s">
        <v>86</v>
      </c>
      <c r="D97" s="85">
        <v>0</v>
      </c>
    </row>
    <row r="98" spans="2:4" ht="16.5">
      <c r="B98" s="69">
        <v>20205</v>
      </c>
      <c r="C98" s="70" t="s">
        <v>87</v>
      </c>
      <c r="D98" s="85">
        <v>0</v>
      </c>
    </row>
    <row r="99" spans="2:4" ht="16.5">
      <c r="B99" s="59">
        <v>20206</v>
      </c>
      <c r="C99" s="60" t="s">
        <v>88</v>
      </c>
      <c r="D99" s="85">
        <v>0</v>
      </c>
    </row>
    <row r="100" spans="2:4" ht="16.5">
      <c r="B100" s="69">
        <v>20207</v>
      </c>
      <c r="C100" s="70" t="s">
        <v>89</v>
      </c>
      <c r="D100" s="85">
        <v>34</v>
      </c>
    </row>
    <row r="101" spans="2:4" ht="16.5">
      <c r="B101" s="59">
        <v>20208</v>
      </c>
      <c r="C101" s="60" t="s">
        <v>90</v>
      </c>
      <c r="D101" s="85">
        <v>1</v>
      </c>
    </row>
    <row r="102" spans="2:4" ht="16.5">
      <c r="B102" s="69">
        <v>20209</v>
      </c>
      <c r="C102" s="70" t="s">
        <v>91</v>
      </c>
      <c r="D102" s="85">
        <v>0</v>
      </c>
    </row>
    <row r="103" spans="2:4" ht="16.5">
      <c r="B103" s="59">
        <v>20210</v>
      </c>
      <c r="C103" s="60" t="s">
        <v>192</v>
      </c>
      <c r="D103" s="85">
        <v>76</v>
      </c>
    </row>
    <row r="104" spans="2:4" ht="16.5">
      <c r="B104" s="69">
        <v>20211</v>
      </c>
      <c r="C104" s="70" t="s">
        <v>329</v>
      </c>
      <c r="D104" s="85">
        <v>0</v>
      </c>
    </row>
    <row r="105" spans="2:4" ht="16.5">
      <c r="B105" s="59">
        <v>20212</v>
      </c>
      <c r="C105" s="60" t="s">
        <v>93</v>
      </c>
      <c r="D105" s="85">
        <v>0</v>
      </c>
    </row>
    <row r="106" spans="2:4" ht="16.5">
      <c r="B106" s="69">
        <v>20213</v>
      </c>
      <c r="C106" s="70" t="s">
        <v>94</v>
      </c>
      <c r="D106" s="85">
        <v>0</v>
      </c>
    </row>
    <row r="107" spans="2:4" ht="16.5">
      <c r="B107" s="59">
        <v>20214</v>
      </c>
      <c r="C107" s="60" t="s">
        <v>330</v>
      </c>
      <c r="D107" s="85">
        <v>0</v>
      </c>
    </row>
    <row r="108" spans="2:4" ht="16.5">
      <c r="B108" s="69">
        <v>20301</v>
      </c>
      <c r="C108" s="70" t="s">
        <v>331</v>
      </c>
      <c r="D108" s="85">
        <v>21</v>
      </c>
    </row>
    <row r="109" spans="2:4" ht="16.5">
      <c r="B109" s="59">
        <v>20302</v>
      </c>
      <c r="C109" s="60" t="s">
        <v>332</v>
      </c>
      <c r="D109" s="85">
        <v>1</v>
      </c>
    </row>
    <row r="110" spans="2:4" ht="16.5">
      <c r="B110" s="69">
        <v>20303</v>
      </c>
      <c r="C110" s="70" t="s">
        <v>333</v>
      </c>
      <c r="D110" s="85">
        <v>10</v>
      </c>
    </row>
    <row r="111" spans="2:4" ht="16.5">
      <c r="B111" s="59">
        <v>20304</v>
      </c>
      <c r="C111" s="60" t="s">
        <v>334</v>
      </c>
      <c r="D111" s="85">
        <v>1</v>
      </c>
    </row>
    <row r="112" spans="2:4" ht="16.5">
      <c r="B112" s="69">
        <v>20305</v>
      </c>
      <c r="C112" s="70" t="s">
        <v>335</v>
      </c>
      <c r="D112" s="85">
        <v>0</v>
      </c>
    </row>
    <row r="113" spans="2:4" ht="16.5">
      <c r="B113" s="59">
        <v>20306</v>
      </c>
      <c r="C113" s="60" t="s">
        <v>336</v>
      </c>
      <c r="D113" s="85">
        <v>0</v>
      </c>
    </row>
    <row r="114" spans="2:4" ht="16.5">
      <c r="B114" s="69">
        <v>20307</v>
      </c>
      <c r="C114" s="70" t="s">
        <v>337</v>
      </c>
      <c r="D114" s="85">
        <v>1</v>
      </c>
    </row>
    <row r="115" spans="2:4" ht="16.5">
      <c r="B115" s="59">
        <v>20308</v>
      </c>
      <c r="C115" s="60" t="s">
        <v>338</v>
      </c>
      <c r="D115" s="85">
        <v>4</v>
      </c>
    </row>
    <row r="116" spans="2:4" ht="16.5">
      <c r="B116" s="69">
        <v>20309</v>
      </c>
      <c r="C116" s="70" t="s">
        <v>339</v>
      </c>
      <c r="D116" s="85">
        <v>0</v>
      </c>
    </row>
    <row r="117" spans="2:4" ht="16.5">
      <c r="B117" s="59">
        <v>20310</v>
      </c>
      <c r="C117" s="60" t="s">
        <v>340</v>
      </c>
      <c r="D117" s="85">
        <v>0</v>
      </c>
    </row>
    <row r="118" spans="2:4" ht="16.5">
      <c r="B118" s="69">
        <v>20311</v>
      </c>
      <c r="C118" s="70" t="s">
        <v>341</v>
      </c>
      <c r="D118" s="85">
        <v>51</v>
      </c>
    </row>
    <row r="119" spans="2:4" ht="16.5">
      <c r="B119" s="59">
        <v>20401</v>
      </c>
      <c r="C119" s="60" t="s">
        <v>342</v>
      </c>
      <c r="D119" s="85">
        <v>0</v>
      </c>
    </row>
    <row r="120" spans="2:4" ht="16.5">
      <c r="B120" s="69">
        <v>20402</v>
      </c>
      <c r="C120" s="70" t="s">
        <v>343</v>
      </c>
      <c r="D120" s="85">
        <v>0</v>
      </c>
    </row>
    <row r="121" spans="2:4" ht="16.5">
      <c r="B121" s="59">
        <v>20403</v>
      </c>
      <c r="C121" s="60" t="s">
        <v>344</v>
      </c>
      <c r="D121" s="85">
        <v>53</v>
      </c>
    </row>
    <row r="122" spans="2:4" ht="16.5">
      <c r="B122" s="69">
        <v>20404</v>
      </c>
      <c r="C122" s="70" t="s">
        <v>345</v>
      </c>
      <c r="D122" s="85">
        <v>13</v>
      </c>
    </row>
    <row r="123" spans="2:4" ht="16.5">
      <c r="B123" s="63">
        <v>30101</v>
      </c>
      <c r="C123" s="64" t="s">
        <v>346</v>
      </c>
      <c r="D123" s="85">
        <v>81</v>
      </c>
    </row>
    <row r="124" spans="2:4" ht="16.5">
      <c r="B124" s="61">
        <v>30102</v>
      </c>
      <c r="C124" s="62" t="s">
        <v>95</v>
      </c>
      <c r="D124" s="85">
        <v>35</v>
      </c>
    </row>
    <row r="125" spans="2:4" ht="16.5">
      <c r="B125" s="63">
        <v>30103</v>
      </c>
      <c r="C125" s="64" t="s">
        <v>75</v>
      </c>
      <c r="D125" s="85">
        <v>47</v>
      </c>
    </row>
    <row r="126" spans="2:4" ht="16.5">
      <c r="B126" s="61">
        <v>30201</v>
      </c>
      <c r="C126" s="62" t="s">
        <v>96</v>
      </c>
      <c r="D126" s="85">
        <v>1</v>
      </c>
    </row>
    <row r="127" spans="2:4" ht="16.5">
      <c r="B127" s="63">
        <v>30202</v>
      </c>
      <c r="C127" s="64" t="s">
        <v>417</v>
      </c>
      <c r="D127" s="85">
        <v>54</v>
      </c>
    </row>
    <row r="128" spans="2:4" ht="16.5">
      <c r="B128" s="61">
        <v>30203</v>
      </c>
      <c r="C128" s="62" t="s">
        <v>347</v>
      </c>
      <c r="D128" s="85">
        <v>0</v>
      </c>
    </row>
    <row r="129" spans="2:4" ht="16.5">
      <c r="B129" s="63">
        <v>30204</v>
      </c>
      <c r="C129" s="64" t="s">
        <v>98</v>
      </c>
      <c r="D129" s="85">
        <v>98</v>
      </c>
    </row>
    <row r="130" spans="2:4" ht="16.5">
      <c r="B130" s="61">
        <v>30205</v>
      </c>
      <c r="C130" s="62" t="s">
        <v>348</v>
      </c>
      <c r="D130" s="85">
        <v>6</v>
      </c>
    </row>
    <row r="131" spans="2:4" ht="16.5">
      <c r="B131" s="63">
        <v>30206</v>
      </c>
      <c r="C131" s="64" t="s">
        <v>349</v>
      </c>
      <c r="D131" s="85">
        <v>0</v>
      </c>
    </row>
    <row r="132" spans="2:4" ht="16.5">
      <c r="B132" s="61">
        <v>30207</v>
      </c>
      <c r="C132" s="62" t="s">
        <v>350</v>
      </c>
      <c r="D132" s="85">
        <v>0</v>
      </c>
    </row>
    <row r="133" spans="2:4" ht="16.5">
      <c r="B133" s="63">
        <v>30301</v>
      </c>
      <c r="C133" s="64" t="s">
        <v>99</v>
      </c>
      <c r="D133" s="85">
        <v>5</v>
      </c>
    </row>
    <row r="134" spans="2:4" ht="16.5">
      <c r="B134" s="61">
        <v>30302</v>
      </c>
      <c r="C134" s="62" t="s">
        <v>100</v>
      </c>
      <c r="D134" s="85">
        <v>10</v>
      </c>
    </row>
    <row r="135" spans="2:4" ht="16.5">
      <c r="B135" s="63">
        <v>30303</v>
      </c>
      <c r="C135" s="64" t="s">
        <v>351</v>
      </c>
      <c r="D135" s="85">
        <v>12</v>
      </c>
    </row>
    <row r="136" spans="2:4" ht="16.5">
      <c r="B136" s="61">
        <v>30304</v>
      </c>
      <c r="C136" s="62" t="s">
        <v>101</v>
      </c>
      <c r="D136" s="85">
        <v>0</v>
      </c>
    </row>
    <row r="137" spans="2:4" ht="16.5">
      <c r="B137" s="63">
        <v>30305</v>
      </c>
      <c r="C137" s="64" t="s">
        <v>102</v>
      </c>
      <c r="D137" s="85">
        <v>14</v>
      </c>
    </row>
    <row r="138" spans="2:4" ht="16.5">
      <c r="B138" s="61">
        <v>30306</v>
      </c>
      <c r="C138" s="62" t="s">
        <v>103</v>
      </c>
      <c r="D138" s="85">
        <v>24</v>
      </c>
    </row>
    <row r="139" spans="2:4" ht="16.5">
      <c r="B139" s="63">
        <v>30307</v>
      </c>
      <c r="C139" s="64" t="s">
        <v>104</v>
      </c>
      <c r="D139" s="85">
        <v>226</v>
      </c>
    </row>
    <row r="140" spans="2:4" ht="16.5">
      <c r="B140" s="61">
        <v>30308</v>
      </c>
      <c r="C140" s="62" t="s">
        <v>352</v>
      </c>
      <c r="D140" s="85">
        <v>39</v>
      </c>
    </row>
    <row r="141" spans="2:4" ht="16.5">
      <c r="B141" s="63">
        <v>30309</v>
      </c>
      <c r="C141" s="64" t="s">
        <v>353</v>
      </c>
      <c r="D141" s="85">
        <v>267</v>
      </c>
    </row>
    <row r="142" spans="2:4" ht="16.5">
      <c r="B142" s="61">
        <v>30310</v>
      </c>
      <c r="C142" s="62" t="s">
        <v>354</v>
      </c>
      <c r="D142" s="85">
        <v>166</v>
      </c>
    </row>
    <row r="143" spans="2:4" ht="16.5">
      <c r="B143" s="63">
        <v>30401</v>
      </c>
      <c r="C143" s="64" t="s">
        <v>355</v>
      </c>
      <c r="D143" s="85">
        <v>639</v>
      </c>
    </row>
    <row r="144" spans="2:4" ht="16.5">
      <c r="B144" s="61">
        <v>30402</v>
      </c>
      <c r="C144" s="62" t="s">
        <v>356</v>
      </c>
      <c r="D144" s="85">
        <v>5</v>
      </c>
    </row>
    <row r="145" spans="2:4" ht="16.5">
      <c r="B145" s="63">
        <v>30403</v>
      </c>
      <c r="C145" s="64" t="s">
        <v>357</v>
      </c>
      <c r="D145" s="85">
        <v>13</v>
      </c>
    </row>
    <row r="146" spans="2:4" ht="16.5">
      <c r="B146" s="61">
        <v>30404</v>
      </c>
      <c r="C146" s="62" t="s">
        <v>105</v>
      </c>
      <c r="D146" s="85">
        <v>41</v>
      </c>
    </row>
    <row r="147" spans="2:4" ht="16.5">
      <c r="B147" s="63">
        <v>30405</v>
      </c>
      <c r="C147" s="64" t="s">
        <v>106</v>
      </c>
      <c r="D147" s="85">
        <v>2</v>
      </c>
    </row>
    <row r="148" spans="2:4" ht="16.5">
      <c r="B148" s="61">
        <v>30406</v>
      </c>
      <c r="C148" s="62" t="s">
        <v>107</v>
      </c>
      <c r="D148" s="85">
        <v>2</v>
      </c>
    </row>
    <row r="149" spans="2:4" ht="16.5">
      <c r="B149" s="63">
        <v>30407</v>
      </c>
      <c r="C149" s="64" t="s">
        <v>358</v>
      </c>
      <c r="D149" s="85">
        <v>15</v>
      </c>
    </row>
    <row r="150" spans="2:4" ht="16.5">
      <c r="B150" s="61">
        <v>30408</v>
      </c>
      <c r="C150" s="62" t="s">
        <v>359</v>
      </c>
      <c r="D150" s="85">
        <v>2</v>
      </c>
    </row>
    <row r="151" spans="2:4" ht="16.5">
      <c r="B151" s="63">
        <v>30409</v>
      </c>
      <c r="C151" s="64" t="s">
        <v>109</v>
      </c>
      <c r="D151" s="85">
        <v>0</v>
      </c>
    </row>
    <row r="152" spans="2:4" ht="16.5">
      <c r="B152" s="61">
        <v>30410</v>
      </c>
      <c r="C152" s="62" t="s">
        <v>110</v>
      </c>
      <c r="D152" s="85">
        <v>0</v>
      </c>
    </row>
    <row r="153" spans="2:4" ht="16.5">
      <c r="B153" s="63">
        <v>30411</v>
      </c>
      <c r="C153" s="64" t="s">
        <v>360</v>
      </c>
      <c r="D153" s="85">
        <v>16</v>
      </c>
    </row>
    <row r="154" spans="2:4" ht="16.5">
      <c r="B154" s="61">
        <v>30412</v>
      </c>
      <c r="C154" s="62" t="s">
        <v>111</v>
      </c>
      <c r="D154" s="85">
        <v>0</v>
      </c>
    </row>
    <row r="155" spans="2:4" ht="16.5">
      <c r="B155" s="63">
        <v>30413</v>
      </c>
      <c r="C155" s="64" t="s">
        <v>112</v>
      </c>
      <c r="D155" s="85">
        <v>2</v>
      </c>
    </row>
    <row r="156" spans="2:4" ht="16.5">
      <c r="B156" s="61">
        <v>30414</v>
      </c>
      <c r="C156" s="62" t="s">
        <v>113</v>
      </c>
      <c r="D156" s="85">
        <v>38</v>
      </c>
    </row>
    <row r="157" spans="2:4" ht="16.5">
      <c r="B157" s="63">
        <v>30415</v>
      </c>
      <c r="C157" s="64" t="s">
        <v>114</v>
      </c>
      <c r="D157" s="85">
        <v>0</v>
      </c>
    </row>
    <row r="158" spans="2:4" ht="16.5">
      <c r="B158" s="61">
        <v>30416</v>
      </c>
      <c r="C158" s="62" t="s">
        <v>115</v>
      </c>
      <c r="D158" s="85">
        <v>1</v>
      </c>
    </row>
    <row r="159" spans="2:4" ht="16.5">
      <c r="B159" s="63">
        <v>30417</v>
      </c>
      <c r="C159" s="64" t="s">
        <v>116</v>
      </c>
      <c r="D159" s="85">
        <v>11</v>
      </c>
    </row>
    <row r="160" spans="2:4" ht="16.5">
      <c r="B160" s="61">
        <v>30418</v>
      </c>
      <c r="C160" s="62" t="s">
        <v>117</v>
      </c>
      <c r="D160" s="85">
        <v>4</v>
      </c>
    </row>
    <row r="161" spans="2:4" ht="16.5">
      <c r="B161" s="63">
        <v>30419</v>
      </c>
      <c r="C161" s="64" t="s">
        <v>118</v>
      </c>
      <c r="D161" s="85">
        <v>63</v>
      </c>
    </row>
    <row r="162" spans="2:4" ht="16.5">
      <c r="B162" s="61">
        <v>30420</v>
      </c>
      <c r="C162" s="62" t="s">
        <v>119</v>
      </c>
      <c r="D162" s="85">
        <v>18</v>
      </c>
    </row>
    <row r="163" spans="2:4" ht="16.5">
      <c r="B163" s="63">
        <v>30421</v>
      </c>
      <c r="C163" s="64" t="s">
        <v>120</v>
      </c>
      <c r="D163" s="85">
        <v>42</v>
      </c>
    </row>
    <row r="164" spans="2:4" ht="16.5">
      <c r="B164" s="61">
        <v>30422</v>
      </c>
      <c r="C164" s="62" t="s">
        <v>121</v>
      </c>
      <c r="D164" s="85">
        <v>12</v>
      </c>
    </row>
    <row r="165" spans="2:4" ht="16.5">
      <c r="B165" s="63">
        <v>30423</v>
      </c>
      <c r="C165" s="64" t="s">
        <v>122</v>
      </c>
      <c r="D165" s="85">
        <v>0</v>
      </c>
    </row>
    <row r="166" spans="2:4" ht="16.5">
      <c r="B166" s="61">
        <v>30424</v>
      </c>
      <c r="C166" s="62" t="s">
        <v>123</v>
      </c>
      <c r="D166" s="85">
        <v>0</v>
      </c>
    </row>
    <row r="167" spans="2:4" ht="16.5">
      <c r="B167" s="63">
        <v>30425</v>
      </c>
      <c r="C167" s="64" t="s">
        <v>124</v>
      </c>
      <c r="D167" s="85">
        <v>0</v>
      </c>
    </row>
    <row r="168" spans="2:4" ht="16.5">
      <c r="B168" s="61">
        <v>30426</v>
      </c>
      <c r="C168" s="62" t="s">
        <v>125</v>
      </c>
      <c r="D168" s="85">
        <v>0</v>
      </c>
    </row>
    <row r="169" spans="2:4" ht="16.5">
      <c r="B169" s="63">
        <v>30427</v>
      </c>
      <c r="C169" s="64" t="s">
        <v>126</v>
      </c>
      <c r="D169" s="85">
        <v>4</v>
      </c>
    </row>
    <row r="170" spans="2:4" ht="16.5">
      <c r="B170" s="61">
        <v>30428</v>
      </c>
      <c r="C170" s="62" t="s">
        <v>127</v>
      </c>
      <c r="D170" s="85">
        <v>1</v>
      </c>
    </row>
    <row r="171" spans="2:4" ht="16.5">
      <c r="B171" s="63">
        <v>30429</v>
      </c>
      <c r="C171" s="64" t="s">
        <v>128</v>
      </c>
      <c r="D171" s="85">
        <v>128</v>
      </c>
    </row>
    <row r="172" spans="2:4" ht="16.5">
      <c r="B172" s="61">
        <v>30430</v>
      </c>
      <c r="C172" s="62" t="s">
        <v>129</v>
      </c>
      <c r="D172" s="85">
        <v>130</v>
      </c>
    </row>
    <row r="173" spans="2:4" ht="16.5">
      <c r="B173" s="63">
        <v>30431</v>
      </c>
      <c r="C173" s="64" t="s">
        <v>130</v>
      </c>
      <c r="D173" s="85">
        <v>0</v>
      </c>
    </row>
    <row r="174" spans="2:4" ht="16.5">
      <c r="B174" s="61">
        <v>30432</v>
      </c>
      <c r="C174" s="62" t="s">
        <v>131</v>
      </c>
      <c r="D174" s="85">
        <v>0</v>
      </c>
    </row>
    <row r="175" spans="2:4" ht="16.5">
      <c r="B175" s="63">
        <v>30433</v>
      </c>
      <c r="C175" s="64" t="s">
        <v>132</v>
      </c>
      <c r="D175" s="85">
        <v>0</v>
      </c>
    </row>
    <row r="176" spans="2:4" ht="16.5">
      <c r="B176" s="61">
        <v>30434</v>
      </c>
      <c r="C176" s="62" t="s">
        <v>133</v>
      </c>
      <c r="D176" s="85">
        <v>0</v>
      </c>
    </row>
    <row r="177" spans="2:4" ht="16.5">
      <c r="B177" s="63">
        <v>30435</v>
      </c>
      <c r="C177" s="64" t="s">
        <v>134</v>
      </c>
      <c r="D177" s="85">
        <v>0</v>
      </c>
    </row>
    <row r="178" spans="2:4" ht="16.5">
      <c r="B178" s="61">
        <v>30436</v>
      </c>
      <c r="C178" s="62" t="s">
        <v>135</v>
      </c>
      <c r="D178" s="85">
        <v>0</v>
      </c>
    </row>
    <row r="179" spans="2:4" ht="16.5">
      <c r="B179" s="63">
        <v>30437</v>
      </c>
      <c r="C179" s="64" t="s">
        <v>136</v>
      </c>
      <c r="D179" s="85">
        <v>0</v>
      </c>
    </row>
    <row r="180" spans="2:4" ht="16.5">
      <c r="B180" s="61">
        <v>30438</v>
      </c>
      <c r="C180" s="62" t="s">
        <v>137</v>
      </c>
      <c r="D180" s="85">
        <v>0</v>
      </c>
    </row>
    <row r="181" spans="2:4" ht="16.5">
      <c r="B181" s="63">
        <v>30439</v>
      </c>
      <c r="C181" s="64" t="s">
        <v>138</v>
      </c>
      <c r="D181" s="85">
        <v>0</v>
      </c>
    </row>
    <row r="182" spans="2:4" ht="16.5">
      <c r="B182" s="61">
        <v>30440</v>
      </c>
      <c r="C182" s="62" t="s">
        <v>361</v>
      </c>
      <c r="D182" s="85">
        <v>5</v>
      </c>
    </row>
    <row r="183" spans="2:4" ht="16.5">
      <c r="B183" s="63">
        <v>30441</v>
      </c>
      <c r="C183" s="64" t="s">
        <v>362</v>
      </c>
      <c r="D183" s="85">
        <v>0</v>
      </c>
    </row>
    <row r="184" spans="2:4" ht="16.5">
      <c r="B184" s="61">
        <v>30442</v>
      </c>
      <c r="C184" s="62" t="s">
        <v>363</v>
      </c>
      <c r="D184" s="85">
        <v>0</v>
      </c>
    </row>
    <row r="185" spans="2:4" ht="16.5">
      <c r="B185" s="63">
        <v>30443</v>
      </c>
      <c r="C185" s="64" t="s">
        <v>364</v>
      </c>
      <c r="D185" s="85">
        <v>0</v>
      </c>
    </row>
    <row r="186" spans="2:4" ht="16.5">
      <c r="B186" s="61">
        <v>30444</v>
      </c>
      <c r="C186" s="62" t="s">
        <v>365</v>
      </c>
      <c r="D186" s="85">
        <v>0</v>
      </c>
    </row>
    <row r="187" spans="2:4" ht="16.5">
      <c r="B187" s="63">
        <v>30445</v>
      </c>
      <c r="C187" s="64" t="s">
        <v>366</v>
      </c>
      <c r="D187" s="85">
        <v>0</v>
      </c>
    </row>
    <row r="188" spans="2:4" ht="16.5">
      <c r="B188" s="61">
        <v>30446</v>
      </c>
      <c r="C188" s="62" t="s">
        <v>367</v>
      </c>
      <c r="D188" s="85">
        <v>14</v>
      </c>
    </row>
    <row r="189" spans="2:4" ht="16.5">
      <c r="B189" s="63">
        <v>30501</v>
      </c>
      <c r="C189" s="64" t="s">
        <v>139</v>
      </c>
      <c r="D189" s="85">
        <v>1</v>
      </c>
    </row>
    <row r="190" spans="2:4" ht="16.5">
      <c r="B190" s="61">
        <v>30502</v>
      </c>
      <c r="C190" s="62" t="s">
        <v>140</v>
      </c>
      <c r="D190" s="85">
        <v>39</v>
      </c>
    </row>
    <row r="191" spans="2:4" ht="16.5">
      <c r="B191" s="63">
        <v>30503</v>
      </c>
      <c r="C191" s="64" t="s">
        <v>141</v>
      </c>
      <c r="D191" s="85">
        <v>173</v>
      </c>
    </row>
    <row r="192" spans="2:4" ht="16.5">
      <c r="B192" s="61">
        <v>30504</v>
      </c>
      <c r="C192" s="62" t="s">
        <v>368</v>
      </c>
      <c r="D192" s="85">
        <v>30</v>
      </c>
    </row>
    <row r="193" spans="2:4" ht="16.5">
      <c r="B193" s="63">
        <v>30505</v>
      </c>
      <c r="C193" s="64" t="s">
        <v>369</v>
      </c>
      <c r="D193" s="85">
        <v>26</v>
      </c>
    </row>
    <row r="194" spans="2:4" ht="16.5">
      <c r="B194" s="61">
        <v>30601</v>
      </c>
      <c r="C194" s="62" t="s">
        <v>142</v>
      </c>
      <c r="D194" s="85">
        <v>26</v>
      </c>
    </row>
    <row r="195" spans="2:4" ht="16.5">
      <c r="B195" s="63">
        <v>30602</v>
      </c>
      <c r="C195" s="64" t="s">
        <v>143</v>
      </c>
      <c r="D195" s="85">
        <v>62</v>
      </c>
    </row>
    <row r="196" spans="2:4" ht="16.5">
      <c r="B196" s="61">
        <v>30603</v>
      </c>
      <c r="C196" s="62" t="s">
        <v>144</v>
      </c>
      <c r="D196" s="85">
        <v>0</v>
      </c>
    </row>
    <row r="197" spans="2:4" ht="16.5">
      <c r="B197" s="63">
        <v>30604</v>
      </c>
      <c r="C197" s="64" t="s">
        <v>145</v>
      </c>
      <c r="D197" s="85">
        <v>0</v>
      </c>
    </row>
    <row r="198" spans="2:4" ht="16.5">
      <c r="B198" s="61">
        <v>30605</v>
      </c>
      <c r="C198" s="62" t="s">
        <v>370</v>
      </c>
      <c r="D198" s="85">
        <v>0</v>
      </c>
    </row>
    <row r="199" spans="2:4" ht="16.5">
      <c r="B199" s="63">
        <v>30606</v>
      </c>
      <c r="C199" s="64" t="s">
        <v>371</v>
      </c>
      <c r="D199" s="85">
        <v>563</v>
      </c>
    </row>
    <row r="200" spans="2:4" ht="16.5">
      <c r="B200" s="61">
        <v>30607</v>
      </c>
      <c r="C200" s="62" t="s">
        <v>146</v>
      </c>
      <c r="D200" s="85">
        <v>11</v>
      </c>
    </row>
    <row r="201" spans="2:4" ht="16.5">
      <c r="B201" s="63">
        <v>30608</v>
      </c>
      <c r="C201" s="64" t="s">
        <v>147</v>
      </c>
      <c r="D201" s="85">
        <v>0</v>
      </c>
    </row>
    <row r="202" spans="2:4" ht="16.5">
      <c r="B202" s="61">
        <v>30609</v>
      </c>
      <c r="C202" s="62" t="s">
        <v>372</v>
      </c>
      <c r="D202" s="85">
        <v>1</v>
      </c>
    </row>
    <row r="203" spans="2:4" ht="16.5">
      <c r="B203" s="63">
        <v>30610</v>
      </c>
      <c r="C203" s="64" t="s">
        <v>373</v>
      </c>
      <c r="D203" s="85">
        <v>1</v>
      </c>
    </row>
    <row r="204" spans="2:4" ht="16.5">
      <c r="B204" s="61">
        <v>30611</v>
      </c>
      <c r="C204" s="62" t="s">
        <v>374</v>
      </c>
      <c r="D204" s="85">
        <v>4</v>
      </c>
    </row>
    <row r="205" spans="2:4" ht="16.5">
      <c r="B205" s="63">
        <v>30701</v>
      </c>
      <c r="C205" s="64" t="s">
        <v>148</v>
      </c>
      <c r="D205" s="85">
        <v>7</v>
      </c>
    </row>
    <row r="206" spans="2:4" ht="16.5">
      <c r="B206" s="61">
        <v>30702</v>
      </c>
      <c r="C206" s="62" t="s">
        <v>149</v>
      </c>
      <c r="D206" s="85">
        <v>7</v>
      </c>
    </row>
    <row r="207" spans="2:4" ht="16.5">
      <c r="B207" s="63">
        <v>30703</v>
      </c>
      <c r="C207" s="64" t="s">
        <v>150</v>
      </c>
      <c r="D207" s="85">
        <v>0</v>
      </c>
    </row>
    <row r="208" spans="2:4" ht="16.5">
      <c r="B208" s="61">
        <v>30704</v>
      </c>
      <c r="C208" s="62" t="s">
        <v>151</v>
      </c>
      <c r="D208" s="85">
        <v>0</v>
      </c>
    </row>
    <row r="209" spans="2:4" ht="16.5">
      <c r="B209" s="63">
        <v>30705</v>
      </c>
      <c r="C209" s="64" t="s">
        <v>152</v>
      </c>
      <c r="D209" s="85">
        <v>0</v>
      </c>
    </row>
    <row r="210" spans="2:4" ht="16.5">
      <c r="B210" s="61">
        <v>30706</v>
      </c>
      <c r="C210" s="62" t="s">
        <v>153</v>
      </c>
      <c r="D210" s="85">
        <v>0</v>
      </c>
    </row>
    <row r="211" spans="2:4" ht="16.5">
      <c r="B211" s="63">
        <v>30707</v>
      </c>
      <c r="C211" s="64" t="s">
        <v>154</v>
      </c>
      <c r="D211" s="85">
        <v>0</v>
      </c>
    </row>
    <row r="212" spans="2:4" ht="16.5">
      <c r="B212" s="61">
        <v>30708</v>
      </c>
      <c r="C212" s="62" t="s">
        <v>375</v>
      </c>
      <c r="D212" s="85">
        <v>0</v>
      </c>
    </row>
    <row r="213" spans="2:4" ht="16.5">
      <c r="B213" s="63">
        <v>30709</v>
      </c>
      <c r="C213" s="64" t="s">
        <v>158</v>
      </c>
      <c r="D213" s="85">
        <v>0</v>
      </c>
    </row>
    <row r="214" spans="2:4" ht="16.5">
      <c r="B214" s="61">
        <v>30710</v>
      </c>
      <c r="C214" s="62" t="s">
        <v>376</v>
      </c>
      <c r="D214" s="85">
        <v>0</v>
      </c>
    </row>
    <row r="215" spans="2:4" ht="16.5">
      <c r="B215" s="63">
        <v>30711</v>
      </c>
      <c r="C215" s="64" t="s">
        <v>157</v>
      </c>
      <c r="D215" s="85">
        <v>0</v>
      </c>
    </row>
    <row r="216" spans="2:4" ht="16.5">
      <c r="B216" s="61">
        <v>30801</v>
      </c>
      <c r="C216" s="62" t="s">
        <v>155</v>
      </c>
      <c r="D216" s="85">
        <v>0</v>
      </c>
    </row>
    <row r="217" spans="2:4" ht="16.5">
      <c r="B217" s="63">
        <v>30802</v>
      </c>
      <c r="C217" s="64" t="s">
        <v>156</v>
      </c>
      <c r="D217" s="85">
        <v>0</v>
      </c>
    </row>
    <row r="218" spans="2:4" ht="16.5">
      <c r="B218" s="61">
        <v>30803</v>
      </c>
      <c r="C218" s="62" t="s">
        <v>97</v>
      </c>
      <c r="D218" s="85">
        <v>0</v>
      </c>
    </row>
    <row r="219" spans="2:4" ht="16.5">
      <c r="B219" s="63">
        <v>30804</v>
      </c>
      <c r="C219" s="64" t="s">
        <v>184</v>
      </c>
      <c r="D219" s="85">
        <v>0</v>
      </c>
    </row>
    <row r="220" spans="2:4" ht="16.5">
      <c r="B220" s="61">
        <v>30805</v>
      </c>
      <c r="C220" s="62" t="s">
        <v>174</v>
      </c>
      <c r="D220" s="85">
        <v>3</v>
      </c>
    </row>
    <row r="221" spans="2:4" ht="16.5">
      <c r="B221" s="63">
        <v>30806</v>
      </c>
      <c r="C221" s="64" t="s">
        <v>377</v>
      </c>
      <c r="D221" s="85">
        <v>10</v>
      </c>
    </row>
    <row r="222" spans="2:4" ht="16.5">
      <c r="B222" s="61">
        <v>30807</v>
      </c>
      <c r="C222" s="62" t="s">
        <v>378</v>
      </c>
      <c r="D222" s="85">
        <v>0</v>
      </c>
    </row>
    <row r="223" spans="2:4" ht="16.5">
      <c r="B223" s="63">
        <v>30808</v>
      </c>
      <c r="C223" s="64" t="s">
        <v>171</v>
      </c>
      <c r="D223" s="85">
        <v>0</v>
      </c>
    </row>
    <row r="224" spans="2:4" ht="16.5">
      <c r="B224" s="61">
        <v>30809</v>
      </c>
      <c r="C224" s="62" t="s">
        <v>379</v>
      </c>
      <c r="D224" s="85">
        <v>0</v>
      </c>
    </row>
    <row r="225" spans="2:4" ht="16.5">
      <c r="B225" s="63">
        <v>30810</v>
      </c>
      <c r="C225" s="64" t="s">
        <v>380</v>
      </c>
      <c r="D225" s="85">
        <v>0</v>
      </c>
    </row>
    <row r="226" spans="2:4" ht="16.5">
      <c r="B226" s="61">
        <v>30901</v>
      </c>
      <c r="C226" s="62" t="s">
        <v>381</v>
      </c>
      <c r="D226" s="85">
        <v>0</v>
      </c>
    </row>
    <row r="227" spans="2:4" ht="16.5">
      <c r="B227" s="63">
        <v>30902</v>
      </c>
      <c r="C227" s="64" t="s">
        <v>382</v>
      </c>
      <c r="D227" s="85">
        <v>0</v>
      </c>
    </row>
    <row r="228" spans="2:4" ht="16.5">
      <c r="B228" s="61">
        <v>30903</v>
      </c>
      <c r="C228" s="62" t="s">
        <v>163</v>
      </c>
      <c r="D228" s="85">
        <v>647</v>
      </c>
    </row>
    <row r="229" spans="2:4" ht="16.5">
      <c r="B229" s="63">
        <v>30904</v>
      </c>
      <c r="C229" s="64" t="s">
        <v>183</v>
      </c>
      <c r="D229" s="85">
        <v>367</v>
      </c>
    </row>
    <row r="230" spans="2:4" ht="16.5">
      <c r="B230" s="61">
        <v>30905</v>
      </c>
      <c r="C230" s="62" t="s">
        <v>159</v>
      </c>
      <c r="D230" s="85">
        <v>18</v>
      </c>
    </row>
    <row r="231" spans="2:4" ht="16.5">
      <c r="B231" s="63">
        <v>30906</v>
      </c>
      <c r="C231" s="64" t="s">
        <v>160</v>
      </c>
      <c r="D231" s="85">
        <v>30</v>
      </c>
    </row>
    <row r="232" spans="2:4" ht="16.5">
      <c r="B232" s="61">
        <v>30907</v>
      </c>
      <c r="C232" s="62" t="s">
        <v>161</v>
      </c>
      <c r="D232" s="85">
        <v>473</v>
      </c>
    </row>
    <row r="233" spans="2:4" ht="16.5">
      <c r="B233" s="63">
        <v>30908</v>
      </c>
      <c r="C233" s="64" t="s">
        <v>162</v>
      </c>
      <c r="D233" s="85">
        <v>2</v>
      </c>
    </row>
    <row r="234" spans="2:4" ht="16.5">
      <c r="B234" s="61">
        <v>30909</v>
      </c>
      <c r="C234" s="62" t="s">
        <v>383</v>
      </c>
      <c r="D234" s="85">
        <v>13</v>
      </c>
    </row>
    <row r="235" spans="2:4" ht="16.5">
      <c r="B235" s="63">
        <v>31001</v>
      </c>
      <c r="C235" s="64" t="s">
        <v>164</v>
      </c>
      <c r="D235" s="85">
        <v>109</v>
      </c>
    </row>
    <row r="236" spans="2:4" ht="16.5">
      <c r="B236" s="61">
        <v>31002</v>
      </c>
      <c r="C236" s="62" t="s">
        <v>384</v>
      </c>
      <c r="D236" s="85">
        <v>25</v>
      </c>
    </row>
    <row r="237" spans="2:4" ht="16.5">
      <c r="B237" s="63">
        <v>31003</v>
      </c>
      <c r="C237" s="64" t="s">
        <v>165</v>
      </c>
      <c r="D237" s="85">
        <v>8</v>
      </c>
    </row>
    <row r="238" spans="2:4" ht="16.5">
      <c r="B238" s="61">
        <v>31004</v>
      </c>
      <c r="C238" s="62" t="s">
        <v>166</v>
      </c>
      <c r="D238" s="85">
        <v>0</v>
      </c>
    </row>
    <row r="239" spans="2:4" ht="16.5">
      <c r="B239" s="63">
        <v>31005</v>
      </c>
      <c r="C239" s="64" t="s">
        <v>167</v>
      </c>
      <c r="D239" s="85">
        <v>0</v>
      </c>
    </row>
    <row r="240" spans="2:4" ht="16.5">
      <c r="B240" s="61">
        <v>31006</v>
      </c>
      <c r="C240" s="62" t="s">
        <v>168</v>
      </c>
      <c r="D240" s="85">
        <v>0</v>
      </c>
    </row>
    <row r="241" spans="2:4" ht="16.5">
      <c r="B241" s="63">
        <v>31007</v>
      </c>
      <c r="C241" s="64" t="s">
        <v>169</v>
      </c>
      <c r="D241" s="85">
        <v>2</v>
      </c>
    </row>
    <row r="242" spans="2:4" ht="16.5">
      <c r="B242" s="61">
        <v>31008</v>
      </c>
      <c r="C242" s="62" t="s">
        <v>385</v>
      </c>
      <c r="D242" s="85">
        <v>0</v>
      </c>
    </row>
    <row r="243" spans="2:4" ht="16.5">
      <c r="B243" s="63">
        <v>31009</v>
      </c>
      <c r="C243" s="64" t="s">
        <v>386</v>
      </c>
      <c r="D243" s="85">
        <v>0</v>
      </c>
    </row>
    <row r="244" spans="2:4" ht="16.5">
      <c r="B244" s="61">
        <v>31010</v>
      </c>
      <c r="C244" s="62" t="s">
        <v>92</v>
      </c>
      <c r="D244" s="85">
        <v>15</v>
      </c>
    </row>
    <row r="245" spans="2:4" ht="16.5">
      <c r="B245" s="63">
        <v>31011</v>
      </c>
      <c r="C245" s="64" t="s">
        <v>387</v>
      </c>
      <c r="D245" s="85">
        <v>0</v>
      </c>
    </row>
    <row r="246" spans="2:4" ht="16.5">
      <c r="B246" s="61">
        <v>31012</v>
      </c>
      <c r="C246" s="62" t="s">
        <v>388</v>
      </c>
      <c r="D246" s="85">
        <v>3</v>
      </c>
    </row>
    <row r="247" spans="2:4" ht="16.5">
      <c r="B247" s="63">
        <v>31013</v>
      </c>
      <c r="C247" s="64" t="s">
        <v>389</v>
      </c>
      <c r="D247" s="85">
        <v>0</v>
      </c>
    </row>
    <row r="248" spans="2:4" ht="16.5">
      <c r="B248" s="61">
        <v>31014</v>
      </c>
      <c r="C248" s="62" t="s">
        <v>390</v>
      </c>
      <c r="D248" s="85">
        <v>2</v>
      </c>
    </row>
    <row r="249" spans="2:4" ht="16.5">
      <c r="B249" s="63">
        <v>31015</v>
      </c>
      <c r="C249" s="64" t="s">
        <v>391</v>
      </c>
      <c r="D249" s="85">
        <v>0</v>
      </c>
    </row>
    <row r="250" spans="2:4" ht="16.5">
      <c r="B250" s="61">
        <v>31101</v>
      </c>
      <c r="C250" s="62" t="s">
        <v>172</v>
      </c>
      <c r="D250" s="85">
        <v>171</v>
      </c>
    </row>
    <row r="251" spans="2:4" ht="16.5">
      <c r="B251" s="63">
        <v>31102</v>
      </c>
      <c r="C251" s="64" t="s">
        <v>173</v>
      </c>
      <c r="D251" s="85">
        <v>29</v>
      </c>
    </row>
    <row r="252" spans="2:4" ht="16.5">
      <c r="B252" s="61">
        <v>31103</v>
      </c>
      <c r="C252" s="62" t="s">
        <v>175</v>
      </c>
      <c r="D252" s="85">
        <v>19</v>
      </c>
    </row>
    <row r="253" spans="2:4" ht="16.5">
      <c r="B253" s="63">
        <v>31104</v>
      </c>
      <c r="C253" s="64" t="s">
        <v>176</v>
      </c>
      <c r="D253" s="85">
        <v>70</v>
      </c>
    </row>
    <row r="254" spans="2:4" ht="16.5">
      <c r="B254" s="61">
        <v>31105</v>
      </c>
      <c r="C254" s="62" t="s">
        <v>177</v>
      </c>
      <c r="D254" s="85">
        <v>40</v>
      </c>
    </row>
    <row r="255" spans="2:4" ht="16.5">
      <c r="B255" s="63">
        <v>31106</v>
      </c>
      <c r="C255" s="64" t="s">
        <v>392</v>
      </c>
      <c r="D255" s="85">
        <v>0</v>
      </c>
    </row>
    <row r="256" spans="2:4" ht="16.5">
      <c r="B256" s="61">
        <v>31107</v>
      </c>
      <c r="C256" s="62" t="s">
        <v>393</v>
      </c>
      <c r="D256" s="85">
        <v>1</v>
      </c>
    </row>
    <row r="257" spans="2:4" ht="16.5">
      <c r="B257" s="63">
        <v>31108</v>
      </c>
      <c r="C257" s="64" t="s">
        <v>394</v>
      </c>
      <c r="D257" s="85">
        <v>1</v>
      </c>
    </row>
    <row r="258" spans="2:4" ht="16.5">
      <c r="B258" s="61">
        <v>31109</v>
      </c>
      <c r="C258" s="62" t="s">
        <v>178</v>
      </c>
      <c r="D258" s="85">
        <v>13</v>
      </c>
    </row>
    <row r="259" spans="2:4" ht="16.5">
      <c r="B259" s="63">
        <v>31110</v>
      </c>
      <c r="C259" s="64" t="s">
        <v>179</v>
      </c>
      <c r="D259" s="85">
        <v>0</v>
      </c>
    </row>
    <row r="260" spans="2:4" ht="16.5">
      <c r="B260" s="61">
        <v>31111</v>
      </c>
      <c r="C260" s="62" t="s">
        <v>180</v>
      </c>
      <c r="D260" s="85">
        <v>0</v>
      </c>
    </row>
    <row r="261" spans="2:4" ht="16.5">
      <c r="B261" s="63">
        <v>31112</v>
      </c>
      <c r="C261" s="64" t="s">
        <v>395</v>
      </c>
      <c r="D261" s="85">
        <v>96</v>
      </c>
    </row>
    <row r="262" spans="2:4" ht="16.5">
      <c r="B262" s="61">
        <v>31113</v>
      </c>
      <c r="C262" s="62" t="s">
        <v>181</v>
      </c>
      <c r="D262" s="85">
        <v>16</v>
      </c>
    </row>
    <row r="263" spans="2:4" ht="16.5">
      <c r="B263" s="63">
        <v>31114</v>
      </c>
      <c r="C263" s="64" t="s">
        <v>396</v>
      </c>
      <c r="D263" s="85">
        <v>15</v>
      </c>
    </row>
    <row r="264" spans="2:4" ht="16.5">
      <c r="B264" s="65">
        <v>40101</v>
      </c>
      <c r="C264" s="66" t="s">
        <v>187</v>
      </c>
      <c r="D264" s="85">
        <v>5</v>
      </c>
    </row>
    <row r="265" spans="2:4" ht="16.5">
      <c r="B265" s="61">
        <v>40102</v>
      </c>
      <c r="C265" s="62" t="s">
        <v>397</v>
      </c>
      <c r="D265" s="85">
        <v>10</v>
      </c>
    </row>
    <row r="266" spans="2:4" ht="16.5">
      <c r="B266" s="65">
        <v>40103</v>
      </c>
      <c r="C266" s="66" t="s">
        <v>188</v>
      </c>
      <c r="D266" s="85">
        <v>0</v>
      </c>
    </row>
    <row r="267" spans="2:4" ht="16.5">
      <c r="B267" s="61">
        <v>40104</v>
      </c>
      <c r="C267" s="62" t="s">
        <v>189</v>
      </c>
      <c r="D267" s="85">
        <v>7</v>
      </c>
    </row>
    <row r="268" spans="2:4" ht="16.5">
      <c r="B268" s="65">
        <v>40105</v>
      </c>
      <c r="C268" s="66" t="s">
        <v>191</v>
      </c>
      <c r="D268" s="85">
        <v>7</v>
      </c>
    </row>
    <row r="269" spans="2:4" ht="16.5">
      <c r="B269" s="61">
        <v>40106</v>
      </c>
      <c r="C269" s="62" t="s">
        <v>194</v>
      </c>
      <c r="D269" s="85">
        <v>43</v>
      </c>
    </row>
    <row r="270" spans="2:4" ht="16.5">
      <c r="B270" s="65">
        <v>40107</v>
      </c>
      <c r="C270" s="66" t="s">
        <v>196</v>
      </c>
      <c r="D270" s="85">
        <v>55</v>
      </c>
    </row>
    <row r="271" spans="2:4" ht="16.5">
      <c r="B271" s="61">
        <v>40108</v>
      </c>
      <c r="C271" s="62" t="s">
        <v>197</v>
      </c>
      <c r="D271" s="85">
        <v>1</v>
      </c>
    </row>
    <row r="272" spans="2:4" ht="16.5">
      <c r="B272" s="65">
        <v>40109</v>
      </c>
      <c r="C272" s="66" t="s">
        <v>77</v>
      </c>
      <c r="D272" s="85">
        <v>0</v>
      </c>
    </row>
    <row r="273" spans="2:4" ht="16.5">
      <c r="B273" s="61">
        <v>40110</v>
      </c>
      <c r="C273" s="62" t="s">
        <v>190</v>
      </c>
      <c r="D273" s="85">
        <v>0</v>
      </c>
    </row>
    <row r="274" spans="2:4" ht="16.5">
      <c r="B274" s="71">
        <v>50101</v>
      </c>
      <c r="C274" s="72" t="s">
        <v>398</v>
      </c>
      <c r="D274" s="85">
        <v>27</v>
      </c>
    </row>
    <row r="275" spans="2:4" ht="16.5">
      <c r="B275" s="61">
        <v>50102</v>
      </c>
      <c r="C275" s="62" t="s">
        <v>399</v>
      </c>
      <c r="D275" s="85">
        <v>28</v>
      </c>
    </row>
    <row r="276" spans="2:4" ht="16.5">
      <c r="B276" s="71">
        <v>50103</v>
      </c>
      <c r="C276" s="72" t="s">
        <v>400</v>
      </c>
      <c r="D276" s="85">
        <v>11</v>
      </c>
    </row>
    <row r="277" spans="2:4" ht="16.5">
      <c r="B277" s="61">
        <v>50104</v>
      </c>
      <c r="C277" s="62" t="s">
        <v>108</v>
      </c>
      <c r="D277" s="85">
        <v>10</v>
      </c>
    </row>
    <row r="278" spans="2:4" ht="16.5">
      <c r="B278" s="71">
        <v>50105</v>
      </c>
      <c r="C278" s="72" t="s">
        <v>182</v>
      </c>
      <c r="D278" s="85">
        <v>266</v>
      </c>
    </row>
    <row r="279" spans="2:4" ht="16.5">
      <c r="B279" s="61">
        <v>50106</v>
      </c>
      <c r="C279" s="62" t="s">
        <v>170</v>
      </c>
      <c r="D279" s="85">
        <v>0</v>
      </c>
    </row>
    <row r="280" spans="2:4" ht="16.5">
      <c r="B280" s="71">
        <v>50107</v>
      </c>
      <c r="C280" s="72" t="s">
        <v>401</v>
      </c>
      <c r="D280" s="85">
        <v>32</v>
      </c>
    </row>
    <row r="281" spans="2:4" ht="16.5">
      <c r="B281" s="61">
        <v>50108</v>
      </c>
      <c r="C281" s="62" t="s">
        <v>402</v>
      </c>
      <c r="D281" s="85">
        <v>40</v>
      </c>
    </row>
    <row r="282" spans="2:4" ht="16.5">
      <c r="B282" s="71">
        <v>50201</v>
      </c>
      <c r="C282" s="72" t="s">
        <v>403</v>
      </c>
      <c r="D282" s="85">
        <v>6</v>
      </c>
    </row>
    <row r="283" spans="2:4" ht="16.5">
      <c r="B283" s="61">
        <v>50202</v>
      </c>
      <c r="C283" s="62" t="s">
        <v>404</v>
      </c>
      <c r="D283" s="85">
        <v>2</v>
      </c>
    </row>
    <row r="284" spans="2:4" ht="16.5">
      <c r="B284" s="71">
        <v>50203</v>
      </c>
      <c r="C284" s="72" t="s">
        <v>405</v>
      </c>
      <c r="D284" s="85">
        <v>29</v>
      </c>
    </row>
    <row r="285" spans="2:4" ht="16.5">
      <c r="B285" s="61">
        <v>50301</v>
      </c>
      <c r="C285" s="62" t="s">
        <v>406</v>
      </c>
      <c r="D285" s="85">
        <v>4278</v>
      </c>
    </row>
    <row r="286" spans="2:4" ht="16.5">
      <c r="B286" s="71">
        <v>50302</v>
      </c>
      <c r="C286" s="72" t="s">
        <v>407</v>
      </c>
      <c r="D286" s="85">
        <v>28</v>
      </c>
    </row>
    <row r="287" spans="2:4" ht="16.5">
      <c r="B287" s="61">
        <v>50303</v>
      </c>
      <c r="C287" s="62" t="s">
        <v>185</v>
      </c>
      <c r="D287" s="85">
        <v>23</v>
      </c>
    </row>
    <row r="288" spans="2:4" ht="16.5">
      <c r="B288" s="71">
        <v>50304</v>
      </c>
      <c r="C288" s="72" t="s">
        <v>186</v>
      </c>
      <c r="D288" s="85">
        <v>33</v>
      </c>
    </row>
    <row r="289" spans="2:4" ht="16.5">
      <c r="B289" s="61">
        <v>50305</v>
      </c>
      <c r="C289" s="62" t="s">
        <v>408</v>
      </c>
      <c r="D289" s="85">
        <v>126</v>
      </c>
    </row>
    <row r="290" spans="2:4" ht="16.5">
      <c r="B290" s="71">
        <v>50306</v>
      </c>
      <c r="C290" s="72" t="s">
        <v>409</v>
      </c>
      <c r="D290" s="85">
        <v>35</v>
      </c>
    </row>
    <row r="291" spans="2:4" ht="16.5">
      <c r="B291" s="73">
        <v>60101</v>
      </c>
      <c r="C291" s="74" t="s">
        <v>410</v>
      </c>
      <c r="D291" s="85">
        <v>0</v>
      </c>
    </row>
    <row r="292" spans="2:4" ht="16.5">
      <c r="B292" s="61">
        <v>60102</v>
      </c>
      <c r="C292" s="62" t="s">
        <v>193</v>
      </c>
      <c r="D292" s="85">
        <v>19</v>
      </c>
    </row>
    <row r="293" spans="2:4" ht="16.5">
      <c r="B293" s="73">
        <v>60103</v>
      </c>
      <c r="C293" s="74" t="s">
        <v>411</v>
      </c>
      <c r="D293" s="85">
        <v>14</v>
      </c>
    </row>
    <row r="294" spans="2:4" ht="16.5">
      <c r="B294" s="75">
        <v>70101</v>
      </c>
      <c r="C294" s="76" t="s">
        <v>412</v>
      </c>
      <c r="D294" s="85">
        <v>401</v>
      </c>
    </row>
    <row r="295" spans="2:4" ht="16.5">
      <c r="B295" s="61">
        <v>70102</v>
      </c>
      <c r="C295" s="62" t="s">
        <v>198</v>
      </c>
      <c r="D295" s="85">
        <v>0</v>
      </c>
    </row>
    <row r="296" spans="2:4" ht="16.5">
      <c r="B296" s="75">
        <v>70103</v>
      </c>
      <c r="C296" s="76" t="s">
        <v>199</v>
      </c>
      <c r="D296" s="85">
        <v>0</v>
      </c>
    </row>
    <row r="297" spans="2:4" ht="16.5">
      <c r="B297" s="61">
        <v>70104</v>
      </c>
      <c r="C297" s="62" t="s">
        <v>413</v>
      </c>
      <c r="D297" s="85">
        <v>12271</v>
      </c>
    </row>
    <row r="298" spans="2:4" ht="16.5">
      <c r="B298" s="75">
        <v>70105</v>
      </c>
      <c r="C298" s="76" t="s">
        <v>200</v>
      </c>
      <c r="D298" s="85">
        <v>0</v>
      </c>
    </row>
    <row r="299" spans="2:4" ht="16.5">
      <c r="B299" s="61">
        <v>70106</v>
      </c>
      <c r="C299" s="62" t="s">
        <v>414</v>
      </c>
      <c r="D299" s="85">
        <v>42</v>
      </c>
    </row>
    <row r="300" spans="2:4" ht="16.5">
      <c r="B300" s="75">
        <v>70107</v>
      </c>
      <c r="C300" s="76" t="s">
        <v>415</v>
      </c>
      <c r="D300" s="85">
        <v>164</v>
      </c>
    </row>
    <row r="301" spans="2:4" ht="17.25" thickBot="1">
      <c r="B301" s="77">
        <v>70108</v>
      </c>
      <c r="C301" s="78" t="s">
        <v>416</v>
      </c>
      <c r="D301" s="85">
        <v>0</v>
      </c>
    </row>
    <row r="302" spans="2:4" ht="19.899999999999999" customHeight="1" thickBot="1">
      <c r="B302" s="79" t="s">
        <v>1</v>
      </c>
      <c r="C302" s="80"/>
      <c r="D302" s="85">
        <v>25510</v>
      </c>
    </row>
  </sheetData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E8:I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6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Q302"/>
  <sheetViews>
    <sheetView showGridLines="0" view="pageBreakPreview" topLeftCell="A118" zoomScaleNormal="100" zoomScaleSheetLayoutView="100" workbookViewId="0">
      <selection activeCell="D297" sqref="D297"/>
    </sheetView>
  </sheetViews>
  <sheetFormatPr baseColWidth="10" defaultColWidth="11.42578125" defaultRowHeight="12.75"/>
  <cols>
    <col min="1" max="1" width="8" style="17" customWidth="1"/>
    <col min="2" max="2" width="12" style="24" customWidth="1"/>
    <col min="3" max="3" width="75.42578125" style="17" customWidth="1"/>
    <col min="4" max="4" width="45.42578125" style="24" customWidth="1"/>
    <col min="5" max="6" width="14.85546875" style="17" bestFit="1" customWidth="1"/>
    <col min="7" max="9" width="13.85546875" style="17" bestFit="1" customWidth="1"/>
    <col min="10" max="16384" width="11.42578125" style="17"/>
  </cols>
  <sheetData>
    <row r="1" spans="2:225">
      <c r="D1" s="17"/>
    </row>
    <row r="2" spans="2:225">
      <c r="D2" s="17"/>
    </row>
    <row r="3" spans="2:225" ht="16.5">
      <c r="D3" s="17"/>
      <c r="E3" s="43"/>
      <c r="F3" s="43"/>
      <c r="G3" s="43"/>
      <c r="H3" s="43"/>
      <c r="I3" s="43"/>
    </row>
    <row r="4" spans="2:225" ht="30">
      <c r="B4" s="17"/>
      <c r="D4" s="17"/>
      <c r="E4" s="36"/>
      <c r="F4" s="36"/>
      <c r="G4" s="36"/>
      <c r="H4" s="36"/>
      <c r="I4" s="3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</row>
    <row r="5" spans="2:225" ht="30">
      <c r="B5" s="17"/>
      <c r="D5" s="17"/>
      <c r="E5" s="36"/>
      <c r="F5" s="36"/>
      <c r="G5" s="36"/>
      <c r="H5" s="36"/>
      <c r="I5" s="3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</row>
    <row r="6" spans="2:225" ht="19.5" customHeight="1">
      <c r="B6" s="129" t="s">
        <v>425</v>
      </c>
      <c r="C6" s="129"/>
      <c r="D6" s="129"/>
      <c r="E6" s="36"/>
      <c r="F6" s="36"/>
      <c r="G6" s="36"/>
      <c r="H6" s="36"/>
      <c r="I6" s="3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</row>
    <row r="7" spans="2:225" ht="19.5" customHeight="1">
      <c r="B7" s="133" t="s">
        <v>247</v>
      </c>
      <c r="C7" s="134"/>
      <c r="D7" s="134"/>
      <c r="E7" s="36"/>
      <c r="F7" s="36"/>
      <c r="G7" s="36"/>
      <c r="H7" s="36"/>
      <c r="I7" s="3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</row>
    <row r="8" spans="2:225" ht="19.5" customHeight="1">
      <c r="B8" s="133" t="s">
        <v>0</v>
      </c>
      <c r="C8" s="134"/>
      <c r="D8" s="134"/>
      <c r="E8" s="130"/>
      <c r="F8" s="130"/>
      <c r="G8" s="130"/>
      <c r="H8" s="130"/>
      <c r="I8" s="130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</row>
    <row r="9" spans="2:225" ht="16.5">
      <c r="B9" s="133"/>
      <c r="C9" s="134"/>
      <c r="D9" s="134"/>
      <c r="E9" s="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</row>
    <row r="10" spans="2:225" ht="23.25">
      <c r="B10" s="135" t="s">
        <v>418</v>
      </c>
      <c r="C10" s="135"/>
      <c r="D10" s="135"/>
      <c r="E10" s="1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</row>
    <row r="11" spans="2:225" ht="16.5">
      <c r="C11" s="45"/>
      <c r="D11" s="4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</row>
    <row r="12" spans="2:225" ht="16.5" customHeight="1">
      <c r="C12" s="39" t="s">
        <v>242</v>
      </c>
      <c r="D12" s="47" t="str">
        <f>RESUMEN!C10</f>
        <v>Morelos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</row>
    <row r="13" spans="2:225" ht="15">
      <c r="C13" s="39" t="s">
        <v>243</v>
      </c>
      <c r="D13" s="48">
        <f>RESUMEN!C11</f>
        <v>2026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</row>
    <row r="14" spans="2:225" ht="15">
      <c r="C14" s="39" t="s">
        <v>244</v>
      </c>
      <c r="D14" s="48" t="str">
        <f>RESUMEN!C12</f>
        <v>Junio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</row>
    <row r="15" spans="2:225" ht="15">
      <c r="C15" s="22"/>
      <c r="D15" s="23"/>
      <c r="E15" s="18"/>
      <c r="F15" s="18"/>
      <c r="G15" s="2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</row>
    <row r="16" spans="2:225" ht="15" customHeight="1">
      <c r="B16" s="138" t="s">
        <v>2</v>
      </c>
      <c r="C16" s="139"/>
      <c r="D16" s="140"/>
    </row>
    <row r="17" spans="2:6" ht="15">
      <c r="B17" s="136" t="s">
        <v>245</v>
      </c>
      <c r="C17" s="137"/>
      <c r="D17" s="49" t="s">
        <v>4</v>
      </c>
    </row>
    <row r="18" spans="2:6" ht="15">
      <c r="B18" s="131" t="s">
        <v>246</v>
      </c>
      <c r="C18" s="132"/>
      <c r="D18" s="49" t="s">
        <v>424</v>
      </c>
    </row>
    <row r="19" spans="2:6" ht="15">
      <c r="B19" s="50" t="s">
        <v>73</v>
      </c>
      <c r="C19" s="51" t="s">
        <v>72</v>
      </c>
      <c r="D19" s="52" t="s">
        <v>71</v>
      </c>
      <c r="F19" s="28"/>
    </row>
    <row r="20" spans="2:6" ht="16.5">
      <c r="B20" s="86">
        <v>10101</v>
      </c>
      <c r="C20" s="87" t="s">
        <v>264</v>
      </c>
      <c r="D20" s="85">
        <v>0</v>
      </c>
    </row>
    <row r="21" spans="2:6" ht="16.5">
      <c r="B21" s="88">
        <v>10102</v>
      </c>
      <c r="C21" s="89" t="s">
        <v>265</v>
      </c>
      <c r="D21" s="85">
        <v>0</v>
      </c>
    </row>
    <row r="22" spans="2:6" ht="16.5">
      <c r="B22" s="86">
        <v>10103</v>
      </c>
      <c r="C22" s="87" t="s">
        <v>266</v>
      </c>
      <c r="D22" s="85">
        <v>113</v>
      </c>
    </row>
    <row r="23" spans="2:6" ht="16.5">
      <c r="B23" s="88">
        <v>10104</v>
      </c>
      <c r="C23" s="89" t="s">
        <v>267</v>
      </c>
      <c r="D23" s="85">
        <v>69</v>
      </c>
    </row>
    <row r="24" spans="2:6" ht="16.5">
      <c r="B24" s="86">
        <v>10105</v>
      </c>
      <c r="C24" s="87" t="s">
        <v>268</v>
      </c>
      <c r="D24" s="85">
        <v>0</v>
      </c>
    </row>
    <row r="25" spans="2:6" ht="16.5">
      <c r="B25" s="88">
        <v>10106</v>
      </c>
      <c r="C25" s="89" t="s">
        <v>269</v>
      </c>
      <c r="D25" s="85">
        <v>0</v>
      </c>
    </row>
    <row r="26" spans="2:6" ht="16.5">
      <c r="B26" s="86">
        <v>10107</v>
      </c>
      <c r="C26" s="87" t="s">
        <v>270</v>
      </c>
      <c r="D26" s="85">
        <v>1</v>
      </c>
    </row>
    <row r="27" spans="2:6" ht="16.5">
      <c r="B27" s="88">
        <v>10108</v>
      </c>
      <c r="C27" s="89" t="s">
        <v>271</v>
      </c>
      <c r="D27" s="85">
        <v>0</v>
      </c>
    </row>
    <row r="28" spans="2:6" ht="16.5">
      <c r="B28" s="86">
        <v>10109</v>
      </c>
      <c r="C28" s="87" t="s">
        <v>272</v>
      </c>
      <c r="D28" s="85">
        <v>0</v>
      </c>
    </row>
    <row r="29" spans="2:6" ht="16.5">
      <c r="B29" s="88">
        <v>10110</v>
      </c>
      <c r="C29" s="89" t="s">
        <v>273</v>
      </c>
      <c r="D29" s="85">
        <v>0</v>
      </c>
    </row>
    <row r="30" spans="2:6" ht="16.5">
      <c r="B30" s="86">
        <v>10111</v>
      </c>
      <c r="C30" s="87" t="s">
        <v>274</v>
      </c>
      <c r="D30" s="85">
        <v>1</v>
      </c>
    </row>
    <row r="31" spans="2:6" ht="16.5">
      <c r="B31" s="88">
        <v>10112</v>
      </c>
      <c r="C31" s="89" t="s">
        <v>275</v>
      </c>
      <c r="D31" s="85">
        <v>2</v>
      </c>
    </row>
    <row r="32" spans="2:6" ht="16.5">
      <c r="B32" s="86">
        <v>10113</v>
      </c>
      <c r="C32" s="87" t="s">
        <v>276</v>
      </c>
      <c r="D32" s="85">
        <v>0</v>
      </c>
    </row>
    <row r="33" spans="2:4" ht="16.5">
      <c r="B33" s="88">
        <v>10114</v>
      </c>
      <c r="C33" s="89" t="s">
        <v>277</v>
      </c>
      <c r="D33" s="85">
        <v>0</v>
      </c>
    </row>
    <row r="34" spans="2:4" ht="16.5">
      <c r="B34" s="86">
        <v>10115</v>
      </c>
      <c r="C34" s="87" t="s">
        <v>278</v>
      </c>
      <c r="D34" s="85">
        <v>0</v>
      </c>
    </row>
    <row r="35" spans="2:4" ht="16.5">
      <c r="B35" s="88">
        <v>10116</v>
      </c>
      <c r="C35" s="89" t="s">
        <v>279</v>
      </c>
      <c r="D35" s="85">
        <v>11</v>
      </c>
    </row>
    <row r="36" spans="2:4" ht="16.5">
      <c r="B36" s="86">
        <v>10117</v>
      </c>
      <c r="C36" s="87" t="s">
        <v>280</v>
      </c>
      <c r="D36" s="85">
        <v>0</v>
      </c>
    </row>
    <row r="37" spans="2:4" ht="16.5">
      <c r="B37" s="88">
        <v>10118</v>
      </c>
      <c r="C37" s="89" t="s">
        <v>281</v>
      </c>
      <c r="D37" s="85">
        <v>0</v>
      </c>
    </row>
    <row r="38" spans="2:4" ht="16.5">
      <c r="B38" s="86">
        <v>10119</v>
      </c>
      <c r="C38" s="87" t="s">
        <v>282</v>
      </c>
      <c r="D38" s="85">
        <v>0</v>
      </c>
    </row>
    <row r="39" spans="2:4" ht="16.5">
      <c r="B39" s="88">
        <v>10120</v>
      </c>
      <c r="C39" s="89" t="s">
        <v>283</v>
      </c>
      <c r="D39" s="85">
        <v>0</v>
      </c>
    </row>
    <row r="40" spans="2:4" ht="16.5">
      <c r="B40" s="86">
        <v>10121</v>
      </c>
      <c r="C40" s="87" t="s">
        <v>284</v>
      </c>
      <c r="D40" s="85">
        <v>7</v>
      </c>
    </row>
    <row r="41" spans="2:4" ht="16.5">
      <c r="B41" s="88">
        <v>10201</v>
      </c>
      <c r="C41" s="89" t="s">
        <v>285</v>
      </c>
      <c r="D41" s="85">
        <v>4</v>
      </c>
    </row>
    <row r="42" spans="2:4" ht="16.5">
      <c r="B42" s="86">
        <v>10202</v>
      </c>
      <c r="C42" s="87" t="s">
        <v>286</v>
      </c>
      <c r="D42" s="85">
        <v>0</v>
      </c>
    </row>
    <row r="43" spans="2:4" ht="16.5">
      <c r="B43" s="88">
        <v>10203</v>
      </c>
      <c r="C43" s="89" t="s">
        <v>287</v>
      </c>
      <c r="D43" s="85">
        <v>1</v>
      </c>
    </row>
    <row r="44" spans="2:4" ht="16.5">
      <c r="B44" s="86">
        <v>10204</v>
      </c>
      <c r="C44" s="87" t="s">
        <v>288</v>
      </c>
      <c r="D44" s="85">
        <v>61</v>
      </c>
    </row>
    <row r="45" spans="2:4" ht="16.5">
      <c r="B45" s="88">
        <v>10205</v>
      </c>
      <c r="C45" s="89" t="s">
        <v>289</v>
      </c>
      <c r="D45" s="85">
        <v>1</v>
      </c>
    </row>
    <row r="46" spans="2:4" ht="16.5">
      <c r="B46" s="86">
        <v>10206</v>
      </c>
      <c r="C46" s="87" t="s">
        <v>290</v>
      </c>
      <c r="D46" s="85">
        <v>9</v>
      </c>
    </row>
    <row r="47" spans="2:4" ht="16.5">
      <c r="B47" s="88">
        <v>10207</v>
      </c>
      <c r="C47" s="89" t="s">
        <v>291</v>
      </c>
      <c r="D47" s="85">
        <v>14</v>
      </c>
    </row>
    <row r="48" spans="2:4" ht="16.5">
      <c r="B48" s="86">
        <v>10208</v>
      </c>
      <c r="C48" s="87" t="s">
        <v>292</v>
      </c>
      <c r="D48" s="85">
        <v>7</v>
      </c>
    </row>
    <row r="49" spans="2:4" ht="16.5">
      <c r="B49" s="88">
        <v>10209</v>
      </c>
      <c r="C49" s="89" t="s">
        <v>293</v>
      </c>
      <c r="D49" s="85">
        <v>14</v>
      </c>
    </row>
    <row r="50" spans="2:4" ht="16.5">
      <c r="B50" s="86">
        <v>10210</v>
      </c>
      <c r="C50" s="87" t="s">
        <v>294</v>
      </c>
      <c r="D50" s="85">
        <v>4</v>
      </c>
    </row>
    <row r="51" spans="2:4" ht="16.5">
      <c r="B51" s="88">
        <v>10211</v>
      </c>
      <c r="C51" s="89" t="s">
        <v>76</v>
      </c>
      <c r="D51" s="85">
        <v>1</v>
      </c>
    </row>
    <row r="52" spans="2:4" ht="16.5">
      <c r="B52" s="86">
        <v>10212</v>
      </c>
      <c r="C52" s="87" t="s">
        <v>295</v>
      </c>
      <c r="D52" s="85">
        <v>0</v>
      </c>
    </row>
    <row r="53" spans="2:4" ht="16.5">
      <c r="B53" s="88">
        <v>10213</v>
      </c>
      <c r="C53" s="89" t="s">
        <v>296</v>
      </c>
      <c r="D53" s="85">
        <v>3</v>
      </c>
    </row>
    <row r="54" spans="2:4" ht="16.5">
      <c r="B54" s="86">
        <v>10214</v>
      </c>
      <c r="C54" s="87" t="s">
        <v>297</v>
      </c>
      <c r="D54" s="85">
        <v>0</v>
      </c>
    </row>
    <row r="55" spans="2:4" ht="16.5" customHeight="1">
      <c r="B55" s="88">
        <v>10215</v>
      </c>
      <c r="C55" s="89" t="s">
        <v>298</v>
      </c>
      <c r="D55" s="85">
        <v>0</v>
      </c>
    </row>
    <row r="56" spans="2:4" ht="16.5">
      <c r="B56" s="86">
        <v>10216</v>
      </c>
      <c r="C56" s="87" t="s">
        <v>299</v>
      </c>
      <c r="D56" s="85">
        <v>0</v>
      </c>
    </row>
    <row r="57" spans="2:4" ht="16.5">
      <c r="B57" s="88">
        <v>10217</v>
      </c>
      <c r="C57" s="89" t="s">
        <v>300</v>
      </c>
      <c r="D57" s="85">
        <v>0</v>
      </c>
    </row>
    <row r="58" spans="2:4" ht="16.5">
      <c r="B58" s="86">
        <v>10218</v>
      </c>
      <c r="C58" s="87" t="s">
        <v>301</v>
      </c>
      <c r="D58" s="85">
        <v>0</v>
      </c>
    </row>
    <row r="59" spans="2:4" ht="16.5">
      <c r="B59" s="88">
        <v>10219</v>
      </c>
      <c r="C59" s="89" t="s">
        <v>302</v>
      </c>
      <c r="D59" s="85">
        <v>3</v>
      </c>
    </row>
    <row r="60" spans="2:4" ht="16.5">
      <c r="B60" s="86">
        <v>10220</v>
      </c>
      <c r="C60" s="87" t="s">
        <v>303</v>
      </c>
      <c r="D60" s="85">
        <v>27</v>
      </c>
    </row>
    <row r="61" spans="2:4" ht="16.5">
      <c r="B61" s="88">
        <v>10301</v>
      </c>
      <c r="C61" s="89" t="s">
        <v>304</v>
      </c>
      <c r="D61" s="85">
        <v>3</v>
      </c>
    </row>
    <row r="62" spans="2:4" ht="16.5">
      <c r="B62" s="86">
        <v>10302</v>
      </c>
      <c r="C62" s="87" t="s">
        <v>305</v>
      </c>
      <c r="D62" s="85">
        <v>0</v>
      </c>
    </row>
    <row r="63" spans="2:4" ht="16.5">
      <c r="B63" s="88">
        <v>10303</v>
      </c>
      <c r="C63" s="89" t="s">
        <v>306</v>
      </c>
      <c r="D63" s="85">
        <v>6</v>
      </c>
    </row>
    <row r="64" spans="2:4" ht="16.5">
      <c r="B64" s="86">
        <v>10304</v>
      </c>
      <c r="C64" s="87" t="s">
        <v>307</v>
      </c>
      <c r="D64" s="85">
        <v>2</v>
      </c>
    </row>
    <row r="65" spans="2:4" ht="16.5">
      <c r="B65" s="88">
        <v>10305</v>
      </c>
      <c r="C65" s="89" t="s">
        <v>308</v>
      </c>
      <c r="D65" s="85">
        <v>27</v>
      </c>
    </row>
    <row r="66" spans="2:4" ht="16.5">
      <c r="B66" s="86">
        <v>10306</v>
      </c>
      <c r="C66" s="87" t="s">
        <v>309</v>
      </c>
      <c r="D66" s="85">
        <v>7</v>
      </c>
    </row>
    <row r="67" spans="2:4" ht="16.5">
      <c r="B67" s="88">
        <v>10307</v>
      </c>
      <c r="C67" s="89" t="s">
        <v>74</v>
      </c>
      <c r="D67" s="85">
        <v>23</v>
      </c>
    </row>
    <row r="68" spans="2:4" ht="16.5">
      <c r="B68" s="86">
        <v>10308</v>
      </c>
      <c r="C68" s="87" t="s">
        <v>310</v>
      </c>
      <c r="D68" s="85">
        <v>74</v>
      </c>
    </row>
    <row r="69" spans="2:4" ht="16.5">
      <c r="B69" s="88">
        <v>10309</v>
      </c>
      <c r="C69" s="89" t="s">
        <v>311</v>
      </c>
      <c r="D69" s="85">
        <v>15</v>
      </c>
    </row>
    <row r="70" spans="2:4" ht="16.5">
      <c r="B70" s="86">
        <v>10310</v>
      </c>
      <c r="C70" s="87" t="s">
        <v>312</v>
      </c>
      <c r="D70" s="85">
        <v>19</v>
      </c>
    </row>
    <row r="71" spans="2:4" ht="16.5">
      <c r="B71" s="88">
        <v>10311</v>
      </c>
      <c r="C71" s="89" t="s">
        <v>313</v>
      </c>
      <c r="D71" s="85">
        <v>9</v>
      </c>
    </row>
    <row r="72" spans="2:4" ht="16.5">
      <c r="B72" s="86">
        <v>10312</v>
      </c>
      <c r="C72" s="87" t="s">
        <v>314</v>
      </c>
      <c r="D72" s="85">
        <v>6</v>
      </c>
    </row>
    <row r="73" spans="2:4" ht="16.5">
      <c r="B73" s="88">
        <v>10313</v>
      </c>
      <c r="C73" s="89" t="s">
        <v>315</v>
      </c>
      <c r="D73" s="85">
        <v>0</v>
      </c>
    </row>
    <row r="74" spans="2:4" ht="16.5">
      <c r="B74" s="86">
        <v>10314</v>
      </c>
      <c r="C74" s="87" t="s">
        <v>316</v>
      </c>
      <c r="D74" s="85">
        <v>2</v>
      </c>
    </row>
    <row r="75" spans="2:4" ht="16.5">
      <c r="B75" s="88">
        <v>10315</v>
      </c>
      <c r="C75" s="89" t="s">
        <v>317</v>
      </c>
      <c r="D75" s="85">
        <v>4</v>
      </c>
    </row>
    <row r="76" spans="2:4" ht="16.5">
      <c r="B76" s="86">
        <v>10316</v>
      </c>
      <c r="C76" s="87" t="s">
        <v>318</v>
      </c>
      <c r="D76" s="85">
        <v>105</v>
      </c>
    </row>
    <row r="77" spans="2:4" ht="16.5">
      <c r="B77" s="88">
        <v>10317</v>
      </c>
      <c r="C77" s="89" t="s">
        <v>319</v>
      </c>
      <c r="D77" s="85">
        <v>29</v>
      </c>
    </row>
    <row r="78" spans="2:4" ht="16.5">
      <c r="B78" s="86">
        <v>10318</v>
      </c>
      <c r="C78" s="87" t="s">
        <v>320</v>
      </c>
      <c r="D78" s="85">
        <v>9</v>
      </c>
    </row>
    <row r="79" spans="2:4" ht="16.5">
      <c r="B79" s="88">
        <v>10319</v>
      </c>
      <c r="C79" s="89" t="s">
        <v>80</v>
      </c>
      <c r="D79" s="85">
        <v>0</v>
      </c>
    </row>
    <row r="80" spans="2:4" ht="16.5">
      <c r="B80" s="90">
        <v>20101</v>
      </c>
      <c r="C80" s="91" t="s">
        <v>321</v>
      </c>
      <c r="D80" s="85">
        <v>0</v>
      </c>
    </row>
    <row r="81" spans="2:4" ht="16.5">
      <c r="B81" s="88">
        <v>20102</v>
      </c>
      <c r="C81" s="92" t="s">
        <v>263</v>
      </c>
      <c r="D81" s="85">
        <v>0</v>
      </c>
    </row>
    <row r="82" spans="2:4" ht="16.5">
      <c r="B82" s="90">
        <v>20103</v>
      </c>
      <c r="C82" s="91" t="s">
        <v>78</v>
      </c>
      <c r="D82" s="85">
        <v>13</v>
      </c>
    </row>
    <row r="83" spans="2:4" ht="16.5">
      <c r="B83" s="88">
        <v>20104</v>
      </c>
      <c r="C83" s="92" t="s">
        <v>79</v>
      </c>
      <c r="D83" s="85">
        <v>6</v>
      </c>
    </row>
    <row r="84" spans="2:4" ht="16.5">
      <c r="B84" s="90">
        <v>20105</v>
      </c>
      <c r="C84" s="91" t="s">
        <v>322</v>
      </c>
      <c r="D84" s="85">
        <v>0</v>
      </c>
    </row>
    <row r="85" spans="2:4" ht="16.5">
      <c r="B85" s="88">
        <v>20106</v>
      </c>
      <c r="C85" s="92" t="s">
        <v>323</v>
      </c>
      <c r="D85" s="85">
        <v>1</v>
      </c>
    </row>
    <row r="86" spans="2:4" ht="16.5">
      <c r="B86" s="90">
        <v>20107</v>
      </c>
      <c r="C86" s="91" t="s">
        <v>81</v>
      </c>
      <c r="D86" s="85">
        <v>0</v>
      </c>
    </row>
    <row r="87" spans="2:4" ht="16.5">
      <c r="B87" s="88">
        <v>20108</v>
      </c>
      <c r="C87" s="92" t="s">
        <v>324</v>
      </c>
      <c r="D87" s="85">
        <v>3</v>
      </c>
    </row>
    <row r="88" spans="2:4" ht="16.5">
      <c r="B88" s="90">
        <v>20109</v>
      </c>
      <c r="C88" s="91" t="s">
        <v>325</v>
      </c>
      <c r="D88" s="85">
        <v>3</v>
      </c>
    </row>
    <row r="89" spans="2:4" ht="16.5">
      <c r="B89" s="88">
        <v>20110</v>
      </c>
      <c r="C89" s="92" t="s">
        <v>326</v>
      </c>
      <c r="D89" s="85">
        <v>24</v>
      </c>
    </row>
    <row r="90" spans="2:4" ht="16.5">
      <c r="B90" s="90">
        <v>20111</v>
      </c>
      <c r="C90" s="91" t="s">
        <v>327</v>
      </c>
      <c r="D90" s="85">
        <v>0</v>
      </c>
    </row>
    <row r="91" spans="2:4" ht="16.5">
      <c r="B91" s="88">
        <v>20112</v>
      </c>
      <c r="C91" s="92" t="s">
        <v>328</v>
      </c>
      <c r="D91" s="85">
        <v>0</v>
      </c>
    </row>
    <row r="92" spans="2:4" ht="16.5">
      <c r="B92" s="90">
        <v>20113</v>
      </c>
      <c r="C92" s="91" t="s">
        <v>195</v>
      </c>
      <c r="D92" s="85">
        <v>0</v>
      </c>
    </row>
    <row r="93" spans="2:4" ht="16.5">
      <c r="B93" s="88">
        <v>20114</v>
      </c>
      <c r="C93" s="92" t="s">
        <v>82</v>
      </c>
      <c r="D93" s="85">
        <v>0</v>
      </c>
    </row>
    <row r="94" spans="2:4" ht="16.5">
      <c r="B94" s="90">
        <v>20201</v>
      </c>
      <c r="C94" s="91" t="s">
        <v>83</v>
      </c>
      <c r="D94" s="85">
        <v>16</v>
      </c>
    </row>
    <row r="95" spans="2:4" ht="16.5">
      <c r="B95" s="88">
        <v>20202</v>
      </c>
      <c r="C95" s="92" t="s">
        <v>84</v>
      </c>
      <c r="D95" s="85">
        <v>0</v>
      </c>
    </row>
    <row r="96" spans="2:4" ht="16.5">
      <c r="B96" s="90">
        <v>20203</v>
      </c>
      <c r="C96" s="91" t="s">
        <v>85</v>
      </c>
      <c r="D96" s="85">
        <v>25</v>
      </c>
    </row>
    <row r="97" spans="2:4" ht="16.5">
      <c r="B97" s="88">
        <v>20204</v>
      </c>
      <c r="C97" s="92" t="s">
        <v>86</v>
      </c>
      <c r="D97" s="85">
        <v>0</v>
      </c>
    </row>
    <row r="98" spans="2:4" ht="16.5">
      <c r="B98" s="90">
        <v>20205</v>
      </c>
      <c r="C98" s="91" t="s">
        <v>87</v>
      </c>
      <c r="D98" s="85">
        <v>0</v>
      </c>
    </row>
    <row r="99" spans="2:4" ht="16.5">
      <c r="B99" s="88">
        <v>20206</v>
      </c>
      <c r="C99" s="92" t="s">
        <v>88</v>
      </c>
      <c r="D99" s="85">
        <v>0</v>
      </c>
    </row>
    <row r="100" spans="2:4" ht="16.5">
      <c r="B100" s="90">
        <v>20207</v>
      </c>
      <c r="C100" s="91" t="s">
        <v>89</v>
      </c>
      <c r="D100" s="85">
        <v>5</v>
      </c>
    </row>
    <row r="101" spans="2:4" ht="16.5">
      <c r="B101" s="88">
        <v>20208</v>
      </c>
      <c r="C101" s="92" t="s">
        <v>90</v>
      </c>
      <c r="D101" s="85">
        <v>1</v>
      </c>
    </row>
    <row r="102" spans="2:4" ht="16.5">
      <c r="B102" s="90">
        <v>20209</v>
      </c>
      <c r="C102" s="91" t="s">
        <v>91</v>
      </c>
      <c r="D102" s="85">
        <v>0</v>
      </c>
    </row>
    <row r="103" spans="2:4" ht="16.5">
      <c r="B103" s="88">
        <v>20210</v>
      </c>
      <c r="C103" s="92" t="s">
        <v>192</v>
      </c>
      <c r="D103" s="85">
        <v>17</v>
      </c>
    </row>
    <row r="104" spans="2:4" ht="16.5">
      <c r="B104" s="90">
        <v>20211</v>
      </c>
      <c r="C104" s="91" t="s">
        <v>329</v>
      </c>
      <c r="D104" s="85">
        <v>0</v>
      </c>
    </row>
    <row r="105" spans="2:4" ht="16.5">
      <c r="B105" s="88">
        <v>20212</v>
      </c>
      <c r="C105" s="92" t="s">
        <v>93</v>
      </c>
      <c r="D105" s="85">
        <v>0</v>
      </c>
    </row>
    <row r="106" spans="2:4" ht="16.5">
      <c r="B106" s="90">
        <v>20213</v>
      </c>
      <c r="C106" s="91" t="s">
        <v>94</v>
      </c>
      <c r="D106" s="85">
        <v>0</v>
      </c>
    </row>
    <row r="107" spans="2:4" ht="16.5">
      <c r="B107" s="88">
        <v>20214</v>
      </c>
      <c r="C107" s="92" t="s">
        <v>330</v>
      </c>
      <c r="D107" s="85">
        <v>0</v>
      </c>
    </row>
    <row r="108" spans="2:4" ht="16.5">
      <c r="B108" s="90">
        <v>20301</v>
      </c>
      <c r="C108" s="91" t="s">
        <v>331</v>
      </c>
      <c r="D108" s="85">
        <v>2</v>
      </c>
    </row>
    <row r="109" spans="2:4" ht="16.5">
      <c r="B109" s="88">
        <v>20302</v>
      </c>
      <c r="C109" s="92" t="s">
        <v>332</v>
      </c>
      <c r="D109" s="85">
        <v>0</v>
      </c>
    </row>
    <row r="110" spans="2:4" ht="16.5">
      <c r="B110" s="90">
        <v>20303</v>
      </c>
      <c r="C110" s="91" t="s">
        <v>333</v>
      </c>
      <c r="D110" s="85">
        <v>4</v>
      </c>
    </row>
    <row r="111" spans="2:4" ht="16.5">
      <c r="B111" s="88">
        <v>20304</v>
      </c>
      <c r="C111" s="92" t="s">
        <v>334</v>
      </c>
      <c r="D111" s="85">
        <v>4</v>
      </c>
    </row>
    <row r="112" spans="2:4" ht="16.5">
      <c r="B112" s="90">
        <v>20305</v>
      </c>
      <c r="C112" s="91" t="s">
        <v>335</v>
      </c>
      <c r="D112" s="85">
        <v>0</v>
      </c>
    </row>
    <row r="113" spans="2:4" ht="16.5">
      <c r="B113" s="88">
        <v>20306</v>
      </c>
      <c r="C113" s="92" t="s">
        <v>336</v>
      </c>
      <c r="D113" s="85">
        <v>0</v>
      </c>
    </row>
    <row r="114" spans="2:4" ht="16.5">
      <c r="B114" s="90">
        <v>20307</v>
      </c>
      <c r="C114" s="91" t="s">
        <v>337</v>
      </c>
      <c r="D114" s="85">
        <v>1</v>
      </c>
    </row>
    <row r="115" spans="2:4" ht="16.5">
      <c r="B115" s="88">
        <v>20308</v>
      </c>
      <c r="C115" s="92" t="s">
        <v>338</v>
      </c>
      <c r="D115" s="85">
        <v>0</v>
      </c>
    </row>
    <row r="116" spans="2:4" ht="16.5">
      <c r="B116" s="90">
        <v>20309</v>
      </c>
      <c r="C116" s="91" t="s">
        <v>339</v>
      </c>
      <c r="D116" s="85">
        <v>0</v>
      </c>
    </row>
    <row r="117" spans="2:4" ht="16.5">
      <c r="B117" s="88">
        <v>20310</v>
      </c>
      <c r="C117" s="92" t="s">
        <v>340</v>
      </c>
      <c r="D117" s="85">
        <v>0</v>
      </c>
    </row>
    <row r="118" spans="2:4" ht="16.5">
      <c r="B118" s="90">
        <v>20311</v>
      </c>
      <c r="C118" s="91" t="s">
        <v>341</v>
      </c>
      <c r="D118" s="85">
        <v>19</v>
      </c>
    </row>
    <row r="119" spans="2:4" ht="16.5">
      <c r="B119" s="88">
        <v>20401</v>
      </c>
      <c r="C119" s="92" t="s">
        <v>342</v>
      </c>
      <c r="D119" s="85">
        <v>0</v>
      </c>
    </row>
    <row r="120" spans="2:4" ht="16.5">
      <c r="B120" s="90">
        <v>20402</v>
      </c>
      <c r="C120" s="91" t="s">
        <v>343</v>
      </c>
      <c r="D120" s="85">
        <v>0</v>
      </c>
    </row>
    <row r="121" spans="2:4" ht="16.5">
      <c r="B121" s="88">
        <v>20403</v>
      </c>
      <c r="C121" s="92" t="s">
        <v>344</v>
      </c>
      <c r="D121" s="85">
        <v>5</v>
      </c>
    </row>
    <row r="122" spans="2:4" ht="16.5">
      <c r="B122" s="90">
        <v>20404</v>
      </c>
      <c r="C122" s="91" t="s">
        <v>345</v>
      </c>
      <c r="D122" s="85">
        <v>5</v>
      </c>
    </row>
    <row r="123" spans="2:4" ht="16.5">
      <c r="B123" s="93">
        <v>30101</v>
      </c>
      <c r="C123" s="94" t="s">
        <v>346</v>
      </c>
      <c r="D123" s="85">
        <v>21</v>
      </c>
    </row>
    <row r="124" spans="2:4" ht="16.5">
      <c r="B124" s="88">
        <v>30102</v>
      </c>
      <c r="C124" s="95" t="s">
        <v>95</v>
      </c>
      <c r="D124" s="85">
        <v>5</v>
      </c>
    </row>
    <row r="125" spans="2:4" ht="16.5">
      <c r="B125" s="93">
        <v>30103</v>
      </c>
      <c r="C125" s="94" t="s">
        <v>75</v>
      </c>
      <c r="D125" s="85">
        <v>20</v>
      </c>
    </row>
    <row r="126" spans="2:4" ht="16.5">
      <c r="B126" s="88">
        <v>30201</v>
      </c>
      <c r="C126" s="95" t="s">
        <v>96</v>
      </c>
      <c r="D126" s="85">
        <v>0</v>
      </c>
    </row>
    <row r="127" spans="2:4" ht="16.5">
      <c r="B127" s="93">
        <v>30202</v>
      </c>
      <c r="C127" s="94" t="s">
        <v>417</v>
      </c>
      <c r="D127" s="85">
        <v>30</v>
      </c>
    </row>
    <row r="128" spans="2:4" ht="16.5">
      <c r="B128" s="88">
        <v>30203</v>
      </c>
      <c r="C128" s="95" t="s">
        <v>347</v>
      </c>
      <c r="D128" s="85">
        <v>0</v>
      </c>
    </row>
    <row r="129" spans="2:4" ht="16.5">
      <c r="B129" s="93">
        <v>30204</v>
      </c>
      <c r="C129" s="94" t="s">
        <v>98</v>
      </c>
      <c r="D129" s="85">
        <v>60</v>
      </c>
    </row>
    <row r="130" spans="2:4" ht="16.5">
      <c r="B130" s="88">
        <v>30205</v>
      </c>
      <c r="C130" s="95" t="s">
        <v>348</v>
      </c>
      <c r="D130" s="85">
        <v>4</v>
      </c>
    </row>
    <row r="131" spans="2:4" ht="16.5">
      <c r="B131" s="93">
        <v>30206</v>
      </c>
      <c r="C131" s="94" t="s">
        <v>349</v>
      </c>
      <c r="D131" s="85">
        <v>0</v>
      </c>
    </row>
    <row r="132" spans="2:4" ht="16.5">
      <c r="B132" s="88">
        <v>30207</v>
      </c>
      <c r="C132" s="95" t="s">
        <v>350</v>
      </c>
      <c r="D132" s="85">
        <v>0</v>
      </c>
    </row>
    <row r="133" spans="2:4" ht="16.5">
      <c r="B133" s="93">
        <v>30301</v>
      </c>
      <c r="C133" s="94" t="s">
        <v>99</v>
      </c>
      <c r="D133" s="85">
        <v>4</v>
      </c>
    </row>
    <row r="134" spans="2:4" ht="16.5">
      <c r="B134" s="88">
        <v>30302</v>
      </c>
      <c r="C134" s="95" t="s">
        <v>100</v>
      </c>
      <c r="D134" s="85">
        <v>8</v>
      </c>
    </row>
    <row r="135" spans="2:4" ht="16.5">
      <c r="B135" s="93">
        <v>30303</v>
      </c>
      <c r="C135" s="94" t="s">
        <v>351</v>
      </c>
      <c r="D135" s="85">
        <v>4</v>
      </c>
    </row>
    <row r="136" spans="2:4" ht="16.5">
      <c r="B136" s="88">
        <v>30304</v>
      </c>
      <c r="C136" s="95" t="s">
        <v>101</v>
      </c>
      <c r="D136" s="85">
        <v>0</v>
      </c>
    </row>
    <row r="137" spans="2:4" ht="16.5">
      <c r="B137" s="93">
        <v>30305</v>
      </c>
      <c r="C137" s="94" t="s">
        <v>102</v>
      </c>
      <c r="D137" s="85">
        <v>7</v>
      </c>
    </row>
    <row r="138" spans="2:4" ht="16.5">
      <c r="B138" s="88">
        <v>30306</v>
      </c>
      <c r="C138" s="95" t="s">
        <v>103</v>
      </c>
      <c r="D138" s="85">
        <v>1</v>
      </c>
    </row>
    <row r="139" spans="2:4" ht="16.5">
      <c r="B139" s="93">
        <v>30307</v>
      </c>
      <c r="C139" s="94" t="s">
        <v>104</v>
      </c>
      <c r="D139" s="85">
        <v>109</v>
      </c>
    </row>
    <row r="140" spans="2:4" ht="16.5">
      <c r="B140" s="88">
        <v>30308</v>
      </c>
      <c r="C140" s="95" t="s">
        <v>352</v>
      </c>
      <c r="D140" s="85">
        <v>8</v>
      </c>
    </row>
    <row r="141" spans="2:4" ht="16.5">
      <c r="B141" s="93">
        <v>30309</v>
      </c>
      <c r="C141" s="94" t="s">
        <v>353</v>
      </c>
      <c r="D141" s="85">
        <v>82</v>
      </c>
    </row>
    <row r="142" spans="2:4" ht="16.5">
      <c r="B142" s="88">
        <v>30310</v>
      </c>
      <c r="C142" s="95" t="s">
        <v>354</v>
      </c>
      <c r="D142" s="85">
        <v>22</v>
      </c>
    </row>
    <row r="143" spans="2:4" ht="16.5">
      <c r="B143" s="93">
        <v>30401</v>
      </c>
      <c r="C143" s="94" t="s">
        <v>355</v>
      </c>
      <c r="D143" s="85">
        <v>252</v>
      </c>
    </row>
    <row r="144" spans="2:4" ht="16.5">
      <c r="B144" s="88">
        <v>30402</v>
      </c>
      <c r="C144" s="95" t="s">
        <v>356</v>
      </c>
      <c r="D144" s="85">
        <v>0</v>
      </c>
    </row>
    <row r="145" spans="2:4" ht="16.5">
      <c r="B145" s="93">
        <v>30403</v>
      </c>
      <c r="C145" s="94" t="s">
        <v>357</v>
      </c>
      <c r="D145" s="85">
        <v>1</v>
      </c>
    </row>
    <row r="146" spans="2:4" ht="16.5">
      <c r="B146" s="88">
        <v>30404</v>
      </c>
      <c r="C146" s="95" t="s">
        <v>105</v>
      </c>
      <c r="D146" s="85">
        <v>18</v>
      </c>
    </row>
    <row r="147" spans="2:4" ht="16.5">
      <c r="B147" s="93">
        <v>30405</v>
      </c>
      <c r="C147" s="94" t="s">
        <v>106</v>
      </c>
      <c r="D147" s="85">
        <v>0</v>
      </c>
    </row>
    <row r="148" spans="2:4" ht="16.5">
      <c r="B148" s="88">
        <v>30406</v>
      </c>
      <c r="C148" s="95" t="s">
        <v>107</v>
      </c>
      <c r="D148" s="85">
        <v>8</v>
      </c>
    </row>
    <row r="149" spans="2:4" ht="16.5">
      <c r="B149" s="93">
        <v>30407</v>
      </c>
      <c r="C149" s="94" t="s">
        <v>358</v>
      </c>
      <c r="D149" s="85">
        <v>11</v>
      </c>
    </row>
    <row r="150" spans="2:4" ht="16.5">
      <c r="B150" s="88">
        <v>30408</v>
      </c>
      <c r="C150" s="95" t="s">
        <v>359</v>
      </c>
      <c r="D150" s="85">
        <v>0</v>
      </c>
    </row>
    <row r="151" spans="2:4" ht="16.5">
      <c r="B151" s="93">
        <v>30409</v>
      </c>
      <c r="C151" s="94" t="s">
        <v>109</v>
      </c>
      <c r="D151" s="85">
        <v>0</v>
      </c>
    </row>
    <row r="152" spans="2:4" ht="16.5">
      <c r="B152" s="88">
        <v>30410</v>
      </c>
      <c r="C152" s="95" t="s">
        <v>110</v>
      </c>
      <c r="D152" s="85">
        <v>0</v>
      </c>
    </row>
    <row r="153" spans="2:4" ht="16.5">
      <c r="B153" s="93">
        <v>30411</v>
      </c>
      <c r="C153" s="94" t="s">
        <v>360</v>
      </c>
      <c r="D153" s="85">
        <v>3</v>
      </c>
    </row>
    <row r="154" spans="2:4" ht="16.5">
      <c r="B154" s="88">
        <v>30412</v>
      </c>
      <c r="C154" s="95" t="s">
        <v>111</v>
      </c>
      <c r="D154" s="85">
        <v>2</v>
      </c>
    </row>
    <row r="155" spans="2:4" ht="16.5">
      <c r="B155" s="93">
        <v>30413</v>
      </c>
      <c r="C155" s="94" t="s">
        <v>112</v>
      </c>
      <c r="D155" s="85">
        <v>0</v>
      </c>
    </row>
    <row r="156" spans="2:4" ht="16.5">
      <c r="B156" s="88">
        <v>30414</v>
      </c>
      <c r="C156" s="95" t="s">
        <v>113</v>
      </c>
      <c r="D156" s="85">
        <v>22</v>
      </c>
    </row>
    <row r="157" spans="2:4" ht="16.5">
      <c r="B157" s="93">
        <v>30415</v>
      </c>
      <c r="C157" s="94" t="s">
        <v>114</v>
      </c>
      <c r="D157" s="85">
        <v>0</v>
      </c>
    </row>
    <row r="158" spans="2:4" ht="16.5">
      <c r="B158" s="88">
        <v>30416</v>
      </c>
      <c r="C158" s="95" t="s">
        <v>115</v>
      </c>
      <c r="D158" s="85">
        <v>1</v>
      </c>
    </row>
    <row r="159" spans="2:4" ht="16.5">
      <c r="B159" s="93">
        <v>30417</v>
      </c>
      <c r="C159" s="94" t="s">
        <v>116</v>
      </c>
      <c r="D159" s="85">
        <v>0</v>
      </c>
    </row>
    <row r="160" spans="2:4" ht="16.5">
      <c r="B160" s="88">
        <v>30418</v>
      </c>
      <c r="C160" s="95" t="s">
        <v>117</v>
      </c>
      <c r="D160" s="85">
        <v>0</v>
      </c>
    </row>
    <row r="161" spans="2:4" ht="16.5">
      <c r="B161" s="93">
        <v>30419</v>
      </c>
      <c r="C161" s="94" t="s">
        <v>118</v>
      </c>
      <c r="D161" s="85">
        <v>15</v>
      </c>
    </row>
    <row r="162" spans="2:4" ht="16.5">
      <c r="B162" s="88">
        <v>30420</v>
      </c>
      <c r="C162" s="95" t="s">
        <v>119</v>
      </c>
      <c r="D162" s="85">
        <v>7</v>
      </c>
    </row>
    <row r="163" spans="2:4" ht="16.5">
      <c r="B163" s="93">
        <v>30421</v>
      </c>
      <c r="C163" s="94" t="s">
        <v>120</v>
      </c>
      <c r="D163" s="85">
        <v>13</v>
      </c>
    </row>
    <row r="164" spans="2:4" ht="16.5">
      <c r="B164" s="88">
        <v>30422</v>
      </c>
      <c r="C164" s="95" t="s">
        <v>121</v>
      </c>
      <c r="D164" s="85">
        <v>7</v>
      </c>
    </row>
    <row r="165" spans="2:4" ht="16.5">
      <c r="B165" s="93">
        <v>30423</v>
      </c>
      <c r="C165" s="94" t="s">
        <v>122</v>
      </c>
      <c r="D165" s="85">
        <v>0</v>
      </c>
    </row>
    <row r="166" spans="2:4" ht="16.5">
      <c r="B166" s="88">
        <v>30424</v>
      </c>
      <c r="C166" s="95" t="s">
        <v>123</v>
      </c>
      <c r="D166" s="85">
        <v>0</v>
      </c>
    </row>
    <row r="167" spans="2:4" ht="16.5">
      <c r="B167" s="93">
        <v>30425</v>
      </c>
      <c r="C167" s="94" t="s">
        <v>124</v>
      </c>
      <c r="D167" s="85">
        <v>0</v>
      </c>
    </row>
    <row r="168" spans="2:4" ht="16.5">
      <c r="B168" s="88">
        <v>30426</v>
      </c>
      <c r="C168" s="95" t="s">
        <v>125</v>
      </c>
      <c r="D168" s="85">
        <v>0</v>
      </c>
    </row>
    <row r="169" spans="2:4" ht="16.5">
      <c r="B169" s="93">
        <v>30427</v>
      </c>
      <c r="C169" s="94" t="s">
        <v>126</v>
      </c>
      <c r="D169" s="85">
        <v>0</v>
      </c>
    </row>
    <row r="170" spans="2:4" ht="16.5">
      <c r="B170" s="88">
        <v>30428</v>
      </c>
      <c r="C170" s="95" t="s">
        <v>127</v>
      </c>
      <c r="D170" s="85">
        <v>0</v>
      </c>
    </row>
    <row r="171" spans="2:4" ht="16.5">
      <c r="B171" s="93">
        <v>30429</v>
      </c>
      <c r="C171" s="94" t="s">
        <v>128</v>
      </c>
      <c r="D171" s="85">
        <v>43</v>
      </c>
    </row>
    <row r="172" spans="2:4" ht="16.5">
      <c r="B172" s="88">
        <v>30430</v>
      </c>
      <c r="C172" s="95" t="s">
        <v>129</v>
      </c>
      <c r="D172" s="85">
        <v>77</v>
      </c>
    </row>
    <row r="173" spans="2:4" ht="16.5">
      <c r="B173" s="93">
        <v>30431</v>
      </c>
      <c r="C173" s="94" t="s">
        <v>130</v>
      </c>
      <c r="D173" s="85">
        <v>1</v>
      </c>
    </row>
    <row r="174" spans="2:4" ht="16.5">
      <c r="B174" s="88">
        <v>30432</v>
      </c>
      <c r="C174" s="95" t="s">
        <v>131</v>
      </c>
      <c r="D174" s="85">
        <v>1</v>
      </c>
    </row>
    <row r="175" spans="2:4" ht="16.5">
      <c r="B175" s="93">
        <v>30433</v>
      </c>
      <c r="C175" s="94" t="s">
        <v>132</v>
      </c>
      <c r="D175" s="85">
        <v>0</v>
      </c>
    </row>
    <row r="176" spans="2:4" ht="16.5">
      <c r="B176" s="88">
        <v>30434</v>
      </c>
      <c r="C176" s="95" t="s">
        <v>133</v>
      </c>
      <c r="D176" s="85">
        <v>0</v>
      </c>
    </row>
    <row r="177" spans="2:4" ht="16.5">
      <c r="B177" s="93">
        <v>30435</v>
      </c>
      <c r="C177" s="94" t="s">
        <v>134</v>
      </c>
      <c r="D177" s="85">
        <v>0</v>
      </c>
    </row>
    <row r="178" spans="2:4" ht="16.5">
      <c r="B178" s="88">
        <v>30436</v>
      </c>
      <c r="C178" s="95" t="s">
        <v>135</v>
      </c>
      <c r="D178" s="85">
        <v>0</v>
      </c>
    </row>
    <row r="179" spans="2:4" ht="16.5">
      <c r="B179" s="93">
        <v>30437</v>
      </c>
      <c r="C179" s="94" t="s">
        <v>136</v>
      </c>
      <c r="D179" s="85">
        <v>0</v>
      </c>
    </row>
    <row r="180" spans="2:4" ht="16.5">
      <c r="B180" s="88">
        <v>30438</v>
      </c>
      <c r="C180" s="95" t="s">
        <v>137</v>
      </c>
      <c r="D180" s="85">
        <v>0</v>
      </c>
    </row>
    <row r="181" spans="2:4" ht="16.5">
      <c r="B181" s="93">
        <v>30439</v>
      </c>
      <c r="C181" s="94" t="s">
        <v>138</v>
      </c>
      <c r="D181" s="85">
        <v>1</v>
      </c>
    </row>
    <row r="182" spans="2:4" ht="16.5">
      <c r="B182" s="88">
        <v>30440</v>
      </c>
      <c r="C182" s="95" t="s">
        <v>361</v>
      </c>
      <c r="D182" s="85">
        <v>2</v>
      </c>
    </row>
    <row r="183" spans="2:4" ht="16.5">
      <c r="B183" s="93">
        <v>30441</v>
      </c>
      <c r="C183" s="94" t="s">
        <v>362</v>
      </c>
      <c r="D183" s="85">
        <v>0</v>
      </c>
    </row>
    <row r="184" spans="2:4" ht="16.5">
      <c r="B184" s="88">
        <v>30442</v>
      </c>
      <c r="C184" s="95" t="s">
        <v>363</v>
      </c>
      <c r="D184" s="85">
        <v>0</v>
      </c>
    </row>
    <row r="185" spans="2:4" ht="16.5">
      <c r="B185" s="93">
        <v>30443</v>
      </c>
      <c r="C185" s="94" t="s">
        <v>364</v>
      </c>
      <c r="D185" s="85">
        <v>0</v>
      </c>
    </row>
    <row r="186" spans="2:4" ht="16.5">
      <c r="B186" s="88">
        <v>30444</v>
      </c>
      <c r="C186" s="95" t="s">
        <v>365</v>
      </c>
      <c r="D186" s="85">
        <v>0</v>
      </c>
    </row>
    <row r="187" spans="2:4" ht="16.5">
      <c r="B187" s="93">
        <v>30445</v>
      </c>
      <c r="C187" s="94" t="s">
        <v>366</v>
      </c>
      <c r="D187" s="85">
        <v>0</v>
      </c>
    </row>
    <row r="188" spans="2:4" ht="16.5">
      <c r="B188" s="88">
        <v>30446</v>
      </c>
      <c r="C188" s="95" t="s">
        <v>367</v>
      </c>
      <c r="D188" s="85">
        <v>15</v>
      </c>
    </row>
    <row r="189" spans="2:4" ht="16.5">
      <c r="B189" s="93">
        <v>30501</v>
      </c>
      <c r="C189" s="94" t="s">
        <v>139</v>
      </c>
      <c r="D189" s="85">
        <v>0</v>
      </c>
    </row>
    <row r="190" spans="2:4" ht="16.5">
      <c r="B190" s="88">
        <v>30502</v>
      </c>
      <c r="C190" s="95" t="s">
        <v>140</v>
      </c>
      <c r="D190" s="85">
        <v>28</v>
      </c>
    </row>
    <row r="191" spans="2:4" ht="16.5">
      <c r="B191" s="93">
        <v>30503</v>
      </c>
      <c r="C191" s="94" t="s">
        <v>141</v>
      </c>
      <c r="D191" s="85">
        <v>99</v>
      </c>
    </row>
    <row r="192" spans="2:4" ht="16.5">
      <c r="B192" s="88">
        <v>30504</v>
      </c>
      <c r="C192" s="95" t="s">
        <v>368</v>
      </c>
      <c r="D192" s="85">
        <v>20</v>
      </c>
    </row>
    <row r="193" spans="2:4" ht="16.5">
      <c r="B193" s="93">
        <v>30505</v>
      </c>
      <c r="C193" s="94" t="s">
        <v>369</v>
      </c>
      <c r="D193" s="85">
        <v>12</v>
      </c>
    </row>
    <row r="194" spans="2:4" ht="16.5">
      <c r="B194" s="88">
        <v>30601</v>
      </c>
      <c r="C194" s="95" t="s">
        <v>142</v>
      </c>
      <c r="D194" s="85">
        <v>5</v>
      </c>
    </row>
    <row r="195" spans="2:4" ht="16.5">
      <c r="B195" s="93">
        <v>30602</v>
      </c>
      <c r="C195" s="94" t="s">
        <v>143</v>
      </c>
      <c r="D195" s="85">
        <v>7</v>
      </c>
    </row>
    <row r="196" spans="2:4" ht="16.5">
      <c r="B196" s="88">
        <v>30603</v>
      </c>
      <c r="C196" s="95" t="s">
        <v>144</v>
      </c>
      <c r="D196" s="85">
        <v>2</v>
      </c>
    </row>
    <row r="197" spans="2:4" ht="16.5">
      <c r="B197" s="93">
        <v>30604</v>
      </c>
      <c r="C197" s="94" t="s">
        <v>145</v>
      </c>
      <c r="D197" s="85">
        <v>0</v>
      </c>
    </row>
    <row r="198" spans="2:4" ht="16.5">
      <c r="B198" s="88">
        <v>30605</v>
      </c>
      <c r="C198" s="95" t="s">
        <v>370</v>
      </c>
      <c r="D198" s="85">
        <v>0</v>
      </c>
    </row>
    <row r="199" spans="2:4" ht="16.5">
      <c r="B199" s="93">
        <v>30606</v>
      </c>
      <c r="C199" s="94" t="s">
        <v>371</v>
      </c>
      <c r="D199" s="85">
        <v>248</v>
      </c>
    </row>
    <row r="200" spans="2:4" ht="16.5">
      <c r="B200" s="88">
        <v>30607</v>
      </c>
      <c r="C200" s="95" t="s">
        <v>146</v>
      </c>
      <c r="D200" s="85">
        <v>8</v>
      </c>
    </row>
    <row r="201" spans="2:4" ht="16.5">
      <c r="B201" s="93">
        <v>30608</v>
      </c>
      <c r="C201" s="94" t="s">
        <v>147</v>
      </c>
      <c r="D201" s="85">
        <v>0</v>
      </c>
    </row>
    <row r="202" spans="2:4" ht="16.5">
      <c r="B202" s="88">
        <v>30609</v>
      </c>
      <c r="C202" s="95" t="s">
        <v>372</v>
      </c>
      <c r="D202" s="85">
        <v>1</v>
      </c>
    </row>
    <row r="203" spans="2:4" ht="16.5">
      <c r="B203" s="93">
        <v>30610</v>
      </c>
      <c r="C203" s="94" t="s">
        <v>373</v>
      </c>
      <c r="D203" s="85">
        <v>1</v>
      </c>
    </row>
    <row r="204" spans="2:4" ht="16.5">
      <c r="B204" s="88">
        <v>30611</v>
      </c>
      <c r="C204" s="95" t="s">
        <v>374</v>
      </c>
      <c r="D204" s="85">
        <v>5</v>
      </c>
    </row>
    <row r="205" spans="2:4" ht="16.5">
      <c r="B205" s="93">
        <v>30701</v>
      </c>
      <c r="C205" s="94" t="s">
        <v>148</v>
      </c>
      <c r="D205" s="85">
        <v>4</v>
      </c>
    </row>
    <row r="206" spans="2:4" ht="16.5">
      <c r="B206" s="88">
        <v>30702</v>
      </c>
      <c r="C206" s="95" t="s">
        <v>149</v>
      </c>
      <c r="D206" s="85">
        <v>2</v>
      </c>
    </row>
    <row r="207" spans="2:4" ht="16.5">
      <c r="B207" s="93">
        <v>30703</v>
      </c>
      <c r="C207" s="94" t="s">
        <v>150</v>
      </c>
      <c r="D207" s="85">
        <v>1</v>
      </c>
    </row>
    <row r="208" spans="2:4" ht="16.5">
      <c r="B208" s="88">
        <v>30704</v>
      </c>
      <c r="C208" s="95" t="s">
        <v>151</v>
      </c>
      <c r="D208" s="85">
        <v>0</v>
      </c>
    </row>
    <row r="209" spans="2:4" ht="16.5">
      <c r="B209" s="93">
        <v>30705</v>
      </c>
      <c r="C209" s="94" t="s">
        <v>152</v>
      </c>
      <c r="D209" s="85">
        <v>1</v>
      </c>
    </row>
    <row r="210" spans="2:4" ht="16.5">
      <c r="B210" s="88">
        <v>30706</v>
      </c>
      <c r="C210" s="95" t="s">
        <v>153</v>
      </c>
      <c r="D210" s="85">
        <v>0</v>
      </c>
    </row>
    <row r="211" spans="2:4" ht="16.5">
      <c r="B211" s="93">
        <v>30707</v>
      </c>
      <c r="C211" s="94" t="s">
        <v>154</v>
      </c>
      <c r="D211" s="85">
        <v>1</v>
      </c>
    </row>
    <row r="212" spans="2:4" ht="16.5">
      <c r="B212" s="88">
        <v>30708</v>
      </c>
      <c r="C212" s="95" t="s">
        <v>375</v>
      </c>
      <c r="D212" s="85">
        <v>0</v>
      </c>
    </row>
    <row r="213" spans="2:4" ht="16.5">
      <c r="B213" s="93">
        <v>30709</v>
      </c>
      <c r="C213" s="94" t="s">
        <v>158</v>
      </c>
      <c r="D213" s="85">
        <v>0</v>
      </c>
    </row>
    <row r="214" spans="2:4" ht="16.5">
      <c r="B214" s="88">
        <v>30710</v>
      </c>
      <c r="C214" s="95" t="s">
        <v>376</v>
      </c>
      <c r="D214" s="85">
        <v>0</v>
      </c>
    </row>
    <row r="215" spans="2:4" ht="16.5">
      <c r="B215" s="93">
        <v>30711</v>
      </c>
      <c r="C215" s="94" t="s">
        <v>157</v>
      </c>
      <c r="D215" s="85">
        <v>0</v>
      </c>
    </row>
    <row r="216" spans="2:4" ht="16.5">
      <c r="B216" s="88">
        <v>30801</v>
      </c>
      <c r="C216" s="95" t="s">
        <v>155</v>
      </c>
      <c r="D216" s="85">
        <v>0</v>
      </c>
    </row>
    <row r="217" spans="2:4" ht="16.5">
      <c r="B217" s="93">
        <v>30802</v>
      </c>
      <c r="C217" s="94" t="s">
        <v>156</v>
      </c>
      <c r="D217" s="85">
        <v>0</v>
      </c>
    </row>
    <row r="218" spans="2:4" ht="16.5">
      <c r="B218" s="88">
        <v>30803</v>
      </c>
      <c r="C218" s="95" t="s">
        <v>97</v>
      </c>
      <c r="D218" s="85">
        <v>0</v>
      </c>
    </row>
    <row r="219" spans="2:4" ht="16.5">
      <c r="B219" s="93">
        <v>30804</v>
      </c>
      <c r="C219" s="94" t="s">
        <v>184</v>
      </c>
      <c r="D219" s="85">
        <v>0</v>
      </c>
    </row>
    <row r="220" spans="2:4" ht="16.5">
      <c r="B220" s="88">
        <v>30805</v>
      </c>
      <c r="C220" s="95" t="s">
        <v>174</v>
      </c>
      <c r="D220" s="85">
        <v>0</v>
      </c>
    </row>
    <row r="221" spans="2:4" ht="16.5">
      <c r="B221" s="93">
        <v>30806</v>
      </c>
      <c r="C221" s="94" t="s">
        <v>377</v>
      </c>
      <c r="D221" s="85">
        <v>4</v>
      </c>
    </row>
    <row r="222" spans="2:4" ht="16.5">
      <c r="B222" s="88">
        <v>30807</v>
      </c>
      <c r="C222" s="95" t="s">
        <v>378</v>
      </c>
      <c r="D222" s="85">
        <v>0</v>
      </c>
    </row>
    <row r="223" spans="2:4" ht="16.5">
      <c r="B223" s="93">
        <v>30808</v>
      </c>
      <c r="C223" s="94" t="s">
        <v>171</v>
      </c>
      <c r="D223" s="85">
        <v>0</v>
      </c>
    </row>
    <row r="224" spans="2:4" ht="16.5">
      <c r="B224" s="88">
        <v>30809</v>
      </c>
      <c r="C224" s="95" t="s">
        <v>379</v>
      </c>
      <c r="D224" s="85">
        <v>0</v>
      </c>
    </row>
    <row r="225" spans="2:4" ht="16.5">
      <c r="B225" s="93">
        <v>30810</v>
      </c>
      <c r="C225" s="94" t="s">
        <v>380</v>
      </c>
      <c r="D225" s="85">
        <v>0</v>
      </c>
    </row>
    <row r="226" spans="2:4" ht="16.5">
      <c r="B226" s="88">
        <v>30901</v>
      </c>
      <c r="C226" s="95" t="s">
        <v>381</v>
      </c>
      <c r="D226" s="85">
        <v>0</v>
      </c>
    </row>
    <row r="227" spans="2:4" ht="16.5">
      <c r="B227" s="93">
        <v>30902</v>
      </c>
      <c r="C227" s="94" t="s">
        <v>382</v>
      </c>
      <c r="D227" s="85">
        <v>0</v>
      </c>
    </row>
    <row r="228" spans="2:4" ht="16.5">
      <c r="B228" s="88">
        <v>30903</v>
      </c>
      <c r="C228" s="95" t="s">
        <v>163</v>
      </c>
      <c r="D228" s="85">
        <v>327</v>
      </c>
    </row>
    <row r="229" spans="2:4" ht="16.5">
      <c r="B229" s="93">
        <v>30904</v>
      </c>
      <c r="C229" s="94" t="s">
        <v>183</v>
      </c>
      <c r="D229" s="85">
        <v>146</v>
      </c>
    </row>
    <row r="230" spans="2:4" ht="16.5">
      <c r="B230" s="88">
        <v>30905</v>
      </c>
      <c r="C230" s="95" t="s">
        <v>159</v>
      </c>
      <c r="D230" s="85">
        <v>8</v>
      </c>
    </row>
    <row r="231" spans="2:4" ht="16.5">
      <c r="B231" s="93">
        <v>30906</v>
      </c>
      <c r="C231" s="94" t="s">
        <v>160</v>
      </c>
      <c r="D231" s="85">
        <v>33</v>
      </c>
    </row>
    <row r="232" spans="2:4" ht="16.5">
      <c r="B232" s="88">
        <v>30907</v>
      </c>
      <c r="C232" s="95" t="s">
        <v>161</v>
      </c>
      <c r="D232" s="85">
        <v>151</v>
      </c>
    </row>
    <row r="233" spans="2:4" ht="16.5">
      <c r="B233" s="93">
        <v>30908</v>
      </c>
      <c r="C233" s="94" t="s">
        <v>162</v>
      </c>
      <c r="D233" s="85">
        <v>2</v>
      </c>
    </row>
    <row r="234" spans="2:4" ht="16.5">
      <c r="B234" s="88">
        <v>30909</v>
      </c>
      <c r="C234" s="95" t="s">
        <v>383</v>
      </c>
      <c r="D234" s="85">
        <v>9</v>
      </c>
    </row>
    <row r="235" spans="2:4" ht="16.5">
      <c r="B235" s="93">
        <v>31001</v>
      </c>
      <c r="C235" s="94" t="s">
        <v>164</v>
      </c>
      <c r="D235" s="85">
        <v>50</v>
      </c>
    </row>
    <row r="236" spans="2:4" ht="16.5">
      <c r="B236" s="88">
        <v>31002</v>
      </c>
      <c r="C236" s="95" t="s">
        <v>384</v>
      </c>
      <c r="D236" s="85">
        <v>15</v>
      </c>
    </row>
    <row r="237" spans="2:4" ht="16.5">
      <c r="B237" s="93">
        <v>31003</v>
      </c>
      <c r="C237" s="94" t="s">
        <v>165</v>
      </c>
      <c r="D237" s="85">
        <v>0</v>
      </c>
    </row>
    <row r="238" spans="2:4" ht="16.5">
      <c r="B238" s="88">
        <v>31004</v>
      </c>
      <c r="C238" s="95" t="s">
        <v>166</v>
      </c>
      <c r="D238" s="85">
        <v>0</v>
      </c>
    </row>
    <row r="239" spans="2:4" ht="16.5">
      <c r="B239" s="93">
        <v>31005</v>
      </c>
      <c r="C239" s="94" t="s">
        <v>167</v>
      </c>
      <c r="D239" s="85">
        <v>0</v>
      </c>
    </row>
    <row r="240" spans="2:4" ht="16.5">
      <c r="B240" s="88">
        <v>31006</v>
      </c>
      <c r="C240" s="95" t="s">
        <v>168</v>
      </c>
      <c r="D240" s="85">
        <v>0</v>
      </c>
    </row>
    <row r="241" spans="2:4" ht="16.5">
      <c r="B241" s="93">
        <v>31007</v>
      </c>
      <c r="C241" s="94" t="s">
        <v>169</v>
      </c>
      <c r="D241" s="85">
        <v>4</v>
      </c>
    </row>
    <row r="242" spans="2:4" ht="16.5">
      <c r="B242" s="88">
        <v>31008</v>
      </c>
      <c r="C242" s="95" t="s">
        <v>385</v>
      </c>
      <c r="D242" s="85">
        <v>0</v>
      </c>
    </row>
    <row r="243" spans="2:4" ht="16.5">
      <c r="B243" s="93">
        <v>31009</v>
      </c>
      <c r="C243" s="94" t="s">
        <v>386</v>
      </c>
      <c r="D243" s="85">
        <v>0</v>
      </c>
    </row>
    <row r="244" spans="2:4" ht="16.5">
      <c r="B244" s="88">
        <v>31010</v>
      </c>
      <c r="C244" s="95" t="s">
        <v>92</v>
      </c>
      <c r="D244" s="85">
        <v>1</v>
      </c>
    </row>
    <row r="245" spans="2:4" ht="16.5">
      <c r="B245" s="93">
        <v>31011</v>
      </c>
      <c r="C245" s="94" t="s">
        <v>387</v>
      </c>
      <c r="D245" s="85">
        <v>0</v>
      </c>
    </row>
    <row r="246" spans="2:4" ht="16.5">
      <c r="B246" s="88">
        <v>31012</v>
      </c>
      <c r="C246" s="95">
        <v>1</v>
      </c>
      <c r="D246" s="85">
        <v>2</v>
      </c>
    </row>
    <row r="247" spans="2:4" ht="16.5">
      <c r="B247" s="93">
        <v>31013</v>
      </c>
      <c r="C247" s="94" t="s">
        <v>389</v>
      </c>
      <c r="D247" s="85">
        <v>0</v>
      </c>
    </row>
    <row r="248" spans="2:4" ht="16.5">
      <c r="B248" s="88">
        <v>31014</v>
      </c>
      <c r="C248" s="95" t="s">
        <v>390</v>
      </c>
      <c r="D248" s="85">
        <v>0</v>
      </c>
    </row>
    <row r="249" spans="2:4" ht="16.5">
      <c r="B249" s="93">
        <v>31015</v>
      </c>
      <c r="C249" s="94" t="s">
        <v>391</v>
      </c>
      <c r="D249" s="85">
        <v>0</v>
      </c>
    </row>
    <row r="250" spans="2:4" ht="16.5">
      <c r="B250" s="88">
        <v>31101</v>
      </c>
      <c r="C250" s="95" t="s">
        <v>172</v>
      </c>
      <c r="D250" s="85">
        <v>138</v>
      </c>
    </row>
    <row r="251" spans="2:4" ht="16.5">
      <c r="B251" s="93">
        <v>31102</v>
      </c>
      <c r="C251" s="94" t="s">
        <v>173</v>
      </c>
      <c r="D251" s="85">
        <v>43</v>
      </c>
    </row>
    <row r="252" spans="2:4" ht="16.5">
      <c r="B252" s="88">
        <v>31103</v>
      </c>
      <c r="C252" s="95" t="s">
        <v>175</v>
      </c>
      <c r="D252" s="85">
        <v>16</v>
      </c>
    </row>
    <row r="253" spans="2:4" ht="16.5">
      <c r="B253" s="93">
        <v>31104</v>
      </c>
      <c r="C253" s="94" t="s">
        <v>176</v>
      </c>
      <c r="D253" s="85">
        <v>4</v>
      </c>
    </row>
    <row r="254" spans="2:4" ht="16.5">
      <c r="B254" s="88">
        <v>31105</v>
      </c>
      <c r="C254" s="95" t="s">
        <v>177</v>
      </c>
      <c r="D254" s="85">
        <v>8</v>
      </c>
    </row>
    <row r="255" spans="2:4" ht="16.5">
      <c r="B255" s="93">
        <v>31106</v>
      </c>
      <c r="C255" s="94" t="s">
        <v>392</v>
      </c>
      <c r="D255" s="85">
        <v>0</v>
      </c>
    </row>
    <row r="256" spans="2:4" ht="16.5">
      <c r="B256" s="88">
        <v>31107</v>
      </c>
      <c r="C256" s="95" t="s">
        <v>393</v>
      </c>
      <c r="D256" s="85">
        <v>0</v>
      </c>
    </row>
    <row r="257" spans="2:4" ht="16.5">
      <c r="B257" s="93">
        <v>31108</v>
      </c>
      <c r="C257" s="94" t="s">
        <v>394</v>
      </c>
      <c r="D257" s="85">
        <v>1</v>
      </c>
    </row>
    <row r="258" spans="2:4" ht="16.5">
      <c r="B258" s="88">
        <v>31109</v>
      </c>
      <c r="C258" s="95" t="s">
        <v>178</v>
      </c>
      <c r="D258" s="85">
        <v>1</v>
      </c>
    </row>
    <row r="259" spans="2:4" ht="16.5">
      <c r="B259" s="93">
        <v>31110</v>
      </c>
      <c r="C259" s="94" t="s">
        <v>179</v>
      </c>
      <c r="D259" s="85">
        <v>0</v>
      </c>
    </row>
    <row r="260" spans="2:4" ht="16.5">
      <c r="B260" s="88">
        <v>31111</v>
      </c>
      <c r="C260" s="95" t="s">
        <v>180</v>
      </c>
      <c r="D260" s="85">
        <v>0</v>
      </c>
    </row>
    <row r="261" spans="2:4" ht="16.5">
      <c r="B261" s="93">
        <v>31112</v>
      </c>
      <c r="C261" s="94" t="s">
        <v>395</v>
      </c>
      <c r="D261" s="85">
        <v>45</v>
      </c>
    </row>
    <row r="262" spans="2:4" ht="16.5">
      <c r="B262" s="88">
        <v>31113</v>
      </c>
      <c r="C262" s="95" t="s">
        <v>181</v>
      </c>
      <c r="D262" s="85">
        <v>10</v>
      </c>
    </row>
    <row r="263" spans="2:4" ht="16.5">
      <c r="B263" s="93">
        <v>31114</v>
      </c>
      <c r="C263" s="94" t="s">
        <v>396</v>
      </c>
      <c r="D263" s="85">
        <v>11</v>
      </c>
    </row>
    <row r="264" spans="2:4" ht="16.5">
      <c r="B264" s="96">
        <v>40101</v>
      </c>
      <c r="C264" s="97" t="s">
        <v>187</v>
      </c>
      <c r="D264" s="85">
        <v>0</v>
      </c>
    </row>
    <row r="265" spans="2:4" ht="16.5">
      <c r="B265" s="88">
        <v>40102</v>
      </c>
      <c r="C265" s="95" t="s">
        <v>397</v>
      </c>
      <c r="D265" s="85">
        <v>9</v>
      </c>
    </row>
    <row r="266" spans="2:4" ht="16.5">
      <c r="B266" s="96">
        <v>40103</v>
      </c>
      <c r="C266" s="97" t="s">
        <v>188</v>
      </c>
      <c r="D266" s="85">
        <v>1</v>
      </c>
    </row>
    <row r="267" spans="2:4" ht="16.5">
      <c r="B267" s="88">
        <v>40104</v>
      </c>
      <c r="C267" s="95" t="s">
        <v>189</v>
      </c>
      <c r="D267" s="85">
        <v>2</v>
      </c>
    </row>
    <row r="268" spans="2:4" ht="16.5">
      <c r="B268" s="96">
        <v>40105</v>
      </c>
      <c r="C268" s="97" t="s">
        <v>191</v>
      </c>
      <c r="D268" s="85">
        <v>2</v>
      </c>
    </row>
    <row r="269" spans="2:4" ht="16.5">
      <c r="B269" s="88">
        <v>40106</v>
      </c>
      <c r="C269" s="95" t="s">
        <v>194</v>
      </c>
      <c r="D269" s="85">
        <v>7</v>
      </c>
    </row>
    <row r="270" spans="2:4" ht="16.5">
      <c r="B270" s="96">
        <v>40107</v>
      </c>
      <c r="C270" s="97" t="s">
        <v>196</v>
      </c>
      <c r="D270" s="85">
        <v>33</v>
      </c>
    </row>
    <row r="271" spans="2:4" ht="16.5">
      <c r="B271" s="88">
        <v>40108</v>
      </c>
      <c r="C271" s="95" t="s">
        <v>197</v>
      </c>
      <c r="D271" s="85">
        <v>1</v>
      </c>
    </row>
    <row r="272" spans="2:4" ht="16.5">
      <c r="B272" s="96">
        <v>40109</v>
      </c>
      <c r="C272" s="97" t="s">
        <v>77</v>
      </c>
      <c r="D272" s="85">
        <v>0</v>
      </c>
    </row>
    <row r="273" spans="2:4" ht="16.5">
      <c r="B273" s="88">
        <v>40110</v>
      </c>
      <c r="C273" s="95" t="s">
        <v>190</v>
      </c>
      <c r="D273" s="85">
        <v>2</v>
      </c>
    </row>
    <row r="274" spans="2:4" ht="16.5">
      <c r="B274" s="98">
        <v>50101</v>
      </c>
      <c r="C274" s="99" t="s">
        <v>398</v>
      </c>
      <c r="D274" s="85">
        <v>4</v>
      </c>
    </row>
    <row r="275" spans="2:4" ht="16.5">
      <c r="B275" s="88">
        <v>50102</v>
      </c>
      <c r="C275" s="95" t="s">
        <v>399</v>
      </c>
      <c r="D275" s="85">
        <v>8</v>
      </c>
    </row>
    <row r="276" spans="2:4" ht="16.5">
      <c r="B276" s="98">
        <v>50103</v>
      </c>
      <c r="C276" s="99" t="s">
        <v>400</v>
      </c>
      <c r="D276" s="85">
        <v>2</v>
      </c>
    </row>
    <row r="277" spans="2:4" ht="16.5">
      <c r="B277" s="88">
        <v>50104</v>
      </c>
      <c r="C277" s="95" t="s">
        <v>108</v>
      </c>
      <c r="D277" s="85">
        <v>8</v>
      </c>
    </row>
    <row r="278" spans="2:4" ht="16.5">
      <c r="B278" s="98">
        <v>50105</v>
      </c>
      <c r="C278" s="99" t="s">
        <v>182</v>
      </c>
      <c r="D278" s="85">
        <v>153</v>
      </c>
    </row>
    <row r="279" spans="2:4" ht="16.5">
      <c r="B279" s="88">
        <v>50106</v>
      </c>
      <c r="C279" s="95" t="s">
        <v>170</v>
      </c>
      <c r="D279" s="85">
        <v>0</v>
      </c>
    </row>
    <row r="280" spans="2:4" ht="16.5">
      <c r="B280" s="98">
        <v>50107</v>
      </c>
      <c r="C280" s="99" t="s">
        <v>401</v>
      </c>
      <c r="D280" s="85">
        <v>5</v>
      </c>
    </row>
    <row r="281" spans="2:4" ht="16.5">
      <c r="B281" s="88">
        <v>50108</v>
      </c>
      <c r="C281" s="95" t="s">
        <v>402</v>
      </c>
      <c r="D281" s="85">
        <v>7</v>
      </c>
    </row>
    <row r="282" spans="2:4" ht="16.5">
      <c r="B282" s="98">
        <v>50201</v>
      </c>
      <c r="C282" s="99" t="s">
        <v>403</v>
      </c>
      <c r="D282" s="85">
        <v>2</v>
      </c>
    </row>
    <row r="283" spans="2:4" ht="16.5">
      <c r="B283" s="88">
        <v>50202</v>
      </c>
      <c r="C283" s="95" t="s">
        <v>404</v>
      </c>
      <c r="D283" s="85">
        <v>1</v>
      </c>
    </row>
    <row r="284" spans="2:4" ht="16.5">
      <c r="B284" s="98">
        <v>50203</v>
      </c>
      <c r="C284" s="99" t="s">
        <v>405</v>
      </c>
      <c r="D284" s="85">
        <v>13</v>
      </c>
    </row>
    <row r="285" spans="2:4" ht="16.5">
      <c r="B285" s="88">
        <v>50301</v>
      </c>
      <c r="C285" s="95" t="s">
        <v>406</v>
      </c>
      <c r="D285" s="85">
        <v>781</v>
      </c>
    </row>
    <row r="286" spans="2:4" ht="16.5">
      <c r="B286" s="98">
        <v>50302</v>
      </c>
      <c r="C286" s="99" t="s">
        <v>407</v>
      </c>
      <c r="D286" s="85">
        <v>11</v>
      </c>
    </row>
    <row r="287" spans="2:4" ht="16.5">
      <c r="B287" s="88">
        <v>50303</v>
      </c>
      <c r="C287" s="95" t="s">
        <v>185</v>
      </c>
      <c r="D287" s="85">
        <v>10</v>
      </c>
    </row>
    <row r="288" spans="2:4" ht="16.5">
      <c r="B288" s="98">
        <v>50304</v>
      </c>
      <c r="C288" s="99" t="s">
        <v>186</v>
      </c>
      <c r="D288" s="85">
        <v>10</v>
      </c>
    </row>
    <row r="289" spans="2:4" ht="16.5">
      <c r="B289" s="88">
        <v>50305</v>
      </c>
      <c r="C289" s="95" t="s">
        <v>408</v>
      </c>
      <c r="D289" s="85">
        <v>77</v>
      </c>
    </row>
    <row r="290" spans="2:4" ht="16.5">
      <c r="B290" s="98">
        <v>50306</v>
      </c>
      <c r="C290" s="99" t="s">
        <v>409</v>
      </c>
      <c r="D290" s="85">
        <v>14</v>
      </c>
    </row>
    <row r="291" spans="2:4" ht="16.5">
      <c r="B291" s="100">
        <v>60101</v>
      </c>
      <c r="C291" s="101" t="s">
        <v>410</v>
      </c>
      <c r="D291" s="85">
        <v>0</v>
      </c>
    </row>
    <row r="292" spans="2:4" ht="16.5">
      <c r="B292" s="88">
        <v>60102</v>
      </c>
      <c r="C292" s="95" t="s">
        <v>193</v>
      </c>
      <c r="D292" s="85">
        <v>6</v>
      </c>
    </row>
    <row r="293" spans="2:4" ht="16.5">
      <c r="B293" s="100">
        <v>60103</v>
      </c>
      <c r="C293" s="101" t="s">
        <v>411</v>
      </c>
      <c r="D293" s="85">
        <v>3</v>
      </c>
    </row>
    <row r="294" spans="2:4" ht="16.5">
      <c r="B294" s="102">
        <v>70101</v>
      </c>
      <c r="C294" s="103" t="s">
        <v>412</v>
      </c>
      <c r="D294" s="85">
        <v>44</v>
      </c>
    </row>
    <row r="295" spans="2:4" ht="16.5">
      <c r="B295" s="88">
        <v>70102</v>
      </c>
      <c r="C295" s="95" t="s">
        <v>198</v>
      </c>
      <c r="D295" s="85">
        <v>0</v>
      </c>
    </row>
    <row r="296" spans="2:4" ht="16.5">
      <c r="B296" s="102">
        <v>70103</v>
      </c>
      <c r="C296" s="103" t="s">
        <v>199</v>
      </c>
      <c r="D296" s="85">
        <v>0</v>
      </c>
    </row>
    <row r="297" spans="2:4" ht="16.5">
      <c r="B297" s="88">
        <v>70104</v>
      </c>
      <c r="C297" s="95" t="s">
        <v>413</v>
      </c>
      <c r="D297" s="85">
        <v>7008</v>
      </c>
    </row>
    <row r="298" spans="2:4" ht="16.5">
      <c r="B298" s="102">
        <v>70105</v>
      </c>
      <c r="C298" s="103" t="s">
        <v>200</v>
      </c>
      <c r="D298" s="85">
        <v>0</v>
      </c>
    </row>
    <row r="299" spans="2:4" ht="16.5">
      <c r="B299" s="88">
        <v>70106</v>
      </c>
      <c r="C299" s="95" t="s">
        <v>414</v>
      </c>
      <c r="D299" s="85">
        <v>4</v>
      </c>
    </row>
    <row r="300" spans="2:4" ht="16.5">
      <c r="B300" s="102">
        <v>70107</v>
      </c>
      <c r="C300" s="103" t="s">
        <v>415</v>
      </c>
      <c r="D300" s="85">
        <v>88</v>
      </c>
    </row>
    <row r="301" spans="2:4" ht="19.899999999999999" customHeight="1" thickBot="1">
      <c r="B301" s="88">
        <v>70108</v>
      </c>
      <c r="C301" s="95" t="s">
        <v>416</v>
      </c>
      <c r="D301" s="85">
        <v>0</v>
      </c>
    </row>
    <row r="302" spans="2:4" ht="17.25" thickBot="1">
      <c r="B302" s="104" t="s">
        <v>1</v>
      </c>
      <c r="C302" s="105"/>
      <c r="D302" s="85">
        <v>11522</v>
      </c>
    </row>
  </sheetData>
  <protectedRanges>
    <protectedRange password="CC15" sqref="D20:D302" name="Rango1"/>
  </protectedRanges>
  <mergeCells count="9">
    <mergeCell ref="B6:D6"/>
    <mergeCell ref="B18:C18"/>
    <mergeCell ref="B7:D7"/>
    <mergeCell ref="B8:D8"/>
    <mergeCell ref="E8:I8"/>
    <mergeCell ref="B9:D9"/>
    <mergeCell ref="B10:D10"/>
    <mergeCell ref="B16:D16"/>
    <mergeCell ref="B17:C17"/>
  </mergeCells>
  <pageMargins left="0.7" right="0.7" top="0.75" bottom="0.75" header="0.3" footer="0.3"/>
  <pageSetup scale="69" fitToHeight="0" orientation="portrait" r:id="rId1"/>
  <rowBreaks count="1" manualBreakCount="1">
    <brk id="178" min="1" max="5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</vt:i4>
      </vt:variant>
    </vt:vector>
  </HeadingPairs>
  <TitlesOfParts>
    <vt:vector size="13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'C01'!Área_de_impresión</vt:lpstr>
      <vt:lpstr>'C02'!Área_de_impresión</vt:lpstr>
      <vt:lpstr>INSTRUCCIONES!Área_de_impresión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911 Dirección</cp:lastModifiedBy>
  <cp:lastPrinted>2015-12-19T01:31:18Z</cp:lastPrinted>
  <dcterms:created xsi:type="dcterms:W3CDTF">1999-03-11T18:07:10Z</dcterms:created>
  <dcterms:modified xsi:type="dcterms:W3CDTF">2026-07-01T16:15:39Z</dcterms:modified>
</cp:coreProperties>
</file>