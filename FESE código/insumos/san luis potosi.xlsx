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\\10.14.1.70\trabajo$\2026\911\FESE MENSUAL\"/>
    </mc:Choice>
  </mc:AlternateContent>
  <xr:revisionPtr revIDLastSave="0" documentId="13_ncr:1_{35588EA9-0FC5-485F-8A42-7091378CB469}" xr6:coauthVersionLast="45" xr6:coauthVersionMax="47" xr10:uidLastSave="{00000000-0000-0000-0000-000000000000}"/>
  <workbookProtection workbookPassword="CC15" lockStructure="1"/>
  <bookViews>
    <workbookView xWindow="-25215" yWindow="180" windowWidth="15105" windowHeight="15270" tabRatio="892" activeTab="9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E16" i="7"/>
  <c r="D16" i="7"/>
  <c r="C16" i="7"/>
  <c r="B16" i="7"/>
  <c r="A16" i="7"/>
  <c r="G16" i="7"/>
  <c r="C13" i="7" l="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<sst xmlns="http://schemas.openxmlformats.org/spreadsheetml/2006/main" count="1360" uniqueCount="429">
  <si>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</si>
  <si>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</si>
  <si>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</si>
  <si>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</si>
  <si>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</si>
  <si>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</si>
  <si>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</si>
  <si>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</si>
  <si>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</si>
  <si>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</si>
  <si>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</si>
  <si>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</si>
  <si>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</si>
  <si>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</si>
  <si>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</si>
  <si>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</si>
  <si>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</si>
  <si>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</si>
  <si>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</si>
  <si>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</si>
  <si>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</si>
  <si>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</si>
  <si>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</si>
  <si>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</si>
  <si>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</si>
  <si>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</si>
  <si>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</si>
  <si>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</si>
  <si>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</si>
  <si>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</si>
  <si>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</si>
  <si>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</si>
  <si>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</si>
  <si>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</si>
  <si>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</si>
  <si>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</si>
  <si>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</si>
  <si>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</si>
  <si>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</si>
  <si>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</si>
  <si>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</si>
  <si>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</si>
  <si>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</si>
  <si>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</si>
  <si>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</si>
  <si>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</si>
  <si>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</si>
  <si>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</si>
  <si>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</si>
  <si>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</si>
  <si>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</si>
  <si>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</si>
  <si>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</si>
  <si>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</si>
  <si>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</si>
  <si>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</si>
  <si>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</si>
  <si>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</si>
  <si>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</si>
  <si>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</si>
  <si>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</si>
  <si>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</si>
  <si>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</si>
  <si>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</si>
  <si>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</si>
  <si>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</si>
  <si>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</si>
  <si>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</si>
  <si>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</si>
  <si>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</si>
  <si>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</si>
  <si>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</si>
  <si>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</si>
  <si>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</si>
  <si>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</si>
  <si>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</si>
  <si>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</si>
  <si>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</si>
  <si>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</si>
  <si>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</si>
  <si>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</si>
  <si>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</si>
  <si>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</si>
  <si>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</si>
  <si>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</si>
  <si>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</si>
  <si>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</si>
  <si>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</si>
  <si>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</si>
  <si>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</si>
  <si>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</si>
  <si>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</si>
  <si>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</si>
  <si>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</si>
  <si>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</si>
  <si>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</si>
  <si>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</si>
  <si>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</si>
  <si>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</si>
  <si>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</si>
  <si>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</si>
  <si>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</si>
  <si>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</si>
  <si>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</si>
  <si>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</si>
  <si>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</si>
  <si>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</si>
  <si>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</si>
  <si>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</si>
  <si>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</si>
  <si>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</si>
  <si>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</si>
  <si>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</si>
  <si>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</si>
  <si>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</si>
  <si>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</si>
  <si>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</si>
  <si>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</si>
  <si>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</si>
  <si>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</si>
  <si>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</si>
  <si>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</si>
  <si>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</si>
  <si>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</si>
  <si>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</si>
  <si>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</si>
  <si>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</si>
  <si>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</si>
  <si>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</si>
  <si>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</si>
  <si>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</si>
  <si>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</si>
  <si>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</si>
  <si>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</si>
  <si>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</si>
  <si>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</si>
  <si>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</si>
  <si>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</si>
  <si>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</si>
  <si>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</si>
  <si>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</si>
  <si>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</si>
  <si>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</si>
  <si>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</si>
  <si>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</si>
  <si>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</si>
  <si>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</si>
  <si>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</si>
  <si>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</si>
  <si>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</si>
  <si>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</si>
  <si>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</si>
  <si>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</si>
  <si>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</si>
  <si>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</si>
  <si>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</si>
  <si>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</si>
  <si>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</si>
  <si>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</si>
  <si>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</si>
  <si>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</si>
  <si>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</si>
  <si>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</si>
  <si>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</si>
  <si>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</si>
  <si>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</si>
  <si>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</si>
  <si>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</si>
  <si>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</si>
  <si>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</si>
  <si>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</si>
  <si>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</si>
  <si>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</si>
  <si>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</si>
  <si>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</si>
  <si>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</si>
  <si>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</si>
  <si>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</si>
  <si>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</si>
  <si>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</si>
  <si>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</si>
  <si>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</si>
  <si>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</si>
  <si>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</si>
  <si>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</si>
  <si>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</si>
  <si>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</si>
  <si>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</si>
  <si>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</si>
  <si>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</si>
  <si>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</si>
  <si>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</si>
  <si>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</si>
  <si>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</si>
  <si>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</si>
  <si>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</si>
  <si>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</si>
  <si>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</si>
  <si>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</si>
  <si>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</si>
  <si>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</si>
  <si>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</si>
  <si>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</si>
  <si>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</si>
  <si>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</si>
  <si>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</si>
  <si>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</si>
  <si>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</si>
  <si>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</si>
  <si>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</si>
  <si>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</si>
  <si>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</si>
  <si>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</si>
  <si>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</si>
  <si>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</si>
  <si>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</si>
  <si>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</si>
  <si>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</si>
  <si>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</si>
  <si>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</si>
  <si>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</si>
  <si>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</si>
  <si>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</si>
  <si>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</si>
  <si>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</si>
  <si>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</si>
  <si>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</si>
  <si>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</si>
  <si>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</si>
  <si>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</si>
  <si>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</si>
  <si>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</si>
  <si>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</si>
  <si>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</si>
  <si>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</si>
  <si>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</si>
  <si>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</si>
  <si>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</si>
  <si>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</si>
  <si>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</si>
  <si>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</si>
  <si>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</si>
  <si>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</si>
  <si>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</si>
  <si>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</si>
  <si>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</si>
  <si>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</si>
  <si>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</si>
  <si>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</si>
  <si>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</si>
  <si>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</si>
  <si>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</si>
  <si>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</si>
  <si>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</si>
  <si>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</si>
  <si>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</si>
  <si>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</si>
  <si>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</si>
  <si>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</si>
  <si>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</si>
  <si>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</si>
  <si>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</si>
  <si>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</si>
  <si>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</si>
  <si>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</si>
  <si>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</si>
  <si>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</si>
  <si>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</si>
  <si>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</si>
  <si>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</si>
  <si>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</si>
  <si>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</si>
  <si>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</si>
  <si>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</si>
  <si>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</si>
  <si>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</si>
  <si>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</si>
  <si>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</si>
  <si>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</si>
  <si>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</si>
  <si>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</si>
  <si>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</si>
  <si>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</si>
  <si>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</si>
  <si>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</si>
  <si>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</si>
  <si>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</si>
  <si>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</si>
  <si>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</si>
  <si>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</si>
  <si>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</si>
  <si>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</si>
  <si>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</si>
  <si>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</si>
  <si>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</si>
  <si>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</si>
  <si>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</si>
  <si>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</si>
  <si>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</si>
  <si>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</si>
  <si>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</si>
  <si>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</si>
  <si>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</si>
  <si>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</si>
  <si>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</si>
  <si>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</si>
  <si>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</si>
  <si>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</si>
  <si>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</si>
  <si>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</si>
  <si>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</si>
  <si>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</si>
  <si>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</si>
  <si>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</si>
  <si>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</si>
  <si>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</si>
  <si>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</si>
  <si>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</si>
  <si>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</si>
  <si>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</si>
  <si>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</si>
  <si>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</si>
  <si>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</si>
  <si>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</si>
  <si>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</si>
  <si>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</si>
  <si>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</si>
  <si>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</si>
  <si>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</si>
  <si>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</si>
  <si>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</si>
  <si>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</si>
  <si>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</si>
  <si>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</si>
  <si>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</si>
  <si>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</si>
  <si>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</si>
  <si>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</si>
  <si>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</si>
  <si>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</si>
  <si>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</si>
  <si>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</si>
  <si>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</si>
  <si>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</si>
  <si>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</si>
  <si>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</si>
  <si>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</si>
  <si>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</si>
  <si>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</si>
  <si>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</si>
  <si>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</si>
  <si>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</si>
  <si>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</si>
  <si>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</si>
  <si>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</si>
  <si>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</si>
  <si>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</si>
  <si>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</si>
  <si>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</si>
  <si>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</si>
  <si>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</si>
  <si>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</si>
  <si>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</si>
  <si>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</si>
  <si>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</si>
  <si>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</si>
  <si>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</si>
  <si>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</si>
  <si>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</si>
  <si>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</si>
  <si>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</si>
  <si>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</si>
  <si>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</si>
  <si>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</si>
  <si>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</si>
  <si>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</si>
  <si>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</si>
  <si>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</si>
  <si>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</si>
  <si>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</si>
  <si>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</si>
  <si>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</si>
  <si>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</si>
  <si>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</si>
  <si>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</si>
  <si>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</si>
  <si>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</si>
  <si>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</si>
  <si>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</si>
  <si>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</si>
  <si>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</si>
  <si>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</si>
  <si>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</si>
  <si>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</si>
  <si>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</si>
  <si>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</si>
  <si>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</si>
  <si>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</si>
  <si>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</si>
  <si>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</si>
  <si>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</si>
  <si>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</si>
  <si>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</si>
  <si>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</si>
  <si>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</si>
  <si>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</si>
  <si>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</si>
  <si>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</si>
  <si>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</si>
  <si>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</si>
  <si>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</si>
  <si>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</si>
  <si>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</si>
  <si>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</si>
  <si>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</si>
  <si>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</si>
  <si>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</si>
  <si>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</si>
  <si>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</si>
  <si>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</si>
  <si>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</si>
  <si>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</si>
  <si>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</si>
  <si>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</si>
  <si>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SLP</t>
  </si>
  <si>
    <t>C4 Rio Verde</t>
  </si>
  <si>
    <t>C4 Cd. Valles</t>
  </si>
  <si>
    <t>C4 Matehuala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</si>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</sst>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165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</cellStyleXfs>
  <cellXfs count="130">
    <xf numFmtId="0" fontId="0" fillId="0" borderId="0" xfId="0"/>
    <xf numFmtId="166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6" fontId="6" fillId="0" borderId="0" xfId="1" applyNumberFormat="1" applyFont="1" applyBorder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6" fontId="21" fillId="2" borderId="0" xfId="1" applyNumberFormat="1" applyFont="1" applyFill="1" applyBorder="1" applyAlignment="1">
      <alignment horizontal="center"/>
    </xf>
    <xf numFmtId="166" fontId="24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1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1" fillId="2" borderId="0" xfId="8" applyFont="1" applyFill="1" applyAlignment="1">
      <alignment horizontal="right" wrapText="1" indent="1"/>
    </xf>
    <xf numFmtId="167" fontId="21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7" fillId="2" borderId="0" xfId="8" applyFill="1"/>
    <xf numFmtId="166" fontId="22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6" fontId="7" fillId="2" borderId="0" xfId="1" applyNumberFormat="1" applyFont="1" applyFill="1" applyBorder="1" applyAlignment="1"/>
    <xf numFmtId="0" fontId="7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3" fillId="0" borderId="0" xfId="2" applyFont="1"/>
    <xf numFmtId="166" fontId="6" fillId="2" borderId="0" xfId="1" applyNumberFormat="1" applyFont="1" applyFill="1" applyBorder="1" applyAlignment="1" applyProtection="1">
      <alignment horizontal="center"/>
    </xf>
    <xf numFmtId="166" fontId="8" fillId="2" borderId="0" xfId="1" applyNumberFormat="1" applyFont="1" applyFill="1" applyBorder="1" applyAlignment="1" applyProtection="1"/>
    <xf numFmtId="166" fontId="21" fillId="2" borderId="0" xfId="1" applyNumberFormat="1" applyFont="1" applyFill="1" applyBorder="1" applyAlignment="1" applyProtection="1">
      <alignment horizontal="center"/>
    </xf>
    <xf numFmtId="167" fontId="21" fillId="2" borderId="0" xfId="1" applyNumberFormat="1" applyFont="1" applyFill="1" applyBorder="1" applyAlignment="1" applyProtection="1">
      <alignment horizontal="center"/>
    </xf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45" fillId="11" borderId="17" xfId="8" applyFont="1" applyFill="1" applyBorder="1" applyAlignment="1">
      <alignment horizontal="center" vertical="center"/>
    </xf>
    <xf numFmtId="0" fontId="45" fillId="11" borderId="18" xfId="8" applyFont="1" applyFill="1" applyBorder="1" applyAlignment="1">
      <alignment horizontal="left" vertical="center" indent="1"/>
    </xf>
    <xf numFmtId="0" fontId="45" fillId="12" borderId="17" xfId="8" applyFont="1" applyFill="1" applyBorder="1" applyAlignment="1">
      <alignment horizontal="center" vertical="center"/>
    </xf>
    <xf numFmtId="0" fontId="45" fillId="12" borderId="18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8" fontId="45" fillId="10" borderId="15" xfId="8" applyNumberFormat="1" applyFont="1" applyFill="1" applyBorder="1" applyAlignment="1">
      <alignment horizontal="center" vertical="top"/>
    </xf>
    <xf numFmtId="0" fontId="45" fillId="10" borderId="16" xfId="8" applyFont="1" applyFill="1" applyBorder="1" applyAlignment="1">
      <alignment horizontal="left" vertical="top" indent="1"/>
    </xf>
    <xf numFmtId="0" fontId="45" fillId="13" borderId="17" xfId="8" applyFont="1" applyFill="1" applyBorder="1" applyAlignment="1">
      <alignment horizontal="center" vertical="center"/>
    </xf>
    <xf numFmtId="0" fontId="45" fillId="13" borderId="18" xfId="8" applyFont="1" applyFill="1" applyBorder="1" applyAlignment="1">
      <alignment horizontal="left" vertical="center" indent="1"/>
    </xf>
    <xf numFmtId="0" fontId="45" fillId="14" borderId="17" xfId="8" applyFont="1" applyFill="1" applyBorder="1" applyAlignment="1">
      <alignment horizontal="center" vertical="center"/>
    </xf>
    <xf numFmtId="0" fontId="45" fillId="14" borderId="18" xfId="8" applyFont="1" applyFill="1" applyBorder="1" applyAlignment="1">
      <alignment horizontal="left" vertical="center" indent="1"/>
    </xf>
    <xf numFmtId="0" fontId="45" fillId="15" borderId="17" xfId="8" applyFont="1" applyFill="1" applyBorder="1" applyAlignment="1">
      <alignment horizontal="center" vertical="center"/>
    </xf>
    <xf numFmtId="0" fontId="45" fillId="15" borderId="18" xfId="8" applyFont="1" applyFill="1" applyBorder="1" applyAlignment="1">
      <alignment horizontal="left" vertical="center" indent="1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23" fillId="5" borderId="21" xfId="8" applyFont="1" applyFill="1" applyBorder="1" applyAlignment="1">
      <alignment horizontal="center" wrapText="1"/>
    </xf>
    <xf numFmtId="0" fontId="23" fillId="5" borderId="22" xfId="8" applyFont="1" applyFill="1" applyBorder="1" applyAlignment="1">
      <alignment horizontal="left" wrapText="1"/>
    </xf>
    <xf numFmtId="0" fontId="23" fillId="5" borderId="22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6" fontId="21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4" xfId="8" applyFont="1" applyFill="1" applyBorder="1" applyAlignment="1" applyProtection="1">
      <alignment horizontal="center" vertical="center"/>
      <protection locked="0"/>
    </xf>
    <xf numFmtId="0" fontId="45" fillId="9" borderId="13" xfId="8" applyFont="1" applyFill="1" applyBorder="1" applyAlignment="1" applyProtection="1">
      <alignment horizontal="center" vertical="center"/>
      <protection locked="0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5" fillId="10" borderId="13" xfId="8" applyFont="1" applyFill="1" applyBorder="1" applyAlignment="1" applyProtection="1">
      <alignment horizontal="center"/>
      <protection locked="0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45" fillId="11" borderId="13" xfId="8" applyFont="1" applyFill="1" applyBorder="1" applyAlignment="1" applyProtection="1">
      <alignment horizontal="center" vertical="center"/>
      <protection locked="0"/>
    </xf>
    <xf numFmtId="0" fontId="45" fillId="12" borderId="13" xfId="8" applyFont="1" applyFill="1" applyBorder="1" applyAlignment="1" applyProtection="1">
      <alignment horizontal="center" vertical="center"/>
      <protection locked="0"/>
    </xf>
    <xf numFmtId="0" fontId="45" fillId="13" borderId="13" xfId="8" applyFont="1" applyFill="1" applyBorder="1" applyAlignment="1" applyProtection="1">
      <alignment horizontal="center" vertical="center"/>
      <protection locked="0"/>
    </xf>
    <xf numFmtId="0" fontId="45" fillId="14" borderId="13" xfId="8" applyFont="1" applyFill="1" applyBorder="1" applyAlignment="1" applyProtection="1">
      <alignment horizontal="center" vertical="center"/>
      <protection locked="0"/>
    </xf>
    <xf numFmtId="0" fontId="45" fillId="15" borderId="13" xfId="8" applyFont="1" applyFill="1" applyBorder="1" applyAlignment="1" applyProtection="1">
      <alignment horizontal="center" vertical="center"/>
      <protection locked="0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0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31" fillId="6" borderId="0" xfId="6" applyFont="1" applyFill="1" applyAlignment="1">
      <alignment horizontal="left" vertical="top"/>
    </xf>
    <xf numFmtId="0" fontId="31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166" fontId="7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  <xf numFmtId="0" fontId="29" fillId="7" borderId="0" xfId="0" applyFont="1" applyFill="1" applyAlignment="1">
      <alignment horizontal="center" vertical="center" wrapText="1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6" fontId="7" fillId="0" borderId="0" xfId="1" applyNumberFormat="1" applyFont="1" applyBorder="1" applyAlignment="1" applyProtection="1">
      <alignment horizontal="center"/>
    </xf>
    <xf numFmtId="166" fontId="22" fillId="0" borderId="0" xfId="1" applyNumberFormat="1" applyFont="1" applyBorder="1" applyAlignment="1" applyProtection="1">
      <alignment horizontal="center"/>
    </xf>
    <xf numFmtId="166" fontId="37" fillId="0" borderId="0" xfId="1" applyNumberFormat="1" applyFont="1" applyBorder="1" applyAlignment="1" applyProtection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23">
    <cellStyle name="Millares 2" xfId="1" xr:uid="{00000000-0005-0000-0000-000000000000}"/>
    <cellStyle name="Millares 2 2" xfId="14" xr:uid="{00000000-0005-0000-0000-000001000000}"/>
    <cellStyle name="Millares 2 3" xfId="10" xr:uid="{00000000-0005-0000-0000-000002000000}"/>
    <cellStyle name="Millares 2 4" xfId="20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5" xr:uid="{00000000-0005-0000-0000-000007000000}"/>
    <cellStyle name="Normal 2 4" xfId="18" xr:uid="{00000000-0005-0000-0000-000008000000}"/>
    <cellStyle name="Normal 2 5" xfId="11" xr:uid="{00000000-0005-0000-0000-000009000000}"/>
    <cellStyle name="Normal 2 6" xfId="21" xr:uid="{00000000-0005-0000-0000-00000A000000}"/>
    <cellStyle name="Normal 3" xfId="4" xr:uid="{00000000-0005-0000-0000-00000B000000}"/>
    <cellStyle name="Normal 4" xfId="5" xr:uid="{00000000-0005-0000-0000-00000C000000}"/>
    <cellStyle name="Normal 5" xfId="6" xr:uid="{00000000-0005-0000-0000-00000D000000}"/>
    <cellStyle name="Normal 5 2" xfId="16" xr:uid="{00000000-0005-0000-0000-00000E000000}"/>
    <cellStyle name="Normal 5 3" xfId="19" xr:uid="{00000000-0005-0000-0000-00000F000000}"/>
    <cellStyle name="Normal 5 4" xfId="12" xr:uid="{00000000-0005-0000-0000-000010000000}"/>
    <cellStyle name="Normal 5 5" xfId="22" xr:uid="{00000000-0005-0000-0000-000011000000}"/>
    <cellStyle name="Normal 6" xfId="8" xr:uid="{00000000-0005-0000-0000-000012000000}"/>
    <cellStyle name="Normal_Zac ene 6 del 2000" xfId="7" xr:uid="{00000000-0005-0000-0000-000013000000}"/>
    <cellStyle name="Porcentaje" xfId="9" builtinId="5"/>
    <cellStyle name="Porcentaje 2" xfId="17" xr:uid="{00000000-0005-0000-0000-000015000000}"/>
    <cellStyle name="Porcentaje 3" xfId="13" xr:uid="{00000000-0005-0000-0000-00001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</xdr:row>
      <xdr:rowOff>57150</xdr:rowOff>
    </xdr:from>
    <xdr:to>
      <xdr:col>10</xdr:col>
      <xdr:colOff>144718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730250</xdr:colOff>
      <xdr:row>1</xdr:row>
      <xdr:rowOff>74084</xdr:rowOff>
    </xdr:from>
    <xdr:to>
      <xdr:col>12</xdr:col>
      <xdr:colOff>190500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1</xdr:row>
      <xdr:rowOff>19050</xdr:rowOff>
    </xdr:from>
    <xdr:to>
      <xdr:col>13</xdr:col>
      <xdr:colOff>678457</xdr:colOff>
      <xdr:row>7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5717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114300</xdr:rowOff>
    </xdr:from>
    <xdr:to>
      <xdr:col>3</xdr:col>
      <xdr:colOff>1831975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57150</xdr:rowOff>
    </xdr:from>
    <xdr:to>
      <xdr:col>3</xdr:col>
      <xdr:colOff>2012950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1</xdr:row>
      <xdr:rowOff>19050</xdr:rowOff>
    </xdr:from>
    <xdr:to>
      <xdr:col>3</xdr:col>
      <xdr:colOff>1851025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C13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97"/>
      <c r="G8" s="97"/>
    </row>
    <row r="12" spans="2:11">
      <c r="B12" s="96" t="s">
        <v>262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0dcrO3pXmJNyUpVzUYB1R1esqTO3WmyyOzrm9mEfTzxngW6hCA+S79lS4hQfn5N4N7/3KtdxintcCAT1GhZJ5g==" saltValue="95nrO2D7a2eL0C18/bmU3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9" sqref="R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>
      <c r="B9" s="104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>
      <c r="B10" s="106" t="s">
        <v>261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99" t="s">
        <v>66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</row>
    <row r="14" spans="2:30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</row>
    <row r="15" spans="2:30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</row>
    <row r="17" spans="2:30" ht="18.75" customHeight="1">
      <c r="B17" s="100" t="s">
        <v>58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</row>
    <row r="18" spans="2:30" ht="18.75" customHeight="1">
      <c r="B18" s="99" t="s">
        <v>67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</row>
    <row r="19" spans="2:30"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0" t="s">
        <v>59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99" t="s">
        <v>236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0" t="s">
        <v>60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99" t="s">
        <v>263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0" t="s">
        <v>61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99" t="s">
        <v>69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0" t="s">
        <v>62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2:30" ht="54.75" customHeight="1">
      <c r="B52" s="99" t="s">
        <v>68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0" zoomScaleNormal="70" zoomScaleSheetLayoutView="100" workbookViewId="0">
      <selection activeCell="S13" sqref="S13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4" t="s">
        <v>55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261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</row>
    <row r="13" spans="2:15" ht="19.5">
      <c r="B13" s="116" t="s">
        <v>64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2:15" s="10" customFormat="1" ht="46.5" customHeight="1">
      <c r="B14" s="104" t="s">
        <v>237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1" t="s">
        <v>238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27"/>
    </row>
    <row r="16" spans="2:15" ht="48" customHeight="1">
      <c r="B16" s="26"/>
      <c r="C16" s="112" t="s">
        <v>235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08" t="s">
        <v>241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</row>
    <row r="20" spans="2:15">
      <c r="B20" s="16">
        <v>2</v>
      </c>
      <c r="C20" s="99" t="s">
        <v>242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 spans="2:15">
      <c r="B21" s="16">
        <v>3</v>
      </c>
      <c r="C21" s="109" t="s">
        <v>239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</row>
    <row r="22" spans="2:15">
      <c r="B22" s="16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5">
      <c r="B23" s="16"/>
      <c r="C23" s="110" t="s">
        <v>240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7" t="s">
        <v>428</v>
      </c>
      <c r="C4" s="117"/>
      <c r="D4" s="11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17" t="s">
        <v>0</v>
      </c>
      <c r="C6" s="11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8" t="s">
        <v>249</v>
      </c>
      <c r="B8" s="118"/>
      <c r="C8" s="118"/>
      <c r="D8" s="11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15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31114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2061</v>
      </c>
      <c r="B16" s="54">
        <f>SUM('C01'!D80:'C01'!D122,'C02'!D80:'C02'!D122,'C03'!D80:'C03'!D122,'C04'!D80:'C04'!D122)</f>
        <v>390</v>
      </c>
      <c r="C16" s="54">
        <f>SUM('C01'!D123:'C01'!D263,'C02'!D123:'C02'!D263,'C03'!D123:'C03'!D263,'C04'!D123:'C04'!D263)</f>
        <v>8485</v>
      </c>
      <c r="D16" s="54">
        <f>SUM('C01'!D264:'C01'!D273,'C02'!D264:'C02'!D273,'C03'!D264:'C03'!D273, 'C04'!D264:'C04'!D273)</f>
        <v>115</v>
      </c>
      <c r="E16" s="54">
        <f>SUM('C01'!D274:'C01'!D290,'C02'!D274:'C02'!D290,'C03'!D274:'C03'!D290,'C04'!D274:'C04'!D290)</f>
        <v>1316</v>
      </c>
      <c r="F16" s="54">
        <f>SUM('C01'!D291:'C01'!D293,'C02'!D291:'C02'!D293,'C03'!D291:'C03'!D293, 'C04'!D291:'C04'!D293)</f>
        <v>10</v>
      </c>
      <c r="G16" s="54">
        <f>SUM('C01'!D294:'C01'!D301,'C02'!D294:'C02'!D301,'C03'!D294:'C03'!D301, 'C04'!D294:'C04'!D301)</f>
        <v>18737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6.6240277688500354E-2</v>
      </c>
      <c r="B20" s="57">
        <f>IFERROR(B16/$C$13,0)</f>
        <v>1.2534550363180562E-2</v>
      </c>
      <c r="C20" s="57">
        <f t="shared" ref="C20:G20" si="0">IFERROR(C16/$C$13,0)</f>
        <v>0.27270682008099251</v>
      </c>
      <c r="D20" s="57">
        <f t="shared" si="0"/>
        <v>3.6960853635019607E-3</v>
      </c>
      <c r="E20" s="57">
        <f t="shared" si="0"/>
        <v>4.2296072507552872E-2</v>
      </c>
      <c r="F20" s="57">
        <f t="shared" si="0"/>
        <v>3.2139872726104005E-4</v>
      </c>
      <c r="G20" s="57">
        <f t="shared" si="0"/>
        <v>0.60220479526901072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69" zoomScale="96" zoomScaleNormal="100" zoomScaleSheetLayoutView="96" workbookViewId="0">
      <selection activeCell="D298" sqref="D29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145</v>
      </c>
    </row>
    <row r="23" spans="2:7" ht="16.5">
      <c r="B23" s="58">
        <v>10104</v>
      </c>
      <c r="C23" s="59" t="s">
        <v>268</v>
      </c>
      <c r="D23" s="88">
        <v>201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1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1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2</v>
      </c>
    </row>
    <row r="31" spans="2:7" ht="16.5">
      <c r="B31" s="58">
        <v>10112</v>
      </c>
      <c r="C31" s="59" t="s">
        <v>276</v>
      </c>
      <c r="D31" s="88">
        <v>9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67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8</v>
      </c>
    </row>
    <row r="41" spans="2:4" ht="16.5">
      <c r="B41" s="58">
        <v>10201</v>
      </c>
      <c r="C41" s="59" t="s">
        <v>286</v>
      </c>
      <c r="D41" s="88">
        <v>3</v>
      </c>
    </row>
    <row r="42" spans="2:4" ht="16.5">
      <c r="B42" s="68">
        <v>10202</v>
      </c>
      <c r="C42" s="69" t="s">
        <v>287</v>
      </c>
      <c r="D42" s="87">
        <v>1</v>
      </c>
    </row>
    <row r="43" spans="2:4" ht="16.5">
      <c r="B43" s="58">
        <v>10203</v>
      </c>
      <c r="C43" s="59" t="s">
        <v>288</v>
      </c>
      <c r="D43" s="88">
        <v>1</v>
      </c>
    </row>
    <row r="44" spans="2:4" ht="16.5">
      <c r="B44" s="68">
        <v>10204</v>
      </c>
      <c r="C44" s="69" t="s">
        <v>289</v>
      </c>
      <c r="D44" s="87">
        <v>100</v>
      </c>
    </row>
    <row r="45" spans="2:4" ht="16.5">
      <c r="B45" s="58">
        <v>10205</v>
      </c>
      <c r="C45" s="59" t="s">
        <v>290</v>
      </c>
      <c r="D45" s="88">
        <v>1</v>
      </c>
    </row>
    <row r="46" spans="2:4" ht="16.5">
      <c r="B46" s="68">
        <v>10206</v>
      </c>
      <c r="C46" s="69" t="s">
        <v>291</v>
      </c>
      <c r="D46" s="87">
        <v>10</v>
      </c>
    </row>
    <row r="47" spans="2:4" ht="16.5">
      <c r="B47" s="58">
        <v>10207</v>
      </c>
      <c r="C47" s="59" t="s">
        <v>292</v>
      </c>
      <c r="D47" s="88">
        <v>6</v>
      </c>
    </row>
    <row r="48" spans="2:4" ht="16.5">
      <c r="B48" s="68">
        <v>10208</v>
      </c>
      <c r="C48" s="69" t="s">
        <v>293</v>
      </c>
      <c r="D48" s="87">
        <v>37</v>
      </c>
    </row>
    <row r="49" spans="2:4" ht="16.5">
      <c r="B49" s="58">
        <v>10209</v>
      </c>
      <c r="C49" s="59" t="s">
        <v>294</v>
      </c>
      <c r="D49" s="88">
        <v>56</v>
      </c>
    </row>
    <row r="50" spans="2:4" ht="16.5">
      <c r="B50" s="68">
        <v>10210</v>
      </c>
      <c r="C50" s="69" t="s">
        <v>295</v>
      </c>
      <c r="D50" s="87">
        <v>11</v>
      </c>
    </row>
    <row r="51" spans="2:4" ht="16.5">
      <c r="B51" s="58">
        <v>10211</v>
      </c>
      <c r="C51" s="59" t="s">
        <v>77</v>
      </c>
      <c r="D51" s="88">
        <v>4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5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29</v>
      </c>
    </row>
    <row r="60" spans="2:4" ht="16.5">
      <c r="B60" s="68">
        <v>10220</v>
      </c>
      <c r="C60" s="69" t="s">
        <v>304</v>
      </c>
      <c r="D60" s="87">
        <v>296</v>
      </c>
    </row>
    <row r="61" spans="2:4" ht="16.5">
      <c r="B61" s="58">
        <v>10301</v>
      </c>
      <c r="C61" s="59" t="s">
        <v>305</v>
      </c>
      <c r="D61" s="88">
        <v>3</v>
      </c>
    </row>
    <row r="62" spans="2:4" ht="16.5">
      <c r="B62" s="68">
        <v>10302</v>
      </c>
      <c r="C62" s="69" t="s">
        <v>306</v>
      </c>
      <c r="D62" s="87">
        <v>4</v>
      </c>
    </row>
    <row r="63" spans="2:4" ht="16.5">
      <c r="B63" s="58">
        <v>10303</v>
      </c>
      <c r="C63" s="59" t="s">
        <v>307</v>
      </c>
      <c r="D63" s="88">
        <v>3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25</v>
      </c>
    </row>
    <row r="66" spans="2:4" ht="16.5">
      <c r="B66" s="68">
        <v>10306</v>
      </c>
      <c r="C66" s="69" t="s">
        <v>310</v>
      </c>
      <c r="D66" s="87">
        <v>1</v>
      </c>
    </row>
    <row r="67" spans="2:4" ht="16.5">
      <c r="B67" s="58">
        <v>10307</v>
      </c>
      <c r="C67" s="59" t="s">
        <v>75</v>
      </c>
      <c r="D67" s="88">
        <v>37</v>
      </c>
    </row>
    <row r="68" spans="2:4" ht="16.5">
      <c r="B68" s="68">
        <v>10308</v>
      </c>
      <c r="C68" s="69" t="s">
        <v>311</v>
      </c>
      <c r="D68" s="87">
        <v>93</v>
      </c>
    </row>
    <row r="69" spans="2:4" ht="16.5">
      <c r="B69" s="58">
        <v>10309</v>
      </c>
      <c r="C69" s="59" t="s">
        <v>312</v>
      </c>
      <c r="D69" s="88">
        <v>2</v>
      </c>
    </row>
    <row r="70" spans="2:4" ht="16.5">
      <c r="B70" s="68">
        <v>10310</v>
      </c>
      <c r="C70" s="69" t="s">
        <v>313</v>
      </c>
      <c r="D70" s="87">
        <v>41</v>
      </c>
    </row>
    <row r="71" spans="2:4" ht="16.5">
      <c r="B71" s="58">
        <v>10311</v>
      </c>
      <c r="C71" s="59" t="s">
        <v>314</v>
      </c>
      <c r="D71" s="88">
        <v>8</v>
      </c>
    </row>
    <row r="72" spans="2:4" ht="16.5">
      <c r="B72" s="68">
        <v>10312</v>
      </c>
      <c r="C72" s="69" t="s">
        <v>315</v>
      </c>
      <c r="D72" s="87">
        <v>23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7</v>
      </c>
    </row>
    <row r="75" spans="2:4" ht="16.5">
      <c r="B75" s="58">
        <v>10315</v>
      </c>
      <c r="C75" s="59" t="s">
        <v>318</v>
      </c>
      <c r="D75" s="88">
        <v>20</v>
      </c>
    </row>
    <row r="76" spans="2:4" ht="16.5">
      <c r="B76" s="68">
        <v>10316</v>
      </c>
      <c r="C76" s="69" t="s">
        <v>319</v>
      </c>
      <c r="D76" s="87">
        <v>185</v>
      </c>
    </row>
    <row r="77" spans="2:4" ht="16.5">
      <c r="B77" s="58">
        <v>10317</v>
      </c>
      <c r="C77" s="59" t="s">
        <v>320</v>
      </c>
      <c r="D77" s="88">
        <v>89</v>
      </c>
    </row>
    <row r="78" spans="2:4" ht="16.5">
      <c r="B78" s="68">
        <v>10318</v>
      </c>
      <c r="C78" s="69" t="s">
        <v>321</v>
      </c>
      <c r="D78" s="87">
        <v>12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26</v>
      </c>
    </row>
    <row r="83" spans="2:4" ht="16.5">
      <c r="B83" s="60">
        <v>20104</v>
      </c>
      <c r="C83" s="61" t="s">
        <v>80</v>
      </c>
      <c r="D83" s="90">
        <v>15</v>
      </c>
    </row>
    <row r="84" spans="2:4" ht="16.5">
      <c r="B84" s="70">
        <v>20105</v>
      </c>
      <c r="C84" s="71" t="s">
        <v>323</v>
      </c>
      <c r="D84" s="89">
        <v>1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68</v>
      </c>
    </row>
    <row r="88" spans="2:4" ht="16.5">
      <c r="B88" s="70">
        <v>20109</v>
      </c>
      <c r="C88" s="71" t="s">
        <v>326</v>
      </c>
      <c r="D88" s="89">
        <v>1</v>
      </c>
    </row>
    <row r="89" spans="2:4" ht="16.5">
      <c r="B89" s="60">
        <v>20110</v>
      </c>
      <c r="C89" s="61" t="s">
        <v>327</v>
      </c>
      <c r="D89" s="90">
        <v>1</v>
      </c>
    </row>
    <row r="90" spans="2:4" ht="16.5">
      <c r="B90" s="70">
        <v>20111</v>
      </c>
      <c r="C90" s="71" t="s">
        <v>328</v>
      </c>
      <c r="D90" s="89">
        <v>2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13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8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18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29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19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9</v>
      </c>
    </row>
    <row r="111" spans="2:4" ht="16.5">
      <c r="B111" s="60">
        <v>20304</v>
      </c>
      <c r="C111" s="61" t="s">
        <v>335</v>
      </c>
      <c r="D111" s="90">
        <v>5</v>
      </c>
    </row>
    <row r="112" spans="2:4" ht="16.5">
      <c r="B112" s="70">
        <v>20305</v>
      </c>
      <c r="C112" s="71" t="s">
        <v>336</v>
      </c>
      <c r="D112" s="89">
        <v>1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3</v>
      </c>
    </row>
    <row r="115" spans="2:4" ht="16.5">
      <c r="B115" s="60">
        <v>20308</v>
      </c>
      <c r="C115" s="61" t="s">
        <v>339</v>
      </c>
      <c r="D115" s="90">
        <v>3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47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4</v>
      </c>
    </row>
    <row r="121" spans="2:4" ht="16.5">
      <c r="B121" s="60">
        <v>20403</v>
      </c>
      <c r="C121" s="61" t="s">
        <v>345</v>
      </c>
      <c r="D121" s="90">
        <v>10</v>
      </c>
    </row>
    <row r="122" spans="2:4" ht="16.5">
      <c r="B122" s="70">
        <v>20404</v>
      </c>
      <c r="C122" s="71" t="s">
        <v>346</v>
      </c>
      <c r="D122" s="89">
        <v>1</v>
      </c>
    </row>
    <row r="123" spans="2:4" ht="16.5">
      <c r="B123" s="64">
        <v>30101</v>
      </c>
      <c r="C123" s="65" t="s">
        <v>347</v>
      </c>
      <c r="D123" s="91">
        <v>147</v>
      </c>
    </row>
    <row r="124" spans="2:4" ht="16.5">
      <c r="B124" s="62">
        <v>30102</v>
      </c>
      <c r="C124" s="63" t="s">
        <v>96</v>
      </c>
      <c r="D124" s="90">
        <v>37</v>
      </c>
    </row>
    <row r="125" spans="2:4" ht="16.5">
      <c r="B125" s="64">
        <v>30103</v>
      </c>
      <c r="C125" s="65" t="s">
        <v>76</v>
      </c>
      <c r="D125" s="91">
        <v>59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128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133</v>
      </c>
    </row>
    <row r="130" spans="2:4" ht="16.5">
      <c r="B130" s="62">
        <v>30205</v>
      </c>
      <c r="C130" s="63" t="s">
        <v>349</v>
      </c>
      <c r="D130" s="90">
        <v>6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33</v>
      </c>
    </row>
    <row r="135" spans="2:4" ht="16.5">
      <c r="B135" s="64">
        <v>30303</v>
      </c>
      <c r="C135" s="65" t="s">
        <v>352</v>
      </c>
      <c r="D135" s="91">
        <v>33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12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115</v>
      </c>
    </row>
    <row r="140" spans="2:4" ht="16.5">
      <c r="B140" s="62">
        <v>30308</v>
      </c>
      <c r="C140" s="63" t="s">
        <v>353</v>
      </c>
      <c r="D140" s="90">
        <v>83</v>
      </c>
    </row>
    <row r="141" spans="2:4" ht="16.5">
      <c r="B141" s="64">
        <v>30309</v>
      </c>
      <c r="C141" s="65" t="s">
        <v>354</v>
      </c>
      <c r="D141" s="91">
        <v>740</v>
      </c>
    </row>
    <row r="142" spans="2:4" ht="16.5">
      <c r="B142" s="62">
        <v>30310</v>
      </c>
      <c r="C142" s="63" t="s">
        <v>355</v>
      </c>
      <c r="D142" s="90">
        <v>346</v>
      </c>
    </row>
    <row r="143" spans="2:4" ht="16.5">
      <c r="B143" s="64">
        <v>30401</v>
      </c>
      <c r="C143" s="65" t="s">
        <v>356</v>
      </c>
      <c r="D143" s="91">
        <v>353</v>
      </c>
    </row>
    <row r="144" spans="2:4" ht="16.5">
      <c r="B144" s="62">
        <v>30402</v>
      </c>
      <c r="C144" s="63" t="s">
        <v>357</v>
      </c>
      <c r="D144" s="90">
        <v>11</v>
      </c>
    </row>
    <row r="145" spans="2:4" ht="16.5">
      <c r="B145" s="64">
        <v>30403</v>
      </c>
      <c r="C145" s="65" t="s">
        <v>358</v>
      </c>
      <c r="D145" s="91">
        <v>40</v>
      </c>
    </row>
    <row r="146" spans="2:4" ht="16.5">
      <c r="B146" s="62">
        <v>30404</v>
      </c>
      <c r="C146" s="63" t="s">
        <v>106</v>
      </c>
      <c r="D146" s="90">
        <v>112</v>
      </c>
    </row>
    <row r="147" spans="2:4" ht="16.5">
      <c r="B147" s="64">
        <v>30405</v>
      </c>
      <c r="C147" s="65" t="s">
        <v>107</v>
      </c>
      <c r="D147" s="91">
        <v>5</v>
      </c>
    </row>
    <row r="148" spans="2:4" ht="16.5">
      <c r="B148" s="62">
        <v>30406</v>
      </c>
      <c r="C148" s="63" t="s">
        <v>108</v>
      </c>
      <c r="D148" s="90">
        <v>7</v>
      </c>
    </row>
    <row r="149" spans="2:4" ht="16.5">
      <c r="B149" s="64">
        <v>30407</v>
      </c>
      <c r="C149" s="65" t="s">
        <v>359</v>
      </c>
      <c r="D149" s="91">
        <v>19</v>
      </c>
    </row>
    <row r="150" spans="2:4" ht="16.5">
      <c r="B150" s="62">
        <v>30408</v>
      </c>
      <c r="C150" s="63" t="s">
        <v>360</v>
      </c>
      <c r="D150" s="90">
        <v>1</v>
      </c>
    </row>
    <row r="151" spans="2:4" ht="16.5">
      <c r="B151" s="64">
        <v>30409</v>
      </c>
      <c r="C151" s="65" t="s">
        <v>110</v>
      </c>
      <c r="D151" s="91">
        <v>1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8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8</v>
      </c>
    </row>
    <row r="156" spans="2:4" ht="16.5">
      <c r="B156" s="62">
        <v>30414</v>
      </c>
      <c r="C156" s="63" t="s">
        <v>114</v>
      </c>
      <c r="D156" s="90">
        <v>48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5</v>
      </c>
    </row>
    <row r="159" spans="2:4" ht="16.5">
      <c r="B159" s="64">
        <v>30417</v>
      </c>
      <c r="C159" s="65" t="s">
        <v>117</v>
      </c>
      <c r="D159" s="91">
        <v>4</v>
      </c>
    </row>
    <row r="160" spans="2:4" ht="16.5">
      <c r="B160" s="62">
        <v>30418</v>
      </c>
      <c r="C160" s="63" t="s">
        <v>118</v>
      </c>
      <c r="D160" s="90">
        <v>13</v>
      </c>
    </row>
    <row r="161" spans="2:4" ht="16.5">
      <c r="B161" s="64">
        <v>30419</v>
      </c>
      <c r="C161" s="65" t="s">
        <v>119</v>
      </c>
      <c r="D161" s="91">
        <v>82</v>
      </c>
    </row>
    <row r="162" spans="2:4" ht="16.5">
      <c r="B162" s="62">
        <v>30420</v>
      </c>
      <c r="C162" s="63" t="s">
        <v>120</v>
      </c>
      <c r="D162" s="90">
        <v>58</v>
      </c>
    </row>
    <row r="163" spans="2:4" ht="16.5">
      <c r="B163" s="64">
        <v>30421</v>
      </c>
      <c r="C163" s="65" t="s">
        <v>121</v>
      </c>
      <c r="D163" s="91">
        <v>48</v>
      </c>
    </row>
    <row r="164" spans="2:4" ht="16.5">
      <c r="B164" s="62">
        <v>30422</v>
      </c>
      <c r="C164" s="63" t="s">
        <v>122</v>
      </c>
      <c r="D164" s="90">
        <v>12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14</v>
      </c>
    </row>
    <row r="170" spans="2:4" ht="16.5">
      <c r="B170" s="62">
        <v>30428</v>
      </c>
      <c r="C170" s="63" t="s">
        <v>128</v>
      </c>
      <c r="D170" s="90">
        <v>4</v>
      </c>
    </row>
    <row r="171" spans="2:4" ht="16.5">
      <c r="B171" s="64">
        <v>30429</v>
      </c>
      <c r="C171" s="65" t="s">
        <v>129</v>
      </c>
      <c r="D171" s="91">
        <v>102</v>
      </c>
    </row>
    <row r="172" spans="2:4" ht="16.5">
      <c r="B172" s="62">
        <v>30430</v>
      </c>
      <c r="C172" s="63" t="s">
        <v>130</v>
      </c>
      <c r="D172" s="90">
        <v>134</v>
      </c>
    </row>
    <row r="173" spans="2:4" ht="16.5">
      <c r="B173" s="64">
        <v>30431</v>
      </c>
      <c r="C173" s="65" t="s">
        <v>131</v>
      </c>
      <c r="D173" s="91">
        <v>2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2</v>
      </c>
    </row>
    <row r="182" spans="2:4" ht="16.5">
      <c r="B182" s="62">
        <v>30440</v>
      </c>
      <c r="C182" s="63" t="s">
        <v>362</v>
      </c>
      <c r="D182" s="90">
        <v>4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41</v>
      </c>
    </row>
    <row r="189" spans="2:4" ht="16.5">
      <c r="B189" s="64">
        <v>30501</v>
      </c>
      <c r="C189" s="65" t="s">
        <v>140</v>
      </c>
      <c r="D189" s="91">
        <v>1</v>
      </c>
    </row>
    <row r="190" spans="2:4" ht="16.5">
      <c r="B190" s="62">
        <v>30502</v>
      </c>
      <c r="C190" s="63" t="s">
        <v>141</v>
      </c>
      <c r="D190" s="90">
        <v>134</v>
      </c>
    </row>
    <row r="191" spans="2:4" ht="16.5">
      <c r="B191" s="64">
        <v>30503</v>
      </c>
      <c r="C191" s="65" t="s">
        <v>142</v>
      </c>
      <c r="D191" s="91">
        <v>482</v>
      </c>
    </row>
    <row r="192" spans="2:4" ht="16.5">
      <c r="B192" s="62">
        <v>30504</v>
      </c>
      <c r="C192" s="63" t="s">
        <v>369</v>
      </c>
      <c r="D192" s="90">
        <v>64</v>
      </c>
    </row>
    <row r="193" spans="2:4" ht="16.5">
      <c r="B193" s="64">
        <v>30505</v>
      </c>
      <c r="C193" s="65" t="s">
        <v>370</v>
      </c>
      <c r="D193" s="91">
        <v>28</v>
      </c>
    </row>
    <row r="194" spans="2:4" ht="16.5">
      <c r="B194" s="62">
        <v>30601</v>
      </c>
      <c r="C194" s="63" t="s">
        <v>143</v>
      </c>
      <c r="D194" s="90">
        <v>22</v>
      </c>
    </row>
    <row r="195" spans="2:4" ht="16.5">
      <c r="B195" s="64">
        <v>30602</v>
      </c>
      <c r="C195" s="65" t="s">
        <v>144</v>
      </c>
      <c r="D195" s="91">
        <v>24</v>
      </c>
    </row>
    <row r="196" spans="2:4" ht="16.5">
      <c r="B196" s="62">
        <v>30603</v>
      </c>
      <c r="C196" s="63" t="s">
        <v>145</v>
      </c>
      <c r="D196" s="90">
        <v>7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840</v>
      </c>
    </row>
    <row r="200" spans="2:4" ht="16.5">
      <c r="B200" s="62">
        <v>30607</v>
      </c>
      <c r="C200" s="63" t="s">
        <v>147</v>
      </c>
      <c r="D200" s="90">
        <v>8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1</v>
      </c>
    </row>
    <row r="203" spans="2:4" ht="16.5">
      <c r="B203" s="64">
        <v>30610</v>
      </c>
      <c r="C203" s="65" t="s">
        <v>374</v>
      </c>
      <c r="D203" s="91">
        <v>13</v>
      </c>
    </row>
    <row r="204" spans="2:4" ht="16.5">
      <c r="B204" s="62">
        <v>30611</v>
      </c>
      <c r="C204" s="63" t="s">
        <v>375</v>
      </c>
      <c r="D204" s="90">
        <v>1</v>
      </c>
    </row>
    <row r="205" spans="2:4" ht="16.5">
      <c r="B205" s="64">
        <v>30701</v>
      </c>
      <c r="C205" s="65" t="s">
        <v>149</v>
      </c>
      <c r="D205" s="91">
        <v>16</v>
      </c>
    </row>
    <row r="206" spans="2:4" ht="16.5">
      <c r="B206" s="62">
        <v>30702</v>
      </c>
      <c r="C206" s="63" t="s">
        <v>150</v>
      </c>
      <c r="D206" s="90">
        <v>16</v>
      </c>
    </row>
    <row r="207" spans="2:4" ht="16.5">
      <c r="B207" s="64">
        <v>30703</v>
      </c>
      <c r="C207" s="65" t="s">
        <v>151</v>
      </c>
      <c r="D207" s="91">
        <v>7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5</v>
      </c>
    </row>
    <row r="212" spans="2:4" ht="16.5">
      <c r="B212" s="62">
        <v>30708</v>
      </c>
      <c r="C212" s="63" t="s">
        <v>376</v>
      </c>
      <c r="D212" s="90">
        <v>1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3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6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2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62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103</v>
      </c>
    </row>
    <row r="229" spans="2:4" ht="16.5">
      <c r="B229" s="64">
        <v>30904</v>
      </c>
      <c r="C229" s="65" t="s">
        <v>184</v>
      </c>
      <c r="D229" s="91">
        <v>260</v>
      </c>
    </row>
    <row r="230" spans="2:4" ht="16.5">
      <c r="B230" s="62">
        <v>30905</v>
      </c>
      <c r="C230" s="63" t="s">
        <v>160</v>
      </c>
      <c r="D230" s="90">
        <v>64</v>
      </c>
    </row>
    <row r="231" spans="2:4" ht="16.5">
      <c r="B231" s="64">
        <v>30906</v>
      </c>
      <c r="C231" s="65" t="s">
        <v>161</v>
      </c>
      <c r="D231" s="91">
        <v>18</v>
      </c>
    </row>
    <row r="232" spans="2:4" ht="16.5">
      <c r="B232" s="62">
        <v>30907</v>
      </c>
      <c r="C232" s="63" t="s">
        <v>162</v>
      </c>
      <c r="D232" s="90">
        <v>416</v>
      </c>
    </row>
    <row r="233" spans="2:4" ht="16.5">
      <c r="B233" s="64">
        <v>30908</v>
      </c>
      <c r="C233" s="65" t="s">
        <v>163</v>
      </c>
      <c r="D233" s="91">
        <v>15</v>
      </c>
    </row>
    <row r="234" spans="2:4" ht="16.5">
      <c r="B234" s="62">
        <v>30909</v>
      </c>
      <c r="C234" s="63" t="s">
        <v>384</v>
      </c>
      <c r="D234" s="90">
        <v>43</v>
      </c>
    </row>
    <row r="235" spans="2:4" ht="16.5">
      <c r="B235" s="64">
        <v>31001</v>
      </c>
      <c r="C235" s="65" t="s">
        <v>165</v>
      </c>
      <c r="D235" s="91">
        <v>124</v>
      </c>
    </row>
    <row r="236" spans="2:4" ht="16.5">
      <c r="B236" s="62">
        <v>31002</v>
      </c>
      <c r="C236" s="63" t="s">
        <v>385</v>
      </c>
      <c r="D236" s="90">
        <v>39</v>
      </c>
    </row>
    <row r="237" spans="2:4" ht="16.5">
      <c r="B237" s="64">
        <v>31003</v>
      </c>
      <c r="C237" s="65" t="s">
        <v>166</v>
      </c>
      <c r="D237" s="91">
        <v>7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2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4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224</v>
      </c>
    </row>
    <row r="251" spans="2:4" ht="16.5">
      <c r="B251" s="64">
        <v>31102</v>
      </c>
      <c r="C251" s="65" t="s">
        <v>174</v>
      </c>
      <c r="D251" s="91">
        <v>51</v>
      </c>
    </row>
    <row r="252" spans="2:4" ht="16.5">
      <c r="B252" s="62">
        <v>31103</v>
      </c>
      <c r="C252" s="63" t="s">
        <v>176</v>
      </c>
      <c r="D252" s="90">
        <v>7</v>
      </c>
    </row>
    <row r="253" spans="2:4" ht="16.5">
      <c r="B253" s="64">
        <v>31104</v>
      </c>
      <c r="C253" s="65" t="s">
        <v>177</v>
      </c>
      <c r="D253" s="91">
        <v>40</v>
      </c>
    </row>
    <row r="254" spans="2:4" ht="16.5">
      <c r="B254" s="62">
        <v>31105</v>
      </c>
      <c r="C254" s="63" t="s">
        <v>178</v>
      </c>
      <c r="D254" s="90">
        <v>43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12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2</v>
      </c>
    </row>
    <row r="261" spans="2:4" ht="16.5">
      <c r="B261" s="64">
        <v>31112</v>
      </c>
      <c r="C261" s="65" t="s">
        <v>396</v>
      </c>
      <c r="D261" s="91">
        <v>127</v>
      </c>
    </row>
    <row r="262" spans="2:4" ht="16.5">
      <c r="B262" s="62">
        <v>31113</v>
      </c>
      <c r="C262" s="63" t="s">
        <v>182</v>
      </c>
      <c r="D262" s="90">
        <v>11</v>
      </c>
    </row>
    <row r="263" spans="2:4" ht="16.5">
      <c r="B263" s="64">
        <v>31114</v>
      </c>
      <c r="C263" s="65" t="s">
        <v>397</v>
      </c>
      <c r="D263" s="91">
        <v>51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17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14</v>
      </c>
    </row>
    <row r="268" spans="2:4" ht="16.5">
      <c r="B268" s="66">
        <v>40105</v>
      </c>
      <c r="C268" s="67" t="s">
        <v>192</v>
      </c>
      <c r="D268" s="92">
        <v>1</v>
      </c>
    </row>
    <row r="269" spans="2:4" ht="16.5">
      <c r="B269" s="62">
        <v>40106</v>
      </c>
      <c r="C269" s="63" t="s">
        <v>195</v>
      </c>
      <c r="D269" s="90">
        <v>25</v>
      </c>
    </row>
    <row r="270" spans="2:4" ht="16.5">
      <c r="B270" s="66">
        <v>40107</v>
      </c>
      <c r="C270" s="67" t="s">
        <v>197</v>
      </c>
      <c r="D270" s="92">
        <v>21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1</v>
      </c>
    </row>
    <row r="273" spans="2:4" ht="16.5">
      <c r="B273" s="62">
        <v>40110</v>
      </c>
      <c r="C273" s="63" t="s">
        <v>191</v>
      </c>
      <c r="D273" s="90">
        <v>9</v>
      </c>
    </row>
    <row r="274" spans="2:4" ht="16.5">
      <c r="B274" s="72">
        <v>50101</v>
      </c>
      <c r="C274" s="73" t="s">
        <v>399</v>
      </c>
      <c r="D274" s="93">
        <v>4</v>
      </c>
    </row>
    <row r="275" spans="2:4" ht="16.5">
      <c r="B275" s="62">
        <v>50102</v>
      </c>
      <c r="C275" s="63" t="s">
        <v>400</v>
      </c>
      <c r="D275" s="90">
        <v>29</v>
      </c>
    </row>
    <row r="276" spans="2:4" ht="16.5">
      <c r="B276" s="72">
        <v>50103</v>
      </c>
      <c r="C276" s="73" t="s">
        <v>401</v>
      </c>
      <c r="D276" s="93">
        <v>9</v>
      </c>
    </row>
    <row r="277" spans="2:4" ht="16.5">
      <c r="B277" s="62">
        <v>50104</v>
      </c>
      <c r="C277" s="63" t="s">
        <v>109</v>
      </c>
      <c r="D277" s="90">
        <v>7</v>
      </c>
    </row>
    <row r="278" spans="2:4" ht="16.5">
      <c r="B278" s="72">
        <v>50105</v>
      </c>
      <c r="C278" s="73" t="s">
        <v>183</v>
      </c>
      <c r="D278" s="93">
        <v>371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24</v>
      </c>
    </row>
    <row r="281" spans="2:4" ht="16.5">
      <c r="B281" s="62">
        <v>50108</v>
      </c>
      <c r="C281" s="63" t="s">
        <v>403</v>
      </c>
      <c r="D281" s="90">
        <v>19</v>
      </c>
    </row>
    <row r="282" spans="2:4" ht="16.5">
      <c r="B282" s="72">
        <v>50201</v>
      </c>
      <c r="C282" s="73" t="s">
        <v>404</v>
      </c>
      <c r="D282" s="93">
        <v>1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26</v>
      </c>
    </row>
    <row r="285" spans="2:4" ht="16.5">
      <c r="B285" s="62">
        <v>50301</v>
      </c>
      <c r="C285" s="63" t="s">
        <v>407</v>
      </c>
      <c r="D285" s="90">
        <v>367</v>
      </c>
    </row>
    <row r="286" spans="2:4" ht="16.5">
      <c r="B286" s="72">
        <v>50302</v>
      </c>
      <c r="C286" s="73" t="s">
        <v>408</v>
      </c>
      <c r="D286" s="93">
        <v>8</v>
      </c>
    </row>
    <row r="287" spans="2:4" ht="16.5">
      <c r="B287" s="62">
        <v>50303</v>
      </c>
      <c r="C287" s="63" t="s">
        <v>186</v>
      </c>
      <c r="D287" s="90">
        <v>25</v>
      </c>
    </row>
    <row r="288" spans="2:4" ht="16.5">
      <c r="B288" s="72">
        <v>50304</v>
      </c>
      <c r="C288" s="73" t="s">
        <v>187</v>
      </c>
      <c r="D288" s="93">
        <v>20</v>
      </c>
    </row>
    <row r="289" spans="2:4" ht="16.5">
      <c r="B289" s="62">
        <v>50305</v>
      </c>
      <c r="C289" s="63" t="s">
        <v>409</v>
      </c>
      <c r="D289" s="90">
        <v>22</v>
      </c>
    </row>
    <row r="290" spans="2:4" ht="16.5">
      <c r="B290" s="72">
        <v>50306</v>
      </c>
      <c r="C290" s="73" t="s">
        <v>410</v>
      </c>
      <c r="D290" s="93">
        <v>4</v>
      </c>
    </row>
    <row r="291" spans="2:4" ht="16.5">
      <c r="B291" s="74">
        <v>60101</v>
      </c>
      <c r="C291" s="75" t="s">
        <v>411</v>
      </c>
      <c r="D291" s="94">
        <v>1</v>
      </c>
    </row>
    <row r="292" spans="2:4" ht="16.5">
      <c r="B292" s="62">
        <v>60102</v>
      </c>
      <c r="C292" s="63" t="s">
        <v>194</v>
      </c>
      <c r="D292" s="90">
        <v>9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358</v>
      </c>
    </row>
    <row r="295" spans="2:4" ht="16.5">
      <c r="B295" s="62">
        <v>70102</v>
      </c>
      <c r="C295" s="63" t="s">
        <v>199</v>
      </c>
      <c r="D295" s="90">
        <v>44</v>
      </c>
    </row>
    <row r="296" spans="2:4" ht="16.5">
      <c r="B296" s="76">
        <v>70103</v>
      </c>
      <c r="C296" s="77" t="s">
        <v>200</v>
      </c>
      <c r="D296" s="95">
        <v>554</v>
      </c>
    </row>
    <row r="297" spans="2:4" ht="16.5">
      <c r="B297" s="62">
        <v>70104</v>
      </c>
      <c r="C297" s="63" t="s">
        <v>414</v>
      </c>
      <c r="D297" s="90">
        <v>11400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90">
        <v>44</v>
      </c>
    </row>
    <row r="300" spans="2:4" ht="16.5">
      <c r="B300" s="76">
        <v>70107</v>
      </c>
      <c r="C300" s="77" t="s">
        <v>416</v>
      </c>
      <c r="D300" s="95">
        <v>179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21860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71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30</v>
      </c>
    </row>
    <row r="23" spans="2:7" ht="16.5">
      <c r="B23" s="58">
        <v>10104</v>
      </c>
      <c r="C23" s="59" t="s">
        <v>268</v>
      </c>
      <c r="D23" s="88">
        <v>10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0</v>
      </c>
    </row>
    <row r="31" spans="2:7" ht="16.5">
      <c r="B31" s="58">
        <v>10112</v>
      </c>
      <c r="C31" s="59" t="s">
        <v>276</v>
      </c>
      <c r="D31" s="88">
        <v>0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2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1</v>
      </c>
    </row>
    <row r="41" spans="2:4" ht="16.5">
      <c r="B41" s="58">
        <v>10201</v>
      </c>
      <c r="C41" s="59" t="s">
        <v>286</v>
      </c>
      <c r="D41" s="88">
        <v>0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1</v>
      </c>
    </row>
    <row r="44" spans="2:4" ht="16.5">
      <c r="B44" s="68">
        <v>10204</v>
      </c>
      <c r="C44" s="69" t="s">
        <v>289</v>
      </c>
      <c r="D44" s="87">
        <v>4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0</v>
      </c>
    </row>
    <row r="49" spans="2:4" ht="16.5">
      <c r="B49" s="58">
        <v>10209</v>
      </c>
      <c r="C49" s="59" t="s">
        <v>294</v>
      </c>
      <c r="D49" s="88">
        <v>1</v>
      </c>
    </row>
    <row r="50" spans="2:4" ht="16.5">
      <c r="B50" s="68">
        <v>10210</v>
      </c>
      <c r="C50" s="69" t="s">
        <v>295</v>
      </c>
      <c r="D50" s="87">
        <v>1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1</v>
      </c>
    </row>
    <row r="60" spans="2:4" ht="16.5">
      <c r="B60" s="68">
        <v>10220</v>
      </c>
      <c r="C60" s="69" t="s">
        <v>304</v>
      </c>
      <c r="D60" s="87">
        <v>2</v>
      </c>
    </row>
    <row r="61" spans="2:4" ht="16.5">
      <c r="B61" s="58">
        <v>10301</v>
      </c>
      <c r="C61" s="59" t="s">
        <v>305</v>
      </c>
      <c r="D61" s="88">
        <v>0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0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3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3</v>
      </c>
    </row>
    <row r="68" spans="2:4" ht="16.5">
      <c r="B68" s="68">
        <v>10308</v>
      </c>
      <c r="C68" s="69" t="s">
        <v>311</v>
      </c>
      <c r="D68" s="87">
        <v>5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0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0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1</v>
      </c>
    </row>
    <row r="75" spans="2:4" ht="16.5">
      <c r="B75" s="58">
        <v>10315</v>
      </c>
      <c r="C75" s="59" t="s">
        <v>318</v>
      </c>
      <c r="D75" s="88">
        <v>2</v>
      </c>
    </row>
    <row r="76" spans="2:4" ht="16.5">
      <c r="B76" s="68">
        <v>10316</v>
      </c>
      <c r="C76" s="69" t="s">
        <v>319</v>
      </c>
      <c r="D76" s="87">
        <v>33</v>
      </c>
    </row>
    <row r="77" spans="2:4" ht="16.5">
      <c r="B77" s="58">
        <v>10317</v>
      </c>
      <c r="C77" s="59" t="s">
        <v>320</v>
      </c>
      <c r="D77" s="88">
        <v>0</v>
      </c>
    </row>
    <row r="78" spans="2:4" ht="16.5">
      <c r="B78" s="68">
        <v>10318</v>
      </c>
      <c r="C78" s="69" t="s">
        <v>321</v>
      </c>
      <c r="D78" s="87">
        <v>1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1</v>
      </c>
    </row>
    <row r="83" spans="2:4" ht="16.5">
      <c r="B83" s="60">
        <v>20104</v>
      </c>
      <c r="C83" s="61" t="s">
        <v>80</v>
      </c>
      <c r="D83" s="90">
        <v>0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1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0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2</v>
      </c>
    </row>
    <row r="96" spans="2:4" ht="16.5">
      <c r="B96" s="70">
        <v>20203</v>
      </c>
      <c r="C96" s="71" t="s">
        <v>86</v>
      </c>
      <c r="D96" s="89">
        <v>4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0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2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1</v>
      </c>
    </row>
    <row r="111" spans="2:4" ht="16.5">
      <c r="B111" s="60">
        <v>20304</v>
      </c>
      <c r="C111" s="61" t="s">
        <v>335</v>
      </c>
      <c r="D111" s="90">
        <v>1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</v>
      </c>
    </row>
    <row r="115" spans="2:4" ht="16.5">
      <c r="B115" s="60">
        <v>20308</v>
      </c>
      <c r="C115" s="61" t="s">
        <v>339</v>
      </c>
      <c r="D115" s="90">
        <v>0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1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9</v>
      </c>
    </row>
    <row r="124" spans="2:4" ht="16.5">
      <c r="B124" s="62">
        <v>30102</v>
      </c>
      <c r="C124" s="63" t="s">
        <v>96</v>
      </c>
      <c r="D124" s="90">
        <v>0</v>
      </c>
    </row>
    <row r="125" spans="2:4" ht="16.5">
      <c r="B125" s="64">
        <v>30103</v>
      </c>
      <c r="C125" s="65" t="s">
        <v>76</v>
      </c>
      <c r="D125" s="91">
        <v>15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3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2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1</v>
      </c>
    </row>
    <row r="135" spans="2:4" ht="16.5">
      <c r="B135" s="64">
        <v>30303</v>
      </c>
      <c r="C135" s="65" t="s">
        <v>352</v>
      </c>
      <c r="D135" s="91">
        <v>0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2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1</v>
      </c>
    </row>
    <row r="140" spans="2:4" ht="16.5">
      <c r="B140" s="62">
        <v>30308</v>
      </c>
      <c r="C140" s="63" t="s">
        <v>353</v>
      </c>
      <c r="D140" s="90">
        <v>1</v>
      </c>
    </row>
    <row r="141" spans="2:4" ht="16.5">
      <c r="B141" s="64">
        <v>30309</v>
      </c>
      <c r="C141" s="65" t="s">
        <v>354</v>
      </c>
      <c r="D141" s="91">
        <v>23</v>
      </c>
    </row>
    <row r="142" spans="2:4" ht="16.5">
      <c r="B142" s="62">
        <v>30310</v>
      </c>
      <c r="C142" s="63" t="s">
        <v>355</v>
      </c>
      <c r="D142" s="90">
        <v>1</v>
      </c>
    </row>
    <row r="143" spans="2:4" ht="16.5">
      <c r="B143" s="64">
        <v>30401</v>
      </c>
      <c r="C143" s="65" t="s">
        <v>356</v>
      </c>
      <c r="D143" s="91">
        <v>67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1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91">
        <v>0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3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0</v>
      </c>
    </row>
    <row r="162" spans="2:4" ht="16.5">
      <c r="B162" s="62">
        <v>30420</v>
      </c>
      <c r="C162" s="63" t="s">
        <v>120</v>
      </c>
      <c r="D162" s="90">
        <v>1</v>
      </c>
    </row>
    <row r="163" spans="2:4" ht="16.5">
      <c r="B163" s="64">
        <v>30421</v>
      </c>
      <c r="C163" s="65" t="s">
        <v>121</v>
      </c>
      <c r="D163" s="91">
        <v>0</v>
      </c>
    </row>
    <row r="164" spans="2:4" ht="16.5">
      <c r="B164" s="62">
        <v>30422</v>
      </c>
      <c r="C164" s="63" t="s">
        <v>122</v>
      </c>
      <c r="D164" s="90">
        <v>1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0</v>
      </c>
    </row>
    <row r="170" spans="2:4" ht="16.5">
      <c r="B170" s="62">
        <v>30428</v>
      </c>
      <c r="C170" s="63" t="s">
        <v>128</v>
      </c>
      <c r="D170" s="90">
        <v>1</v>
      </c>
    </row>
    <row r="171" spans="2:4" ht="16.5">
      <c r="B171" s="64">
        <v>30429</v>
      </c>
      <c r="C171" s="65" t="s">
        <v>129</v>
      </c>
      <c r="D171" s="91">
        <v>2</v>
      </c>
    </row>
    <row r="172" spans="2:4" ht="16.5">
      <c r="B172" s="62">
        <v>30430</v>
      </c>
      <c r="C172" s="63" t="s">
        <v>130</v>
      </c>
      <c r="D172" s="90">
        <v>7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1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5</v>
      </c>
    </row>
    <row r="191" spans="2:4" ht="16.5">
      <c r="B191" s="64">
        <v>30503</v>
      </c>
      <c r="C191" s="65" t="s">
        <v>142</v>
      </c>
      <c r="D191" s="91">
        <v>39</v>
      </c>
    </row>
    <row r="192" spans="2:4" ht="16.5">
      <c r="B192" s="62">
        <v>30504</v>
      </c>
      <c r="C192" s="63" t="s">
        <v>369</v>
      </c>
      <c r="D192" s="90">
        <v>0</v>
      </c>
    </row>
    <row r="193" spans="2:4" ht="16.5">
      <c r="B193" s="64">
        <v>30505</v>
      </c>
      <c r="C193" s="65" t="s">
        <v>370</v>
      </c>
      <c r="D193" s="91">
        <v>0</v>
      </c>
    </row>
    <row r="194" spans="2:4" ht="16.5">
      <c r="B194" s="62">
        <v>30601</v>
      </c>
      <c r="C194" s="63" t="s">
        <v>143</v>
      </c>
      <c r="D194" s="90">
        <v>0</v>
      </c>
    </row>
    <row r="195" spans="2:4" ht="16.5">
      <c r="B195" s="64">
        <v>30602</v>
      </c>
      <c r="C195" s="65" t="s">
        <v>144</v>
      </c>
      <c r="D195" s="91">
        <v>4</v>
      </c>
    </row>
    <row r="196" spans="2:4" ht="16.5">
      <c r="B196" s="62">
        <v>30603</v>
      </c>
      <c r="C196" s="63" t="s">
        <v>145</v>
      </c>
      <c r="D196" s="90">
        <v>1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87</v>
      </c>
    </row>
    <row r="200" spans="2:4" ht="16.5">
      <c r="B200" s="62">
        <v>30607</v>
      </c>
      <c r="C200" s="63" t="s">
        <v>147</v>
      </c>
      <c r="D200" s="90">
        <v>1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1</v>
      </c>
    </row>
    <row r="207" spans="2:4" ht="16.5">
      <c r="B207" s="64">
        <v>30703</v>
      </c>
      <c r="C207" s="65" t="s">
        <v>151</v>
      </c>
      <c r="D207" s="91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3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1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12</v>
      </c>
    </row>
    <row r="229" spans="2:4" ht="16.5">
      <c r="B229" s="64">
        <v>30904</v>
      </c>
      <c r="C229" s="65" t="s">
        <v>184</v>
      </c>
      <c r="D229" s="91">
        <v>14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1</v>
      </c>
    </row>
    <row r="232" spans="2:4" ht="16.5">
      <c r="B232" s="62">
        <v>30907</v>
      </c>
      <c r="C232" s="63" t="s">
        <v>162</v>
      </c>
      <c r="D232" s="90">
        <v>27</v>
      </c>
    </row>
    <row r="233" spans="2:4" ht="16.5">
      <c r="B233" s="64">
        <v>30908</v>
      </c>
      <c r="C233" s="65" t="s">
        <v>163</v>
      </c>
      <c r="D233" s="91">
        <v>1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7</v>
      </c>
    </row>
    <row r="236" spans="2:4" ht="16.5">
      <c r="B236" s="62">
        <v>31002</v>
      </c>
      <c r="C236" s="63" t="s">
        <v>385</v>
      </c>
      <c r="D236" s="90">
        <v>0</v>
      </c>
    </row>
    <row r="237" spans="2:4" ht="16.5">
      <c r="B237" s="64">
        <v>31003</v>
      </c>
      <c r="C237" s="65" t="s">
        <v>166</v>
      </c>
      <c r="D237" s="91">
        <v>0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1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7</v>
      </c>
    </row>
    <row r="251" spans="2:4" ht="16.5">
      <c r="B251" s="64">
        <v>31102</v>
      </c>
      <c r="C251" s="65" t="s">
        <v>174</v>
      </c>
      <c r="D251" s="91">
        <v>1</v>
      </c>
    </row>
    <row r="252" spans="2:4" ht="16.5">
      <c r="B252" s="62">
        <v>31103</v>
      </c>
      <c r="C252" s="63" t="s">
        <v>176</v>
      </c>
      <c r="D252" s="90">
        <v>0</v>
      </c>
    </row>
    <row r="253" spans="2:4" ht="16.5">
      <c r="B253" s="64">
        <v>31104</v>
      </c>
      <c r="C253" s="65" t="s">
        <v>177</v>
      </c>
      <c r="D253" s="91">
        <v>0</v>
      </c>
    </row>
    <row r="254" spans="2:4" ht="16.5">
      <c r="B254" s="62">
        <v>31105</v>
      </c>
      <c r="C254" s="63" t="s">
        <v>178</v>
      </c>
      <c r="D254" s="90">
        <v>0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13</v>
      </c>
    </row>
    <row r="262" spans="2:4" ht="16.5">
      <c r="B262" s="62">
        <v>31113</v>
      </c>
      <c r="C262" s="63" t="s">
        <v>182</v>
      </c>
      <c r="D262" s="90">
        <v>2</v>
      </c>
    </row>
    <row r="263" spans="2:4" ht="16.5">
      <c r="B263" s="64">
        <v>31114</v>
      </c>
      <c r="C263" s="65" t="s">
        <v>397</v>
      </c>
      <c r="D263" s="91">
        <v>1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0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3</v>
      </c>
    </row>
    <row r="270" spans="2:4" ht="16.5">
      <c r="B270" s="66">
        <v>40107</v>
      </c>
      <c r="C270" s="67" t="s">
        <v>197</v>
      </c>
      <c r="D270" s="92">
        <v>1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1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0</v>
      </c>
    </row>
    <row r="281" spans="2:4" ht="16.5">
      <c r="B281" s="62">
        <v>50108</v>
      </c>
      <c r="C281" s="63" t="s">
        <v>403</v>
      </c>
      <c r="D281" s="90">
        <v>0</v>
      </c>
    </row>
    <row r="282" spans="2:4" ht="16.5">
      <c r="B282" s="72">
        <v>50201</v>
      </c>
      <c r="C282" s="73" t="s">
        <v>404</v>
      </c>
      <c r="D282" s="93">
        <v>1</v>
      </c>
    </row>
    <row r="283" spans="2:4" ht="16.5">
      <c r="B283" s="62">
        <v>50202</v>
      </c>
      <c r="C283" s="63" t="s">
        <v>405</v>
      </c>
      <c r="D283" s="90">
        <v>1</v>
      </c>
    </row>
    <row r="284" spans="2:4" ht="16.5">
      <c r="B284" s="72">
        <v>50203</v>
      </c>
      <c r="C284" s="73" t="s">
        <v>406</v>
      </c>
      <c r="D284" s="93">
        <v>3</v>
      </c>
    </row>
    <row r="285" spans="2:4" ht="16.5">
      <c r="B285" s="62">
        <v>50301</v>
      </c>
      <c r="C285" s="63" t="s">
        <v>407</v>
      </c>
      <c r="D285" s="90">
        <v>43</v>
      </c>
    </row>
    <row r="286" spans="2:4" ht="16.5">
      <c r="B286" s="72">
        <v>50302</v>
      </c>
      <c r="C286" s="73" t="s">
        <v>408</v>
      </c>
      <c r="D286" s="93">
        <v>1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0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0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0</v>
      </c>
    </row>
    <row r="295" spans="2:4" ht="16.5">
      <c r="B295" s="62">
        <v>70102</v>
      </c>
      <c r="C295" s="63" t="s">
        <v>199</v>
      </c>
      <c r="D295" s="90">
        <v>0</v>
      </c>
    </row>
    <row r="296" spans="2:4" ht="16.5">
      <c r="B296" s="76">
        <v>70103</v>
      </c>
      <c r="C296" s="77" t="s">
        <v>200</v>
      </c>
      <c r="D296" s="95">
        <v>26</v>
      </c>
    </row>
    <row r="297" spans="2:4" ht="16.5">
      <c r="B297" s="62">
        <v>70104</v>
      </c>
      <c r="C297" s="63" t="s">
        <v>414</v>
      </c>
      <c r="D297" s="90">
        <v>0</v>
      </c>
    </row>
    <row r="298" spans="2:4" ht="16.5">
      <c r="B298" s="76">
        <v>70105</v>
      </c>
      <c r="C298" s="77" t="s">
        <v>201</v>
      </c>
      <c r="D298" s="95">
        <v>64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630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A274" zoomScaleNormal="100" zoomScaleSheetLayoutView="100" workbookViewId="0">
      <selection activeCell="D151" sqref="D15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43</v>
      </c>
    </row>
    <row r="23" spans="2:7" ht="16.5">
      <c r="B23" s="58">
        <v>10104</v>
      </c>
      <c r="C23" s="59" t="s">
        <v>268</v>
      </c>
      <c r="D23" s="88">
        <v>41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1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2</v>
      </c>
    </row>
    <row r="31" spans="2:7" ht="16.5">
      <c r="B31" s="58">
        <v>10112</v>
      </c>
      <c r="C31" s="59" t="s">
        <v>276</v>
      </c>
      <c r="D31" s="88">
        <v>1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7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0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23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3</v>
      </c>
    </row>
    <row r="48" spans="2:4" ht="16.5">
      <c r="B48" s="68">
        <v>10208</v>
      </c>
      <c r="C48" s="69" t="s">
        <v>293</v>
      </c>
      <c r="D48" s="87">
        <v>4</v>
      </c>
    </row>
    <row r="49" spans="2:4" ht="16.5">
      <c r="B49" s="58">
        <v>10209</v>
      </c>
      <c r="C49" s="59" t="s">
        <v>294</v>
      </c>
      <c r="D49" s="88">
        <v>5</v>
      </c>
    </row>
    <row r="50" spans="2:4" ht="16.5">
      <c r="B50" s="68">
        <v>10210</v>
      </c>
      <c r="C50" s="69" t="s">
        <v>295</v>
      </c>
      <c r="D50" s="87">
        <v>3</v>
      </c>
    </row>
    <row r="51" spans="2:4" ht="16.5">
      <c r="B51" s="58">
        <v>10211</v>
      </c>
      <c r="C51" s="59" t="s">
        <v>77</v>
      </c>
      <c r="D51" s="88">
        <v>1</v>
      </c>
    </row>
    <row r="52" spans="2:4" ht="16.5">
      <c r="B52" s="68">
        <v>10212</v>
      </c>
      <c r="C52" s="69" t="s">
        <v>296</v>
      </c>
      <c r="D52" s="87">
        <v>1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7</v>
      </c>
    </row>
    <row r="60" spans="2:4" ht="16.5">
      <c r="B60" s="68">
        <v>10220</v>
      </c>
      <c r="C60" s="69" t="s">
        <v>304</v>
      </c>
      <c r="D60" s="87">
        <v>26</v>
      </c>
    </row>
    <row r="61" spans="2:4" ht="16.5">
      <c r="B61" s="58">
        <v>10301</v>
      </c>
      <c r="C61" s="59" t="s">
        <v>305</v>
      </c>
      <c r="D61" s="88">
        <v>1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3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8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7</v>
      </c>
    </row>
    <row r="68" spans="2:4" ht="16.5">
      <c r="B68" s="68">
        <v>10308</v>
      </c>
      <c r="C68" s="69" t="s">
        <v>311</v>
      </c>
      <c r="D68" s="87">
        <v>17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6</v>
      </c>
    </row>
    <row r="71" spans="2:4" ht="16.5">
      <c r="B71" s="58">
        <v>10311</v>
      </c>
      <c r="C71" s="59" t="s">
        <v>314</v>
      </c>
      <c r="D71" s="88">
        <v>2</v>
      </c>
    </row>
    <row r="72" spans="2:4" ht="16.5">
      <c r="B72" s="68">
        <v>10312</v>
      </c>
      <c r="C72" s="69" t="s">
        <v>315</v>
      </c>
      <c r="D72" s="87">
        <v>5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1</v>
      </c>
    </row>
    <row r="75" spans="2:4" ht="16.5">
      <c r="B75" s="58">
        <v>10315</v>
      </c>
      <c r="C75" s="59" t="s">
        <v>318</v>
      </c>
      <c r="D75" s="88">
        <v>2</v>
      </c>
    </row>
    <row r="76" spans="2:4" ht="16.5">
      <c r="B76" s="68">
        <v>10316</v>
      </c>
      <c r="C76" s="69" t="s">
        <v>319</v>
      </c>
      <c r="D76" s="87">
        <v>79</v>
      </c>
    </row>
    <row r="77" spans="2:4" ht="16.5">
      <c r="B77" s="58">
        <v>10317</v>
      </c>
      <c r="C77" s="59" t="s">
        <v>320</v>
      </c>
      <c r="D77" s="88">
        <v>26</v>
      </c>
    </row>
    <row r="78" spans="2:4" ht="16.5">
      <c r="B78" s="68">
        <v>10318</v>
      </c>
      <c r="C78" s="69" t="s">
        <v>321</v>
      </c>
      <c r="D78" s="87">
        <v>1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4</v>
      </c>
    </row>
    <row r="83" spans="2:4" ht="16.5">
      <c r="B83" s="60">
        <v>20104</v>
      </c>
      <c r="C83" s="61" t="s">
        <v>80</v>
      </c>
      <c r="D83" s="90">
        <v>1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1</v>
      </c>
    </row>
    <row r="87" spans="2:4" ht="16.5">
      <c r="B87" s="60">
        <v>20108</v>
      </c>
      <c r="C87" s="61" t="s">
        <v>325</v>
      </c>
      <c r="D87" s="90">
        <v>6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2</v>
      </c>
    </row>
    <row r="90" spans="2:4" ht="16.5">
      <c r="B90" s="70">
        <v>20111</v>
      </c>
      <c r="C90" s="71" t="s">
        <v>328</v>
      </c>
      <c r="D90" s="89">
        <v>0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4</v>
      </c>
    </row>
    <row r="96" spans="2:4" ht="16.5">
      <c r="B96" s="70">
        <v>20203</v>
      </c>
      <c r="C96" s="71" t="s">
        <v>86</v>
      </c>
      <c r="D96" s="89">
        <v>15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1</v>
      </c>
    </row>
    <row r="101" spans="2:4" ht="16.5">
      <c r="B101" s="60">
        <v>20208</v>
      </c>
      <c r="C101" s="61" t="s">
        <v>91</v>
      </c>
      <c r="D101" s="90">
        <v>1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9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2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8</v>
      </c>
    </row>
    <row r="111" spans="2:4" ht="16.5">
      <c r="B111" s="60">
        <v>20304</v>
      </c>
      <c r="C111" s="61" t="s">
        <v>335</v>
      </c>
      <c r="D111" s="90">
        <v>6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0</v>
      </c>
    </row>
    <row r="115" spans="2:4" ht="16.5">
      <c r="B115" s="60">
        <v>20308</v>
      </c>
      <c r="C115" s="61" t="s">
        <v>339</v>
      </c>
      <c r="D115" s="90">
        <v>1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11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1</v>
      </c>
    </row>
    <row r="121" spans="2:4" ht="16.5">
      <c r="B121" s="60">
        <v>20403</v>
      </c>
      <c r="C121" s="61" t="s">
        <v>345</v>
      </c>
      <c r="D121" s="90">
        <v>2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27</v>
      </c>
    </row>
    <row r="124" spans="2:4" ht="16.5">
      <c r="B124" s="62">
        <v>30102</v>
      </c>
      <c r="C124" s="63" t="s">
        <v>96</v>
      </c>
      <c r="D124" s="90">
        <v>8</v>
      </c>
    </row>
    <row r="125" spans="2:4" ht="16.5">
      <c r="B125" s="64">
        <v>30103</v>
      </c>
      <c r="C125" s="65" t="s">
        <v>76</v>
      </c>
      <c r="D125" s="91">
        <v>26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4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13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0</v>
      </c>
    </row>
    <row r="135" spans="2:4" ht="16.5">
      <c r="B135" s="64">
        <v>30303</v>
      </c>
      <c r="C135" s="65" t="s">
        <v>352</v>
      </c>
      <c r="D135" s="91">
        <v>4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6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29</v>
      </c>
    </row>
    <row r="140" spans="2:4" ht="16.5">
      <c r="B140" s="62">
        <v>30308</v>
      </c>
      <c r="C140" s="63" t="s">
        <v>353</v>
      </c>
      <c r="D140" s="90">
        <v>12</v>
      </c>
    </row>
    <row r="141" spans="2:4" ht="16.5">
      <c r="B141" s="64">
        <v>30309</v>
      </c>
      <c r="C141" s="65" t="s">
        <v>354</v>
      </c>
      <c r="D141" s="91">
        <v>120</v>
      </c>
    </row>
    <row r="142" spans="2:4" ht="16.5">
      <c r="B142" s="62">
        <v>30310</v>
      </c>
      <c r="C142" s="63" t="s">
        <v>355</v>
      </c>
      <c r="D142" s="90">
        <v>45</v>
      </c>
    </row>
    <row r="143" spans="2:4" ht="16.5">
      <c r="B143" s="64">
        <v>30401</v>
      </c>
      <c r="C143" s="65" t="s">
        <v>356</v>
      </c>
      <c r="D143" s="91">
        <v>343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8</v>
      </c>
    </row>
    <row r="147" spans="2:4" ht="16.5">
      <c r="B147" s="64">
        <v>30405</v>
      </c>
      <c r="C147" s="65" t="s">
        <v>107</v>
      </c>
      <c r="D147" s="91">
        <v>1</v>
      </c>
    </row>
    <row r="148" spans="2:4" ht="16.5">
      <c r="B148" s="62">
        <v>30406</v>
      </c>
      <c r="C148" s="63" t="s">
        <v>108</v>
      </c>
      <c r="D148" s="90">
        <v>7</v>
      </c>
    </row>
    <row r="149" spans="2:4" ht="16.5">
      <c r="B149" s="64">
        <v>30407</v>
      </c>
      <c r="C149" s="65" t="s">
        <v>359</v>
      </c>
      <c r="D149" s="91">
        <v>10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1</v>
      </c>
    </row>
    <row r="156" spans="2:4" ht="16.5">
      <c r="B156" s="62">
        <v>30414</v>
      </c>
      <c r="C156" s="63" t="s">
        <v>114</v>
      </c>
      <c r="D156" s="90">
        <v>9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1</v>
      </c>
    </row>
    <row r="161" spans="2:4" ht="16.5">
      <c r="B161" s="64">
        <v>30419</v>
      </c>
      <c r="C161" s="65" t="s">
        <v>119</v>
      </c>
      <c r="D161" s="91">
        <v>4</v>
      </c>
    </row>
    <row r="162" spans="2:4" ht="16.5">
      <c r="B162" s="62">
        <v>30420</v>
      </c>
      <c r="C162" s="63" t="s">
        <v>120</v>
      </c>
      <c r="D162" s="90">
        <v>8</v>
      </c>
    </row>
    <row r="163" spans="2:4" ht="16.5">
      <c r="B163" s="64">
        <v>30421</v>
      </c>
      <c r="C163" s="65" t="s">
        <v>121</v>
      </c>
      <c r="D163" s="91">
        <v>2</v>
      </c>
    </row>
    <row r="164" spans="2:4" ht="16.5">
      <c r="B164" s="62">
        <v>30422</v>
      </c>
      <c r="C164" s="63" t="s">
        <v>122</v>
      </c>
      <c r="D164" s="90">
        <v>2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1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1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4</v>
      </c>
    </row>
    <row r="172" spans="2:4" ht="16.5">
      <c r="B172" s="62">
        <v>30430</v>
      </c>
      <c r="C172" s="63" t="s">
        <v>130</v>
      </c>
      <c r="D172" s="90">
        <v>9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1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7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29</v>
      </c>
    </row>
    <row r="191" spans="2:4" ht="16.5">
      <c r="B191" s="64">
        <v>30503</v>
      </c>
      <c r="C191" s="65" t="s">
        <v>142</v>
      </c>
      <c r="D191" s="91">
        <v>116</v>
      </c>
    </row>
    <row r="192" spans="2:4" ht="16.5">
      <c r="B192" s="62">
        <v>30504</v>
      </c>
      <c r="C192" s="63" t="s">
        <v>369</v>
      </c>
      <c r="D192" s="90">
        <v>9</v>
      </c>
    </row>
    <row r="193" spans="2:4" ht="16.5">
      <c r="B193" s="64">
        <v>30505</v>
      </c>
      <c r="C193" s="65" t="s">
        <v>370</v>
      </c>
      <c r="D193" s="91">
        <v>1</v>
      </c>
    </row>
    <row r="194" spans="2:4" ht="16.5">
      <c r="B194" s="62">
        <v>30601</v>
      </c>
      <c r="C194" s="63" t="s">
        <v>143</v>
      </c>
      <c r="D194" s="90">
        <v>9</v>
      </c>
    </row>
    <row r="195" spans="2:4" ht="16.5">
      <c r="B195" s="64">
        <v>30602</v>
      </c>
      <c r="C195" s="65" t="s">
        <v>144</v>
      </c>
      <c r="D195" s="91">
        <v>13</v>
      </c>
    </row>
    <row r="196" spans="2:4" ht="16.5">
      <c r="B196" s="62">
        <v>30603</v>
      </c>
      <c r="C196" s="63" t="s">
        <v>145</v>
      </c>
      <c r="D196" s="90">
        <v>4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180</v>
      </c>
    </row>
    <row r="200" spans="2:4" ht="16.5">
      <c r="B200" s="62">
        <v>30607</v>
      </c>
      <c r="C200" s="63" t="s">
        <v>147</v>
      </c>
      <c r="D200" s="90">
        <v>0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2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4</v>
      </c>
    </row>
    <row r="206" spans="2:4" ht="16.5">
      <c r="B206" s="62">
        <v>30702</v>
      </c>
      <c r="C206" s="63" t="s">
        <v>150</v>
      </c>
      <c r="D206" s="90">
        <v>5</v>
      </c>
    </row>
    <row r="207" spans="2:4" ht="16.5">
      <c r="B207" s="64">
        <v>30703</v>
      </c>
      <c r="C207" s="65" t="s">
        <v>151</v>
      </c>
      <c r="D207" s="91">
        <v>2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1</v>
      </c>
    </row>
    <row r="212" spans="2:4" ht="16.5">
      <c r="B212" s="62">
        <v>30708</v>
      </c>
      <c r="C212" s="63" t="s">
        <v>376</v>
      </c>
      <c r="D212" s="90">
        <v>2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12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42</v>
      </c>
    </row>
    <row r="229" spans="2:4" ht="16.5">
      <c r="B229" s="64">
        <v>30904</v>
      </c>
      <c r="C229" s="65" t="s">
        <v>184</v>
      </c>
      <c r="D229" s="91">
        <v>40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2</v>
      </c>
    </row>
    <row r="232" spans="2:4" ht="16.5">
      <c r="B232" s="62">
        <v>30907</v>
      </c>
      <c r="C232" s="63" t="s">
        <v>162</v>
      </c>
      <c r="D232" s="90">
        <v>95</v>
      </c>
    </row>
    <row r="233" spans="2:4" ht="16.5">
      <c r="B233" s="64">
        <v>30908</v>
      </c>
      <c r="C233" s="65" t="s">
        <v>163</v>
      </c>
      <c r="D233" s="91">
        <v>4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33</v>
      </c>
    </row>
    <row r="236" spans="2:4" ht="16.5">
      <c r="B236" s="62">
        <v>31002</v>
      </c>
      <c r="C236" s="63" t="s">
        <v>385</v>
      </c>
      <c r="D236" s="90">
        <v>7</v>
      </c>
    </row>
    <row r="237" spans="2:4" ht="16.5">
      <c r="B237" s="64">
        <v>31003</v>
      </c>
      <c r="C237" s="65" t="s">
        <v>166</v>
      </c>
      <c r="D237" s="91">
        <v>2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2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17</v>
      </c>
    </row>
    <row r="251" spans="2:4" ht="16.5">
      <c r="B251" s="64">
        <v>31102</v>
      </c>
      <c r="C251" s="65" t="s">
        <v>174</v>
      </c>
      <c r="D251" s="91">
        <v>7</v>
      </c>
    </row>
    <row r="252" spans="2:4" ht="16.5">
      <c r="B252" s="62">
        <v>31103</v>
      </c>
      <c r="C252" s="63" t="s">
        <v>176</v>
      </c>
      <c r="D252" s="90">
        <v>3</v>
      </c>
    </row>
    <row r="253" spans="2:4" ht="16.5">
      <c r="B253" s="64">
        <v>31104</v>
      </c>
      <c r="C253" s="65" t="s">
        <v>177</v>
      </c>
      <c r="D253" s="91">
        <v>7</v>
      </c>
    </row>
    <row r="254" spans="2:4" ht="16.5">
      <c r="B254" s="62">
        <v>31105</v>
      </c>
      <c r="C254" s="63" t="s">
        <v>178</v>
      </c>
      <c r="D254" s="90">
        <v>4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21</v>
      </c>
    </row>
    <row r="262" spans="2:4" ht="16.5">
      <c r="B262" s="62">
        <v>31113</v>
      </c>
      <c r="C262" s="63" t="s">
        <v>182</v>
      </c>
      <c r="D262" s="90">
        <v>4</v>
      </c>
    </row>
    <row r="263" spans="2:4" ht="16.5">
      <c r="B263" s="64">
        <v>31114</v>
      </c>
      <c r="C263" s="65" t="s">
        <v>397</v>
      </c>
      <c r="D263" s="91">
        <v>12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1</v>
      </c>
    </row>
    <row r="267" spans="2:4" ht="16.5">
      <c r="B267" s="62">
        <v>40104</v>
      </c>
      <c r="C267" s="63" t="s">
        <v>190</v>
      </c>
      <c r="D267" s="90">
        <v>1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13</v>
      </c>
    </row>
    <row r="270" spans="2:4" ht="16.5">
      <c r="B270" s="66">
        <v>40107</v>
      </c>
      <c r="C270" s="67" t="s">
        <v>197</v>
      </c>
      <c r="D270" s="92">
        <v>6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9</v>
      </c>
    </row>
    <row r="275" spans="2:4" ht="16.5">
      <c r="B275" s="62">
        <v>50102</v>
      </c>
      <c r="C275" s="63" t="s">
        <v>400</v>
      </c>
      <c r="D275" s="90">
        <v>4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1</v>
      </c>
    </row>
    <row r="278" spans="2:4" ht="16.5">
      <c r="B278" s="72">
        <v>50105</v>
      </c>
      <c r="C278" s="73" t="s">
        <v>183</v>
      </c>
      <c r="D278" s="93">
        <v>9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6</v>
      </c>
    </row>
    <row r="281" spans="2:4" ht="16.5">
      <c r="B281" s="62">
        <v>50108</v>
      </c>
      <c r="C281" s="63" t="s">
        <v>403</v>
      </c>
      <c r="D281" s="90">
        <v>1</v>
      </c>
    </row>
    <row r="282" spans="2:4" ht="16.5">
      <c r="B282" s="72">
        <v>50201</v>
      </c>
      <c r="C282" s="73" t="s">
        <v>404</v>
      </c>
      <c r="D282" s="93">
        <v>1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2</v>
      </c>
    </row>
    <row r="285" spans="2:4" ht="16.5">
      <c r="B285" s="62">
        <v>50301</v>
      </c>
      <c r="C285" s="63" t="s">
        <v>407</v>
      </c>
      <c r="D285" s="90">
        <v>148</v>
      </c>
    </row>
    <row r="286" spans="2:4" ht="16.5">
      <c r="B286" s="72">
        <v>50302</v>
      </c>
      <c r="C286" s="73" t="s">
        <v>408</v>
      </c>
      <c r="D286" s="93">
        <v>0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4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7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226</v>
      </c>
    </row>
    <row r="295" spans="2:4" ht="16.5">
      <c r="B295" s="62">
        <v>70102</v>
      </c>
      <c r="C295" s="63" t="s">
        <v>199</v>
      </c>
      <c r="D295" s="90">
        <v>14</v>
      </c>
    </row>
    <row r="296" spans="2:4" ht="16.5">
      <c r="B296" s="76">
        <v>70103</v>
      </c>
      <c r="C296" s="77" t="s">
        <v>200</v>
      </c>
      <c r="D296" s="95">
        <v>217</v>
      </c>
    </row>
    <row r="297" spans="2:4" ht="16.5">
      <c r="B297" s="62">
        <v>70104</v>
      </c>
      <c r="C297" s="63" t="s">
        <v>414</v>
      </c>
      <c r="D297" s="90">
        <v>5388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90">
        <v>13</v>
      </c>
    </row>
    <row r="300" spans="2:4" ht="16.5">
      <c r="B300" s="76">
        <v>70107</v>
      </c>
      <c r="C300" s="77" t="s">
        <v>416</v>
      </c>
      <c r="D300" s="95">
        <v>192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8069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tabSelected="1" view="pageBreakPreview" topLeftCell="A279" zoomScaleNormal="100" zoomScaleSheetLayoutView="100" workbookViewId="0">
      <selection activeCell="D301" sqref="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13</v>
      </c>
    </row>
    <row r="23" spans="2:7" ht="16.5">
      <c r="B23" s="58">
        <v>10104</v>
      </c>
      <c r="C23" s="59" t="s">
        <v>268</v>
      </c>
      <c r="D23" s="88">
        <v>16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1</v>
      </c>
    </row>
    <row r="31" spans="2:7" ht="16.5">
      <c r="B31" s="58">
        <v>10112</v>
      </c>
      <c r="C31" s="59" t="s">
        <v>276</v>
      </c>
      <c r="D31" s="88">
        <v>0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0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1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2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12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1</v>
      </c>
    </row>
    <row r="47" spans="2:4" ht="16.5">
      <c r="B47" s="58">
        <v>10207</v>
      </c>
      <c r="C47" s="59" t="s">
        <v>292</v>
      </c>
      <c r="D47" s="88">
        <v>1</v>
      </c>
    </row>
    <row r="48" spans="2:4" ht="16.5">
      <c r="B48" s="68">
        <v>10208</v>
      </c>
      <c r="C48" s="69" t="s">
        <v>293</v>
      </c>
      <c r="D48" s="87">
        <v>0</v>
      </c>
    </row>
    <row r="49" spans="2:4" ht="16.5">
      <c r="B49" s="58">
        <v>10209</v>
      </c>
      <c r="C49" s="59" t="s">
        <v>294</v>
      </c>
      <c r="D49" s="88">
        <v>1</v>
      </c>
    </row>
    <row r="50" spans="2:4" ht="16.5">
      <c r="B50" s="68">
        <v>10210</v>
      </c>
      <c r="C50" s="69" t="s">
        <v>295</v>
      </c>
      <c r="D50" s="87">
        <v>1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0</v>
      </c>
    </row>
    <row r="60" spans="2:4" ht="16.5">
      <c r="B60" s="68">
        <v>10220</v>
      </c>
      <c r="C60" s="69" t="s">
        <v>304</v>
      </c>
      <c r="D60" s="87">
        <v>1</v>
      </c>
    </row>
    <row r="61" spans="2:4" ht="16.5">
      <c r="B61" s="58">
        <v>10301</v>
      </c>
      <c r="C61" s="59" t="s">
        <v>305</v>
      </c>
      <c r="D61" s="88">
        <v>0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1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4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3</v>
      </c>
    </row>
    <row r="68" spans="2:4" ht="16.5">
      <c r="B68" s="68">
        <v>10308</v>
      </c>
      <c r="C68" s="69" t="s">
        <v>311</v>
      </c>
      <c r="D68" s="87">
        <v>5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1</v>
      </c>
    </row>
    <row r="71" spans="2:4" ht="16.5">
      <c r="B71" s="58">
        <v>10311</v>
      </c>
      <c r="C71" s="59" t="s">
        <v>314</v>
      </c>
      <c r="D71" s="88">
        <v>1</v>
      </c>
    </row>
    <row r="72" spans="2:4" ht="16.5">
      <c r="B72" s="68">
        <v>10312</v>
      </c>
      <c r="C72" s="69" t="s">
        <v>315</v>
      </c>
      <c r="D72" s="87">
        <v>0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1</v>
      </c>
    </row>
    <row r="75" spans="2:4" ht="16.5">
      <c r="B75" s="58">
        <v>10315</v>
      </c>
      <c r="C75" s="59" t="s">
        <v>318</v>
      </c>
      <c r="D75" s="88">
        <v>0</v>
      </c>
    </row>
    <row r="76" spans="2:4" ht="16.5">
      <c r="B76" s="68">
        <v>10316</v>
      </c>
      <c r="C76" s="69" t="s">
        <v>319</v>
      </c>
      <c r="D76" s="87">
        <v>18</v>
      </c>
    </row>
    <row r="77" spans="2:4" ht="16.5">
      <c r="B77" s="58">
        <v>10317</v>
      </c>
      <c r="C77" s="59" t="s">
        <v>320</v>
      </c>
      <c r="D77" s="88">
        <v>1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3</v>
      </c>
    </row>
    <row r="83" spans="2:4" ht="16.5">
      <c r="B83" s="60">
        <v>20104</v>
      </c>
      <c r="C83" s="61" t="s">
        <v>80</v>
      </c>
      <c r="D83" s="90">
        <v>0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1</v>
      </c>
    </row>
    <row r="88" spans="2:4" ht="16.5">
      <c r="B88" s="70">
        <v>20109</v>
      </c>
      <c r="C88" s="71" t="s">
        <v>326</v>
      </c>
      <c r="D88" s="89">
        <v>1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1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1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0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2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0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2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2</v>
      </c>
    </row>
    <row r="111" spans="2:4" ht="16.5">
      <c r="B111" s="60">
        <v>20304</v>
      </c>
      <c r="C111" s="61" t="s">
        <v>335</v>
      </c>
      <c r="D111" s="90">
        <v>2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2</v>
      </c>
    </row>
    <row r="115" spans="2:4" ht="16.5">
      <c r="B115" s="60">
        <v>20308</v>
      </c>
      <c r="C115" s="61" t="s">
        <v>339</v>
      </c>
      <c r="D115" s="90">
        <v>0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0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13</v>
      </c>
    </row>
    <row r="124" spans="2:4" ht="16.5">
      <c r="B124" s="62">
        <v>30102</v>
      </c>
      <c r="C124" s="63" t="s">
        <v>96</v>
      </c>
      <c r="D124" s="90">
        <v>3</v>
      </c>
    </row>
    <row r="125" spans="2:4" ht="16.5">
      <c r="B125" s="64">
        <v>30103</v>
      </c>
      <c r="C125" s="65" t="s">
        <v>76</v>
      </c>
      <c r="D125" s="91">
        <v>5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2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0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0</v>
      </c>
    </row>
    <row r="135" spans="2:4" ht="16.5">
      <c r="B135" s="64">
        <v>30303</v>
      </c>
      <c r="C135" s="65" t="s">
        <v>352</v>
      </c>
      <c r="D135" s="91">
        <v>0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0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27</v>
      </c>
    </row>
    <row r="140" spans="2:4" ht="16.5">
      <c r="B140" s="62">
        <v>30308</v>
      </c>
      <c r="C140" s="63" t="s">
        <v>353</v>
      </c>
      <c r="D140" s="90">
        <v>2</v>
      </c>
    </row>
    <row r="141" spans="2:4" ht="16.5">
      <c r="B141" s="64">
        <v>30309</v>
      </c>
      <c r="C141" s="65" t="s">
        <v>354</v>
      </c>
      <c r="D141" s="91">
        <v>12</v>
      </c>
    </row>
    <row r="142" spans="2:4" ht="16.5">
      <c r="B142" s="62">
        <v>30310</v>
      </c>
      <c r="C142" s="63" t="s">
        <v>355</v>
      </c>
      <c r="D142" s="90">
        <v>2</v>
      </c>
    </row>
    <row r="143" spans="2:4" ht="16.5">
      <c r="B143" s="64">
        <v>30401</v>
      </c>
      <c r="C143" s="65" t="s">
        <v>356</v>
      </c>
      <c r="D143" s="91">
        <v>44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0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3</v>
      </c>
    </row>
    <row r="149" spans="2:4" ht="16.5">
      <c r="B149" s="64">
        <v>30407</v>
      </c>
      <c r="C149" s="65" t="s">
        <v>359</v>
      </c>
      <c r="D149" s="91">
        <v>0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1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0</v>
      </c>
    </row>
    <row r="162" spans="2:4" ht="16.5">
      <c r="B162" s="62">
        <v>30420</v>
      </c>
      <c r="C162" s="63" t="s">
        <v>120</v>
      </c>
      <c r="D162" s="90">
        <v>0</v>
      </c>
    </row>
    <row r="163" spans="2:4" ht="16.5">
      <c r="B163" s="64">
        <v>30421</v>
      </c>
      <c r="C163" s="65" t="s">
        <v>121</v>
      </c>
      <c r="D163" s="91">
        <v>0</v>
      </c>
    </row>
    <row r="164" spans="2:4" ht="16.5">
      <c r="B164" s="62">
        <v>30422</v>
      </c>
      <c r="C164" s="63" t="s">
        <v>122</v>
      </c>
      <c r="D164" s="90">
        <v>1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2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8</v>
      </c>
    </row>
    <row r="172" spans="2:4" ht="16.5">
      <c r="B172" s="62">
        <v>30430</v>
      </c>
      <c r="C172" s="63" t="s">
        <v>130</v>
      </c>
      <c r="D172" s="90">
        <v>14</v>
      </c>
    </row>
    <row r="173" spans="2:4" ht="16.5">
      <c r="B173" s="64">
        <v>30431</v>
      </c>
      <c r="C173" s="65" t="s">
        <v>131</v>
      </c>
      <c r="D173" s="91">
        <v>2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9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7</v>
      </c>
    </row>
    <row r="191" spans="2:4" ht="16.5">
      <c r="B191" s="64">
        <v>30503</v>
      </c>
      <c r="C191" s="65" t="s">
        <v>142</v>
      </c>
      <c r="D191" s="91">
        <v>13</v>
      </c>
    </row>
    <row r="192" spans="2:4" ht="16.5">
      <c r="B192" s="62">
        <v>30504</v>
      </c>
      <c r="C192" s="63" t="s">
        <v>369</v>
      </c>
      <c r="D192" s="90">
        <v>0</v>
      </c>
    </row>
    <row r="193" spans="2:4" ht="16.5">
      <c r="B193" s="64">
        <v>30505</v>
      </c>
      <c r="C193" s="65" t="s">
        <v>370</v>
      </c>
      <c r="D193" s="91">
        <v>2</v>
      </c>
    </row>
    <row r="194" spans="2:4" ht="16.5">
      <c r="B194" s="62">
        <v>30601</v>
      </c>
      <c r="C194" s="63" t="s">
        <v>143</v>
      </c>
      <c r="D194" s="90">
        <v>0</v>
      </c>
    </row>
    <row r="195" spans="2:4" ht="16.5">
      <c r="B195" s="64">
        <v>30602</v>
      </c>
      <c r="C195" s="65" t="s">
        <v>144</v>
      </c>
      <c r="D195" s="91">
        <v>1</v>
      </c>
    </row>
    <row r="196" spans="2:4" ht="16.5">
      <c r="B196" s="62">
        <v>30603</v>
      </c>
      <c r="C196" s="63" t="s">
        <v>145</v>
      </c>
      <c r="D196" s="90">
        <v>1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67</v>
      </c>
    </row>
    <row r="200" spans="2:4" ht="16.5">
      <c r="B200" s="62">
        <v>30607</v>
      </c>
      <c r="C200" s="63" t="s">
        <v>147</v>
      </c>
      <c r="D200" s="90">
        <v>0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0</v>
      </c>
    </row>
    <row r="207" spans="2:4" ht="16.5">
      <c r="B207" s="64">
        <v>30703</v>
      </c>
      <c r="C207" s="65" t="s">
        <v>151</v>
      </c>
      <c r="D207" s="91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0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9</v>
      </c>
    </row>
    <row r="229" spans="2:4" ht="16.5">
      <c r="B229" s="64">
        <v>30904</v>
      </c>
      <c r="C229" s="65" t="s">
        <v>184</v>
      </c>
      <c r="D229" s="91">
        <v>11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1</v>
      </c>
    </row>
    <row r="232" spans="2:4" ht="16.5">
      <c r="B232" s="62">
        <v>30907</v>
      </c>
      <c r="C232" s="63" t="s">
        <v>162</v>
      </c>
      <c r="D232" s="90">
        <v>15</v>
      </c>
    </row>
    <row r="233" spans="2:4" ht="16.5">
      <c r="B233" s="64">
        <v>30908</v>
      </c>
      <c r="C233" s="65" t="s">
        <v>163</v>
      </c>
      <c r="D233" s="91">
        <v>2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0</v>
      </c>
    </row>
    <row r="236" spans="2:4" ht="16.5">
      <c r="B236" s="62">
        <v>31002</v>
      </c>
      <c r="C236" s="63" t="s">
        <v>385</v>
      </c>
      <c r="D236" s="90">
        <v>1</v>
      </c>
    </row>
    <row r="237" spans="2:4" ht="16.5">
      <c r="B237" s="64">
        <v>31003</v>
      </c>
      <c r="C237" s="65" t="s">
        <v>166</v>
      </c>
      <c r="D237" s="91">
        <v>0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2</v>
      </c>
    </row>
    <row r="251" spans="2:4" ht="16.5">
      <c r="B251" s="64">
        <v>31102</v>
      </c>
      <c r="C251" s="65" t="s">
        <v>174</v>
      </c>
      <c r="D251" s="91">
        <v>1</v>
      </c>
    </row>
    <row r="252" spans="2:4" ht="16.5">
      <c r="B252" s="62">
        <v>31103</v>
      </c>
      <c r="C252" s="63" t="s">
        <v>176</v>
      </c>
      <c r="D252" s="90">
        <v>0</v>
      </c>
    </row>
    <row r="253" spans="2:4" ht="16.5">
      <c r="B253" s="64">
        <v>31104</v>
      </c>
      <c r="C253" s="65" t="s">
        <v>177</v>
      </c>
      <c r="D253" s="91">
        <v>2</v>
      </c>
    </row>
    <row r="254" spans="2:4" ht="16.5">
      <c r="B254" s="62">
        <v>31105</v>
      </c>
      <c r="C254" s="63" t="s">
        <v>178</v>
      </c>
      <c r="D254" s="90">
        <v>2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5</v>
      </c>
    </row>
    <row r="262" spans="2:4" ht="16.5">
      <c r="B262" s="62">
        <v>31113</v>
      </c>
      <c r="C262" s="63" t="s">
        <v>182</v>
      </c>
      <c r="D262" s="90">
        <v>1</v>
      </c>
    </row>
    <row r="263" spans="2:4" ht="16.5">
      <c r="B263" s="64">
        <v>31114</v>
      </c>
      <c r="C263" s="65" t="s">
        <v>397</v>
      </c>
      <c r="D263" s="91">
        <v>1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1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1</v>
      </c>
    </row>
    <row r="270" spans="2:4" ht="16.5">
      <c r="B270" s="66">
        <v>40107</v>
      </c>
      <c r="C270" s="67" t="s">
        <v>197</v>
      </c>
      <c r="D270" s="92">
        <v>0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3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0</v>
      </c>
    </row>
    <row r="281" spans="2:4" ht="16.5">
      <c r="B281" s="62">
        <v>50108</v>
      </c>
      <c r="C281" s="63" t="s">
        <v>403</v>
      </c>
      <c r="D281" s="90">
        <v>1</v>
      </c>
    </row>
    <row r="282" spans="2:4" ht="16.5">
      <c r="B282" s="72">
        <v>50201</v>
      </c>
      <c r="C282" s="73" t="s">
        <v>404</v>
      </c>
      <c r="D282" s="93">
        <v>4</v>
      </c>
    </row>
    <row r="283" spans="2:4" ht="16.5">
      <c r="B283" s="62">
        <v>50202</v>
      </c>
      <c r="C283" s="63" t="s">
        <v>405</v>
      </c>
      <c r="D283" s="90">
        <v>6</v>
      </c>
    </row>
    <row r="284" spans="2:4" ht="16.5">
      <c r="B284" s="72">
        <v>50203</v>
      </c>
      <c r="C284" s="73" t="s">
        <v>406</v>
      </c>
      <c r="D284" s="93">
        <v>8</v>
      </c>
    </row>
    <row r="285" spans="2:4" ht="16.5">
      <c r="B285" s="62">
        <v>50301</v>
      </c>
      <c r="C285" s="63" t="s">
        <v>407</v>
      </c>
      <c r="D285" s="90">
        <v>114</v>
      </c>
    </row>
    <row r="286" spans="2:4" ht="16.5">
      <c r="B286" s="72">
        <v>50302</v>
      </c>
      <c r="C286" s="73" t="s">
        <v>408</v>
      </c>
      <c r="D286" s="93">
        <v>0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0</v>
      </c>
    </row>
    <row r="289" spans="2:4" ht="16.5">
      <c r="B289" s="62">
        <v>50305</v>
      </c>
      <c r="C289" s="63" t="s">
        <v>409</v>
      </c>
      <c r="D289" s="90">
        <v>1</v>
      </c>
    </row>
    <row r="290" spans="2:4" ht="16.5">
      <c r="B290" s="72">
        <v>50306</v>
      </c>
      <c r="C290" s="73" t="s">
        <v>410</v>
      </c>
      <c r="D290" s="93">
        <v>1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0</v>
      </c>
    </row>
    <row r="295" spans="2:4" ht="16.5">
      <c r="B295" s="62">
        <v>70102</v>
      </c>
      <c r="C295" s="63" t="s">
        <v>199</v>
      </c>
      <c r="D295" s="90">
        <v>0</v>
      </c>
    </row>
    <row r="296" spans="2:4" ht="16.5">
      <c r="B296" s="76">
        <v>70103</v>
      </c>
      <c r="C296" s="77" t="s">
        <v>200</v>
      </c>
      <c r="D296" s="95">
        <v>12</v>
      </c>
    </row>
    <row r="297" spans="2:4" ht="16.5">
      <c r="B297" s="62">
        <v>70104</v>
      </c>
      <c r="C297" s="63" t="s">
        <v>414</v>
      </c>
      <c r="D297" s="90">
        <v>1</v>
      </c>
    </row>
    <row r="298" spans="2:4" ht="16.5">
      <c r="B298" s="76">
        <v>70105</v>
      </c>
      <c r="C298" s="77" t="s">
        <v>201</v>
      </c>
      <c r="D298" s="95">
        <v>5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555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Dell</cp:lastModifiedBy>
  <cp:lastPrinted>2015-12-19T01:31:18Z</cp:lastPrinted>
  <dcterms:created xsi:type="dcterms:W3CDTF">1999-03-11T18:07:10Z</dcterms:created>
  <dcterms:modified xsi:type="dcterms:W3CDTF">2026-07-01T18:55:26Z</dcterms:modified>
</cp:coreProperties>
</file>