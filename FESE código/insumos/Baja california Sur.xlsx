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MNMB DOCUMENTS\Reportes MENSUAL\2026\JULIO\"/>
    </mc:Choice>
  </mc:AlternateContent>
  <xr:revisionPtr revIDLastSave="0" documentId="13_ncr:1_{32C12805-B96E-4067-90F9-6B1D3099E6F7}" xr6:coauthVersionLast="47" xr6:coauthVersionMax="47" xr10:uidLastSave="{00000000-0000-0000-0000-000000000000}"/>
  <workbookProtection workbookPassword="CC15" lockStructure="1"/>
  <bookViews>
    <workbookView xWindow="-120" yWindow="-120" windowWidth="29040" windowHeight="15840" tabRatio="892" activeTab="6" xr2:uid="{00000000-000D-0000-FFFF-FFFF00000000}"/>
  </bookViews>
  <sheets>
    <sheet name="PORTADA" sheetId="1" r:id="rId1"/>
    <sheet name="PRESENTACIÓN" sheetId="2" r:id="rId2"/>
    <sheet name="INSTRUCCIONES" sheetId="3" r:id="rId3"/>
    <sheet name="Lista" sheetId="5" state="hidden" r:id="rId4"/>
    <sheet name="Datos" sheetId="6" state="hidden" r:id="rId5"/>
    <sheet name="RESUMEN" sheetId="7" r:id="rId6"/>
    <sheet name="C01" sheetId="4" r:id="rId7"/>
    <sheet name="C02" sheetId="8" r:id="rId8"/>
    <sheet name="C03" sheetId="9" r:id="rId9"/>
  </sheets>
  <definedNames>
    <definedName name="_xlnm.Print_Area" localSheetId="6">'C01'!$B$1:$D$302</definedName>
    <definedName name="_xlnm.Print_Area" localSheetId="7">'C02'!$B$1:$D$302</definedName>
    <definedName name="_xlnm.Print_Area" localSheetId="8">'C03'!$B$1:$D$302</definedName>
    <definedName name="_xlnm.Print_Area" localSheetId="2">INSTRUCCIONES!$B$1:$O$24</definedName>
    <definedName name="_xlnm.Print_Area" localSheetId="0">PORTADA!$B$2:$K$41</definedName>
    <definedName name="_xlnm.Print_Area" localSheetId="1">PRESENTACIÓN!$B$2:$O$52</definedName>
    <definedName name="_xlnm.Print_Area" localSheetId="5">RESUMEN!$A$1:$G$22</definedName>
    <definedName name="Z_857CB3B9_618A_49FD_8D38_75EE2A4021B4_.wvu.PrintArea" localSheetId="6" hidden="1">'C01'!$B$1:$D$302</definedName>
    <definedName name="Z_857CB3B9_618A_49FD_8D38_75EE2A4021B4_.wvu.PrintArea" localSheetId="7" hidden="1">'C02'!$B$1:$D$302</definedName>
    <definedName name="Z_857CB3B9_618A_49FD_8D38_75EE2A4021B4_.wvu.PrintArea" localSheetId="8" hidden="1">'C03'!$B$1:$D$302</definedName>
    <definedName name="Z_857CB3B9_618A_49FD_8D38_75EE2A4021B4_.wvu.PrintArea" localSheetId="2" hidden="1">INSTRUCCIONES!$B$4:$O$24</definedName>
    <definedName name="Z_857CB3B9_618A_49FD_8D38_75EE2A4021B4_.wvu.PrintArea" localSheetId="0" hidden="1">PORTADA!$B$2:$K$41</definedName>
    <definedName name="Z_857CB3B9_618A_49FD_8D38_75EE2A4021B4_.wvu.PrintArea" localSheetId="1" hidden="1">PRESENTACIÓN!$B$4:$O$52</definedName>
    <definedName name="Z_857CB3B9_618A_49FD_8D38_75EE2A4021B4_.wvu.PrintArea" localSheetId="5" hidden="1">RESUMEN!$A$1:$G$22</definedName>
  </definedNames>
  <calcPr calcId="191029"/>
  <customWorkbookViews>
    <customWorkbookView name="Salas Romero Moises - Vista personalizada" guid="{857CB3B9-618A-49FD-8D38-75EE2A4021B4}" mergeInterval="0" personalView="1" maximized="1" windowWidth="1916" windowHeight="775" tabRatio="523" activeSheetId="4"/>
  </customWorkbookViews>
</workbook>
</file>

<file path=xl/calcChain.xml><?xml version="1.0" encoding="utf-8"?>
<calcChain xmlns="http://schemas.openxmlformats.org/spreadsheetml/2006/main">
  <c r="F16" i="7" l="1"/>
  <c r="E16" i="7"/>
  <c r="B16" i="7"/>
  <c r="G16" i="7"/>
  <c r="D16" i="7"/>
  <c r="D14" i="9"/>
  <c r="D13" i="9"/>
  <c r="D302" i="8"/>
  <c r="D14" i="8"/>
  <c r="D13" i="8"/>
  <c r="D14" i="4"/>
  <c r="D13" i="4"/>
  <c r="A16" i="7" l="1"/>
  <c r="D302" i="4"/>
  <c r="C16" i="7"/>
  <c r="D302" i="9"/>
  <c r="C13" i="7" l="1"/>
  <c r="D20" i="7" s="1"/>
  <c r="E20" i="7" l="1"/>
  <c r="B20" i="7"/>
  <c r="F20" i="7"/>
  <c r="A20" i="7"/>
  <c r="G20" i="7"/>
  <c r="C20" i="7"/>
</calcChain>
</file>

<file path=xl/sharedStrings.xml><?xml version="1.0" encoding="utf-8"?>
<sst xmlns="http://schemas.openxmlformats.org/spreadsheetml/2006/main" count="1065" uniqueCount="428">
  <si>
    <t>CENTRO NACIONAL DE INFORMACIÓN</t>
  </si>
  <si>
    <t>Total</t>
  </si>
  <si>
    <t>CENTRO DE ATENCIÓN DE LLAMADAS DE EMERGENCIAS</t>
  </si>
  <si>
    <t>Administración</t>
  </si>
  <si>
    <t>Estatal</t>
  </si>
  <si>
    <t>Municipal</t>
  </si>
  <si>
    <t>Morelos</t>
  </si>
  <si>
    <t>Estados</t>
  </si>
  <si>
    <t>Año</t>
  </si>
  <si>
    <t>Mes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</si>
  <si>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</si>
  <si>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</si>
  <si>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</si>
  <si>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</si>
  <si>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</si>
  <si>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</si>
  <si>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</si>
  <si>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</si>
  <si>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</si>
  <si>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</si>
  <si>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</si>
  <si>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</si>
  <si>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AGUASCALIENTES</t>
  </si>
  <si>
    <t>BAJA CALIFORNIA</t>
  </si>
  <si>
    <t>BAJA CALIFORNIA SUR</t>
  </si>
  <si>
    <t>CAMPECHE</t>
  </si>
  <si>
    <t>COAHUILA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</si>
  <si>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</si>
  <si>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</si>
  <si>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</si>
  <si>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</si>
  <si>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</si>
  <si>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</si>
  <si>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</si>
  <si>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HIDALGO</t>
  </si>
  <si>
    <t>JALISCO</t>
  </si>
  <si>
    <t>MÉXICO</t>
  </si>
  <si>
    <t>MICHOACÁN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</si>
  <si>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</si>
  <si>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</si>
  <si>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</si>
  <si>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</si>
  <si>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</si>
  <si>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</si>
  <si>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</si>
  <si>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</si>
  <si>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</si>
  <si>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</si>
  <si>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</si>
  <si>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</si>
  <si>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</si>
  <si>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</t>
  </si>
  <si>
    <t>YUCATÁN</t>
  </si>
  <si>
    <t>ZACATECAS</t>
  </si>
  <si>
    <t>Centro Nacional de Información</t>
  </si>
  <si>
    <t xml:space="preserve">PRESENTACIÓN </t>
  </si>
  <si>
    <t>OBJETIVO</t>
  </si>
  <si>
    <t>REPORTE ESTADÍSTICO MENSUAL DEL NÚMERO DE LLAMADAS GENERADAS
 EN EL SERVICIO DE ATENCIÓN DE LLAMADAS DE EMERGENCIA 066</t>
  </si>
  <si>
    <t xml:space="preserve">Ley General del Sistema Nacional de Seguridad Pública
</t>
  </si>
  <si>
    <t xml:space="preserve">Acuerdo Nacional por la Seguridad, la Justicia y la Legalidad
</t>
  </si>
  <si>
    <t xml:space="preserve">Acuerdos aprobados por el Consejo Nacional de Seguridad Pública en su Trigésima Primera Sesión.
</t>
  </si>
  <si>
    <t xml:space="preserve">Reglamento del Secretariado Ejecutivo del Sistema Nacional de Seguridad Pública.
</t>
  </si>
  <si>
    <t>Alcance</t>
  </si>
  <si>
    <t>|</t>
  </si>
  <si>
    <t>INSTRUCTIVO</t>
  </si>
  <si>
    <t>INSTRUCCIONES DE LLENADO</t>
  </si>
  <si>
    <t xml:space="preserve">Integrar, análisar  y explotar  la información generada de los tipos de incidentes de los Centros de Atención de Llamadas de Emergencia 066  que operan a nivel nacional.
</t>
  </si>
  <si>
    <r>
      <rPr>
        <b/>
        <sz val="14"/>
        <color theme="1"/>
        <rFont val="Calibri"/>
        <family val="2"/>
        <scheme val="minor"/>
      </rPr>
      <t>Artículo 111.-</t>
    </r>
    <r>
      <rPr>
        <sz val="14"/>
        <color theme="1"/>
        <rFont val="Calibri"/>
        <family val="2"/>
        <scheme val="minor"/>
      </rPr>
      <t xml:space="preserve"> La Federación, los Estados, el Distrito Federal y los Municipios, realizarán los trabajos para lograr la compatibilidad de los servicios de telecomunicaciones de su Red Local correspondiente, con las bases de datos criminalísticos y de personal del Sistema, previstas en la presente Ley. 
El servicio de llamadas de emergencia y el servicio de denuncia anónima operarán con un número único de atención a la ciudadanía. El Secretario Ejecutivo adoptará las medidas necesarias para la homologación de los servicios.”
</t>
    </r>
  </si>
  <si>
    <t>Homologar la información sobre incidencia delictiva que generan los centros de atención de llamadas de emergencia, así como generar una base de datos nacional con información estadística.</t>
  </si>
  <si>
    <r>
      <rPr>
        <b/>
        <sz val="14"/>
        <color theme="1"/>
        <rFont val="Calibri"/>
        <family val="2"/>
        <scheme val="minor"/>
      </rPr>
      <t>Artículo 12.</t>
    </r>
    <r>
      <rPr>
        <sz val="14"/>
        <color theme="1"/>
        <rFont val="Calibri"/>
        <family val="2"/>
        <scheme val="minor"/>
      </rPr>
      <t xml:space="preserve">- El Centro Nacional de Información, además de las atribuciones que le confiere la Ley, tendrá las siguientes:
</t>
    </r>
    <r>
      <rPr>
        <b/>
        <sz val="14"/>
        <color theme="1"/>
        <rFont val="Calibri"/>
        <family val="2"/>
        <scheme val="minor"/>
      </rPr>
      <t>VII.</t>
    </r>
    <r>
      <rPr>
        <sz val="14"/>
        <color theme="1"/>
        <rFont val="Calibri"/>
        <family val="2"/>
        <scheme val="minor"/>
      </rPr>
      <t xml:space="preserve"> Determinar las estrategias tendientes a satisfacer las necesidades de información y procesamiento
de datos, requeridas por las Instituciones de Seguridad Pública;
</t>
    </r>
    <r>
      <rPr>
        <b/>
        <sz val="14"/>
        <color theme="1"/>
        <rFont val="Calibri"/>
        <family val="2"/>
        <scheme val="minor"/>
      </rPr>
      <t>VIII.</t>
    </r>
    <r>
      <rPr>
        <sz val="14"/>
        <color theme="1"/>
        <rFont val="Calibri"/>
        <family val="2"/>
        <scheme val="minor"/>
      </rPr>
      <t xml:space="preserve"> Definir las medidas necesarias para la operación de los servicios de emergencia y denuncia anónima a través de un número único de atención ciudadana; así como determinar nuevas aplicaciones para su homologación;
</t>
    </r>
    <r>
      <rPr>
        <b/>
        <sz val="14"/>
        <color theme="1"/>
        <rFont val="Calibri"/>
        <family val="2"/>
        <scheme val="minor"/>
      </rPr>
      <t>XXI.</t>
    </r>
    <r>
      <rPr>
        <sz val="14"/>
        <color theme="1"/>
        <rFont val="Calibri"/>
        <family val="2"/>
        <scheme val="minor"/>
      </rPr>
      <t xml:space="preserve"> Incorporar al Sistema Nacional de Información de Seguridad Pública la información contenida en otras bases de datos que contribuyan a los fines de la seguridad pública;</t>
    </r>
  </si>
  <si>
    <t xml:space="preserve"> Secretariado Ejecutivo del Sistema Nacional de Seguridad Pública</t>
  </si>
  <si>
    <t>Hidalgo</t>
  </si>
  <si>
    <t>Cantidad</t>
  </si>
  <si>
    <t>Incidente</t>
  </si>
  <si>
    <t>ID</t>
  </si>
  <si>
    <t>CONVULSIONES</t>
  </si>
  <si>
    <t>PERSONA TIRADA EN VÍA PÚBLICA</t>
  </si>
  <si>
    <t>QUEMADURAS</t>
  </si>
  <si>
    <t>AFECTACIÓN DE LOS SERVICIOS BÁSICOS O DE INFRAESTRUCTURA ESTRATÉGICA</t>
  </si>
  <si>
    <t>ANIMAL PELIGROSO</t>
  </si>
  <si>
    <t>ANIMALES SUELTOS</t>
  </si>
  <si>
    <t>EPIDEMIAS</t>
  </si>
  <si>
    <t>EXPLOSIÓN</t>
  </si>
  <si>
    <t>TRANSPORTE DE SUSTANCIAS PELIGROSAS</t>
  </si>
  <si>
    <t>CONTAMINACIÓN DE SUELO, AIRE Y AGUA</t>
  </si>
  <si>
    <t>DERRUMBES</t>
  </si>
  <si>
    <t>ENJAMBRE DE ABEJAS</t>
  </si>
  <si>
    <t>ERUPCIÓN O EMISIONES VOLCÁNICAS</t>
  </si>
  <si>
    <t>FRENTES FRÍOS, BAJAS TEMPERATURAS, NEVADAS Y HELADAS</t>
  </si>
  <si>
    <t>HURACANES</t>
  </si>
  <si>
    <t>INUNDACIONES</t>
  </si>
  <si>
    <t>PLAGAS</t>
  </si>
  <si>
    <t>SISMO</t>
  </si>
  <si>
    <t>TALA ILEGAL</t>
  </si>
  <si>
    <t>TORNADOS</t>
  </si>
  <si>
    <t>TSUNAMI</t>
  </si>
  <si>
    <t>OBJETO SOSPECHOSO O PELIGROSO</t>
  </si>
  <si>
    <t>DETONACIÓN DE EXPLOSIVOS</t>
  </si>
  <si>
    <t>ENFRENTAMIENTO DE GRUPOS ARMADOS</t>
  </si>
  <si>
    <t>PORTACIÓN DE ARMAS O CARTUCHOS</t>
  </si>
  <si>
    <t>AERONAVE SOSPECHOSA</t>
  </si>
  <si>
    <t>ARRANCONES O CARRERAS DE VEHÍCULOS</t>
  </si>
  <si>
    <t>CIRCULAR EN SENTIDO CONTRARIO</t>
  </si>
  <si>
    <t>VEHÍCULO A EXCESO DE VELOCIDAD</t>
  </si>
  <si>
    <t>VEHÍCULO EN HUIDA</t>
  </si>
  <si>
    <t>VEHÍCULO SOSPECHOSO</t>
  </si>
  <si>
    <t>DAÑO A PROPIEDAD AJENA</t>
  </si>
  <si>
    <t>DESPOJO</t>
  </si>
  <si>
    <t>EXTORSIÓN</t>
  </si>
  <si>
    <t>FRAUDE</t>
  </si>
  <si>
    <t>ROBO DE COMBUSTIBLE O TOMA CLANDESTINA DE DUCTOS</t>
  </si>
  <si>
    <t>ROBO A CAJERO AUTOMÁTICO</t>
  </si>
  <si>
    <t>ROBO DE GANADO</t>
  </si>
  <si>
    <t>ROBO A CASA HABITACIÓN CON VIOLENCIA</t>
  </si>
  <si>
    <t>ROBO A CASA HABITACIÓN SIN VIOLENCIA</t>
  </si>
  <si>
    <t>ROBO A ESCUELA CON VIOLENCIA</t>
  </si>
  <si>
    <t>ROBO A ESCUELA SIN VIOLENCIA</t>
  </si>
  <si>
    <t>ROBO A GASOLINERA CON VIOLENCIA</t>
  </si>
  <si>
    <t>ROBO A GASOLINERA SIN VIOLENCIA</t>
  </si>
  <si>
    <t>ROBO A NEGOCIO CON VIOLENCIA</t>
  </si>
  <si>
    <t>ROBO A NEGOCIO SIN VIOLENCIA</t>
  </si>
  <si>
    <t>ROBO A TRANSEÚNTE CON VIOLENCIA</t>
  </si>
  <si>
    <t>ROBO A TRANSEÚNTE SIN VIOLENCIA</t>
  </si>
  <si>
    <t>ROBO EN TRANSPORTE PÚBLICO COLECTIVO CON VIOLENCIA</t>
  </si>
  <si>
    <t>ROBO EN TRANSPORTE PÚBLICO COLECTIVO SIN VIOLENCIA</t>
  </si>
  <si>
    <t>ROBO EN TRANSPORTE PÚBLICO INDIVIDUAL CON VIOLENCIA</t>
  </si>
  <si>
    <t>ROBO EN TRANSPORTE PÚBLICO INDIVIDUAL SIN VIOLENCIA</t>
  </si>
  <si>
    <t>ROBO A TRANSPORTISTA CON VIOLENCIA</t>
  </si>
  <si>
    <t>ROBO A TRANSPORTISTA SIN VIOLENCIA</t>
  </si>
  <si>
    <t>ROBO DE VEHÍCULO PARTICULAR CON VIOLENCIA</t>
  </si>
  <si>
    <t>ROBO DE VEHÍCULO PARTICULAR SIN VIOLENCIA</t>
  </si>
  <si>
    <t>ROBO EN CARRETERA CON VIOLENCIA</t>
  </si>
  <si>
    <t>ROBO EN CARRETERA SIN VIOLENCIA</t>
  </si>
  <si>
    <t>ROBO A BANCO CON VIOLENCIA</t>
  </si>
  <si>
    <t>ROBO A BANCO SIN VIOLENCIA</t>
  </si>
  <si>
    <t>ROBO A CASA DE CAMBIO CON VIOLENCIA</t>
  </si>
  <si>
    <t>ROBO A CASA DE CAMBIO SIN VIOLENCIA</t>
  </si>
  <si>
    <t>ROBO A EMPRESA DE TRASLADO DE VALORES CON VIOLENCIA</t>
  </si>
  <si>
    <t>ROBO A EMPRESA DE TRASLADO DE VALORES SIN VIOLENCIA</t>
  </si>
  <si>
    <t>ROBO A FERROCARRIL</t>
  </si>
  <si>
    <t>ABANDONO DE PERSONA</t>
  </si>
  <si>
    <t>VIOLENCIA DE PAREJA</t>
  </si>
  <si>
    <t>VIOLENCIA FAMILIAR</t>
  </si>
  <si>
    <t>MENOR EXTRAVIADO</t>
  </si>
  <si>
    <t>PERSONA NO LOCALIZADA</t>
  </si>
  <si>
    <t>PRIVACIÓN DE LA LIBERTAD</t>
  </si>
  <si>
    <t>REHENES</t>
  </si>
  <si>
    <t>SUSTRACCIÓN DE MENORES</t>
  </si>
  <si>
    <t>TRÁFICO DE MENORES</t>
  </si>
  <si>
    <t>ABUSO SEXUAL</t>
  </si>
  <si>
    <t>ACOSO U HOSTIGAMIENTO SEXUAL</t>
  </si>
  <si>
    <t>ATAQUES AL PUDOR</t>
  </si>
  <si>
    <t>ESTUPRO</t>
  </si>
  <si>
    <t>EXPLOTACIÓN DE MENORES</t>
  </si>
  <si>
    <t>TRATA DE MENORES</t>
  </si>
  <si>
    <t>VIOLACIÓN</t>
  </si>
  <si>
    <t>ACTOS DE COMERCIALIZACIÓN ILEGAL DE SANGRE, ÓRGANOS Y TEJIDOS HUMANOS</t>
  </si>
  <si>
    <t>ASOCIACIÓN DELICTUOSA O PANDILLERISMO</t>
  </si>
  <si>
    <t>CORRUPCIÓN DE MENORES</t>
  </si>
  <si>
    <t>TRATA DE PERSONAS</t>
  </si>
  <si>
    <t>AMENAZA DE SUICIDIO</t>
  </si>
  <si>
    <t>HOMICIDIO</t>
  </si>
  <si>
    <t>PERSONA AGRESIVA</t>
  </si>
  <si>
    <t>SUICIDIO</t>
  </si>
  <si>
    <t>VIOLENCIA CONTRA LA MUJER</t>
  </si>
  <si>
    <t>ALLANAMIENTO DE MORADA</t>
  </si>
  <si>
    <t>DAÑO A BIENES PÚBLICOS, INSTITUCIONES, MONUMENTOS, ENTRE OTROS</t>
  </si>
  <si>
    <t>DESCARGA DE DESECHOS SIN PERMISOS</t>
  </si>
  <si>
    <t>ELECTORALES</t>
  </si>
  <si>
    <t>FUGA DE REOS</t>
  </si>
  <si>
    <t>NARCOMENUDEO</t>
  </si>
  <si>
    <t>USURPACIÓN DE IDENTIDAD</t>
  </si>
  <si>
    <t>VENTA CLANDESTINA DE PIROTECNIA, COHETES O FUEGOS ARTIFICIALES</t>
  </si>
  <si>
    <t>ALTERACIÓN DEL ORDEN PÚBLICO POR PERSONA ALCOHOLIZADA</t>
  </si>
  <si>
    <t>ALTERACIÓN DEL ORDEN PÚBLICO POR PERSONA DROGADA</t>
  </si>
  <si>
    <t>AMENAZA DE BOMBA</t>
  </si>
  <si>
    <t>CONDUCTOR EBRIO</t>
  </si>
  <si>
    <t>CONSUMO DE ALCOHOL EN VÍA PÚBLICA</t>
  </si>
  <si>
    <t>CONSUMO DE DROGAS EN VÍA PÚBLICA</t>
  </si>
  <si>
    <t>MANIFESTACIÓN CON DISTURBIOS O BLOQUEOS</t>
  </si>
  <si>
    <t>MITIN</t>
  </si>
  <si>
    <t>PELEA CLANDESTINA CON ANIMALES</t>
  </si>
  <si>
    <t>PERSONA EXHIBICIONISTA</t>
  </si>
  <si>
    <t>RUIDO EXCESIVO</t>
  </si>
  <si>
    <t>PERSONA SOSPECHOSA</t>
  </si>
  <si>
    <t>TERRORISMO O ATENTADO</t>
  </si>
  <si>
    <t>MALTRATO DE ANIMALES</t>
  </si>
  <si>
    <t>PERSONA EN SITUACIÓN DE CALLE</t>
  </si>
  <si>
    <t>CAÍDA DE BARDA</t>
  </si>
  <si>
    <t>FALLA DE ALUMBRADO PÚBLICO</t>
  </si>
  <si>
    <t>FALLAS DE SEMÁFORO</t>
  </si>
  <si>
    <t>VIALIDAD EN MAL ESTADO</t>
  </si>
  <si>
    <t>ALCANTARILLA SIN TAPA</t>
  </si>
  <si>
    <t>ÁRBOL CAÍDO O POR CAER</t>
  </si>
  <si>
    <t>ANIMAL MUERTO</t>
  </si>
  <si>
    <t>CABLES COLGANDO</t>
  </si>
  <si>
    <t>CAÍDA DE ANUNCIO O ESPECTACULAR</t>
  </si>
  <si>
    <t>CORTO CIRCUITO</t>
  </si>
  <si>
    <t>GRAVA SUELTA</t>
  </si>
  <si>
    <t>LLAMADA DE PRUEBA</t>
  </si>
  <si>
    <t>LLAMADA INCOMPLETA</t>
  </si>
  <si>
    <t>TRANSFERENCIA DE LLAMADA</t>
  </si>
  <si>
    <t>ENTIDAD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</si>
  <si>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</si>
  <si>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</si>
  <si>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</si>
  <si>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</si>
  <si>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</si>
  <si>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</si>
  <si>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</si>
  <si>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</si>
  <si>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Distrito Federal</t>
  </si>
  <si>
    <t>Durango</t>
  </si>
  <si>
    <t>Guanajuato</t>
  </si>
  <si>
    <t>Guerrero</t>
  </si>
  <si>
    <t>Jalisco</t>
  </si>
  <si>
    <t>México</t>
  </si>
  <si>
    <t>Michoacán de Ocampo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</si>
  <si>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</si>
  <si>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</si>
  <si>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</si>
  <si>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</si>
  <si>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</si>
  <si>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</si>
  <si>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</si>
  <si>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</si>
  <si>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</si>
  <si>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</si>
  <si>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</si>
  <si>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</si>
  <si>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</si>
  <si>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</si>
  <si>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</si>
  <si>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Federal</t>
  </si>
  <si>
    <t>REPORTE ESTADÍSTICO MENSUAL DEL NÚMERO DE LLAMADAS GENERADAS
 EN EL SERVICIO DE ATENCIÓN DE LLAMADAS DE EMERGENCIA 911</t>
  </si>
  <si>
    <t xml:space="preserve">La información de la estadística generada en el Centro de Atención de Llamadas de Emergencia 911, es a mes vencido.
</t>
  </si>
  <si>
    <r>
      <rPr>
        <b/>
        <sz val="14"/>
        <color theme="1"/>
        <rFont val="Calibri"/>
        <family val="2"/>
        <scheme val="minor"/>
      </rPr>
      <t>10/XXXVII/14</t>
    </r>
    <r>
      <rPr>
        <sz val="14"/>
        <color theme="1"/>
        <rFont val="Calibri"/>
        <family val="2"/>
        <scheme val="minor"/>
      </rPr>
      <t xml:space="preserve">. El Consejo Nacional de Seguridad Pública aprueba la consolidación de un servicio homologado para la atención de llamadas de emergencia en todo el país, que opere de manera estandarizada a nivel nacional, reduzca los tiempos de atención y mejore la calidad del servicio prestado a la ciudadanía. Para ello, se instruye al Secretariado Ejecutivo del Sistema Nacional de Seguridad Pública a realizar un diagnóstico a nivel nacional y, con base en éste, diseñar el programa que definirá las acciones y metas que las autoridades de los tres órdenes de gobierno deberán de cumplir a fin de ejecutar dicho acuerdo, así como las etapas y tiempos para la homologación del servicio y la desaparición progresiva de los números de atención de emergencia actuales.                                                                                                                                                                                                                                                                                                                                                                                                                                                                                                                            
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4"/>
        <color theme="1"/>
        <rFont val="Calibri"/>
        <family val="2"/>
        <scheme val="minor"/>
      </rPr>
      <t>Acuerdo 12/XXXVIII/15</t>
    </r>
    <r>
      <rPr>
        <b/>
        <sz val="12"/>
        <color theme="1"/>
        <rFont val="Calibri"/>
        <family val="2"/>
        <scheme val="minor"/>
      </rPr>
      <t>.</t>
    </r>
    <r>
      <rPr>
        <b/>
        <sz val="14"/>
        <color theme="1"/>
        <rFont val="Calibri"/>
        <family val="2"/>
        <scheme val="minor"/>
      </rPr>
      <t xml:space="preserve"> Catálogo Nacional de Incidentes de Emergencia e integración de Base Nacional.</t>
    </r>
    <r>
      <rPr>
        <sz val="14"/>
        <color theme="1"/>
        <rFont val="Calibri"/>
        <family val="2"/>
        <scheme val="minor"/>
      </rPr>
      <t xml:space="preserve">
</t>
    </r>
    <r>
      <rPr>
        <b/>
        <sz val="14"/>
        <color theme="1"/>
        <rFont val="Calibri"/>
        <family val="2"/>
        <scheme val="minor"/>
      </rPr>
      <t>En el marco del Acuerdo 10/XXXVII/14</t>
    </r>
    <r>
      <rPr>
        <sz val="14"/>
        <color theme="1"/>
        <rFont val="Calibri"/>
        <family val="2"/>
        <scheme val="minor"/>
      </rPr>
      <t xml:space="preserve">, el Consejo Nacional de Seguridad Pública aprueba el Catálogo Nacional de Incidentes de Emergencia y su implementación obligatoria en los Servicios de Atención de Llamadas de Emergencia a nivel nacional, con base en los términos y plazos que determine el Secretariado Ejecutivo del Sistema Nacional de Seguridad Pública.
Asimismo, se instruye a los responsables de los Servicios de Atención de Llamadas de Emergencia, a que proporcionen al Secretariado Ejecutivo del Sistema Nacional de Seguridad Pública, información periódica sobre sus incidentes, con base en dicho Catálogo.
</t>
    </r>
  </si>
  <si>
    <t>REPORTE ESTADÍSTICO DEL NÚMERO DE LLAMADAS GENERADAS
 EN LOS SERVICIOS DE ATENCIÓN DE LLAMADAS DE EMERGENCIA 911</t>
  </si>
  <si>
    <t>Se deberá enviar en los 10 primeros días de cada mes</t>
  </si>
  <si>
    <r>
      <rPr>
        <b/>
        <sz val="14"/>
        <rFont val="Calibri"/>
        <family val="2"/>
        <scheme val="minor"/>
      </rPr>
      <t>Ingrese</t>
    </r>
    <r>
      <rPr>
        <sz val="14"/>
        <rFont val="Calibri"/>
        <family val="2"/>
        <scheme val="minor"/>
      </rPr>
      <t xml:space="preserve"> en la columna "cantidad" el número total de eventos occurridos</t>
    </r>
  </si>
  <si>
    <t>Una vez concluida su captura, guarde los cambios y envíe al correo electrónico correspondiente</t>
  </si>
  <si>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la Hoja que corresponda al Centro de Atencion a Llamadas de Emergencia a reportar</t>
    </r>
  </si>
  <si>
    <r>
      <t xml:space="preserve">En el espacio "MES", </t>
    </r>
    <r>
      <rPr>
        <b/>
        <sz val="14"/>
        <color theme="1"/>
        <rFont val="Calibri"/>
        <family val="2"/>
        <scheme val="minor"/>
      </rPr>
      <t>elija</t>
    </r>
    <r>
      <rPr>
        <sz val="14"/>
        <color theme="1"/>
        <rFont val="Calibri"/>
        <family val="2"/>
        <scheme val="minor"/>
      </rPr>
      <t xml:space="preserve"> el mes (vencido) de la información que se remite en el archivo electrónico al Centro Nacional de Información.</t>
    </r>
  </si>
  <si>
    <t>Nombre de la Entidad Federativa:</t>
  </si>
  <si>
    <t>Año:</t>
  </si>
  <si>
    <t>Mes:</t>
  </si>
  <si>
    <t>Tipo de Administración:</t>
  </si>
  <si>
    <t>Nombre del Centro:</t>
  </si>
  <si>
    <t>SECRETARIADO EJECUTIVO DEL SISTEMA NACIONAL DE SEGURIDAD PUBLICA</t>
  </si>
  <si>
    <t>RESUMEN ESTATAL DE LLAMADAS DE EMERGENCIA</t>
  </si>
  <si>
    <t>Total de Llamadas:</t>
  </si>
  <si>
    <t>Porcentaje de Llamadas por tipo Médico</t>
  </si>
  <si>
    <t>Porcentaje de Llamadas por Tipo Protección Civil</t>
  </si>
  <si>
    <t>Porcentaje de Llamadas por Tipo Seguridad</t>
  </si>
  <si>
    <t>Porcentaje de Llamadas por Tipo Servicios Públicos</t>
  </si>
  <si>
    <t>Porcentaje de Llamadas por Tipo Improcedentes</t>
  </si>
  <si>
    <t>Total de Llamadas por Tipo Médico</t>
  </si>
  <si>
    <t>Total de Llamadas por Tipo Protección Civil</t>
  </si>
  <si>
    <t>Total de Llamadas por Tipo Seguridad</t>
  </si>
  <si>
    <t>Total de Llamadas por Tipo Servicios Públicos</t>
  </si>
  <si>
    <t>Total de Llamadas por Tipo Improcedentes</t>
  </si>
  <si>
    <t>(FORMATO ELECTRÓNICO FESE)</t>
  </si>
  <si>
    <t xml:space="preserve">Formato electrónico FESE (Formato Estadístico de los Servicios de Emergencia)para el reporte estadístico mensual del número de llamadas generadas en el Servicio de Atención de Llamadas de Emergencia </t>
  </si>
  <si>
    <r>
      <rPr>
        <b/>
        <sz val="14"/>
        <color theme="1"/>
        <rFont val="Calibri"/>
        <family val="2"/>
        <scheme val="minor"/>
      </rPr>
      <t>Acuerdo 03/XXXVIII/15. Programas con Prioridad Nacional.</t>
    </r>
    <r>
      <rPr>
        <sz val="14"/>
        <color theme="1"/>
        <rFont val="Calibri"/>
        <family val="2"/>
        <scheme val="minor"/>
      </rPr>
      <t xml:space="preserve">
El Consejo Nacional de Seguridad Pública aprueba “Los Ejes Estratégicos del Sistema Nacional de Seguridad Pública y su estructura, así como los Programas con Prioridad Nacional para alcanzarlos, vinculados al ejercicio del fondo, subsidios y demás recursos de carácter federal que se otorguen a las Entidades Federativas, los Municipios y Demarcaciones Territoriales del Distrito Federal, en materia de seguridad pública”.</t>
    </r>
  </si>
  <si>
    <t>ALMACENAMIENTO DE SUSTANCIAS PELIGROSAS</t>
  </si>
  <si>
    <t xml:space="preserve">ACCIDENTE ACUÁTICO CON LESIONADOS   </t>
  </si>
  <si>
    <t xml:space="preserve">ACCIDENTE DE AERONAVE CON LESIONADOS </t>
  </si>
  <si>
    <t xml:space="preserve">ACCIDENTE DE MOTOCICLETA CON LESIONADOS </t>
  </si>
  <si>
    <t xml:space="preserve">ACCIDENTE DE VEHÍCULO AUTOMOTOR CON LESIONADOS   </t>
  </si>
  <si>
    <t xml:space="preserve">ACCIDENTE FERROVIARIO CON LESIONADOS </t>
  </si>
  <si>
    <t xml:space="preserve">ACCIDENTE FERROVIARIO CON FALLECIDO </t>
  </si>
  <si>
    <t xml:space="preserve">ACCIDENTE MÚLTIPLE CON LESIONADOS </t>
  </si>
  <si>
    <t xml:space="preserve">ACCIDENTE MÚLTIPLE CON FALLECIDO </t>
  </si>
  <si>
    <t xml:space="preserve">ACCIDENTE DE VEHÍCULO DE PASAJEROS CON LESIONADOS </t>
  </si>
  <si>
    <t xml:space="preserve">ACCIDENTE DE VEHÍCULO DE PASAJEROS CON FALLECIDO </t>
  </si>
  <si>
    <t xml:space="preserve">ACCIDENTE DE MOTOCICLETA CON FALLECIDO </t>
  </si>
  <si>
    <t xml:space="preserve">ACCIDENTE DE VEHÍCULO AUTOMOTOR CON FALLECIDO   </t>
  </si>
  <si>
    <t>ACCIDENTE DE AERONAVE CON FALLECIDO</t>
  </si>
  <si>
    <t>ACCIDENTE DE EMBARCACIONES CON LESIONADOS</t>
  </si>
  <si>
    <t>ACCIDENTE DE EMBARCACIONES CON FALLECIDO</t>
  </si>
  <si>
    <t xml:space="preserve">ATROPELLAMIENTO </t>
  </si>
  <si>
    <t xml:space="preserve">ACCIDENTE ACUÁTICO CON FALLECIDO   </t>
  </si>
  <si>
    <t xml:space="preserve">ACCIDENTES CON MATERIALES PELIGROSOS </t>
  </si>
  <si>
    <t>ACCIDENTES CON MATERIALES RADIOACTIVOS</t>
  </si>
  <si>
    <t xml:space="preserve">ACCIDENTES CON RIESGO BIOLÓGICO INFECTO-CONTAGIOSO </t>
  </si>
  <si>
    <t>OTROS ACCIDENTES CON LESIONADOS</t>
  </si>
  <si>
    <t xml:space="preserve">AHOGAMIENTO </t>
  </si>
  <si>
    <t xml:space="preserve">AMPUTACIÓN </t>
  </si>
  <si>
    <t xml:space="preserve">ASFIXIA   </t>
  </si>
  <si>
    <t>CAÍDA</t>
  </si>
  <si>
    <t>ELECTROCUTADO/ LESIÓN POR CORRIENTE ELÉCTRICA</t>
  </si>
  <si>
    <t xml:space="preserve">FRACTURADO/ TRAUMATISMO DE EXTREMIDADES </t>
  </si>
  <si>
    <t xml:space="preserve">HEMORRAGIA </t>
  </si>
  <si>
    <t xml:space="preserve">LESIONADO POR ARMA BLANCA </t>
  </si>
  <si>
    <t>LESIONADO POR PROYECTIL DE ARMA DE FUEGO</t>
  </si>
  <si>
    <t xml:space="preserve">MORDEDURA DE ANIMAL </t>
  </si>
  <si>
    <t xml:space="preserve">TRAUMATISMOS MÚLTIPLES </t>
  </si>
  <si>
    <t xml:space="preserve">TRAUMATISMO  DE CRÁNEO </t>
  </si>
  <si>
    <t>TRAUMATISMO DE TÓRAX (PECHO Y/ O ESPALDA)</t>
  </si>
  <si>
    <t>TRAUMATISMO ABDOMINAL</t>
  </si>
  <si>
    <t>TRAUMATISMO GENITAL Y/ O URINARIO</t>
  </si>
  <si>
    <t xml:space="preserve">CONGELAMIENTO / LESIONADO POR CONDICIONES AMBIENTALES </t>
  </si>
  <si>
    <t xml:space="preserve">HIPOTERMIA </t>
  </si>
  <si>
    <t>FALLECIDO DE CAUSA TRAUMÁTICA</t>
  </si>
  <si>
    <t>OTROS INCIDENTES MÉDICOS TRAUMÁTICOS</t>
  </si>
  <si>
    <t xml:space="preserve">TRABAJO DE PARTO </t>
  </si>
  <si>
    <t xml:space="preserve">AMENAZA DE ABORTO </t>
  </si>
  <si>
    <t xml:space="preserve">URGENCIA EN PACIENTE EMBARAZADA </t>
  </si>
  <si>
    <t>INFARTO CEREBRAL</t>
  </si>
  <si>
    <t xml:space="preserve">DIFICULTAD RESPIRATORIA/URGENCIA RESPIRATORIA </t>
  </si>
  <si>
    <t xml:space="preserve">INTOXICACIÓN ETÍLICA </t>
  </si>
  <si>
    <t xml:space="preserve">PERSONA INCONSCIENTE/ URGENCIA NEUROLÓGICA </t>
  </si>
  <si>
    <t>ENVENENAMIENTO POR ANIMAL DE PONZOÑA</t>
  </si>
  <si>
    <t xml:space="preserve">URGENCIA POR ENFERMEDAD GENERAL </t>
  </si>
  <si>
    <t xml:space="preserve">DOLOR ABDOMINAL / URGENCIA ABDOMINAL </t>
  </si>
  <si>
    <t>DESCOMPENSACIÓN DE LA DIABETES/ DESHIDRATACIÓN</t>
  </si>
  <si>
    <t xml:space="preserve">PARO CARDIORRESPIRATORIO </t>
  </si>
  <si>
    <t xml:space="preserve">INFARTO / URGENCIA CARDIOLÓGICA </t>
  </si>
  <si>
    <t xml:space="preserve">INTOXICACIÓN/ SOBREDOSIS / ENVENENAMIENTO POR SUSTANCIAS </t>
  </si>
  <si>
    <t>OTROS INCIDENTES MÉDICOS CLÍNICOS</t>
  </si>
  <si>
    <t>FALLECIDO DE CAUSA NATURAL</t>
  </si>
  <si>
    <t xml:space="preserve">PERSONA EN CRISIS POR TRASTORNO MENTAL  </t>
  </si>
  <si>
    <t>ACCIDENTE FERROVIARIO SIN LESIONADOS</t>
  </si>
  <si>
    <t>FUGAS Y DERRAMES EN ESCUELA</t>
  </si>
  <si>
    <t>ENCHARCAMIENTO/ DESBORDAMIENTO DE RIO</t>
  </si>
  <si>
    <t>FUGAS Y DERRAMES DE SUSTANCIAS QUÍMICAS</t>
  </si>
  <si>
    <t>HUNDIMIENTOS / AGRIETAMIENTOS/ INESTABILIDAD DE LADERA</t>
  </si>
  <si>
    <t>GASES TÓXICOS</t>
  </si>
  <si>
    <t>OLORES FÉTIDOS</t>
  </si>
  <si>
    <t>MATERIALES PELIGROSOS O RADIOACTIVOS</t>
  </si>
  <si>
    <t>TORMENTAS DE GRANIZO /DE NIEVE</t>
  </si>
  <si>
    <t>VIENTO / TORMENTA DE POLVO</t>
  </si>
  <si>
    <t>INCENDIO DE CASA HABITACIÓN</t>
  </si>
  <si>
    <t>INCENDIO EN ESCUELA</t>
  </si>
  <si>
    <t>INCENDIO DE VEHÍCULO</t>
  </si>
  <si>
    <t>INCENDIO DE COMERCIO</t>
  </si>
  <si>
    <t>INCENDIO DE EDIFICIO</t>
  </si>
  <si>
    <t>INCENDIO A BORDO DE EMBARCACIÓN</t>
  </si>
  <si>
    <t>INCENDIO FORESTAL</t>
  </si>
  <si>
    <t xml:space="preserve">QUEMA URBANA </t>
  </si>
  <si>
    <t>QUEMA AGROPECUARIA</t>
  </si>
  <si>
    <t>INCENDIO DE FÁBRICA O INDUSTRIA</t>
  </si>
  <si>
    <t>OTROS INCENDIOS</t>
  </si>
  <si>
    <t>NAUFRAGIO/ HUNDIMIENTO / VARADURA DE EMBARCACIÓN</t>
  </si>
  <si>
    <t>PERSONA ATRAPADA</t>
  </si>
  <si>
    <t>RESCATE ANIMAL</t>
  </si>
  <si>
    <t>OTROS RESCATES</t>
  </si>
  <si>
    <t>VEHÍCULO ABANDONADO</t>
  </si>
  <si>
    <t>PERSONA ARMADA EN ESCUELA</t>
  </si>
  <si>
    <t xml:space="preserve">DETONACIÓN  DE COHETES O FUEGOS ARTIFICIALES </t>
  </si>
  <si>
    <t>DETONACIÓN DE ARMA DE FUEGO EN ESCUELA</t>
  </si>
  <si>
    <t>TRÁFICO DE ARMAS</t>
  </si>
  <si>
    <t>BLOQUEO O CORTE DE VÍAS DE COMUNICACIÓN</t>
  </si>
  <si>
    <t>VEHÍCULO DESCOMPUESTO</t>
  </si>
  <si>
    <t>ACCIDENTE DE TRÁNSITO SIN LESIONADOS</t>
  </si>
  <si>
    <t>OTRAS FALTAS A REGLAMENTO DE TRÁNSITO</t>
  </si>
  <si>
    <t>OTRAS ALARMAS DE EMERGENCIAS ACTIVADAS</t>
  </si>
  <si>
    <t>BOTÓN  DE EMERGENCIA ACTIVADO</t>
  </si>
  <si>
    <t>CRISTALAZO O ROBO AL INTERIOR DE VEHÍCULO</t>
  </si>
  <si>
    <t>EXTORSIÓN TELEFÓNICA</t>
  </si>
  <si>
    <t>ACTIVACIÓN DE ALARMA EN ESCUELA</t>
  </si>
  <si>
    <t>ROBO DE AUTOPARTES O ACCESORIOS</t>
  </si>
  <si>
    <t>ROBO  DE PLACA</t>
  </si>
  <si>
    <t>ROBO A TRANSPORTE ESCOLAR CON VIOLENCIA</t>
  </si>
  <si>
    <t>ROBO A TRANSPORTE ESCOLAR SIN VIOLENCIA</t>
  </si>
  <si>
    <t>ROBO A EMBARCACIONES Y PIRATERÍA</t>
  </si>
  <si>
    <t>TRANSPORTE ILEGAL DE COMBUSTIBLE</t>
  </si>
  <si>
    <t>ROBO DE ARTE SACRO</t>
  </si>
  <si>
    <t>OTROS ACTOS RELACIONADOS CON EL PATRIMONIO</t>
  </si>
  <si>
    <t>OTROS ACTOS RELACIONADOS CON LA FAMILIA</t>
  </si>
  <si>
    <t>MALTRATO INFANTIL</t>
  </si>
  <si>
    <t>ROBO DE INFANTE</t>
  </si>
  <si>
    <t>PERSONA DETENIDA</t>
  </si>
  <si>
    <t>OTROS ACTOS RELACIONADOS CON LA LIBERTAD PERSONAL</t>
  </si>
  <si>
    <t>TENTATIVA DE PRIVACIÓN DE LA LIBERTAD</t>
  </si>
  <si>
    <t>NOTIFICACIÓN DE CIBER INCIDENTE</t>
  </si>
  <si>
    <t xml:space="preserve">OTROS ACTOS RELACIONADOS CON LA LIBERTAD Y LA SEGURIDAD SEXUAL </t>
  </si>
  <si>
    <t>TRÁFICO DE PERSONAS/INDOCUMENTADAS</t>
  </si>
  <si>
    <t>OTROS ACTOS RELACIONADOS CON LA SEGURIDAD COLECTIVA</t>
  </si>
  <si>
    <t>MOTÍN</t>
  </si>
  <si>
    <t>VENTA ILEGAL DE COMBUSTIBLE</t>
  </si>
  <si>
    <t>AMENAZA DE BOMBA EN ESCUELA</t>
  </si>
  <si>
    <t>OTROS ACTOS RELACIONADOS CON LA VIDA Y LA INTEGRIDAD PERSONAL</t>
  </si>
  <si>
    <t>ACCIDENTE DE TRÁNSITO CON MUERTOS</t>
  </si>
  <si>
    <t xml:space="preserve">AGRESIÓN FÍSICA EN PANDILLA </t>
  </si>
  <si>
    <t>AMENAZA</t>
  </si>
  <si>
    <t>TOMA DE EDIFICIO PÚBLICO</t>
  </si>
  <si>
    <t>TOMA DE INSTALACIONES EDUCATIVAS CON VIOLENCIA</t>
  </si>
  <si>
    <t>TRÁFICO DE MADERA</t>
  </si>
  <si>
    <t>TRÁFICO Y/O VENTA CLANDESTINA DE ANIMALES</t>
  </si>
  <si>
    <t>TRÁFICO DE DROGAS Y ESTUPEFACIENTES EN LA MAR</t>
  </si>
  <si>
    <t>TRÁFICO DE DROGAS Y ESTUPEFACIENTES EN VÍA PÚBLICA</t>
  </si>
  <si>
    <t>OTROS ACTOS RELACIONADOS CON OTROS BIENES JURÍDICOS</t>
  </si>
  <si>
    <t>CONSUMO DE ALCOHOL EN ESCUELA</t>
  </si>
  <si>
    <t>CONSUMO DE DROGAS EN ESCUELA</t>
  </si>
  <si>
    <t>GRAFITIS</t>
  </si>
  <si>
    <t>RIÑA / PELEA CLANDESTINA</t>
  </si>
  <si>
    <t>OTROS TIPOS DE ALTERACIÓN AL ORDEN PÚBLICO</t>
  </si>
  <si>
    <t xml:space="preserve">CAÍDA DE POSTE </t>
  </si>
  <si>
    <t>CONCENTRACIÓN PACÍFICA DE PERSONAS</t>
  </si>
  <si>
    <t>TENTATIVA DE ROBO</t>
  </si>
  <si>
    <t>EXTRAVÍO DE PLACA</t>
  </si>
  <si>
    <t>ABUSO DE CONFIANZA</t>
  </si>
  <si>
    <t>ABUSO DE AUTORIDAD</t>
  </si>
  <si>
    <t>RESTOS HUMANOS</t>
  </si>
  <si>
    <t>DE ARMA</t>
  </si>
  <si>
    <t>VEHÍCULO RECUPERADO</t>
  </si>
  <si>
    <t>APOYO  A LA CIUDADANÍA</t>
  </si>
  <si>
    <t>PERSONA LOCALIZADA</t>
  </si>
  <si>
    <t>SOLICITUD DE RONDÍN</t>
  </si>
  <si>
    <t>QUEJA CONTRA SERVIDORES PÚBLICOS</t>
  </si>
  <si>
    <t>ALCANTARILLA OBSTRUÍDA</t>
  </si>
  <si>
    <t>SOLICITUD DE OTROS SERVICIOS PÚBLICOS</t>
  </si>
  <si>
    <t>LLAMADA DE BROMA POR NIÑOS</t>
  </si>
  <si>
    <t>LLAMADA MUDA</t>
  </si>
  <si>
    <t>INSULTOS POR ADULTOS/ LLAMADA OBSCENA</t>
  </si>
  <si>
    <t>JÓVENES/ ADULTOS JUGANDO</t>
  </si>
  <si>
    <t>OTRAS LLAMADAS DE NO EMERGENCIA</t>
  </si>
  <si>
    <t>DETONACIÓN DE ARMA DE FUEGO</t>
  </si>
  <si>
    <t>(FORMATO ELECTRÓNICO FESE V.2.0)</t>
  </si>
  <si>
    <t>Total de Llamadas por Tipo Asistencia</t>
  </si>
  <si>
    <t>Total de Llamadas por Tipo Otros Servicios</t>
  </si>
  <si>
    <t>Porcentaje de Llamadas por Tipo Asistencia</t>
  </si>
  <si>
    <t>Porcentaje de Llamadas por Tipo Otros Servicios</t>
  </si>
  <si>
    <t>C4 La Paz</t>
  </si>
  <si>
    <t>C4 Los Cabos</t>
  </si>
  <si>
    <t>C4 Comondú</t>
  </si>
  <si>
    <t>SECRETARIA DE SEGURIDAD Y PROTECCIÓN CIUDADANA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</si>
</sst>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0_ ;\-0\ "/>
    <numFmt numFmtId="167" formatCode="00000"/>
  </numFmts>
  <fonts count="48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 Narrow"/>
      <family val="2"/>
    </font>
    <font>
      <b/>
      <sz val="11"/>
      <name val="Arial Narrow"/>
      <family val="2"/>
    </font>
    <font>
      <sz val="10"/>
      <name val="Arial"/>
      <family val="2"/>
    </font>
    <font>
      <b/>
      <i/>
      <sz val="11"/>
      <name val="Apple Chancery"/>
      <family val="4"/>
    </font>
    <font>
      <sz val="11"/>
      <name val="Arial Narrow"/>
      <family val="2"/>
    </font>
    <font>
      <sz val="11"/>
      <color rgb="FF000000"/>
      <name val="Arial Narrow"/>
      <family val="2"/>
    </font>
    <font>
      <sz val="18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6"/>
      <color rgb="FFFF0000"/>
      <name val="Calibri"/>
      <family val="2"/>
      <scheme val="minor"/>
    </font>
    <font>
      <b/>
      <sz val="16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color theme="0"/>
      <name val="Arial"/>
      <family val="2"/>
    </font>
    <font>
      <b/>
      <i/>
      <sz val="11"/>
      <name val="Arial"/>
      <family val="2"/>
    </font>
    <font>
      <b/>
      <sz val="11"/>
      <color theme="1"/>
      <name val="Arial"/>
      <family val="2"/>
    </font>
    <font>
      <b/>
      <i/>
      <sz val="72"/>
      <color rgb="FFC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b/>
      <sz val="11"/>
      <color theme="0"/>
      <name val="Arial Narrow"/>
      <family val="2"/>
    </font>
    <font>
      <sz val="15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4"/>
      <name val="Calibri"/>
      <family val="2"/>
      <scheme val="minor"/>
    </font>
    <font>
      <b/>
      <sz val="18"/>
      <color rgb="FFC00000"/>
      <name val="Calibri"/>
      <family val="2"/>
      <scheme val="minor"/>
    </font>
    <font>
      <sz val="14"/>
      <color rgb="FFC00000"/>
      <name val="Calibri"/>
      <family val="2"/>
      <scheme val="minor"/>
    </font>
    <font>
      <sz val="18"/>
      <color rgb="FFC00000"/>
      <name val="Calibri"/>
      <family val="2"/>
      <scheme val="minor"/>
    </font>
    <font>
      <b/>
      <sz val="14"/>
      <color rgb="FFC00000"/>
      <name val="Arial"/>
      <family val="2"/>
    </font>
    <font>
      <b/>
      <sz val="18"/>
      <color rgb="FFC00000"/>
      <name val="Arial"/>
      <family val="2"/>
    </font>
    <font>
      <b/>
      <sz val="11"/>
      <color rgb="FFFFFFFF"/>
      <name val="Arial Narrow"/>
      <family val="2"/>
    </font>
    <font>
      <b/>
      <sz val="24"/>
      <name val="Arial Narrow"/>
      <family val="2"/>
    </font>
    <font>
      <i/>
      <sz val="72"/>
      <color rgb="FFC00000"/>
      <name val="Calibri"/>
      <family val="2"/>
      <scheme val="minor"/>
    </font>
    <font>
      <b/>
      <sz val="10"/>
      <color theme="0"/>
      <name val="Arial"/>
      <family val="2"/>
    </font>
    <font>
      <b/>
      <sz val="20"/>
      <color theme="1"/>
      <name val="Calibri"/>
      <family val="2"/>
      <scheme val="minor"/>
    </font>
    <font>
      <sz val="10"/>
      <name val="Arial"/>
      <family val="2"/>
    </font>
    <font>
      <b/>
      <sz val="12"/>
      <color rgb="FFC00000"/>
      <name val="Arial"/>
      <family val="2"/>
    </font>
    <font>
      <sz val="11"/>
      <color theme="0"/>
      <name val="Arial Narrow"/>
      <family val="2"/>
    </font>
    <font>
      <b/>
      <sz val="12"/>
      <color rgb="FFFF0000"/>
      <name val="Arial Narrow"/>
      <family val="2"/>
    </font>
    <font>
      <b/>
      <sz val="16"/>
      <color theme="0"/>
      <name val="Arial Narrow"/>
      <family val="2"/>
    </font>
    <font>
      <b/>
      <sz val="16"/>
      <name val="Arial Narrow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darkGrid">
        <fgColor indexed="9"/>
        <bgColor indexed="9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823B"/>
        <bgColor indexed="64"/>
      </patternFill>
    </fill>
    <fill>
      <patternFill patternType="solid">
        <fgColor rgb="FFE6E7E8"/>
        <bgColor indexed="64"/>
      </patternFill>
    </fill>
    <fill>
      <patternFill patternType="solid">
        <fgColor rgb="FF596B5A"/>
        <bgColor indexed="64"/>
      </patternFill>
    </fill>
    <fill>
      <patternFill patternType="solid">
        <fgColor rgb="FFB0782E"/>
        <bgColor indexed="64"/>
      </patternFill>
    </fill>
    <fill>
      <patternFill patternType="solid">
        <fgColor rgb="FF006666"/>
        <bgColor indexed="64"/>
      </patternFill>
    </fill>
    <fill>
      <patternFill patternType="solid">
        <fgColor rgb="FF5E548A"/>
        <bgColor indexed="64"/>
      </patternFill>
    </fill>
    <fill>
      <patternFill patternType="solid">
        <fgColor rgb="FFD27D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C65D5A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638A86"/>
      </left>
      <right style="thick">
        <color rgb="FF638A86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 style="hair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/>
      <right/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C17D19"/>
      </left>
      <right style="thick">
        <color rgb="FFC17D19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 style="thin">
        <color theme="0" tint="-0.14996795556505021"/>
      </bottom>
      <diagonal/>
    </border>
    <border>
      <left style="hair">
        <color auto="1"/>
      </left>
      <right style="thick">
        <color rgb="FF0088A4"/>
      </right>
      <top style="thin">
        <color theme="0" tint="-0.14996795556505021"/>
      </top>
      <bottom/>
      <diagonal/>
    </border>
    <border>
      <left style="thick">
        <color rgb="FF0088A4"/>
      </left>
      <right style="thick">
        <color rgb="FF0088A4"/>
      </right>
      <top style="thin">
        <color theme="0" tint="-0.14996795556505021"/>
      </top>
      <bottom/>
      <diagonal/>
    </border>
    <border>
      <left/>
      <right style="hair">
        <color indexed="64"/>
      </right>
      <top style="thin">
        <color theme="0" tint="-0.14996795556505021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4">
    <xf numFmtId="0" fontId="0" fillId="0" borderId="0"/>
    <xf numFmtId="164" fontId="6" fillId="0" borderId="0" applyFont="0" applyFill="0" applyBorder="0" applyAlignment="0" applyProtection="0"/>
    <xf numFmtId="0" fontId="3" fillId="0" borderId="0"/>
    <xf numFmtId="0" fontId="6" fillId="3" borderId="0" applyBorder="0"/>
    <xf numFmtId="0" fontId="6" fillId="3" borderId="0" applyBorder="0"/>
    <xf numFmtId="0" fontId="6" fillId="3" borderId="0" applyBorder="0"/>
    <xf numFmtId="0" fontId="2" fillId="0" borderId="0"/>
    <xf numFmtId="0" fontId="6" fillId="0" borderId="0"/>
    <xf numFmtId="0" fontId="6" fillId="0" borderId="0"/>
    <xf numFmtId="9" fontId="42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1" fillId="0" borderId="0"/>
    <xf numFmtId="0" fontId="1" fillId="0" borderId="0"/>
    <xf numFmtId="9" fontId="6" fillId="0" borderId="0" applyFont="0" applyFill="0" applyBorder="0" applyAlignment="0" applyProtection="0"/>
  </cellStyleXfs>
  <cellXfs count="145">
    <xf numFmtId="0" fontId="0" fillId="0" borderId="0" xfId="0"/>
    <xf numFmtId="165" fontId="5" fillId="0" borderId="0" xfId="1" applyNumberFormat="1" applyFont="1" applyBorder="1" applyAlignment="1"/>
    <xf numFmtId="0" fontId="6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9" fillId="0" borderId="0" xfId="0" applyFont="1" applyAlignment="1">
      <alignment horizontal="center" vertical="center"/>
    </xf>
    <xf numFmtId="0" fontId="3" fillId="0" borderId="0" xfId="2"/>
    <xf numFmtId="0" fontId="10" fillId="0" borderId="0" xfId="2" applyFont="1"/>
    <xf numFmtId="0" fontId="11" fillId="0" borderId="0" xfId="2" applyFont="1" applyAlignment="1">
      <alignment horizontal="right"/>
    </xf>
    <xf numFmtId="0" fontId="13" fillId="0" borderId="0" xfId="6" applyFont="1" applyAlignment="1">
      <alignment vertical="top"/>
    </xf>
    <xf numFmtId="0" fontId="14" fillId="0" borderId="0" xfId="6" applyFont="1" applyAlignment="1">
      <alignment vertical="top"/>
    </xf>
    <xf numFmtId="0" fontId="13" fillId="0" borderId="0" xfId="6" applyFont="1" applyAlignment="1">
      <alignment horizontal="left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center" vertical="top" wrapText="1"/>
    </xf>
    <xf numFmtId="0" fontId="18" fillId="0" borderId="0" xfId="6" applyFont="1" applyAlignment="1">
      <alignment horizontal="left" vertical="top" wrapText="1"/>
    </xf>
    <xf numFmtId="0" fontId="17" fillId="0" borderId="0" xfId="6" applyFont="1" applyAlignment="1">
      <alignment horizontal="left" vertical="top" wrapText="1"/>
    </xf>
    <xf numFmtId="0" fontId="12" fillId="0" borderId="0" xfId="6" applyFont="1" applyAlignment="1">
      <alignment horizontal="center" vertical="top"/>
    </xf>
    <xf numFmtId="0" fontId="6" fillId="0" borderId="0" xfId="8"/>
    <xf numFmtId="0" fontId="4" fillId="0" borderId="0" xfId="8" applyFont="1"/>
    <xf numFmtId="0" fontId="15" fillId="4" borderId="0" xfId="6" applyFont="1" applyFill="1" applyAlignment="1">
      <alignment vertical="top"/>
    </xf>
    <xf numFmtId="165" fontId="5" fillId="0" borderId="0" xfId="1" applyNumberFormat="1" applyFont="1" applyBorder="1" applyAlignment="1">
      <alignment horizontal="center"/>
    </xf>
    <xf numFmtId="0" fontId="6" fillId="0" borderId="0" xfId="0" applyFont="1"/>
    <xf numFmtId="0" fontId="22" fillId="5" borderId="1" xfId="8" applyFont="1" applyFill="1" applyBorder="1" applyAlignment="1">
      <alignment horizontal="center" wrapText="1"/>
    </xf>
    <xf numFmtId="165" fontId="20" fillId="2" borderId="0" xfId="1" applyNumberFormat="1" applyFont="1" applyFill="1" applyBorder="1" applyAlignment="1">
      <alignment horizontal="center"/>
    </xf>
    <xf numFmtId="165" fontId="23" fillId="2" borderId="0" xfId="1" applyNumberFormat="1" applyFont="1" applyFill="1" applyBorder="1" applyAlignment="1"/>
    <xf numFmtId="0" fontId="6" fillId="0" borderId="0" xfId="8" applyAlignment="1">
      <alignment horizontal="center"/>
    </xf>
    <xf numFmtId="0" fontId="15" fillId="6" borderId="0" xfId="6" applyFont="1" applyFill="1" applyAlignment="1">
      <alignment vertical="top"/>
    </xf>
    <xf numFmtId="0" fontId="30" fillId="6" borderId="0" xfId="6" applyFont="1" applyFill="1" applyAlignment="1">
      <alignment vertical="top"/>
    </xf>
    <xf numFmtId="0" fontId="4" fillId="0" borderId="0" xfId="8" applyFont="1" applyAlignment="1">
      <alignment horizontal="right"/>
    </xf>
    <xf numFmtId="0" fontId="6" fillId="0" borderId="0" xfId="8" applyAlignment="1">
      <alignment horizontal="left"/>
    </xf>
    <xf numFmtId="0" fontId="20" fillId="2" borderId="0" xfId="8" applyFont="1" applyFill="1" applyAlignment="1">
      <alignment horizontal="right" wrapText="1" indent="1"/>
    </xf>
    <xf numFmtId="166" fontId="20" fillId="2" borderId="0" xfId="1" applyNumberFormat="1" applyFont="1" applyFill="1" applyBorder="1" applyAlignment="1">
      <alignment horizontal="center"/>
    </xf>
    <xf numFmtId="0" fontId="0" fillId="2" borderId="0" xfId="0" applyFill="1"/>
    <xf numFmtId="0" fontId="39" fillId="2" borderId="0" xfId="0" applyFont="1" applyFill="1"/>
    <xf numFmtId="0" fontId="6" fillId="2" borderId="0" xfId="8" applyFill="1"/>
    <xf numFmtId="165" fontId="21" fillId="2" borderId="0" xfId="1" applyNumberFormat="1" applyFont="1" applyFill="1" applyBorder="1" applyAlignment="1"/>
    <xf numFmtId="0" fontId="35" fillId="2" borderId="0" xfId="7" applyFont="1" applyFill="1" applyAlignment="1" applyProtection="1">
      <alignment horizontal="center" vertical="top" wrapText="1"/>
      <protection hidden="1"/>
    </xf>
    <xf numFmtId="46" fontId="38" fillId="2" borderId="0" xfId="0" applyNumberFormat="1" applyFont="1" applyFill="1" applyAlignment="1">
      <alignment horizontal="center" vertical="center" wrapText="1"/>
    </xf>
    <xf numFmtId="21" fontId="38" fillId="2" borderId="0" xfId="0" applyNumberFormat="1" applyFont="1" applyFill="1" applyAlignment="1">
      <alignment horizontal="center" vertical="center" wrapText="1"/>
    </xf>
    <xf numFmtId="0" fontId="21" fillId="2" borderId="0" xfId="8" applyFont="1" applyFill="1" applyAlignment="1">
      <alignment horizontal="right" wrapText="1" indent="1"/>
    </xf>
    <xf numFmtId="0" fontId="20" fillId="2" borderId="0" xfId="8" applyFont="1" applyFill="1" applyAlignment="1">
      <alignment horizontal="right" wrapText="1" indent="2"/>
    </xf>
    <xf numFmtId="165" fontId="6" fillId="2" borderId="0" xfId="1" applyNumberFormat="1" applyFont="1" applyFill="1" applyBorder="1" applyAlignment="1"/>
    <xf numFmtId="0" fontId="6" fillId="2" borderId="0" xfId="0" applyFont="1" applyFill="1"/>
    <xf numFmtId="0" fontId="41" fillId="0" borderId="0" xfId="2" applyFont="1" applyAlignment="1">
      <alignment horizontal="right"/>
    </xf>
    <xf numFmtId="0" fontId="37" fillId="7" borderId="0" xfId="0" applyFont="1" applyFill="1" applyAlignment="1">
      <alignment horizontal="center" vertical="center" wrapText="1"/>
    </xf>
    <xf numFmtId="0" fontId="2" fillId="0" borderId="0" xfId="2" applyFont="1"/>
    <xf numFmtId="165" fontId="5" fillId="2" borderId="0" xfId="1" applyNumberFormat="1" applyFont="1" applyFill="1" applyBorder="1" applyAlignment="1" applyProtection="1">
      <alignment horizontal="center"/>
    </xf>
    <xf numFmtId="165" fontId="7" fillId="2" borderId="0" xfId="1" applyNumberFormat="1" applyFont="1" applyFill="1" applyBorder="1" applyAlignment="1" applyProtection="1"/>
    <xf numFmtId="165" fontId="20" fillId="2" borderId="0" xfId="1" applyNumberFormat="1" applyFont="1" applyFill="1" applyBorder="1" applyAlignment="1" applyProtection="1">
      <alignment horizontal="center"/>
    </xf>
    <xf numFmtId="166" fontId="20" fillId="2" borderId="0" xfId="1" applyNumberFormat="1" applyFont="1" applyFill="1" applyBorder="1" applyAlignment="1" applyProtection="1">
      <alignment horizontal="center"/>
    </xf>
    <xf numFmtId="0" fontId="24" fillId="0" borderId="1" xfId="8" applyFont="1" applyBorder="1" applyAlignment="1">
      <alignment horizontal="left" wrapText="1" indent="3"/>
    </xf>
    <xf numFmtId="0" fontId="22" fillId="5" borderId="6" xfId="8" applyFont="1" applyFill="1" applyBorder="1" applyAlignment="1">
      <alignment horizontal="center" wrapText="1"/>
    </xf>
    <xf numFmtId="0" fontId="22" fillId="5" borderId="9" xfId="8" applyFont="1" applyFill="1" applyBorder="1" applyAlignment="1">
      <alignment horizontal="left" wrapText="1" indent="6"/>
    </xf>
    <xf numFmtId="0" fontId="22" fillId="5" borderId="8" xfId="8" applyFont="1" applyFill="1" applyBorder="1" applyAlignment="1">
      <alignment horizont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0" fontId="22" fillId="2" borderId="1" xfId="8" applyFont="1" applyFill="1" applyBorder="1" applyAlignment="1">
      <alignment horizontal="center" wrapText="1"/>
    </xf>
    <xf numFmtId="0" fontId="40" fillId="6" borderId="1" xfId="8" applyFont="1" applyFill="1" applyBorder="1" applyAlignment="1">
      <alignment horizontal="center" wrapText="1"/>
    </xf>
    <xf numFmtId="9" fontId="38" fillId="2" borderId="10" xfId="9" applyFont="1" applyFill="1" applyBorder="1" applyAlignment="1" applyProtection="1">
      <alignment horizontal="center" vertical="center" wrapText="1"/>
    </xf>
    <xf numFmtId="0" fontId="8" fillId="8" borderId="11" xfId="8" applyFont="1" applyFill="1" applyBorder="1" applyAlignment="1">
      <alignment horizontal="center" vertical="center"/>
    </xf>
    <xf numFmtId="0" fontId="8" fillId="8" borderId="12" xfId="8" applyFont="1" applyFill="1" applyBorder="1" applyAlignment="1">
      <alignment horizontal="left" vertical="center" indent="1"/>
    </xf>
    <xf numFmtId="0" fontId="8" fillId="8" borderId="15" xfId="8" applyFont="1" applyFill="1" applyBorder="1" applyAlignment="1">
      <alignment horizontal="center" vertical="center"/>
    </xf>
    <xf numFmtId="0" fontId="8" fillId="8" borderId="16" xfId="8" applyFont="1" applyFill="1" applyBorder="1" applyAlignment="1">
      <alignment horizontal="left" vertical="center" indent="1"/>
    </xf>
    <xf numFmtId="0" fontId="8" fillId="8" borderId="17" xfId="8" applyFont="1" applyFill="1" applyBorder="1" applyAlignment="1">
      <alignment horizontal="center" vertical="center"/>
    </xf>
    <xf numFmtId="0" fontId="8" fillId="8" borderId="18" xfId="8" applyFont="1" applyFill="1" applyBorder="1" applyAlignment="1">
      <alignment horizontal="left" vertical="center" indent="1"/>
    </xf>
    <xf numFmtId="0" fontId="44" fillId="11" borderId="17" xfId="8" applyFont="1" applyFill="1" applyBorder="1" applyAlignment="1">
      <alignment horizontal="center" vertical="center"/>
    </xf>
    <xf numFmtId="0" fontId="44" fillId="11" borderId="18" xfId="8" applyFont="1" applyFill="1" applyBorder="1" applyAlignment="1">
      <alignment horizontal="left" vertical="center" indent="1"/>
    </xf>
    <xf numFmtId="0" fontId="44" fillId="12" borderId="17" xfId="8" applyFont="1" applyFill="1" applyBorder="1" applyAlignment="1">
      <alignment horizontal="center" vertical="center"/>
    </xf>
    <xf numFmtId="0" fontId="44" fillId="12" borderId="18" xfId="8" applyFont="1" applyFill="1" applyBorder="1" applyAlignment="1">
      <alignment horizontal="left" vertical="center" indent="1"/>
    </xf>
    <xf numFmtId="0" fontId="44" fillId="9" borderId="11" xfId="8" applyFont="1" applyFill="1" applyBorder="1" applyAlignment="1">
      <alignment horizontal="center" vertical="center"/>
    </xf>
    <xf numFmtId="0" fontId="44" fillId="9" borderId="12" xfId="8" applyFont="1" applyFill="1" applyBorder="1" applyAlignment="1">
      <alignment horizontal="left" vertical="center" indent="1"/>
    </xf>
    <xf numFmtId="167" fontId="44" fillId="10" borderId="15" xfId="8" applyNumberFormat="1" applyFont="1" applyFill="1" applyBorder="1" applyAlignment="1">
      <alignment horizontal="center" vertical="top"/>
    </xf>
    <xf numFmtId="0" fontId="44" fillId="10" borderId="16" xfId="8" applyFont="1" applyFill="1" applyBorder="1" applyAlignment="1">
      <alignment horizontal="left" vertical="top" indent="1"/>
    </xf>
    <xf numFmtId="0" fontId="44" fillId="13" borderId="17" xfId="8" applyFont="1" applyFill="1" applyBorder="1" applyAlignment="1">
      <alignment horizontal="center" vertical="center"/>
    </xf>
    <xf numFmtId="0" fontId="44" fillId="13" borderId="18" xfId="8" applyFont="1" applyFill="1" applyBorder="1" applyAlignment="1">
      <alignment horizontal="left" vertical="center" indent="1"/>
    </xf>
    <xf numFmtId="0" fontId="44" fillId="14" borderId="17" xfId="8" applyFont="1" applyFill="1" applyBorder="1" applyAlignment="1">
      <alignment horizontal="center" vertical="center"/>
    </xf>
    <xf numFmtId="0" fontId="44" fillId="14" borderId="18" xfId="8" applyFont="1" applyFill="1" applyBorder="1" applyAlignment="1">
      <alignment horizontal="left" vertical="center" indent="1"/>
    </xf>
    <xf numFmtId="0" fontId="44" fillId="15" borderId="17" xfId="8" applyFont="1" applyFill="1" applyBorder="1" applyAlignment="1">
      <alignment horizontal="center" vertical="center"/>
    </xf>
    <xf numFmtId="0" fontId="44" fillId="15" borderId="18" xfId="8" applyFont="1" applyFill="1" applyBorder="1" applyAlignment="1">
      <alignment horizontal="left" vertical="center" indent="1"/>
    </xf>
    <xf numFmtId="0" fontId="8" fillId="8" borderId="19" xfId="8" applyFont="1" applyFill="1" applyBorder="1" applyAlignment="1">
      <alignment horizontal="center" vertical="center"/>
    </xf>
    <xf numFmtId="0" fontId="8" fillId="8" borderId="20" xfId="8" applyFont="1" applyFill="1" applyBorder="1" applyAlignment="1">
      <alignment horizontal="left" vertical="center" indent="1"/>
    </xf>
    <xf numFmtId="0" fontId="22" fillId="5" borderId="22" xfId="8" applyFont="1" applyFill="1" applyBorder="1" applyAlignment="1">
      <alignment horizontal="center" wrapText="1"/>
    </xf>
    <xf numFmtId="0" fontId="22" fillId="5" borderId="23" xfId="8" applyFont="1" applyFill="1" applyBorder="1" applyAlignment="1">
      <alignment horizontal="left" wrapText="1"/>
    </xf>
    <xf numFmtId="0" fontId="22" fillId="5" borderId="23" xfId="8" applyFont="1" applyFill="1" applyBorder="1" applyAlignment="1">
      <alignment horizontal="center" wrapText="1"/>
    </xf>
    <xf numFmtId="0" fontId="22" fillId="2" borderId="0" xfId="8" applyFont="1" applyFill="1" applyAlignment="1">
      <alignment horizontal="center" wrapText="1"/>
    </xf>
    <xf numFmtId="165" fontId="20" fillId="2" borderId="1" xfId="1" applyNumberFormat="1" applyFont="1" applyFill="1" applyBorder="1" applyAlignment="1">
      <alignment horizontal="center" vertical="center"/>
    </xf>
    <xf numFmtId="3" fontId="43" fillId="2" borderId="0" xfId="7" applyNumberFormat="1" applyFont="1" applyFill="1" applyAlignment="1" applyProtection="1">
      <alignment horizontal="center" vertical="center" wrapText="1"/>
      <protection hidden="1"/>
    </xf>
    <xf numFmtId="0" fontId="45" fillId="2" borderId="14" xfId="8" applyFont="1" applyFill="1" applyBorder="1" applyAlignment="1" applyProtection="1">
      <alignment horizontal="center" vertical="center"/>
      <protection locked="0"/>
    </xf>
    <xf numFmtId="0" fontId="8" fillId="8" borderId="13" xfId="8" applyFont="1" applyFill="1" applyBorder="1" applyAlignment="1" applyProtection="1">
      <alignment horizontal="center" vertical="center"/>
      <protection locked="0"/>
    </xf>
    <xf numFmtId="0" fontId="8" fillId="8" borderId="14" xfId="8" applyFont="1" applyFill="1" applyBorder="1" applyAlignment="1" applyProtection="1">
      <alignment horizontal="center" vertical="center"/>
      <protection locked="0"/>
    </xf>
    <xf numFmtId="0" fontId="44" fillId="11" borderId="13" xfId="8" applyFont="1" applyFill="1" applyBorder="1" applyAlignment="1" applyProtection="1">
      <alignment horizontal="center" vertical="center"/>
      <protection locked="0"/>
    </xf>
    <xf numFmtId="0" fontId="44" fillId="12" borderId="13" xfId="8" applyFont="1" applyFill="1" applyBorder="1" applyAlignment="1" applyProtection="1">
      <alignment horizontal="center" vertical="center"/>
      <protection locked="0"/>
    </xf>
    <xf numFmtId="0" fontId="44" fillId="9" borderId="13" xfId="8" applyFont="1" applyFill="1" applyBorder="1" applyAlignment="1" applyProtection="1">
      <alignment horizontal="center" vertical="center"/>
      <protection locked="0"/>
    </xf>
    <xf numFmtId="0" fontId="44" fillId="10" borderId="13" xfId="8" applyFont="1" applyFill="1" applyBorder="1" applyAlignment="1" applyProtection="1">
      <alignment horizontal="center"/>
      <protection locked="0"/>
    </xf>
    <xf numFmtId="0" fontId="44" fillId="13" borderId="13" xfId="8" applyFont="1" applyFill="1" applyBorder="1" applyAlignment="1" applyProtection="1">
      <alignment horizontal="center" vertical="center"/>
      <protection locked="0"/>
    </xf>
    <xf numFmtId="0" fontId="44" fillId="14" borderId="13" xfId="8" applyFont="1" applyFill="1" applyBorder="1" applyAlignment="1" applyProtection="1">
      <alignment horizontal="center" vertical="center"/>
      <protection locked="0"/>
    </xf>
    <xf numFmtId="0" fontId="44" fillId="15" borderId="13" xfId="8" applyFont="1" applyFill="1" applyBorder="1" applyAlignment="1" applyProtection="1">
      <alignment horizontal="center" vertical="center"/>
      <protection locked="0"/>
    </xf>
    <xf numFmtId="0" fontId="8" fillId="8" borderId="21" xfId="8" applyFont="1" applyFill="1" applyBorder="1" applyAlignment="1" applyProtection="1">
      <alignment horizontal="center" vertical="center"/>
      <protection locked="0"/>
    </xf>
    <xf numFmtId="0" fontId="46" fillId="9" borderId="12" xfId="8" applyFont="1" applyFill="1" applyBorder="1" applyAlignment="1" applyProtection="1">
      <alignment horizontal="center" vertical="center"/>
      <protection locked="0"/>
    </xf>
    <xf numFmtId="0" fontId="47" fillId="8" borderId="12" xfId="8" quotePrefix="1" applyFont="1" applyFill="1" applyBorder="1" applyAlignment="1" applyProtection="1">
      <alignment horizontal="center" vertical="center"/>
      <protection locked="0"/>
    </xf>
    <xf numFmtId="0" fontId="47" fillId="8" borderId="12" xfId="8" applyFont="1" applyFill="1" applyBorder="1" applyAlignment="1" applyProtection="1">
      <alignment horizontal="center" vertical="center"/>
      <protection locked="0"/>
    </xf>
    <xf numFmtId="0" fontId="46" fillId="10" borderId="16" xfId="8" applyFont="1" applyFill="1" applyBorder="1" applyAlignment="1" applyProtection="1">
      <alignment horizontal="center" vertical="top"/>
      <protection locked="0"/>
    </xf>
    <xf numFmtId="0" fontId="47" fillId="8" borderId="16" xfId="8" applyFont="1" applyFill="1" applyBorder="1" applyAlignment="1" applyProtection="1">
      <alignment horizontal="center" vertical="center"/>
      <protection locked="0"/>
    </xf>
    <xf numFmtId="0" fontId="46" fillId="11" borderId="18" xfId="8" applyFont="1" applyFill="1" applyBorder="1" applyAlignment="1" applyProtection="1">
      <alignment horizontal="center" vertical="center"/>
      <protection locked="0"/>
    </xf>
    <xf numFmtId="0" fontId="47" fillId="8" borderId="18" xfId="8" applyFont="1" applyFill="1" applyBorder="1" applyAlignment="1" applyProtection="1">
      <alignment horizontal="center" vertical="center"/>
      <protection locked="0"/>
    </xf>
    <xf numFmtId="0" fontId="46" fillId="12" borderId="18" xfId="8" applyFont="1" applyFill="1" applyBorder="1" applyAlignment="1" applyProtection="1">
      <alignment horizontal="center" vertical="center"/>
      <protection locked="0"/>
    </xf>
    <xf numFmtId="0" fontId="46" fillId="13" borderId="18" xfId="8" applyFont="1" applyFill="1" applyBorder="1" applyAlignment="1" applyProtection="1">
      <alignment horizontal="center" vertical="center"/>
      <protection locked="0"/>
    </xf>
    <xf numFmtId="0" fontId="46" fillId="14" borderId="18" xfId="8" applyFont="1" applyFill="1" applyBorder="1" applyAlignment="1" applyProtection="1">
      <alignment horizontal="center" vertical="center"/>
      <protection locked="0"/>
    </xf>
    <xf numFmtId="0" fontId="46" fillId="15" borderId="18" xfId="8" applyFont="1" applyFill="1" applyBorder="1" applyAlignment="1" applyProtection="1">
      <alignment horizontal="center" vertical="center"/>
      <protection locked="0"/>
    </xf>
    <xf numFmtId="0" fontId="47" fillId="8" borderId="20" xfId="8" applyFont="1" applyFill="1" applyBorder="1" applyAlignment="1" applyProtection="1">
      <alignment horizontal="center" vertical="center"/>
      <protection locked="0"/>
    </xf>
    <xf numFmtId="0" fontId="44" fillId="9" borderId="13" xfId="8" quotePrefix="1" applyFont="1" applyFill="1" applyBorder="1" applyAlignment="1" applyProtection="1">
      <alignment horizontal="center" vertical="center"/>
      <protection locked="0"/>
    </xf>
    <xf numFmtId="0" fontId="6" fillId="0" borderId="0" xfId="8" applyAlignment="1">
      <alignment horizontal="center"/>
    </xf>
    <xf numFmtId="0" fontId="28" fillId="7" borderId="0" xfId="0" applyFont="1" applyFill="1" applyAlignment="1">
      <alignment horizontal="center" vertical="center" wrapText="1"/>
    </xf>
    <xf numFmtId="0" fontId="24" fillId="0" borderId="3" xfId="8" applyFont="1" applyBorder="1" applyAlignment="1">
      <alignment horizontal="right" wrapText="1" indent="2"/>
    </xf>
    <xf numFmtId="0" fontId="24" fillId="0" borderId="2" xfId="8" applyFont="1" applyBorder="1" applyAlignment="1">
      <alignment horizontal="right" wrapText="1" indent="2"/>
    </xf>
    <xf numFmtId="165" fontId="6" fillId="0" borderId="0" xfId="1" applyNumberFormat="1" applyFont="1" applyBorder="1" applyAlignment="1" applyProtection="1">
      <alignment horizontal="center"/>
    </xf>
    <xf numFmtId="165" fontId="21" fillId="0" borderId="0" xfId="1" applyNumberFormat="1" applyFont="1" applyBorder="1" applyAlignment="1" applyProtection="1">
      <alignment horizontal="center"/>
    </xf>
    <xf numFmtId="165" fontId="36" fillId="0" borderId="0" xfId="1" applyNumberFormat="1" applyFont="1" applyBorder="1" applyAlignment="1" applyProtection="1">
      <alignment horizontal="center"/>
    </xf>
    <xf numFmtId="0" fontId="24" fillId="0" borderId="5" xfId="8" applyFont="1" applyBorder="1" applyAlignment="1">
      <alignment horizontal="right" wrapText="1" indent="2"/>
    </xf>
    <xf numFmtId="0" fontId="24" fillId="0" borderId="7" xfId="8" applyFont="1" applyBorder="1" applyAlignment="1">
      <alignment horizontal="right" wrapText="1" indent="2"/>
    </xf>
    <xf numFmtId="0" fontId="22" fillId="5" borderId="5" xfId="8" applyFont="1" applyFill="1" applyBorder="1" applyAlignment="1">
      <alignment horizontal="center" wrapText="1"/>
    </xf>
    <xf numFmtId="0" fontId="22" fillId="5" borderId="4" xfId="8" applyFont="1" applyFill="1" applyBorder="1" applyAlignment="1">
      <alignment horizontal="center" wrapText="1"/>
    </xf>
    <xf numFmtId="0" fontId="22" fillId="5" borderId="7" xfId="8" applyFont="1" applyFill="1" applyBorder="1" applyAlignment="1">
      <alignment horizontal="center" wrapText="1"/>
    </xf>
    <xf numFmtId="0" fontId="27" fillId="0" borderId="0" xfId="2" applyFont="1" applyAlignment="1">
      <alignment horizontal="center" vertical="center" wrapText="1"/>
    </xf>
    <xf numFmtId="0" fontId="25" fillId="0" borderId="0" xfId="2" applyFont="1" applyAlignment="1">
      <alignment horizontal="center"/>
    </xf>
    <xf numFmtId="0" fontId="15" fillId="4" borderId="0" xfId="6" applyFont="1" applyFill="1" applyAlignment="1">
      <alignment horizontal="center" vertical="top"/>
    </xf>
    <xf numFmtId="0" fontId="13" fillId="0" borderId="0" xfId="6" applyFont="1" applyAlignment="1">
      <alignment horizontal="center" vertical="top" wrapText="1"/>
    </xf>
    <xf numFmtId="0" fontId="12" fillId="0" borderId="0" xfId="6" applyFont="1" applyAlignment="1">
      <alignment horizontal="center" vertical="top"/>
    </xf>
    <xf numFmtId="0" fontId="29" fillId="0" borderId="0" xfId="7" applyFont="1" applyAlignment="1" applyProtection="1">
      <alignment horizontal="center" vertical="top" wrapText="1"/>
      <protection hidden="1"/>
    </xf>
    <xf numFmtId="0" fontId="14" fillId="0" borderId="0" xfId="6" applyFont="1" applyAlignment="1">
      <alignment horizontal="center" vertical="top" wrapText="1"/>
    </xf>
    <xf numFmtId="0" fontId="32" fillId="0" borderId="0" xfId="7" applyFont="1" applyAlignment="1">
      <alignment horizontal="center" vertical="top" wrapText="1"/>
    </xf>
    <xf numFmtId="0" fontId="34" fillId="0" borderId="0" xfId="6" applyFont="1" applyAlignment="1">
      <alignment horizontal="center" vertical="top" wrapText="1"/>
    </xf>
    <xf numFmtId="0" fontId="13" fillId="0" borderId="0" xfId="6" applyFont="1" applyAlignment="1">
      <alignment vertical="top" wrapText="1"/>
    </xf>
    <xf numFmtId="0" fontId="13" fillId="0" borderId="0" xfId="6" applyFont="1" applyAlignment="1">
      <alignment horizontal="left" vertical="top" wrapText="1"/>
    </xf>
    <xf numFmtId="0" fontId="15" fillId="4" borderId="0" xfId="6" applyFont="1" applyFill="1" applyAlignment="1">
      <alignment horizontal="center" vertical="top" wrapText="1"/>
    </xf>
    <xf numFmtId="0" fontId="13" fillId="0" borderId="0" xfId="6" applyFont="1" applyAlignment="1">
      <alignment horizontal="center" vertical="top"/>
    </xf>
    <xf numFmtId="0" fontId="32" fillId="0" borderId="0" xfId="6" applyFont="1" applyAlignment="1">
      <alignment horizontal="center" vertical="top" wrapText="1"/>
    </xf>
    <xf numFmtId="0" fontId="16" fillId="0" borderId="0" xfId="6" applyFont="1" applyAlignment="1">
      <alignment horizontal="center" vertical="top"/>
    </xf>
    <xf numFmtId="0" fontId="13" fillId="0" borderId="0" xfId="6" applyFont="1" applyAlignment="1">
      <alignment horizontal="left" vertical="top"/>
    </xf>
    <xf numFmtId="0" fontId="19" fillId="0" borderId="0" xfId="6" applyFont="1" applyAlignment="1">
      <alignment horizontal="left" vertical="top" wrapText="1"/>
    </xf>
    <xf numFmtId="0" fontId="33" fillId="0" borderId="0" xfId="6" applyFont="1" applyAlignment="1">
      <alignment horizontal="left" vertical="top" wrapText="1"/>
    </xf>
    <xf numFmtId="0" fontId="30" fillId="6" borderId="0" xfId="6" applyFont="1" applyFill="1" applyAlignment="1">
      <alignment horizontal="left" vertical="top"/>
    </xf>
    <xf numFmtId="0" fontId="30" fillId="6" borderId="0" xfId="6" applyFont="1" applyFill="1" applyAlignment="1">
      <alignment horizontal="left" vertical="top" wrapText="1"/>
    </xf>
    <xf numFmtId="0" fontId="19" fillId="0" borderId="0" xfId="6" applyFont="1" applyAlignment="1">
      <alignment horizontal="center" vertical="top" wrapText="1"/>
    </xf>
    <xf numFmtId="165" fontId="6" fillId="2" borderId="0" xfId="1" applyNumberFormat="1" applyFont="1" applyFill="1" applyBorder="1" applyAlignment="1">
      <alignment horizontal="center"/>
    </xf>
    <xf numFmtId="0" fontId="35" fillId="2" borderId="0" xfId="7" applyFont="1" applyFill="1" applyAlignment="1" applyProtection="1">
      <alignment horizontal="center" vertical="top" wrapText="1"/>
      <protection hidden="1"/>
    </xf>
  </cellXfs>
  <cellStyles count="14">
    <cellStyle name="Millares 2" xfId="1" xr:uid="{00000000-0005-0000-0000-000000000000}"/>
    <cellStyle name="Millares 2 2" xfId="10" xr:uid="{00000000-0005-0000-0000-000001000000}"/>
    <cellStyle name="Normal" xfId="0" builtinId="0"/>
    <cellStyle name="Normal 2" xfId="2" xr:uid="{00000000-0005-0000-0000-000003000000}"/>
    <cellStyle name="Normal 2 2" xfId="3" xr:uid="{00000000-0005-0000-0000-000004000000}"/>
    <cellStyle name="Normal 2 3" xfId="11" xr:uid="{00000000-0005-0000-0000-000005000000}"/>
    <cellStyle name="Normal 3" xfId="4" xr:uid="{00000000-0005-0000-0000-000006000000}"/>
    <cellStyle name="Normal 4" xfId="5" xr:uid="{00000000-0005-0000-0000-000007000000}"/>
    <cellStyle name="Normal 5" xfId="6" xr:uid="{00000000-0005-0000-0000-000008000000}"/>
    <cellStyle name="Normal 5 2" xfId="12" xr:uid="{00000000-0005-0000-0000-000009000000}"/>
    <cellStyle name="Normal 6" xfId="8" xr:uid="{00000000-0005-0000-0000-00000A000000}"/>
    <cellStyle name="Normal_Zac ene 6 del 2000" xfId="7" xr:uid="{00000000-0005-0000-0000-00000B000000}"/>
    <cellStyle name="Porcentaje" xfId="9" builtinId="5"/>
    <cellStyle name="Porcentaje 2" xfId="13" xr:uid="{00000000-0005-0000-0000-00000D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65D5A"/>
      <color rgb="FFD27D00"/>
      <color rgb="FFB0782E"/>
      <color rgb="FF5E548A"/>
      <color rgb="FFFF6969"/>
      <color rgb="FF006666"/>
      <color rgb="FFE5E7E9"/>
      <color rgb="FFE5E6E9"/>
      <color rgb="FF596B5A"/>
      <color rgb="FF8F622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161923</xdr:colOff>
      <xdr:row>31</xdr:row>
      <xdr:rowOff>28577</xdr:rowOff>
    </xdr:from>
    <xdr:to>
      <xdr:col>9</xdr:col>
      <xdr:colOff>406397</xdr:colOff>
      <xdr:row>32</xdr:row>
      <xdr:rowOff>68265</xdr:rowOff>
    </xdr:to>
    <xdr:pic>
      <xdr:nvPicPr>
        <xdr:cNvPr id="8" name="7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3685379" y="2886871"/>
          <a:ext cx="230188" cy="7277099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</xdr:col>
      <xdr:colOff>523873</xdr:colOff>
      <xdr:row>13</xdr:row>
      <xdr:rowOff>125731</xdr:rowOff>
    </xdr:from>
    <xdr:to>
      <xdr:col>9</xdr:col>
      <xdr:colOff>758822</xdr:colOff>
      <xdr:row>14</xdr:row>
      <xdr:rowOff>157799</xdr:rowOff>
    </xdr:to>
    <xdr:pic>
      <xdr:nvPicPr>
        <xdr:cNvPr id="9" name="8 Imagen" descr="C:\Users\pafernandez\Desktop\logoSEGOB_hoz.png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1542" r="34661"/>
        <a:stretch/>
      </xdr:blipFill>
      <xdr:spPr bwMode="auto">
        <a:xfrm rot="5400000">
          <a:off x="4596286" y="511018"/>
          <a:ext cx="222568" cy="7483474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4</xdr:col>
      <xdr:colOff>388620</xdr:colOff>
      <xdr:row>7</xdr:row>
      <xdr:rowOff>84296</xdr:rowOff>
    </xdr:from>
    <xdr:to>
      <xdr:col>6</xdr:col>
      <xdr:colOff>655320</xdr:colOff>
      <xdr:row>13</xdr:row>
      <xdr:rowOff>68669</xdr:rowOff>
    </xdr:to>
    <xdr:pic>
      <xdr:nvPicPr>
        <xdr:cNvPr id="10" name="9 Imagen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85160" y="2019776"/>
          <a:ext cx="2796540" cy="206463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514350</xdr:colOff>
      <xdr:row>1</xdr:row>
      <xdr:rowOff>152400</xdr:rowOff>
    </xdr:from>
    <xdr:to>
      <xdr:col>10</xdr:col>
      <xdr:colOff>78043</xdr:colOff>
      <xdr:row>7</xdr:row>
      <xdr:rowOff>28575</xdr:rowOff>
    </xdr:to>
    <xdr:pic>
      <xdr:nvPicPr>
        <xdr:cNvPr id="11" name="10 Imagen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2975" y="342900"/>
          <a:ext cx="7355143" cy="101917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626534</xdr:colOff>
      <xdr:row>1</xdr:row>
      <xdr:rowOff>60324</xdr:rowOff>
    </xdr:from>
    <xdr:to>
      <xdr:col>12</xdr:col>
      <xdr:colOff>86784</xdr:colOff>
      <xdr:row>5</xdr:row>
      <xdr:rowOff>101599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12459" y="298449"/>
          <a:ext cx="6318250" cy="9937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628650</xdr:colOff>
      <xdr:row>0</xdr:row>
      <xdr:rowOff>19050</xdr:rowOff>
    </xdr:from>
    <xdr:to>
      <xdr:col>13</xdr:col>
      <xdr:colOff>564157</xdr:colOff>
      <xdr:row>6</xdr:row>
      <xdr:rowOff>19050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5450" y="19050"/>
          <a:ext cx="9041407" cy="14287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0</xdr:row>
      <xdr:rowOff>76200</xdr:rowOff>
    </xdr:from>
    <xdr:to>
      <xdr:col>5</xdr:col>
      <xdr:colOff>1529344</xdr:colOff>
      <xdr:row>3</xdr:row>
      <xdr:rowOff>132230</xdr:rowOff>
    </xdr:to>
    <xdr:pic>
      <xdr:nvPicPr>
        <xdr:cNvPr id="8" name="7 Imagen">
          <a:extLst>
            <a:ext uri="{FF2B5EF4-FFF2-40B4-BE49-F238E27FC236}">
              <a16:creationId xmlns:a16="http://schemas.microsoft.com/office/drawing/2014/main" id="{00000000-0008-0000-05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71700" y="76200"/>
          <a:ext cx="7806319" cy="126570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733425</xdr:colOff>
      <xdr:row>0</xdr:row>
      <xdr:rowOff>76200</xdr:rowOff>
    </xdr:from>
    <xdr:to>
      <xdr:col>3</xdr:col>
      <xdr:colOff>2022475</xdr:colOff>
      <xdr:row>4</xdr:row>
      <xdr:rowOff>185023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1175" y="76200"/>
          <a:ext cx="6318250" cy="1023223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542925</xdr:colOff>
      <xdr:row>0</xdr:row>
      <xdr:rowOff>95250</xdr:rowOff>
    </xdr:from>
    <xdr:to>
      <xdr:col>3</xdr:col>
      <xdr:colOff>1831975</xdr:colOff>
      <xdr:row>4</xdr:row>
      <xdr:rowOff>204073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90675" y="95250"/>
          <a:ext cx="6318250" cy="1023223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561975</xdr:colOff>
      <xdr:row>0</xdr:row>
      <xdr:rowOff>133350</xdr:rowOff>
    </xdr:from>
    <xdr:to>
      <xdr:col>3</xdr:col>
      <xdr:colOff>1851025</xdr:colOff>
      <xdr:row>4</xdr:row>
      <xdr:rowOff>242173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09725" y="133350"/>
          <a:ext cx="6318250" cy="102322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rinterSettings" Target="../printerSettings/printerSettings6.bin"/><Relationship Id="rId1" Type="http://schemas.openxmlformats.org/officeDocument/2006/relationships/printerSettings" Target="../printerSettings/printerSettings5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10.bin"/><Relationship Id="rId1" Type="http://schemas.openxmlformats.org/officeDocument/2006/relationships/printerSettings" Target="../printerSettings/printerSettings9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2.bin"/><Relationship Id="rId1" Type="http://schemas.openxmlformats.org/officeDocument/2006/relationships/printerSettings" Target="../printerSettings/printerSettings11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3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B2:K41"/>
  <sheetViews>
    <sheetView showGridLines="0" view="pageBreakPreview" zoomScaleNormal="70" zoomScaleSheetLayoutView="100" zoomScalePageLayoutView="82" workbookViewId="0">
      <selection activeCell="B12" sqref="B12:K30"/>
    </sheetView>
  </sheetViews>
  <sheetFormatPr baseColWidth="10" defaultColWidth="11.42578125" defaultRowHeight="15"/>
  <cols>
    <col min="1" max="1" width="6.42578125" style="6" customWidth="1"/>
    <col min="2" max="5" width="11.42578125" style="6"/>
    <col min="6" max="6" width="25.42578125" style="6" bestFit="1" customWidth="1"/>
    <col min="7" max="10" width="11.42578125" style="6"/>
    <col min="11" max="12" width="11.42578125" style="6" customWidth="1"/>
    <col min="13" max="16384" width="11.42578125" style="6"/>
  </cols>
  <sheetData>
    <row r="2" spans="2:11">
      <c r="B2" s="45" t="s">
        <v>63</v>
      </c>
    </row>
    <row r="8" spans="2:11" ht="92.25">
      <c r="F8" s="123"/>
      <c r="G8" s="123"/>
    </row>
    <row r="12" spans="2:11">
      <c r="B12" s="122" t="s">
        <v>262</v>
      </c>
      <c r="C12" s="122"/>
      <c r="D12" s="122"/>
      <c r="E12" s="122"/>
      <c r="F12" s="122"/>
      <c r="G12" s="122"/>
      <c r="H12" s="122"/>
      <c r="I12" s="122"/>
      <c r="J12" s="122"/>
      <c r="K12" s="122"/>
    </row>
    <row r="13" spans="2:11">
      <c r="B13" s="122"/>
      <c r="C13" s="122"/>
      <c r="D13" s="122"/>
      <c r="E13" s="122"/>
      <c r="F13" s="122"/>
      <c r="G13" s="122"/>
      <c r="H13" s="122"/>
      <c r="I13" s="122"/>
      <c r="J13" s="122"/>
      <c r="K13" s="122"/>
    </row>
    <row r="14" spans="2:11" ht="15" customHeight="1">
      <c r="B14" s="122"/>
      <c r="C14" s="122"/>
      <c r="D14" s="122"/>
      <c r="E14" s="122"/>
      <c r="F14" s="122"/>
      <c r="G14" s="122"/>
      <c r="H14" s="122"/>
      <c r="I14" s="122"/>
      <c r="J14" s="122"/>
      <c r="K14" s="122"/>
    </row>
    <row r="15" spans="2:11" ht="15" customHeight="1">
      <c r="B15" s="122"/>
      <c r="C15" s="122"/>
      <c r="D15" s="122"/>
      <c r="E15" s="122"/>
      <c r="F15" s="122"/>
      <c r="G15" s="122"/>
      <c r="H15" s="122"/>
      <c r="I15" s="122"/>
      <c r="J15" s="122"/>
      <c r="K15" s="122"/>
    </row>
    <row r="16" spans="2:11" ht="15" customHeight="1">
      <c r="B16" s="122"/>
      <c r="C16" s="122"/>
      <c r="D16" s="122"/>
      <c r="E16" s="122"/>
      <c r="F16" s="122"/>
      <c r="G16" s="122"/>
      <c r="H16" s="122"/>
      <c r="I16" s="122"/>
      <c r="J16" s="122"/>
      <c r="K16" s="122"/>
    </row>
    <row r="17" spans="2:11" ht="15" customHeight="1">
      <c r="B17" s="122"/>
      <c r="C17" s="122"/>
      <c r="D17" s="122"/>
      <c r="E17" s="122"/>
      <c r="F17" s="122"/>
      <c r="G17" s="122"/>
      <c r="H17" s="122"/>
      <c r="I17" s="122"/>
      <c r="J17" s="122"/>
      <c r="K17" s="122"/>
    </row>
    <row r="18" spans="2:11" ht="15" customHeight="1">
      <c r="B18" s="122"/>
      <c r="C18" s="122"/>
      <c r="D18" s="122"/>
      <c r="E18" s="122"/>
      <c r="F18" s="122"/>
      <c r="G18" s="122"/>
      <c r="H18" s="122"/>
      <c r="I18" s="122"/>
      <c r="J18" s="122"/>
      <c r="K18" s="122"/>
    </row>
    <row r="19" spans="2:11" ht="15" customHeight="1">
      <c r="B19" s="122"/>
      <c r="C19" s="122"/>
      <c r="D19" s="122"/>
      <c r="E19" s="122"/>
      <c r="F19" s="122"/>
      <c r="G19" s="122"/>
      <c r="H19" s="122"/>
      <c r="I19" s="122"/>
      <c r="J19" s="122"/>
      <c r="K19" s="122"/>
    </row>
    <row r="20" spans="2:11" ht="15" customHeight="1">
      <c r="B20" s="122"/>
      <c r="C20" s="122"/>
      <c r="D20" s="122"/>
      <c r="E20" s="122"/>
      <c r="F20" s="122"/>
      <c r="G20" s="122"/>
      <c r="H20" s="122"/>
      <c r="I20" s="122"/>
      <c r="J20" s="122"/>
      <c r="K20" s="122"/>
    </row>
    <row r="21" spans="2:11" ht="15" customHeight="1">
      <c r="B21" s="122"/>
      <c r="C21" s="122"/>
      <c r="D21" s="122"/>
      <c r="E21" s="122"/>
      <c r="F21" s="122"/>
      <c r="G21" s="122"/>
      <c r="H21" s="122"/>
      <c r="I21" s="122"/>
      <c r="J21" s="122"/>
      <c r="K21" s="122"/>
    </row>
    <row r="22" spans="2:11" ht="15" customHeight="1">
      <c r="B22" s="122"/>
      <c r="C22" s="122"/>
      <c r="D22" s="122"/>
      <c r="E22" s="122"/>
      <c r="F22" s="122"/>
      <c r="G22" s="122"/>
      <c r="H22" s="122"/>
      <c r="I22" s="122"/>
      <c r="J22" s="122"/>
      <c r="K22" s="122"/>
    </row>
    <row r="23" spans="2:11" ht="15" customHeight="1">
      <c r="B23" s="122"/>
      <c r="C23" s="122"/>
      <c r="D23" s="122"/>
      <c r="E23" s="122"/>
      <c r="F23" s="122"/>
      <c r="G23" s="122"/>
      <c r="H23" s="122"/>
      <c r="I23" s="122"/>
      <c r="J23" s="122"/>
      <c r="K23" s="122"/>
    </row>
    <row r="24" spans="2:11" ht="15" customHeight="1">
      <c r="B24" s="122"/>
      <c r="C24" s="122"/>
      <c r="D24" s="122"/>
      <c r="E24" s="122"/>
      <c r="F24" s="122"/>
      <c r="G24" s="122"/>
      <c r="H24" s="122"/>
      <c r="I24" s="122"/>
      <c r="J24" s="122"/>
      <c r="K24" s="122"/>
    </row>
    <row r="25" spans="2:11" ht="15" customHeight="1">
      <c r="B25" s="122"/>
      <c r="C25" s="122"/>
      <c r="D25" s="122"/>
      <c r="E25" s="122"/>
      <c r="F25" s="122"/>
      <c r="G25" s="122"/>
      <c r="H25" s="122"/>
      <c r="I25" s="122"/>
      <c r="J25" s="122"/>
      <c r="K25" s="122"/>
    </row>
    <row r="26" spans="2:11" ht="15" customHeight="1">
      <c r="B26" s="122"/>
      <c r="C26" s="122"/>
      <c r="D26" s="122"/>
      <c r="E26" s="122"/>
      <c r="F26" s="122"/>
      <c r="G26" s="122"/>
      <c r="H26" s="122"/>
      <c r="I26" s="122"/>
      <c r="J26" s="122"/>
      <c r="K26" s="122"/>
    </row>
    <row r="27" spans="2:11" ht="15" customHeight="1">
      <c r="B27" s="122"/>
      <c r="C27" s="122"/>
      <c r="D27" s="122"/>
      <c r="E27" s="122"/>
      <c r="F27" s="122"/>
      <c r="G27" s="122"/>
      <c r="H27" s="122"/>
      <c r="I27" s="122"/>
      <c r="J27" s="122"/>
      <c r="K27" s="122"/>
    </row>
    <row r="28" spans="2:11" ht="15" customHeight="1">
      <c r="B28" s="122"/>
      <c r="C28" s="122"/>
      <c r="D28" s="122"/>
      <c r="E28" s="122"/>
      <c r="F28" s="122"/>
      <c r="G28" s="122"/>
      <c r="H28" s="122"/>
      <c r="I28" s="122"/>
      <c r="J28" s="122"/>
      <c r="K28" s="122"/>
    </row>
    <row r="29" spans="2:11" ht="15" customHeight="1">
      <c r="B29" s="122"/>
      <c r="C29" s="122"/>
      <c r="D29" s="122"/>
      <c r="E29" s="122"/>
      <c r="F29" s="122"/>
      <c r="G29" s="122"/>
      <c r="H29" s="122"/>
      <c r="I29" s="122"/>
      <c r="J29" s="122"/>
      <c r="K29" s="122"/>
    </row>
    <row r="30" spans="2:11" ht="15" customHeight="1">
      <c r="B30" s="122"/>
      <c r="C30" s="122"/>
      <c r="D30" s="122"/>
      <c r="E30" s="122"/>
      <c r="F30" s="122"/>
      <c r="G30" s="122"/>
      <c r="H30" s="122"/>
      <c r="I30" s="122"/>
      <c r="J30" s="122"/>
      <c r="K30" s="122"/>
    </row>
    <row r="31" spans="2:11" ht="15" customHeight="1"/>
    <row r="38" spans="9:11" ht="23.25">
      <c r="I38" s="7"/>
      <c r="J38" s="7"/>
      <c r="K38" s="8" t="s">
        <v>54</v>
      </c>
    </row>
    <row r="39" spans="9:11" ht="23.25">
      <c r="K39" s="8" t="s">
        <v>70</v>
      </c>
    </row>
    <row r="41" spans="9:11" ht="26.25">
      <c r="K41" s="43">
        <v>2023</v>
      </c>
    </row>
  </sheetData>
  <sheetProtection selectLockedCells="1"/>
  <customSheetViews>
    <customSheetView guid="{857CB3B9-618A-49FD-8D38-75EE2A4021B4}" showPageBreaks="1" showGridLines="0" printArea="1" view="pageBreakPreview" topLeftCell="A10">
      <selection activeCell="C48" sqref="C48"/>
      <pageMargins left="0.7" right="0.7" top="0.75" bottom="0.75" header="0.3" footer="0.3"/>
      <pageSetup scale="71" orientation="portrait" r:id="rId1"/>
    </customSheetView>
  </customSheetViews>
  <mergeCells count="2">
    <mergeCell ref="B12:K30"/>
    <mergeCell ref="F8:G8"/>
  </mergeCells>
  <pageMargins left="0.7" right="0.7" top="0.75" bottom="0.75" header="0.3" footer="0.3"/>
  <pageSetup scale="7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/>
  <dimension ref="B7:AD53"/>
  <sheetViews>
    <sheetView showGridLines="0" view="pageBreakPreview" zoomScaleNormal="80" zoomScaleSheetLayoutView="100" workbookViewId="0">
      <selection activeCell="Q9" sqref="Q9"/>
    </sheetView>
  </sheetViews>
  <sheetFormatPr baseColWidth="10" defaultColWidth="11.42578125" defaultRowHeight="18.75"/>
  <cols>
    <col min="1" max="1" width="5.42578125" style="9" customWidth="1"/>
    <col min="2" max="2" width="4.5703125" style="9" customWidth="1"/>
    <col min="3" max="3" width="15.28515625" style="9" customWidth="1"/>
    <col min="4" max="16384" width="11.42578125" style="9"/>
  </cols>
  <sheetData>
    <row r="7" spans="2:30">
      <c r="B7" s="125" t="s">
        <v>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</row>
    <row r="8" spans="2:30">
      <c r="B8" s="126" t="s">
        <v>55</v>
      </c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</row>
    <row r="9" spans="2:30" s="10" customFormat="1" ht="60.75" customHeight="1">
      <c r="B9" s="127" t="s">
        <v>234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30" ht="23.25">
      <c r="B10" s="129" t="s">
        <v>261</v>
      </c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</row>
    <row r="12" spans="2:30">
      <c r="B12" s="124" t="s">
        <v>56</v>
      </c>
      <c r="C12" s="124"/>
      <c r="D12" s="124"/>
      <c r="E12" s="124"/>
      <c r="F12" s="124"/>
      <c r="G12" s="124"/>
      <c r="H12" s="124"/>
      <c r="I12" s="124"/>
      <c r="J12" s="124"/>
      <c r="K12" s="124"/>
      <c r="L12" s="124"/>
      <c r="M12" s="124"/>
      <c r="N12" s="124"/>
      <c r="O12" s="124"/>
    </row>
    <row r="13" spans="2:30" ht="15" customHeight="1">
      <c r="B13" s="132" t="s">
        <v>66</v>
      </c>
      <c r="C13" s="132"/>
      <c r="D13" s="132"/>
      <c r="E13" s="132"/>
      <c r="F13" s="132"/>
      <c r="G13" s="132"/>
      <c r="H13" s="132"/>
      <c r="I13" s="132"/>
      <c r="J13" s="132"/>
      <c r="K13" s="132"/>
      <c r="L13" s="132"/>
      <c r="M13" s="132"/>
      <c r="N13" s="132"/>
      <c r="O13" s="132"/>
      <c r="Q13" s="131"/>
      <c r="R13" s="131"/>
      <c r="S13" s="131"/>
      <c r="T13" s="131"/>
      <c r="U13" s="131"/>
      <c r="V13" s="131"/>
      <c r="W13" s="131"/>
      <c r="X13" s="131"/>
      <c r="Y13" s="131"/>
      <c r="Z13" s="131"/>
      <c r="AA13" s="131"/>
      <c r="AB13" s="131"/>
      <c r="AC13" s="131"/>
      <c r="AD13" s="131"/>
    </row>
    <row r="14" spans="2:30" ht="15" customHeight="1">
      <c r="B14" s="132"/>
      <c r="C14" s="132"/>
      <c r="D14" s="132"/>
      <c r="E14" s="132"/>
      <c r="F14" s="132"/>
      <c r="G14" s="132"/>
      <c r="H14" s="132"/>
      <c r="I14" s="132"/>
      <c r="J14" s="132"/>
      <c r="K14" s="132"/>
      <c r="L14" s="132"/>
      <c r="M14" s="132"/>
      <c r="N14" s="132"/>
      <c r="O14" s="132"/>
      <c r="Q14" s="131"/>
      <c r="R14" s="131"/>
      <c r="S14" s="131"/>
      <c r="T14" s="131"/>
      <c r="U14" s="131"/>
      <c r="V14" s="131"/>
      <c r="W14" s="131"/>
      <c r="X14" s="131"/>
      <c r="Y14" s="131"/>
      <c r="Z14" s="131"/>
      <c r="AA14" s="131"/>
      <c r="AB14" s="131"/>
      <c r="AC14" s="131"/>
      <c r="AD14" s="131"/>
    </row>
    <row r="15" spans="2:30" ht="15" customHeight="1"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Q15" s="131"/>
      <c r="R15" s="131"/>
      <c r="S15" s="131"/>
      <c r="T15" s="131"/>
      <c r="U15" s="131"/>
      <c r="V15" s="131"/>
      <c r="W15" s="131"/>
      <c r="X15" s="131"/>
      <c r="Y15" s="131"/>
      <c r="Z15" s="131"/>
      <c r="AA15" s="131"/>
      <c r="AB15" s="131"/>
      <c r="AC15" s="131"/>
      <c r="AD15" s="131"/>
    </row>
    <row r="16" spans="2:30" ht="15" customHeight="1"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  <c r="M16" s="11"/>
      <c r="N16" s="11"/>
      <c r="O16" s="11"/>
      <c r="Q16" s="131"/>
      <c r="R16" s="131"/>
      <c r="S16" s="131"/>
      <c r="T16" s="131"/>
      <c r="U16" s="131"/>
      <c r="V16" s="131"/>
      <c r="W16" s="131"/>
      <c r="X16" s="131"/>
      <c r="Y16" s="131"/>
      <c r="Z16" s="131"/>
      <c r="AA16" s="131"/>
      <c r="AB16" s="131"/>
      <c r="AC16" s="131"/>
      <c r="AD16" s="131"/>
    </row>
    <row r="17" spans="2:30" ht="18.75" customHeight="1">
      <c r="B17" s="133" t="s">
        <v>58</v>
      </c>
      <c r="C17" s="133"/>
      <c r="D17" s="133"/>
      <c r="E17" s="133"/>
      <c r="F17" s="133"/>
      <c r="G17" s="133"/>
      <c r="H17" s="133"/>
      <c r="I17" s="133"/>
      <c r="J17" s="133"/>
      <c r="K17" s="133"/>
      <c r="L17" s="133"/>
      <c r="M17" s="133"/>
      <c r="N17" s="133"/>
      <c r="O17" s="133"/>
      <c r="Q17" s="131"/>
      <c r="R17" s="131"/>
      <c r="S17" s="131"/>
      <c r="T17" s="131"/>
      <c r="U17" s="131"/>
      <c r="V17" s="131"/>
      <c r="W17" s="131"/>
      <c r="X17" s="131"/>
      <c r="Y17" s="131"/>
      <c r="Z17" s="131"/>
      <c r="AA17" s="131"/>
      <c r="AB17" s="131"/>
      <c r="AC17" s="131"/>
      <c r="AD17" s="131"/>
    </row>
    <row r="18" spans="2:30" ht="18.75" customHeight="1">
      <c r="B18" s="132" t="s">
        <v>67</v>
      </c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Q18" s="131"/>
      <c r="R18" s="131"/>
      <c r="S18" s="131"/>
      <c r="T18" s="131"/>
      <c r="U18" s="131"/>
      <c r="V18" s="131"/>
      <c r="W18" s="131"/>
      <c r="X18" s="131"/>
      <c r="Y18" s="131"/>
      <c r="Z18" s="131"/>
      <c r="AA18" s="131"/>
      <c r="AB18" s="131"/>
      <c r="AC18" s="131"/>
      <c r="AD18" s="131"/>
    </row>
    <row r="19" spans="2:30"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</row>
    <row r="20" spans="2:30"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</row>
    <row r="21" spans="2:30"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</row>
    <row r="22" spans="2:30"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</row>
    <row r="23" spans="2:30"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</row>
    <row r="24" spans="2:30" ht="18.75" customHeight="1">
      <c r="B24" s="133" t="s">
        <v>59</v>
      </c>
      <c r="C24" s="133"/>
      <c r="D24" s="133"/>
      <c r="E24" s="133"/>
      <c r="F24" s="133"/>
      <c r="G24" s="133"/>
      <c r="H24" s="133"/>
      <c r="I24" s="133"/>
      <c r="J24" s="133"/>
      <c r="K24" s="133"/>
      <c r="L24" s="133"/>
      <c r="M24" s="133"/>
      <c r="N24" s="133"/>
      <c r="O24" s="133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</row>
    <row r="25" spans="2:30">
      <c r="B25" s="132" t="s">
        <v>236</v>
      </c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</row>
    <row r="26" spans="2:30"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</row>
    <row r="27" spans="2:30"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</row>
    <row r="28" spans="2:30">
      <c r="B28" s="132"/>
      <c r="C28" s="132"/>
      <c r="D28" s="132"/>
      <c r="E28" s="132"/>
      <c r="F28" s="132"/>
      <c r="G28" s="132"/>
      <c r="H28" s="132"/>
      <c r="I28" s="132"/>
      <c r="J28" s="132"/>
      <c r="K28" s="132"/>
      <c r="L28" s="132"/>
      <c r="M28" s="132"/>
      <c r="N28" s="132"/>
      <c r="O28" s="13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</row>
    <row r="29" spans="2:30">
      <c r="B29" s="132"/>
      <c r="C29" s="132"/>
      <c r="D29" s="132"/>
      <c r="E29" s="132"/>
      <c r="F29" s="132"/>
      <c r="G29" s="132"/>
      <c r="H29" s="132"/>
      <c r="I29" s="132"/>
      <c r="J29" s="132"/>
      <c r="K29" s="132"/>
      <c r="L29" s="132"/>
      <c r="M29" s="132"/>
      <c r="N29" s="132"/>
      <c r="O29" s="13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</row>
    <row r="30" spans="2:30">
      <c r="B30" s="132"/>
      <c r="C30" s="132"/>
      <c r="D30" s="132"/>
      <c r="E30" s="132"/>
      <c r="F30" s="132"/>
      <c r="G30" s="132"/>
      <c r="H30" s="132"/>
      <c r="I30" s="132"/>
      <c r="J30" s="132"/>
      <c r="K30" s="132"/>
      <c r="L30" s="132"/>
      <c r="M30" s="132"/>
      <c r="N30" s="132"/>
      <c r="O30" s="13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</row>
    <row r="31" spans="2:30">
      <c r="B31" s="132"/>
      <c r="C31" s="132"/>
      <c r="D31" s="132"/>
      <c r="E31" s="132"/>
      <c r="F31" s="132"/>
      <c r="G31" s="132"/>
      <c r="H31" s="132"/>
      <c r="I31" s="132"/>
      <c r="J31" s="132"/>
      <c r="K31" s="132"/>
      <c r="L31" s="132"/>
      <c r="M31" s="132"/>
      <c r="N31" s="132"/>
      <c r="O31" s="13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</row>
    <row r="32" spans="2:30"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</row>
    <row r="33" spans="2:30"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</row>
    <row r="34" spans="2:30"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</row>
    <row r="35" spans="2:30">
      <c r="B35" s="132"/>
      <c r="C35" s="132"/>
      <c r="D35" s="132"/>
      <c r="E35" s="132"/>
      <c r="F35" s="132"/>
      <c r="G35" s="132"/>
      <c r="H35" s="132"/>
      <c r="I35" s="132"/>
      <c r="J35" s="132"/>
      <c r="K35" s="132"/>
      <c r="L35" s="132"/>
      <c r="M35" s="132"/>
      <c r="N35" s="132"/>
      <c r="O35" s="13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</row>
    <row r="36" spans="2:30">
      <c r="B36" s="132"/>
      <c r="C36" s="132"/>
      <c r="D36" s="132"/>
      <c r="E36" s="132"/>
      <c r="F36" s="132"/>
      <c r="G36" s="132"/>
      <c r="H36" s="132"/>
      <c r="I36" s="132"/>
      <c r="J36" s="132"/>
      <c r="K36" s="132"/>
      <c r="L36" s="132"/>
      <c r="M36" s="132"/>
      <c r="N36" s="132"/>
      <c r="O36" s="13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</row>
    <row r="37" spans="2:30"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</row>
    <row r="38" spans="2:30"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</row>
    <row r="39" spans="2:30" ht="18.75" customHeight="1">
      <c r="B39" s="133" t="s">
        <v>60</v>
      </c>
      <c r="C39" s="133"/>
      <c r="D39" s="133"/>
      <c r="E39" s="133"/>
      <c r="F39" s="133"/>
      <c r="G39" s="133"/>
      <c r="H39" s="133"/>
      <c r="I39" s="133"/>
      <c r="J39" s="133"/>
      <c r="K39" s="133"/>
      <c r="L39" s="133"/>
      <c r="M39" s="133"/>
      <c r="N39" s="133"/>
      <c r="O39" s="133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</row>
    <row r="40" spans="2:30" ht="18.75" customHeight="1">
      <c r="B40" s="132" t="s">
        <v>263</v>
      </c>
      <c r="C40" s="132"/>
      <c r="D40" s="132"/>
      <c r="E40" s="132"/>
      <c r="F40" s="132"/>
      <c r="G40" s="132"/>
      <c r="H40" s="132"/>
      <c r="I40" s="132"/>
      <c r="J40" s="132"/>
      <c r="K40" s="132"/>
      <c r="L40" s="132"/>
      <c r="M40" s="132"/>
      <c r="N40" s="132"/>
      <c r="O40" s="13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</row>
    <row r="41" spans="2:30">
      <c r="B41" s="132"/>
      <c r="C41" s="132"/>
      <c r="D41" s="132"/>
      <c r="E41" s="132"/>
      <c r="F41" s="132"/>
      <c r="G41" s="132"/>
      <c r="H41" s="132"/>
      <c r="I41" s="132"/>
      <c r="J41" s="132"/>
      <c r="K41" s="132"/>
      <c r="L41" s="132"/>
      <c r="M41" s="132"/>
      <c r="N41" s="132"/>
      <c r="O41" s="13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</row>
    <row r="42" spans="2:30">
      <c r="B42" s="132"/>
      <c r="C42" s="132"/>
      <c r="D42" s="132"/>
      <c r="E42" s="132"/>
      <c r="F42" s="132"/>
      <c r="G42" s="132"/>
      <c r="H42" s="132"/>
      <c r="I42" s="132"/>
      <c r="J42" s="132"/>
      <c r="K42" s="132"/>
      <c r="L42" s="132"/>
      <c r="M42" s="132"/>
      <c r="N42" s="132"/>
      <c r="O42" s="13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</row>
    <row r="43" spans="2:30">
      <c r="B43" s="132"/>
      <c r="C43" s="132"/>
      <c r="D43" s="132"/>
      <c r="E43" s="132"/>
      <c r="F43" s="132"/>
      <c r="G43" s="132"/>
      <c r="H43" s="132"/>
      <c r="I43" s="132"/>
      <c r="J43" s="132"/>
      <c r="K43" s="132"/>
      <c r="L43" s="132"/>
      <c r="M43" s="132"/>
      <c r="N43" s="132"/>
      <c r="O43" s="13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</row>
    <row r="44" spans="2:30">
      <c r="B44" s="132"/>
      <c r="C44" s="132"/>
      <c r="D44" s="132"/>
      <c r="E44" s="132"/>
      <c r="F44" s="132"/>
      <c r="G44" s="132"/>
      <c r="H44" s="132"/>
      <c r="I44" s="132"/>
      <c r="J44" s="132"/>
      <c r="K44" s="132"/>
      <c r="L44" s="132"/>
      <c r="M44" s="132"/>
      <c r="N44" s="132"/>
      <c r="O44" s="13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</row>
    <row r="45" spans="2:30" ht="18.75" customHeight="1">
      <c r="B45" s="133" t="s">
        <v>61</v>
      </c>
      <c r="C45" s="133"/>
      <c r="D45" s="133"/>
      <c r="E45" s="133"/>
      <c r="F45" s="133"/>
      <c r="G45" s="133"/>
      <c r="H45" s="133"/>
      <c r="I45" s="133"/>
      <c r="J45" s="133"/>
      <c r="K45" s="133"/>
      <c r="L45" s="133"/>
      <c r="M45" s="133"/>
      <c r="N45" s="133"/>
      <c r="O45" s="133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</row>
    <row r="46" spans="2:30" ht="18.75" customHeight="1">
      <c r="B46" s="132" t="s">
        <v>69</v>
      </c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</row>
    <row r="47" spans="2:30">
      <c r="B47" s="132"/>
      <c r="C47" s="132"/>
      <c r="D47" s="132"/>
      <c r="E47" s="132"/>
      <c r="F47" s="132"/>
      <c r="G47" s="132"/>
      <c r="H47" s="132"/>
      <c r="I47" s="132"/>
      <c r="J47" s="132"/>
      <c r="K47" s="132"/>
      <c r="L47" s="132"/>
      <c r="M47" s="132"/>
      <c r="N47" s="132"/>
      <c r="O47" s="13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</row>
    <row r="48" spans="2:30">
      <c r="B48" s="132"/>
      <c r="C48" s="132"/>
      <c r="D48" s="132"/>
      <c r="E48" s="132"/>
      <c r="F48" s="132"/>
      <c r="G48" s="132"/>
      <c r="H48" s="132"/>
      <c r="I48" s="132"/>
      <c r="J48" s="132"/>
      <c r="K48" s="132"/>
      <c r="L48" s="132"/>
      <c r="M48" s="132"/>
      <c r="N48" s="132"/>
      <c r="O48" s="13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</row>
    <row r="49" spans="2:30" ht="78.75" customHeight="1">
      <c r="B49" s="132"/>
      <c r="C49" s="132"/>
      <c r="D49" s="132"/>
      <c r="E49" s="132"/>
      <c r="F49" s="132"/>
      <c r="G49" s="132"/>
      <c r="H49" s="132"/>
      <c r="I49" s="132"/>
      <c r="J49" s="132"/>
      <c r="K49" s="132"/>
      <c r="L49" s="132"/>
      <c r="M49" s="132"/>
      <c r="N49" s="132"/>
      <c r="O49" s="13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</row>
    <row r="50" spans="2:30"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</row>
    <row r="51" spans="2:30" ht="18.75" customHeight="1">
      <c r="B51" s="133" t="s">
        <v>62</v>
      </c>
      <c r="C51" s="133"/>
      <c r="D51" s="133"/>
      <c r="E51" s="133"/>
      <c r="F51" s="133"/>
      <c r="G51" s="133"/>
      <c r="H51" s="133"/>
      <c r="I51" s="133"/>
      <c r="J51" s="133"/>
      <c r="K51" s="133"/>
      <c r="L51" s="133"/>
      <c r="M51" s="133"/>
      <c r="N51" s="133"/>
      <c r="O51" s="133"/>
    </row>
    <row r="52" spans="2:30" ht="54.75" customHeight="1">
      <c r="B52" s="132" t="s">
        <v>68</v>
      </c>
      <c r="C52" s="132"/>
      <c r="D52" s="132"/>
      <c r="E52" s="132"/>
      <c r="F52" s="132"/>
      <c r="G52" s="132"/>
      <c r="H52" s="132"/>
      <c r="I52" s="132"/>
      <c r="J52" s="132"/>
      <c r="K52" s="132"/>
      <c r="L52" s="132"/>
      <c r="M52" s="132"/>
      <c r="N52" s="132"/>
      <c r="O52" s="132"/>
    </row>
    <row r="53" spans="2:30"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</row>
  </sheetData>
  <sheetProtection password="CC15" sheet="1" objects="1" scenarios="1" selectLockedCells="1"/>
  <customSheetViews>
    <customSheetView guid="{857CB3B9-618A-49FD-8D38-75EE2A4021B4}" scale="90" showPageBreaks="1" showGridLines="0" printArea="1" view="pageBreakPreview" topLeftCell="A6">
      <selection activeCell="B6" sqref="B6:O6"/>
      <pageMargins left="0.70866141732283472" right="0.70866141732283472" top="0.74803149606299213" bottom="0.74803149606299213" header="0" footer="0"/>
      <printOptions horizontalCentered="1"/>
      <pageSetup scale="53" fitToHeight="2" orientation="landscape" r:id="rId1"/>
    </customSheetView>
  </customSheetViews>
  <mergeCells count="17">
    <mergeCell ref="Q13:AD18"/>
    <mergeCell ref="B52:O52"/>
    <mergeCell ref="B18:O22"/>
    <mergeCell ref="B25:O38"/>
    <mergeCell ref="B46:O49"/>
    <mergeCell ref="B45:O45"/>
    <mergeCell ref="B51:O51"/>
    <mergeCell ref="B39:O39"/>
    <mergeCell ref="B24:O24"/>
    <mergeCell ref="B17:O17"/>
    <mergeCell ref="B13:O15"/>
    <mergeCell ref="B40:O44"/>
    <mergeCell ref="B12:O12"/>
    <mergeCell ref="B7:O7"/>
    <mergeCell ref="B8:O8"/>
    <mergeCell ref="B9:O9"/>
    <mergeCell ref="B10:O10"/>
  </mergeCells>
  <printOptions horizontalCentered="1"/>
  <pageMargins left="0.70866141732283472" right="0.70866141732283472" top="0.74803149606299213" bottom="0.74803149606299213" header="0" footer="0"/>
  <pageSetup scale="53" fitToHeight="2" orientation="landscape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4">
    <pageSetUpPr fitToPage="1"/>
  </sheetPr>
  <dimension ref="B7:O23"/>
  <sheetViews>
    <sheetView showGridLines="0" view="pageBreakPreview" zoomScaleNormal="70" zoomScaleSheetLayoutView="100" workbookViewId="0">
      <selection activeCell="Q5" sqref="Q5"/>
    </sheetView>
  </sheetViews>
  <sheetFormatPr baseColWidth="10" defaultColWidth="11.42578125" defaultRowHeight="18.75"/>
  <cols>
    <col min="1" max="1" width="11.42578125" style="9"/>
    <col min="2" max="2" width="4.5703125" style="9" customWidth="1"/>
    <col min="3" max="3" width="15.28515625" style="9" customWidth="1"/>
    <col min="4" max="4" width="18.42578125" style="9" customWidth="1"/>
    <col min="5" max="13" width="11.42578125" style="9"/>
    <col min="14" max="14" width="10.7109375" style="9" customWidth="1"/>
    <col min="15" max="16384" width="11.42578125" style="9"/>
  </cols>
  <sheetData>
    <row r="7" spans="2:15">
      <c r="B7" s="125" t="s">
        <v>0</v>
      </c>
      <c r="C7" s="125"/>
      <c r="D7" s="125"/>
      <c r="E7" s="125"/>
      <c r="F7" s="125"/>
      <c r="G7" s="125"/>
      <c r="H7" s="125"/>
      <c r="I7" s="125"/>
      <c r="J7" s="125"/>
      <c r="K7" s="125"/>
      <c r="L7" s="125"/>
      <c r="M7" s="125"/>
      <c r="N7" s="125"/>
      <c r="O7" s="125"/>
    </row>
    <row r="8" spans="2:15">
      <c r="B8" s="134" t="s">
        <v>55</v>
      </c>
      <c r="C8" s="134"/>
      <c r="D8" s="134"/>
      <c r="E8" s="134"/>
      <c r="F8" s="134"/>
      <c r="G8" s="134"/>
      <c r="H8" s="134"/>
      <c r="I8" s="134"/>
      <c r="J8" s="134"/>
      <c r="K8" s="134"/>
      <c r="L8" s="134"/>
      <c r="M8" s="134"/>
      <c r="N8" s="134"/>
      <c r="O8" s="134"/>
    </row>
    <row r="9" spans="2:15" ht="19.5">
      <c r="B9" s="127" t="s">
        <v>57</v>
      </c>
      <c r="C9" s="128"/>
      <c r="D9" s="128"/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</row>
    <row r="10" spans="2:15" ht="23.25">
      <c r="B10" s="129" t="s">
        <v>261</v>
      </c>
      <c r="C10" s="135"/>
      <c r="D10" s="135"/>
      <c r="E10" s="135"/>
      <c r="F10" s="135"/>
      <c r="G10" s="135"/>
      <c r="H10" s="135"/>
      <c r="I10" s="135"/>
      <c r="J10" s="135"/>
      <c r="K10" s="135"/>
      <c r="L10" s="135"/>
      <c r="M10" s="135"/>
      <c r="N10" s="135"/>
      <c r="O10" s="135"/>
    </row>
    <row r="12" spans="2:15" ht="19.5">
      <c r="B12" s="136" t="s">
        <v>64</v>
      </c>
      <c r="C12" s="136"/>
      <c r="D12" s="136"/>
      <c r="E12" s="136"/>
      <c r="F12" s="136"/>
      <c r="G12" s="136"/>
      <c r="H12" s="136"/>
      <c r="I12" s="136"/>
      <c r="J12" s="136"/>
      <c r="K12" s="136"/>
      <c r="L12" s="136"/>
      <c r="M12" s="136"/>
      <c r="N12" s="136"/>
      <c r="O12" s="136"/>
    </row>
    <row r="13" spans="2:15" s="10" customFormat="1" ht="46.5" customHeight="1">
      <c r="B13" s="127" t="s">
        <v>237</v>
      </c>
      <c r="C13" s="127"/>
      <c r="D13" s="127"/>
      <c r="E13" s="127"/>
      <c r="F13" s="127"/>
      <c r="G13" s="127"/>
      <c r="H13" s="127"/>
      <c r="I13" s="127"/>
      <c r="J13" s="127"/>
      <c r="K13" s="127"/>
      <c r="L13" s="127"/>
      <c r="M13" s="127"/>
      <c r="N13" s="127"/>
      <c r="O13" s="127"/>
    </row>
    <row r="14" spans="2:15" ht="33" customHeight="1">
      <c r="B14" s="26"/>
      <c r="C14" s="140" t="s">
        <v>238</v>
      </c>
      <c r="D14" s="140"/>
      <c r="E14" s="140"/>
      <c r="F14" s="140"/>
      <c r="G14" s="140"/>
      <c r="H14" s="140"/>
      <c r="I14" s="140"/>
      <c r="J14" s="140"/>
      <c r="K14" s="140"/>
      <c r="L14" s="140"/>
      <c r="M14" s="140"/>
      <c r="N14" s="140"/>
      <c r="O14" s="27"/>
    </row>
    <row r="15" spans="2:15" ht="48" customHeight="1">
      <c r="B15" s="26"/>
      <c r="C15" s="141" t="s">
        <v>235</v>
      </c>
      <c r="D15" s="141"/>
      <c r="E15" s="141"/>
      <c r="F15" s="141"/>
      <c r="G15" s="141"/>
      <c r="H15" s="141"/>
      <c r="I15" s="141"/>
      <c r="J15" s="141"/>
      <c r="K15" s="141"/>
      <c r="L15" s="141"/>
      <c r="M15" s="141"/>
      <c r="N15" s="141"/>
      <c r="O15" s="141"/>
    </row>
    <row r="16" spans="2:15" ht="21">
      <c r="C16" s="14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</row>
    <row r="17" spans="2:15">
      <c r="B17" s="124" t="s">
        <v>65</v>
      </c>
      <c r="C17" s="124"/>
      <c r="D17" s="124"/>
      <c r="E17" s="124"/>
      <c r="F17" s="124"/>
      <c r="G17" s="124"/>
      <c r="H17" s="124"/>
      <c r="I17" s="124"/>
      <c r="J17" s="124"/>
      <c r="K17" s="124"/>
      <c r="L17" s="124"/>
      <c r="M17" s="124"/>
      <c r="N17" s="124"/>
      <c r="O17" s="124"/>
    </row>
    <row r="18" spans="2:15">
      <c r="B18" s="16">
        <v>1</v>
      </c>
      <c r="C18" s="137" t="s">
        <v>241</v>
      </c>
      <c r="D18" s="137"/>
      <c r="E18" s="137"/>
      <c r="F18" s="137"/>
      <c r="G18" s="137"/>
      <c r="H18" s="137"/>
      <c r="I18" s="137"/>
      <c r="J18" s="137"/>
      <c r="K18" s="137"/>
      <c r="L18" s="137"/>
      <c r="M18" s="137"/>
      <c r="N18" s="137"/>
      <c r="O18" s="137"/>
    </row>
    <row r="19" spans="2:15">
      <c r="B19" s="16">
        <v>2</v>
      </c>
      <c r="C19" s="132" t="s">
        <v>242</v>
      </c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</row>
    <row r="20" spans="2:15">
      <c r="B20" s="16">
        <v>3</v>
      </c>
      <c r="C20" s="138" t="s">
        <v>239</v>
      </c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2:15">
      <c r="B21" s="16"/>
      <c r="C21" s="142"/>
      <c r="D21" s="142"/>
      <c r="E21" s="142"/>
      <c r="F21" s="142"/>
      <c r="G21" s="142"/>
      <c r="H21" s="142"/>
      <c r="I21" s="142"/>
      <c r="J21" s="142"/>
      <c r="K21" s="142"/>
      <c r="L21" s="142"/>
      <c r="M21" s="142"/>
      <c r="N21" s="142"/>
      <c r="O21" s="142"/>
    </row>
    <row r="22" spans="2:15">
      <c r="B22" s="16"/>
      <c r="C22" s="139" t="s">
        <v>240</v>
      </c>
      <c r="D22" s="139"/>
      <c r="E22" s="139"/>
      <c r="F22" s="139"/>
      <c r="G22" s="139"/>
      <c r="H22" s="139"/>
      <c r="I22" s="139"/>
      <c r="J22" s="139"/>
      <c r="K22" s="139"/>
      <c r="L22" s="139"/>
      <c r="M22" s="139"/>
      <c r="N22" s="139"/>
      <c r="O22" s="139"/>
    </row>
    <row r="23" spans="2:15"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</row>
  </sheetData>
  <sheetProtection password="CC15" sheet="1" objects="1" scenarios="1" selectLockedCells="1"/>
  <customSheetViews>
    <customSheetView guid="{857CB3B9-618A-49FD-8D38-75EE2A4021B4}" scale="83" showPageBreaks="1" showGridLines="0" fitToPage="1" printArea="1" view="pageBreakPreview">
      <selection activeCell="O20" sqref="B2:O20"/>
      <pageMargins left="0.7" right="0.7" top="0.75" bottom="0.75" header="0.3" footer="0.3"/>
      <pageSetup scale="56" orientation="portrait" r:id="rId1"/>
    </customSheetView>
  </customSheetViews>
  <mergeCells count="14">
    <mergeCell ref="C18:O18"/>
    <mergeCell ref="C20:O20"/>
    <mergeCell ref="C22:O22"/>
    <mergeCell ref="B13:O13"/>
    <mergeCell ref="C14:N14"/>
    <mergeCell ref="B17:O17"/>
    <mergeCell ref="C19:O19"/>
    <mergeCell ref="C15:O15"/>
    <mergeCell ref="C21:O21"/>
    <mergeCell ref="B7:O7"/>
    <mergeCell ref="B8:O8"/>
    <mergeCell ref="B9:O9"/>
    <mergeCell ref="B10:O10"/>
    <mergeCell ref="B12:O12"/>
  </mergeCells>
  <pageMargins left="0.7" right="0.7" top="0.75" bottom="0.75" header="0.3" footer="0.3"/>
  <pageSetup scale="56" orientation="portrait" r:id="rId2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Hoja7"/>
  <dimension ref="C4:I36"/>
  <sheetViews>
    <sheetView topLeftCell="A7" workbookViewId="0">
      <selection activeCell="E42" sqref="E42"/>
    </sheetView>
  </sheetViews>
  <sheetFormatPr baseColWidth="10" defaultColWidth="10.7109375" defaultRowHeight="12.75"/>
  <cols>
    <col min="3" max="3" width="21.140625" customWidth="1"/>
    <col min="9" max="9" width="14" customWidth="1"/>
  </cols>
  <sheetData>
    <row r="4" spans="3:9" ht="16.5">
      <c r="C4" s="3" t="s">
        <v>7</v>
      </c>
      <c r="E4" s="2" t="s">
        <v>8</v>
      </c>
      <c r="G4" s="2" t="s">
        <v>9</v>
      </c>
      <c r="I4" s="2" t="s">
        <v>3</v>
      </c>
    </row>
    <row r="5" spans="3:9" ht="16.5">
      <c r="C5" s="5" t="s">
        <v>22</v>
      </c>
      <c r="E5" s="4">
        <v>2010</v>
      </c>
      <c r="G5" s="2" t="s">
        <v>10</v>
      </c>
      <c r="I5" s="2" t="s">
        <v>4</v>
      </c>
    </row>
    <row r="6" spans="3:9" ht="16.5">
      <c r="C6" s="5" t="s">
        <v>23</v>
      </c>
      <c r="E6" s="4">
        <v>2011</v>
      </c>
      <c r="G6" s="2" t="s">
        <v>11</v>
      </c>
      <c r="I6" s="2" t="s">
        <v>5</v>
      </c>
    </row>
    <row r="7" spans="3:9" ht="16.5">
      <c r="C7" s="5" t="s">
        <v>24</v>
      </c>
      <c r="E7" s="4">
        <v>2012</v>
      </c>
      <c r="G7" s="2" t="s">
        <v>12</v>
      </c>
    </row>
    <row r="8" spans="3:9" ht="16.5">
      <c r="C8" s="5" t="s">
        <v>25</v>
      </c>
      <c r="E8" s="4">
        <v>2013</v>
      </c>
      <c r="G8" s="2" t="s">
        <v>13</v>
      </c>
    </row>
    <row r="9" spans="3:9" ht="16.5">
      <c r="C9" s="5" t="s">
        <v>26</v>
      </c>
      <c r="E9" s="4">
        <v>2014</v>
      </c>
      <c r="G9" s="2" t="s">
        <v>14</v>
      </c>
    </row>
    <row r="10" spans="3:9" ht="16.5">
      <c r="C10" s="5" t="s">
        <v>27</v>
      </c>
      <c r="E10" s="4">
        <v>2015</v>
      </c>
      <c r="G10" s="2" t="s">
        <v>15</v>
      </c>
    </row>
    <row r="11" spans="3:9" ht="16.5">
      <c r="C11" s="5" t="s">
        <v>28</v>
      </c>
      <c r="E11" s="4">
        <v>2016</v>
      </c>
      <c r="G11" s="2" t="s">
        <v>16</v>
      </c>
    </row>
    <row r="12" spans="3:9" ht="16.5">
      <c r="C12" s="5" t="s">
        <v>29</v>
      </c>
      <c r="E12" s="4">
        <v>2017</v>
      </c>
      <c r="G12" s="2" t="s">
        <v>17</v>
      </c>
    </row>
    <row r="13" spans="3:9" ht="16.5">
      <c r="C13" s="5" t="s">
        <v>30</v>
      </c>
      <c r="E13" s="4">
        <v>2018</v>
      </c>
      <c r="G13" s="2" t="s">
        <v>18</v>
      </c>
    </row>
    <row r="14" spans="3:9" ht="16.5">
      <c r="C14" s="5" t="s">
        <v>31</v>
      </c>
      <c r="G14" s="2" t="s">
        <v>19</v>
      </c>
    </row>
    <row r="15" spans="3:9" ht="16.5">
      <c r="C15" s="5" t="s">
        <v>32</v>
      </c>
      <c r="G15" s="2" t="s">
        <v>20</v>
      </c>
    </row>
    <row r="16" spans="3:9" ht="16.5">
      <c r="C16" s="5" t="s">
        <v>33</v>
      </c>
      <c r="G16" s="2" t="s">
        <v>21</v>
      </c>
    </row>
    <row r="17" spans="3:3" ht="16.5">
      <c r="C17" s="5" t="s">
        <v>34</v>
      </c>
    </row>
    <row r="18" spans="3:3" ht="16.5">
      <c r="C18" s="5" t="s">
        <v>35</v>
      </c>
    </row>
    <row r="19" spans="3:3" ht="16.5">
      <c r="C19" s="5" t="s">
        <v>36</v>
      </c>
    </row>
    <row r="20" spans="3:3" ht="16.5">
      <c r="C20" s="5" t="s">
        <v>37</v>
      </c>
    </row>
    <row r="21" spans="3:3" ht="16.5">
      <c r="C21" s="5" t="s">
        <v>38</v>
      </c>
    </row>
    <row r="22" spans="3:3" ht="16.5">
      <c r="C22" s="5" t="s">
        <v>39</v>
      </c>
    </row>
    <row r="23" spans="3:3" ht="16.5">
      <c r="C23" s="5" t="s">
        <v>40</v>
      </c>
    </row>
    <row r="24" spans="3:3" ht="16.5">
      <c r="C24" s="5" t="s">
        <v>41</v>
      </c>
    </row>
    <row r="25" spans="3:3" ht="16.5">
      <c r="C25" s="5" t="s">
        <v>42</v>
      </c>
    </row>
    <row r="26" spans="3:3" ht="16.5">
      <c r="C26" s="5" t="s">
        <v>43</v>
      </c>
    </row>
    <row r="27" spans="3:3" ht="16.5">
      <c r="C27" s="5" t="s">
        <v>44</v>
      </c>
    </row>
    <row r="28" spans="3:3" ht="16.5">
      <c r="C28" s="5" t="s">
        <v>45</v>
      </c>
    </row>
    <row r="29" spans="3:3" ht="16.5">
      <c r="C29" s="5" t="s">
        <v>46</v>
      </c>
    </row>
    <row r="30" spans="3:3" ht="16.5">
      <c r="C30" s="5" t="s">
        <v>47</v>
      </c>
    </row>
    <row r="31" spans="3:3" ht="16.5">
      <c r="C31" s="5" t="s">
        <v>48</v>
      </c>
    </row>
    <row r="32" spans="3:3" ht="16.5">
      <c r="C32" s="5" t="s">
        <v>49</v>
      </c>
    </row>
    <row r="33" spans="3:3" ht="16.5">
      <c r="C33" s="5" t="s">
        <v>50</v>
      </c>
    </row>
    <row r="34" spans="3:3" ht="16.5">
      <c r="C34" s="5" t="s">
        <v>51</v>
      </c>
    </row>
    <row r="35" spans="3:3" ht="16.5">
      <c r="C35" s="5" t="s">
        <v>52</v>
      </c>
    </row>
    <row r="36" spans="3:3" ht="16.5">
      <c r="C36" s="5" t="s">
        <v>53</v>
      </c>
    </row>
  </sheetData>
  <sheetProtection sheet="1" objects="1" scenarios="1"/>
  <customSheetViews>
    <customSheetView guid="{857CB3B9-618A-49FD-8D38-75EE2A4021B4}" state="hidden" topLeftCell="A7">
      <selection activeCell="E42" sqref="E42"/>
      <pageMargins left="0.7" right="0.7" top="0.75" bottom="0.75" header="0.3" footer="0.3"/>
      <pageSetup orientation="portrait" r:id="rId1"/>
    </customSheetView>
  </customSheetViews>
  <pageMargins left="0.7" right="0.7" top="0.75" bottom="0.75" header="0.3" footer="0.3"/>
  <pageSetup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Hoja1"/>
  <dimension ref="A1:C33"/>
  <sheetViews>
    <sheetView workbookViewId="0">
      <selection activeCell="C4" sqref="C4"/>
    </sheetView>
  </sheetViews>
  <sheetFormatPr baseColWidth="10" defaultColWidth="10.7109375" defaultRowHeight="12.75"/>
  <cols>
    <col min="1" max="1" width="26.85546875" customWidth="1"/>
    <col min="3" max="3" width="20.7109375" customWidth="1"/>
  </cols>
  <sheetData>
    <row r="1" spans="1:3">
      <c r="A1" s="21" t="s">
        <v>202</v>
      </c>
      <c r="B1" s="21" t="s">
        <v>9</v>
      </c>
      <c r="C1" t="s">
        <v>3</v>
      </c>
    </row>
    <row r="2" spans="1:3">
      <c r="A2" t="s">
        <v>203</v>
      </c>
      <c r="B2" s="21" t="s">
        <v>10</v>
      </c>
      <c r="C2" t="s">
        <v>4</v>
      </c>
    </row>
    <row r="3" spans="1:3">
      <c r="A3" t="s">
        <v>204</v>
      </c>
      <c r="B3" s="21" t="s">
        <v>11</v>
      </c>
      <c r="C3" t="s">
        <v>233</v>
      </c>
    </row>
    <row r="4" spans="1:3">
      <c r="A4" t="s">
        <v>205</v>
      </c>
      <c r="B4" s="21" t="s">
        <v>12</v>
      </c>
    </row>
    <row r="5" spans="1:3">
      <c r="A5" t="s">
        <v>206</v>
      </c>
      <c r="B5" s="21" t="s">
        <v>13</v>
      </c>
    </row>
    <row r="6" spans="1:3">
      <c r="A6" t="s">
        <v>207</v>
      </c>
      <c r="B6" s="21" t="s">
        <v>14</v>
      </c>
    </row>
    <row r="7" spans="1:3">
      <c r="A7" t="s">
        <v>208</v>
      </c>
      <c r="B7" s="21" t="s">
        <v>15</v>
      </c>
    </row>
    <row r="8" spans="1:3">
      <c r="A8" t="s">
        <v>209</v>
      </c>
      <c r="B8" s="21" t="s">
        <v>16</v>
      </c>
    </row>
    <row r="9" spans="1:3">
      <c r="A9" t="s">
        <v>210</v>
      </c>
      <c r="B9" s="21" t="s">
        <v>17</v>
      </c>
    </row>
    <row r="10" spans="1:3">
      <c r="A10" t="s">
        <v>211</v>
      </c>
      <c r="B10" s="21" t="s">
        <v>18</v>
      </c>
    </row>
    <row r="11" spans="1:3">
      <c r="A11" t="s">
        <v>212</v>
      </c>
      <c r="B11" s="21" t="s">
        <v>19</v>
      </c>
    </row>
    <row r="12" spans="1:3">
      <c r="A12" t="s">
        <v>213</v>
      </c>
      <c r="B12" s="21" t="s">
        <v>20</v>
      </c>
    </row>
    <row r="13" spans="1:3">
      <c r="A13" t="s">
        <v>214</v>
      </c>
      <c r="B13" s="21" t="s">
        <v>21</v>
      </c>
    </row>
    <row r="14" spans="1:3">
      <c r="A14" t="s">
        <v>71</v>
      </c>
      <c r="B14" s="21" t="s">
        <v>10</v>
      </c>
    </row>
    <row r="15" spans="1:3">
      <c r="A15" t="s">
        <v>215</v>
      </c>
      <c r="B15" s="21" t="s">
        <v>11</v>
      </c>
    </row>
    <row r="16" spans="1:3">
      <c r="A16" t="s">
        <v>216</v>
      </c>
      <c r="B16" s="21" t="s">
        <v>12</v>
      </c>
    </row>
    <row r="17" spans="1:2">
      <c r="A17" t="s">
        <v>217</v>
      </c>
      <c r="B17" s="21" t="s">
        <v>13</v>
      </c>
    </row>
    <row r="18" spans="1:2">
      <c r="A18" t="s">
        <v>6</v>
      </c>
      <c r="B18" s="21" t="s">
        <v>14</v>
      </c>
    </row>
    <row r="19" spans="1:2">
      <c r="A19" t="s">
        <v>218</v>
      </c>
      <c r="B19" s="21" t="s">
        <v>15</v>
      </c>
    </row>
    <row r="20" spans="1:2">
      <c r="A20" t="s">
        <v>219</v>
      </c>
      <c r="B20" s="21" t="s">
        <v>16</v>
      </c>
    </row>
    <row r="21" spans="1:2">
      <c r="A21" t="s">
        <v>220</v>
      </c>
      <c r="B21" s="21" t="s">
        <v>17</v>
      </c>
    </row>
    <row r="22" spans="1:2">
      <c r="A22" t="s">
        <v>221</v>
      </c>
      <c r="B22" s="21" t="s">
        <v>18</v>
      </c>
    </row>
    <row r="23" spans="1:2">
      <c r="A23" t="s">
        <v>222</v>
      </c>
      <c r="B23" s="21" t="s">
        <v>19</v>
      </c>
    </row>
    <row r="24" spans="1:2">
      <c r="A24" t="s">
        <v>223</v>
      </c>
      <c r="B24" s="21" t="s">
        <v>20</v>
      </c>
    </row>
    <row r="25" spans="1:2">
      <c r="A25" t="s">
        <v>224</v>
      </c>
      <c r="B25" s="21" t="s">
        <v>21</v>
      </c>
    </row>
    <row r="26" spans="1:2">
      <c r="A26" t="s">
        <v>225</v>
      </c>
    </row>
    <row r="27" spans="1:2">
      <c r="A27" t="s">
        <v>226</v>
      </c>
    </row>
    <row r="28" spans="1:2">
      <c r="A28" t="s">
        <v>227</v>
      </c>
    </row>
    <row r="29" spans="1:2">
      <c r="A29" t="s">
        <v>228</v>
      </c>
    </row>
    <row r="30" spans="1:2">
      <c r="A30" t="s">
        <v>229</v>
      </c>
    </row>
    <row r="31" spans="1:2">
      <c r="A31" t="s">
        <v>230</v>
      </c>
    </row>
    <row r="32" spans="1:2">
      <c r="A32" t="s">
        <v>231</v>
      </c>
    </row>
    <row r="33" spans="1:1">
      <c r="A33" t="s">
        <v>232</v>
      </c>
    </row>
  </sheetData>
  <customSheetViews>
    <customSheetView guid="{857CB3B9-618A-49FD-8D38-75EE2A4021B4}" state="hidden">
      <selection activeCell="C4" sqref="C4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Hoja5"/>
  <dimension ref="A3:HT21"/>
  <sheetViews>
    <sheetView view="pageBreakPreview" topLeftCell="A4" zoomScaleNormal="100" zoomScaleSheetLayoutView="100" workbookViewId="0">
      <selection activeCell="C12" sqref="C12"/>
    </sheetView>
  </sheetViews>
  <sheetFormatPr baseColWidth="10" defaultColWidth="11.42578125" defaultRowHeight="12.75"/>
  <cols>
    <col min="1" max="1" width="23.28515625" style="32" customWidth="1"/>
    <col min="2" max="2" width="26.140625" style="32" customWidth="1"/>
    <col min="3" max="3" width="28.28515625" style="32" customWidth="1"/>
    <col min="4" max="4" width="23.28515625" style="32" customWidth="1"/>
    <col min="5" max="5" width="25.7109375" style="32" customWidth="1"/>
    <col min="6" max="6" width="26.85546875" style="32" customWidth="1"/>
    <col min="7" max="7" width="29.42578125" style="32" customWidth="1"/>
    <col min="8" max="16384" width="11.42578125" style="32"/>
  </cols>
  <sheetData>
    <row r="3" spans="1:228" ht="69.75" customHeight="1">
      <c r="B3" s="33"/>
      <c r="C3" s="33"/>
    </row>
    <row r="4" spans="1:228" ht="21.75" customHeight="1">
      <c r="B4" s="143" t="s">
        <v>427</v>
      </c>
      <c r="C4" s="143"/>
      <c r="D4" s="143"/>
    </row>
    <row r="5" spans="1:228" ht="12.75" customHeight="1">
      <c r="B5" s="41" t="s">
        <v>248</v>
      </c>
      <c r="C5" s="41"/>
    </row>
    <row r="6" spans="1:228" s="17" customFormat="1" ht="18" customHeight="1">
      <c r="A6" s="34"/>
      <c r="B6" s="143" t="s">
        <v>0</v>
      </c>
      <c r="C6" s="143"/>
      <c r="D6" s="35"/>
      <c r="E6" s="35"/>
      <c r="F6" s="35"/>
      <c r="G6" s="1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  <c r="HS6" s="18"/>
      <c r="HT6" s="18"/>
    </row>
    <row r="7" spans="1:228" s="17" customFormat="1">
      <c r="A7" s="34"/>
      <c r="B7" s="34"/>
      <c r="C7" s="34"/>
      <c r="D7" s="35"/>
      <c r="E7" s="35"/>
      <c r="F7" s="35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  <c r="HS7" s="18"/>
      <c r="HT7" s="18"/>
    </row>
    <row r="8" spans="1:228" s="17" customFormat="1" ht="18">
      <c r="A8" s="144" t="s">
        <v>249</v>
      </c>
      <c r="B8" s="144"/>
      <c r="C8" s="144"/>
      <c r="D8" s="144"/>
      <c r="E8" s="36"/>
      <c r="F8" s="36"/>
      <c r="G8" s="1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  <c r="HS8" s="18"/>
      <c r="HT8" s="18"/>
    </row>
    <row r="10" spans="1:228" ht="25.5">
      <c r="A10" s="36"/>
      <c r="B10" s="39" t="s">
        <v>243</v>
      </c>
      <c r="C10" s="84" t="s">
        <v>205</v>
      </c>
      <c r="D10" s="36"/>
      <c r="E10" s="36"/>
      <c r="F10" s="36"/>
    </row>
    <row r="11" spans="1:228" ht="18">
      <c r="A11" s="36"/>
      <c r="B11" s="30" t="s">
        <v>244</v>
      </c>
      <c r="C11" s="31">
        <v>2026</v>
      </c>
      <c r="D11" s="36"/>
      <c r="E11" s="36"/>
      <c r="F11" s="36"/>
    </row>
    <row r="12" spans="1:228" ht="18">
      <c r="A12" s="36"/>
      <c r="B12" s="30" t="s">
        <v>245</v>
      </c>
      <c r="C12" s="86" t="s">
        <v>16</v>
      </c>
      <c r="D12" s="36"/>
      <c r="E12" s="36"/>
      <c r="F12" s="36"/>
    </row>
    <row r="13" spans="1:228" ht="18">
      <c r="A13" s="36"/>
      <c r="B13" s="30" t="s">
        <v>250</v>
      </c>
      <c r="C13" s="85">
        <f>A16+B16+C16+D16+E16+F16+G16</f>
        <v>18166</v>
      </c>
    </row>
    <row r="15" spans="1:228" ht="63.6" customHeight="1">
      <c r="A15" s="22" t="s">
        <v>256</v>
      </c>
      <c r="B15" s="22" t="s">
        <v>257</v>
      </c>
      <c r="C15" s="22" t="s">
        <v>258</v>
      </c>
      <c r="D15" s="22" t="s">
        <v>259</v>
      </c>
      <c r="E15" s="22" t="s">
        <v>420</v>
      </c>
      <c r="F15" s="22" t="s">
        <v>421</v>
      </c>
      <c r="G15" s="22" t="s">
        <v>260</v>
      </c>
    </row>
    <row r="16" spans="1:228" ht="16.5">
      <c r="A16" s="54">
        <f>SUM('C01:C03'!D20:D79)</f>
        <v>1796</v>
      </c>
      <c r="B16" s="54">
        <f>SUM('C01:C03'!D80:D122)</f>
        <v>876</v>
      </c>
      <c r="C16" s="54">
        <f>SUM('C01:C03'!D123:D263)</f>
        <v>6625</v>
      </c>
      <c r="D16" s="54">
        <f>SUM('C01:C03'!D264:D273)</f>
        <v>211</v>
      </c>
      <c r="E16" s="54">
        <f>SUM('C01:C03'!D274:D290)</f>
        <v>1350</v>
      </c>
      <c r="F16" s="54">
        <f>SUM('C01:C03'!D291:D293)</f>
        <v>1647</v>
      </c>
      <c r="G16" s="54">
        <f>SUM('C01:C03'!D294:D301)</f>
        <v>5661</v>
      </c>
    </row>
    <row r="17" spans="1:7" ht="15">
      <c r="A17" s="22"/>
      <c r="B17" s="22"/>
      <c r="C17" s="22"/>
      <c r="D17" s="22"/>
      <c r="E17" s="22"/>
      <c r="F17" s="22"/>
      <c r="G17" s="22"/>
    </row>
    <row r="18" spans="1:7" ht="15">
      <c r="A18" s="55"/>
      <c r="B18" s="55"/>
      <c r="C18" s="55"/>
      <c r="D18" s="55"/>
      <c r="E18" s="83"/>
      <c r="F18" s="83"/>
    </row>
    <row r="19" spans="1:7" s="42" customFormat="1" ht="38.25">
      <c r="A19" s="56" t="s">
        <v>251</v>
      </c>
      <c r="B19" s="56" t="s">
        <v>252</v>
      </c>
      <c r="C19" s="56" t="s">
        <v>253</v>
      </c>
      <c r="D19" s="56" t="s">
        <v>254</v>
      </c>
      <c r="E19" s="56" t="s">
        <v>422</v>
      </c>
      <c r="F19" s="56" t="s">
        <v>423</v>
      </c>
      <c r="G19" s="56" t="s">
        <v>255</v>
      </c>
    </row>
    <row r="20" spans="1:7" ht="30">
      <c r="A20" s="57">
        <f>IFERROR(A16/$C$13,0)</f>
        <v>9.8866013431685565E-2</v>
      </c>
      <c r="B20" s="57">
        <f>IFERROR(B16/$C$13,0)</f>
        <v>4.8221953099196302E-2</v>
      </c>
      <c r="C20" s="57">
        <f t="shared" ref="C20:G20" si="0">IFERROR(C16/$C$13,0)</f>
        <v>0.36469228228558848</v>
      </c>
      <c r="D20" s="57">
        <f t="shared" si="0"/>
        <v>1.1615105141473082E-2</v>
      </c>
      <c r="E20" s="57">
        <f t="shared" si="0"/>
        <v>7.4314653748761422E-2</v>
      </c>
      <c r="F20" s="57">
        <f t="shared" si="0"/>
        <v>9.0663877573488941E-2</v>
      </c>
      <c r="G20" s="57">
        <f t="shared" si="0"/>
        <v>0.31162611471980622</v>
      </c>
    </row>
    <row r="21" spans="1:7" ht="15">
      <c r="A21" s="22"/>
      <c r="B21" s="22"/>
      <c r="C21" s="22"/>
      <c r="D21" s="22"/>
      <c r="E21" s="22"/>
      <c r="F21" s="22"/>
      <c r="G21" s="22"/>
    </row>
  </sheetData>
  <customSheetViews>
    <customSheetView guid="{857CB3B9-618A-49FD-8D38-75EE2A4021B4}" scale="140" showPageBreaks="1" printArea="1" view="pageBreakPreview" topLeftCell="A7">
      <selection activeCell="C29" sqref="C29"/>
      <pageMargins left="0.7" right="0.7" top="0.75" bottom="0.75" header="0.3" footer="0.3"/>
      <pageSetup scale="50" orientation="portrait" r:id="rId1"/>
    </customSheetView>
  </customSheetViews>
  <mergeCells count="3">
    <mergeCell ref="B6:C6"/>
    <mergeCell ref="A8:D8"/>
    <mergeCell ref="B4:D4"/>
  </mergeCells>
  <pageMargins left="0.7" right="0.7" top="0.75" bottom="0.75" header="0.3" footer="0.3"/>
  <pageSetup scale="50" orientation="portrait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0000000}">
          <x14:formula1>
            <xm:f>Datos!$B$2:$B$25</xm:f>
          </x14:formula1>
          <xm:sqref>C12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Hoja8">
    <pageSetUpPr fitToPage="1"/>
  </sheetPr>
  <dimension ref="B1:HR302"/>
  <sheetViews>
    <sheetView showGridLines="0" tabSelected="1" topLeftCell="A280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1"/>
      <c r="G8" s="111"/>
      <c r="H8" s="111"/>
      <c r="I8" s="111"/>
      <c r="J8" s="11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9" t="s">
        <v>2</v>
      </c>
      <c r="C16" s="120"/>
      <c r="D16" s="121"/>
    </row>
    <row r="17" spans="2:7" ht="15">
      <c r="B17" s="117" t="s">
        <v>246</v>
      </c>
      <c r="C17" s="118"/>
      <c r="D17" s="50" t="s">
        <v>4</v>
      </c>
    </row>
    <row r="18" spans="2:7" ht="15">
      <c r="B18" s="112" t="s">
        <v>247</v>
      </c>
      <c r="C18" s="113"/>
      <c r="D18" s="50" t="s">
        <v>424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20.25">
      <c r="B20" s="68">
        <v>10101</v>
      </c>
      <c r="C20" s="69" t="s">
        <v>265</v>
      </c>
      <c r="D20" s="97">
        <v>1</v>
      </c>
    </row>
    <row r="21" spans="2:7" ht="20.25">
      <c r="B21" s="58">
        <v>10102</v>
      </c>
      <c r="C21" s="59" t="s">
        <v>266</v>
      </c>
      <c r="D21" s="98">
        <v>0</v>
      </c>
    </row>
    <row r="22" spans="2:7" ht="20.25">
      <c r="B22" s="68">
        <v>10103</v>
      </c>
      <c r="C22" s="69" t="s">
        <v>267</v>
      </c>
      <c r="D22" s="97">
        <v>54</v>
      </c>
    </row>
    <row r="23" spans="2:7" ht="20.25">
      <c r="B23" s="58">
        <v>10104</v>
      </c>
      <c r="C23" s="59" t="s">
        <v>268</v>
      </c>
      <c r="D23" s="99">
        <v>29</v>
      </c>
    </row>
    <row r="24" spans="2:7" ht="20.25">
      <c r="B24" s="68">
        <v>10105</v>
      </c>
      <c r="C24" s="69" t="s">
        <v>269</v>
      </c>
      <c r="D24" s="97">
        <v>0</v>
      </c>
    </row>
    <row r="25" spans="2:7" ht="20.25">
      <c r="B25" s="58">
        <v>10106</v>
      </c>
      <c r="C25" s="59" t="s">
        <v>270</v>
      </c>
      <c r="D25" s="99">
        <v>0</v>
      </c>
    </row>
    <row r="26" spans="2:7" ht="20.25">
      <c r="B26" s="68">
        <v>10107</v>
      </c>
      <c r="C26" s="69" t="s">
        <v>271</v>
      </c>
      <c r="D26" s="97">
        <v>25</v>
      </c>
    </row>
    <row r="27" spans="2:7" ht="20.25">
      <c r="B27" s="58">
        <v>10108</v>
      </c>
      <c r="C27" s="59" t="s">
        <v>272</v>
      </c>
      <c r="D27" s="99">
        <v>0</v>
      </c>
    </row>
    <row r="28" spans="2:7" ht="20.25">
      <c r="B28" s="68">
        <v>10109</v>
      </c>
      <c r="C28" s="69" t="s">
        <v>273</v>
      </c>
      <c r="D28" s="97">
        <v>1</v>
      </c>
    </row>
    <row r="29" spans="2:7" ht="20.25">
      <c r="B29" s="58">
        <v>10110</v>
      </c>
      <c r="C29" s="59" t="s">
        <v>274</v>
      </c>
      <c r="D29" s="98">
        <v>0</v>
      </c>
    </row>
    <row r="30" spans="2:7" ht="20.25">
      <c r="B30" s="68">
        <v>10111</v>
      </c>
      <c r="C30" s="69" t="s">
        <v>275</v>
      </c>
      <c r="D30" s="97">
        <v>0</v>
      </c>
    </row>
    <row r="31" spans="2:7" ht="20.25">
      <c r="B31" s="58">
        <v>10112</v>
      </c>
      <c r="C31" s="59" t="s">
        <v>276</v>
      </c>
      <c r="D31" s="99">
        <v>1</v>
      </c>
    </row>
    <row r="32" spans="2:7" ht="20.25">
      <c r="B32" s="68">
        <v>10113</v>
      </c>
      <c r="C32" s="69" t="s">
        <v>277</v>
      </c>
      <c r="D32" s="97">
        <v>0</v>
      </c>
    </row>
    <row r="33" spans="2:4" ht="20.25">
      <c r="B33" s="58">
        <v>10114</v>
      </c>
      <c r="C33" s="59" t="s">
        <v>278</v>
      </c>
      <c r="D33" s="99">
        <v>0</v>
      </c>
    </row>
    <row r="34" spans="2:4" ht="20.25">
      <c r="B34" s="68">
        <v>10115</v>
      </c>
      <c r="C34" s="69" t="s">
        <v>279</v>
      </c>
      <c r="D34" s="97">
        <v>0</v>
      </c>
    </row>
    <row r="35" spans="2:4" ht="20.25">
      <c r="B35" s="58">
        <v>10116</v>
      </c>
      <c r="C35" s="59" t="s">
        <v>280</v>
      </c>
      <c r="D35" s="99">
        <v>6</v>
      </c>
    </row>
    <row r="36" spans="2:4" ht="20.25">
      <c r="B36" s="68">
        <v>10117</v>
      </c>
      <c r="C36" s="69" t="s">
        <v>281</v>
      </c>
      <c r="D36" s="97">
        <v>0</v>
      </c>
    </row>
    <row r="37" spans="2:4" ht="20.25">
      <c r="B37" s="58">
        <v>10118</v>
      </c>
      <c r="C37" s="59" t="s">
        <v>282</v>
      </c>
      <c r="D37" s="99">
        <v>0</v>
      </c>
    </row>
    <row r="38" spans="2:4" ht="20.25">
      <c r="B38" s="68">
        <v>10119</v>
      </c>
      <c r="C38" s="69" t="s">
        <v>283</v>
      </c>
      <c r="D38" s="97">
        <v>0</v>
      </c>
    </row>
    <row r="39" spans="2:4" ht="20.25">
      <c r="B39" s="58">
        <v>10120</v>
      </c>
      <c r="C39" s="59" t="s">
        <v>284</v>
      </c>
      <c r="D39" s="99">
        <v>1</v>
      </c>
    </row>
    <row r="40" spans="2:4" ht="20.25">
      <c r="B40" s="68">
        <v>10121</v>
      </c>
      <c r="C40" s="69" t="s">
        <v>285</v>
      </c>
      <c r="D40" s="97">
        <v>6</v>
      </c>
    </row>
    <row r="41" spans="2:4" ht="20.25">
      <c r="B41" s="58">
        <v>10201</v>
      </c>
      <c r="C41" s="59" t="s">
        <v>286</v>
      </c>
      <c r="D41" s="99">
        <v>1</v>
      </c>
    </row>
    <row r="42" spans="2:4" ht="20.25">
      <c r="B42" s="68">
        <v>10202</v>
      </c>
      <c r="C42" s="69" t="s">
        <v>287</v>
      </c>
      <c r="D42" s="97">
        <v>0</v>
      </c>
    </row>
    <row r="43" spans="2:4" ht="20.25">
      <c r="B43" s="58">
        <v>10203</v>
      </c>
      <c r="C43" s="59" t="s">
        <v>288</v>
      </c>
      <c r="D43" s="99">
        <v>2</v>
      </c>
    </row>
    <row r="44" spans="2:4" ht="20.25">
      <c r="B44" s="68">
        <v>10204</v>
      </c>
      <c r="C44" s="69" t="s">
        <v>289</v>
      </c>
      <c r="D44" s="97">
        <v>71</v>
      </c>
    </row>
    <row r="45" spans="2:4" ht="20.25">
      <c r="B45" s="58">
        <v>10205</v>
      </c>
      <c r="C45" s="59" t="s">
        <v>290</v>
      </c>
      <c r="D45" s="99">
        <v>0</v>
      </c>
    </row>
    <row r="46" spans="2:4" ht="20.25">
      <c r="B46" s="68">
        <v>10206</v>
      </c>
      <c r="C46" s="69" t="s">
        <v>291</v>
      </c>
      <c r="D46" s="97">
        <v>0</v>
      </c>
    </row>
    <row r="47" spans="2:4" ht="20.25">
      <c r="B47" s="58">
        <v>10207</v>
      </c>
      <c r="C47" s="59" t="s">
        <v>292</v>
      </c>
      <c r="D47" s="99">
        <v>3</v>
      </c>
    </row>
    <row r="48" spans="2:4" ht="20.25">
      <c r="B48" s="68">
        <v>10208</v>
      </c>
      <c r="C48" s="69" t="s">
        <v>293</v>
      </c>
      <c r="D48" s="97">
        <v>4</v>
      </c>
    </row>
    <row r="49" spans="2:4" ht="20.25">
      <c r="B49" s="58">
        <v>10209</v>
      </c>
      <c r="C49" s="59" t="s">
        <v>294</v>
      </c>
      <c r="D49" s="99">
        <v>3</v>
      </c>
    </row>
    <row r="50" spans="2:4" ht="20.25">
      <c r="B50" s="68">
        <v>10210</v>
      </c>
      <c r="C50" s="69" t="s">
        <v>295</v>
      </c>
      <c r="D50" s="97">
        <v>10</v>
      </c>
    </row>
    <row r="51" spans="2:4" ht="20.25">
      <c r="B51" s="58">
        <v>10211</v>
      </c>
      <c r="C51" s="59" t="s">
        <v>77</v>
      </c>
      <c r="D51" s="99">
        <v>0</v>
      </c>
    </row>
    <row r="52" spans="2:4" ht="20.25">
      <c r="B52" s="68">
        <v>10212</v>
      </c>
      <c r="C52" s="69" t="s">
        <v>296</v>
      </c>
      <c r="D52" s="97">
        <v>0</v>
      </c>
    </row>
    <row r="53" spans="2:4" ht="20.25">
      <c r="B53" s="58">
        <v>10213</v>
      </c>
      <c r="C53" s="59" t="s">
        <v>297</v>
      </c>
      <c r="D53" s="99">
        <v>0</v>
      </c>
    </row>
    <row r="54" spans="2:4" ht="20.25">
      <c r="B54" s="68">
        <v>10214</v>
      </c>
      <c r="C54" s="69" t="s">
        <v>298</v>
      </c>
      <c r="D54" s="97">
        <v>0</v>
      </c>
    </row>
    <row r="55" spans="2:4" ht="20.25">
      <c r="B55" s="58">
        <v>10215</v>
      </c>
      <c r="C55" s="59" t="s">
        <v>299</v>
      </c>
      <c r="D55" s="99">
        <v>0</v>
      </c>
    </row>
    <row r="56" spans="2:4" ht="16.5" customHeight="1">
      <c r="B56" s="68">
        <v>10216</v>
      </c>
      <c r="C56" s="69" t="s">
        <v>300</v>
      </c>
      <c r="D56" s="97">
        <v>1</v>
      </c>
    </row>
    <row r="57" spans="2:4" ht="20.25">
      <c r="B57" s="58">
        <v>10217</v>
      </c>
      <c r="C57" s="59" t="s">
        <v>301</v>
      </c>
      <c r="D57" s="99">
        <v>0</v>
      </c>
    </row>
    <row r="58" spans="2:4" ht="20.25">
      <c r="B58" s="68">
        <v>10218</v>
      </c>
      <c r="C58" s="69" t="s">
        <v>302</v>
      </c>
      <c r="D58" s="97">
        <v>0</v>
      </c>
    </row>
    <row r="59" spans="2:4" ht="20.25">
      <c r="B59" s="58">
        <v>10219</v>
      </c>
      <c r="C59" s="59" t="s">
        <v>303</v>
      </c>
      <c r="D59" s="99">
        <v>3</v>
      </c>
    </row>
    <row r="60" spans="2:4" ht="20.25">
      <c r="B60" s="68">
        <v>10220</v>
      </c>
      <c r="C60" s="69" t="s">
        <v>304</v>
      </c>
      <c r="D60" s="97">
        <v>41</v>
      </c>
    </row>
    <row r="61" spans="2:4" ht="20.25">
      <c r="B61" s="58">
        <v>10301</v>
      </c>
      <c r="C61" s="59" t="s">
        <v>305</v>
      </c>
      <c r="D61" s="99">
        <v>0</v>
      </c>
    </row>
    <row r="62" spans="2:4" ht="20.25">
      <c r="B62" s="68">
        <v>10302</v>
      </c>
      <c r="C62" s="69" t="s">
        <v>306</v>
      </c>
      <c r="D62" s="97">
        <v>0</v>
      </c>
    </row>
    <row r="63" spans="2:4" ht="20.25">
      <c r="B63" s="58">
        <v>10303</v>
      </c>
      <c r="C63" s="59" t="s">
        <v>307</v>
      </c>
      <c r="D63" s="99">
        <v>12</v>
      </c>
    </row>
    <row r="64" spans="2:4" ht="20.25">
      <c r="B64" s="68">
        <v>10304</v>
      </c>
      <c r="C64" s="69" t="s">
        <v>308</v>
      </c>
      <c r="D64" s="97">
        <v>0</v>
      </c>
    </row>
    <row r="65" spans="2:4" ht="20.25">
      <c r="B65" s="58">
        <v>10305</v>
      </c>
      <c r="C65" s="59" t="s">
        <v>309</v>
      </c>
      <c r="D65" s="99">
        <v>58</v>
      </c>
    </row>
    <row r="66" spans="2:4" ht="20.25">
      <c r="B66" s="68">
        <v>10306</v>
      </c>
      <c r="C66" s="69" t="s">
        <v>310</v>
      </c>
      <c r="D66" s="97">
        <v>4</v>
      </c>
    </row>
    <row r="67" spans="2:4" ht="20.25">
      <c r="B67" s="58">
        <v>10307</v>
      </c>
      <c r="C67" s="59" t="s">
        <v>75</v>
      </c>
      <c r="D67" s="99">
        <v>33</v>
      </c>
    </row>
    <row r="68" spans="2:4" ht="20.25">
      <c r="B68" s="68">
        <v>10308</v>
      </c>
      <c r="C68" s="69" t="s">
        <v>311</v>
      </c>
      <c r="D68" s="97">
        <v>78</v>
      </c>
    </row>
    <row r="69" spans="2:4" ht="20.25">
      <c r="B69" s="58">
        <v>10309</v>
      </c>
      <c r="C69" s="59" t="s">
        <v>312</v>
      </c>
      <c r="D69" s="99">
        <v>5</v>
      </c>
    </row>
    <row r="70" spans="2:4" ht="20.25">
      <c r="B70" s="68">
        <v>10310</v>
      </c>
      <c r="C70" s="69" t="s">
        <v>313</v>
      </c>
      <c r="D70" s="97">
        <v>283</v>
      </c>
    </row>
    <row r="71" spans="2:4" ht="20.25">
      <c r="B71" s="58">
        <v>10311</v>
      </c>
      <c r="C71" s="59" t="s">
        <v>314</v>
      </c>
      <c r="D71" s="99">
        <v>16</v>
      </c>
    </row>
    <row r="72" spans="2:4" ht="20.25">
      <c r="B72" s="68">
        <v>10312</v>
      </c>
      <c r="C72" s="69" t="s">
        <v>315</v>
      </c>
      <c r="D72" s="97">
        <v>10</v>
      </c>
    </row>
    <row r="73" spans="2:4" ht="20.25">
      <c r="B73" s="58">
        <v>10313</v>
      </c>
      <c r="C73" s="59" t="s">
        <v>316</v>
      </c>
      <c r="D73" s="99">
        <v>0</v>
      </c>
    </row>
    <row r="74" spans="2:4" ht="20.25">
      <c r="B74" s="68">
        <v>10314</v>
      </c>
      <c r="C74" s="69" t="s">
        <v>317</v>
      </c>
      <c r="D74" s="97">
        <v>4</v>
      </c>
    </row>
    <row r="75" spans="2:4" ht="20.25">
      <c r="B75" s="58">
        <v>10315</v>
      </c>
      <c r="C75" s="59" t="s">
        <v>318</v>
      </c>
      <c r="D75" s="99">
        <v>10</v>
      </c>
    </row>
    <row r="76" spans="2:4" ht="20.25">
      <c r="B76" s="68">
        <v>10316</v>
      </c>
      <c r="C76" s="69" t="s">
        <v>319</v>
      </c>
      <c r="D76" s="97">
        <v>56</v>
      </c>
    </row>
    <row r="77" spans="2:4" ht="20.25">
      <c r="B77" s="58">
        <v>10317</v>
      </c>
      <c r="C77" s="59" t="s">
        <v>320</v>
      </c>
      <c r="D77" s="99">
        <v>27</v>
      </c>
    </row>
    <row r="78" spans="2:4" ht="20.25">
      <c r="B78" s="68">
        <v>10318</v>
      </c>
      <c r="C78" s="69" t="s">
        <v>321</v>
      </c>
      <c r="D78" s="97">
        <v>9</v>
      </c>
    </row>
    <row r="79" spans="2:4" ht="20.25">
      <c r="B79" s="58">
        <v>10319</v>
      </c>
      <c r="C79" s="59" t="s">
        <v>81</v>
      </c>
      <c r="D79" s="99">
        <v>0</v>
      </c>
    </row>
    <row r="80" spans="2:4" ht="20.25">
      <c r="B80" s="70">
        <v>20101</v>
      </c>
      <c r="C80" s="71" t="s">
        <v>322</v>
      </c>
      <c r="D80" s="100">
        <v>0</v>
      </c>
    </row>
    <row r="81" spans="2:4" ht="20.25">
      <c r="B81" s="60">
        <v>20102</v>
      </c>
      <c r="C81" s="61" t="s">
        <v>264</v>
      </c>
      <c r="D81" s="101">
        <v>4</v>
      </c>
    </row>
    <row r="82" spans="2:4" ht="20.25">
      <c r="B82" s="70">
        <v>20103</v>
      </c>
      <c r="C82" s="71" t="s">
        <v>79</v>
      </c>
      <c r="D82" s="100">
        <v>62</v>
      </c>
    </row>
    <row r="83" spans="2:4" ht="20.25">
      <c r="B83" s="60">
        <v>20104</v>
      </c>
      <c r="C83" s="61" t="s">
        <v>80</v>
      </c>
      <c r="D83" s="101">
        <v>5</v>
      </c>
    </row>
    <row r="84" spans="2:4" ht="20.25">
      <c r="B84" s="70">
        <v>20105</v>
      </c>
      <c r="C84" s="71" t="s">
        <v>323</v>
      </c>
      <c r="D84" s="100">
        <v>0</v>
      </c>
    </row>
    <row r="85" spans="2:4" ht="20.25">
      <c r="B85" s="60">
        <v>20106</v>
      </c>
      <c r="C85" s="61" t="s">
        <v>324</v>
      </c>
      <c r="D85" s="101">
        <v>0</v>
      </c>
    </row>
    <row r="86" spans="2:4" ht="20.25">
      <c r="B86" s="70">
        <v>20107</v>
      </c>
      <c r="C86" s="71" t="s">
        <v>82</v>
      </c>
      <c r="D86" s="100">
        <v>1</v>
      </c>
    </row>
    <row r="87" spans="2:4" ht="20.25">
      <c r="B87" s="60">
        <v>20108</v>
      </c>
      <c r="C87" s="61" t="s">
        <v>325</v>
      </c>
      <c r="D87" s="101">
        <v>3</v>
      </c>
    </row>
    <row r="88" spans="2:4" ht="20.25">
      <c r="B88" s="70">
        <v>20109</v>
      </c>
      <c r="C88" s="71" t="s">
        <v>326</v>
      </c>
      <c r="D88" s="100">
        <v>0</v>
      </c>
    </row>
    <row r="89" spans="2:4" ht="20.25">
      <c r="B89" s="60">
        <v>20110</v>
      </c>
      <c r="C89" s="61" t="s">
        <v>327</v>
      </c>
      <c r="D89" s="101">
        <v>2</v>
      </c>
    </row>
    <row r="90" spans="2:4" ht="20.25">
      <c r="B90" s="70">
        <v>20111</v>
      </c>
      <c r="C90" s="71" t="s">
        <v>328</v>
      </c>
      <c r="D90" s="100">
        <v>5</v>
      </c>
    </row>
    <row r="91" spans="2:4" ht="20.25">
      <c r="B91" s="60">
        <v>20112</v>
      </c>
      <c r="C91" s="61" t="s">
        <v>329</v>
      </c>
      <c r="D91" s="101">
        <v>0</v>
      </c>
    </row>
    <row r="92" spans="2:4" ht="20.25">
      <c r="B92" s="70">
        <v>20113</v>
      </c>
      <c r="C92" s="71" t="s">
        <v>196</v>
      </c>
      <c r="D92" s="100">
        <v>0</v>
      </c>
    </row>
    <row r="93" spans="2:4" ht="20.25">
      <c r="B93" s="60">
        <v>20114</v>
      </c>
      <c r="C93" s="61" t="s">
        <v>83</v>
      </c>
      <c r="D93" s="101">
        <v>0</v>
      </c>
    </row>
    <row r="94" spans="2:4" ht="20.25">
      <c r="B94" s="70">
        <v>20201</v>
      </c>
      <c r="C94" s="71" t="s">
        <v>84</v>
      </c>
      <c r="D94" s="100">
        <v>56</v>
      </c>
    </row>
    <row r="95" spans="2:4" ht="20.25">
      <c r="B95" s="60">
        <v>20202</v>
      </c>
      <c r="C95" s="61" t="s">
        <v>85</v>
      </c>
      <c r="D95" s="101">
        <v>2</v>
      </c>
    </row>
    <row r="96" spans="2:4" ht="20.25">
      <c r="B96" s="70">
        <v>20203</v>
      </c>
      <c r="C96" s="71" t="s">
        <v>86</v>
      </c>
      <c r="D96" s="100">
        <v>32</v>
      </c>
    </row>
    <row r="97" spans="2:4" ht="20.25">
      <c r="B97" s="60">
        <v>20204</v>
      </c>
      <c r="C97" s="61" t="s">
        <v>87</v>
      </c>
      <c r="D97" s="101">
        <v>0</v>
      </c>
    </row>
    <row r="98" spans="2:4" ht="20.25">
      <c r="B98" s="70">
        <v>20205</v>
      </c>
      <c r="C98" s="71" t="s">
        <v>88</v>
      </c>
      <c r="D98" s="100">
        <v>0</v>
      </c>
    </row>
    <row r="99" spans="2:4" ht="20.25">
      <c r="B99" s="60">
        <v>20206</v>
      </c>
      <c r="C99" s="61" t="s">
        <v>89</v>
      </c>
      <c r="D99" s="101">
        <v>0</v>
      </c>
    </row>
    <row r="100" spans="2:4" ht="20.25">
      <c r="B100" s="70">
        <v>20207</v>
      </c>
      <c r="C100" s="71" t="s">
        <v>90</v>
      </c>
      <c r="D100" s="100">
        <v>2</v>
      </c>
    </row>
    <row r="101" spans="2:4" ht="20.25">
      <c r="B101" s="60">
        <v>20208</v>
      </c>
      <c r="C101" s="61" t="s">
        <v>91</v>
      </c>
      <c r="D101" s="101">
        <v>0</v>
      </c>
    </row>
    <row r="102" spans="2:4" ht="20.25">
      <c r="B102" s="70">
        <v>20209</v>
      </c>
      <c r="C102" s="71" t="s">
        <v>92</v>
      </c>
      <c r="D102" s="100">
        <v>0</v>
      </c>
    </row>
    <row r="103" spans="2:4" ht="20.25">
      <c r="B103" s="60">
        <v>20210</v>
      </c>
      <c r="C103" s="61" t="s">
        <v>193</v>
      </c>
      <c r="D103" s="101">
        <v>14</v>
      </c>
    </row>
    <row r="104" spans="2:4" ht="20.25">
      <c r="B104" s="70">
        <v>20211</v>
      </c>
      <c r="C104" s="71" t="s">
        <v>330</v>
      </c>
      <c r="D104" s="100">
        <v>0</v>
      </c>
    </row>
    <row r="105" spans="2:4" ht="20.25">
      <c r="B105" s="60">
        <v>20212</v>
      </c>
      <c r="C105" s="61" t="s">
        <v>94</v>
      </c>
      <c r="D105" s="101">
        <v>0</v>
      </c>
    </row>
    <row r="106" spans="2:4" ht="20.25">
      <c r="B106" s="70">
        <v>20213</v>
      </c>
      <c r="C106" s="71" t="s">
        <v>95</v>
      </c>
      <c r="D106" s="100">
        <v>0</v>
      </c>
    </row>
    <row r="107" spans="2:4" ht="20.25">
      <c r="B107" s="60">
        <v>20214</v>
      </c>
      <c r="C107" s="61" t="s">
        <v>331</v>
      </c>
      <c r="D107" s="101">
        <v>0</v>
      </c>
    </row>
    <row r="108" spans="2:4" ht="20.25">
      <c r="B108" s="70">
        <v>20301</v>
      </c>
      <c r="C108" s="71" t="s">
        <v>332</v>
      </c>
      <c r="D108" s="100">
        <v>30</v>
      </c>
    </row>
    <row r="109" spans="2:4" ht="20.25">
      <c r="B109" s="60">
        <v>20302</v>
      </c>
      <c r="C109" s="61" t="s">
        <v>333</v>
      </c>
      <c r="D109" s="101">
        <v>0</v>
      </c>
    </row>
    <row r="110" spans="2:4" ht="20.25">
      <c r="B110" s="70">
        <v>20303</v>
      </c>
      <c r="C110" s="71" t="s">
        <v>334</v>
      </c>
      <c r="D110" s="100">
        <v>14</v>
      </c>
    </row>
    <row r="111" spans="2:4" ht="20.25">
      <c r="B111" s="60">
        <v>20304</v>
      </c>
      <c r="C111" s="61" t="s">
        <v>335</v>
      </c>
      <c r="D111" s="101">
        <v>5</v>
      </c>
    </row>
    <row r="112" spans="2:4" ht="20.25">
      <c r="B112" s="70">
        <v>20305</v>
      </c>
      <c r="C112" s="71" t="s">
        <v>336</v>
      </c>
      <c r="D112" s="100">
        <v>0</v>
      </c>
    </row>
    <row r="113" spans="2:4" ht="20.25">
      <c r="B113" s="60">
        <v>20306</v>
      </c>
      <c r="C113" s="61" t="s">
        <v>337</v>
      </c>
      <c r="D113" s="101">
        <v>1</v>
      </c>
    </row>
    <row r="114" spans="2:4" ht="20.25">
      <c r="B114" s="70">
        <v>20307</v>
      </c>
      <c r="C114" s="71" t="s">
        <v>338</v>
      </c>
      <c r="D114" s="100">
        <v>0</v>
      </c>
    </row>
    <row r="115" spans="2:4" ht="20.25">
      <c r="B115" s="60">
        <v>20308</v>
      </c>
      <c r="C115" s="61" t="s">
        <v>339</v>
      </c>
      <c r="D115" s="101">
        <v>22</v>
      </c>
    </row>
    <row r="116" spans="2:4" ht="20.25">
      <c r="B116" s="70">
        <v>20309</v>
      </c>
      <c r="C116" s="71" t="s">
        <v>340</v>
      </c>
      <c r="D116" s="100">
        <v>0</v>
      </c>
    </row>
    <row r="117" spans="2:4" ht="20.25">
      <c r="B117" s="60">
        <v>20310</v>
      </c>
      <c r="C117" s="61" t="s">
        <v>341</v>
      </c>
      <c r="D117" s="101">
        <v>0</v>
      </c>
    </row>
    <row r="118" spans="2:4" ht="20.25">
      <c r="B118" s="70">
        <v>20311</v>
      </c>
      <c r="C118" s="71" t="s">
        <v>342</v>
      </c>
      <c r="D118" s="100">
        <v>160</v>
      </c>
    </row>
    <row r="119" spans="2:4" ht="20.25">
      <c r="B119" s="60">
        <v>20401</v>
      </c>
      <c r="C119" s="61" t="s">
        <v>343</v>
      </c>
      <c r="D119" s="101">
        <v>0</v>
      </c>
    </row>
    <row r="120" spans="2:4" ht="20.25">
      <c r="B120" s="70">
        <v>20402</v>
      </c>
      <c r="C120" s="71" t="s">
        <v>344</v>
      </c>
      <c r="D120" s="100">
        <v>0</v>
      </c>
    </row>
    <row r="121" spans="2:4" ht="20.25">
      <c r="B121" s="60">
        <v>20403</v>
      </c>
      <c r="C121" s="61" t="s">
        <v>345</v>
      </c>
      <c r="D121" s="101">
        <v>17</v>
      </c>
    </row>
    <row r="122" spans="2:4" ht="20.25">
      <c r="B122" s="70">
        <v>20404</v>
      </c>
      <c r="C122" s="71" t="s">
        <v>346</v>
      </c>
      <c r="D122" s="100">
        <v>12</v>
      </c>
    </row>
    <row r="123" spans="2:4" ht="20.25">
      <c r="B123" s="64">
        <v>30101</v>
      </c>
      <c r="C123" s="65" t="s">
        <v>347</v>
      </c>
      <c r="D123" s="102">
        <v>44</v>
      </c>
    </row>
    <row r="124" spans="2:4" ht="20.25">
      <c r="B124" s="62">
        <v>30102</v>
      </c>
      <c r="C124" s="63" t="s">
        <v>96</v>
      </c>
      <c r="D124" s="103">
        <v>9</v>
      </c>
    </row>
    <row r="125" spans="2:4" ht="20.25">
      <c r="B125" s="64">
        <v>30103</v>
      </c>
      <c r="C125" s="65" t="s">
        <v>76</v>
      </c>
      <c r="D125" s="102">
        <v>78</v>
      </c>
    </row>
    <row r="126" spans="2:4" ht="20.25">
      <c r="B126" s="62">
        <v>30201</v>
      </c>
      <c r="C126" s="63" t="s">
        <v>97</v>
      </c>
      <c r="D126" s="103">
        <v>0</v>
      </c>
    </row>
    <row r="127" spans="2:4" ht="20.25">
      <c r="B127" s="64">
        <v>30202</v>
      </c>
      <c r="C127" s="65" t="s">
        <v>418</v>
      </c>
      <c r="D127" s="102">
        <v>14</v>
      </c>
    </row>
    <row r="128" spans="2:4" ht="20.25">
      <c r="B128" s="62">
        <v>30203</v>
      </c>
      <c r="C128" s="63" t="s">
        <v>348</v>
      </c>
      <c r="D128" s="103">
        <v>0</v>
      </c>
    </row>
    <row r="129" spans="2:4" ht="20.25">
      <c r="B129" s="64">
        <v>30204</v>
      </c>
      <c r="C129" s="65" t="s">
        <v>99</v>
      </c>
      <c r="D129" s="102">
        <v>14</v>
      </c>
    </row>
    <row r="130" spans="2:4" ht="20.25">
      <c r="B130" s="62">
        <v>30205</v>
      </c>
      <c r="C130" s="63" t="s">
        <v>349</v>
      </c>
      <c r="D130" s="103">
        <v>4</v>
      </c>
    </row>
    <row r="131" spans="2:4" ht="20.25">
      <c r="B131" s="64">
        <v>30206</v>
      </c>
      <c r="C131" s="65" t="s">
        <v>350</v>
      </c>
      <c r="D131" s="102">
        <v>0</v>
      </c>
    </row>
    <row r="132" spans="2:4" ht="20.25">
      <c r="B132" s="62">
        <v>30207</v>
      </c>
      <c r="C132" s="63" t="s">
        <v>351</v>
      </c>
      <c r="D132" s="103">
        <v>0</v>
      </c>
    </row>
    <row r="133" spans="2:4" ht="20.25">
      <c r="B133" s="64">
        <v>30301</v>
      </c>
      <c r="C133" s="65" t="s">
        <v>100</v>
      </c>
      <c r="D133" s="102">
        <v>1</v>
      </c>
    </row>
    <row r="134" spans="2:4" ht="20.25">
      <c r="B134" s="62">
        <v>30302</v>
      </c>
      <c r="C134" s="63" t="s">
        <v>101</v>
      </c>
      <c r="D134" s="103">
        <v>5</v>
      </c>
    </row>
    <row r="135" spans="2:4" ht="20.25">
      <c r="B135" s="64">
        <v>30303</v>
      </c>
      <c r="C135" s="65" t="s">
        <v>352</v>
      </c>
      <c r="D135" s="102">
        <v>5</v>
      </c>
    </row>
    <row r="136" spans="2:4" ht="20.25">
      <c r="B136" s="62">
        <v>30304</v>
      </c>
      <c r="C136" s="63" t="s">
        <v>102</v>
      </c>
      <c r="D136" s="103">
        <v>2</v>
      </c>
    </row>
    <row r="137" spans="2:4" ht="20.25">
      <c r="B137" s="64">
        <v>30305</v>
      </c>
      <c r="C137" s="65" t="s">
        <v>103</v>
      </c>
      <c r="D137" s="102">
        <v>128</v>
      </c>
    </row>
    <row r="138" spans="2:4" ht="20.25">
      <c r="B138" s="62">
        <v>30306</v>
      </c>
      <c r="C138" s="63" t="s">
        <v>104</v>
      </c>
      <c r="D138" s="103">
        <v>2</v>
      </c>
    </row>
    <row r="139" spans="2:4" ht="20.25">
      <c r="B139" s="64">
        <v>30307</v>
      </c>
      <c r="C139" s="65" t="s">
        <v>105</v>
      </c>
      <c r="D139" s="102">
        <v>92</v>
      </c>
    </row>
    <row r="140" spans="2:4" ht="20.25">
      <c r="B140" s="62">
        <v>30308</v>
      </c>
      <c r="C140" s="63" t="s">
        <v>353</v>
      </c>
      <c r="D140" s="103">
        <v>32</v>
      </c>
    </row>
    <row r="141" spans="2:4" ht="20.25">
      <c r="B141" s="64">
        <v>30309</v>
      </c>
      <c r="C141" s="65" t="s">
        <v>354</v>
      </c>
      <c r="D141" s="102">
        <v>366</v>
      </c>
    </row>
    <row r="142" spans="2:4" ht="20.25">
      <c r="B142" s="62">
        <v>30310</v>
      </c>
      <c r="C142" s="63" t="s">
        <v>355</v>
      </c>
      <c r="D142" s="103">
        <v>283</v>
      </c>
    </row>
    <row r="143" spans="2:4" ht="20.25">
      <c r="B143" s="64">
        <v>30401</v>
      </c>
      <c r="C143" s="65" t="s">
        <v>356</v>
      </c>
      <c r="D143" s="102">
        <v>122</v>
      </c>
    </row>
    <row r="144" spans="2:4" ht="20.25">
      <c r="B144" s="62">
        <v>30402</v>
      </c>
      <c r="C144" s="63" t="s">
        <v>357</v>
      </c>
      <c r="D144" s="103">
        <v>4</v>
      </c>
    </row>
    <row r="145" spans="2:4" ht="20.25">
      <c r="B145" s="64">
        <v>30403</v>
      </c>
      <c r="C145" s="65" t="s">
        <v>358</v>
      </c>
      <c r="D145" s="102">
        <v>11</v>
      </c>
    </row>
    <row r="146" spans="2:4" ht="20.25">
      <c r="B146" s="62">
        <v>30404</v>
      </c>
      <c r="C146" s="63" t="s">
        <v>106</v>
      </c>
      <c r="D146" s="103">
        <v>34</v>
      </c>
    </row>
    <row r="147" spans="2:4" ht="20.25">
      <c r="B147" s="64">
        <v>30405</v>
      </c>
      <c r="C147" s="65" t="s">
        <v>107</v>
      </c>
      <c r="D147" s="102">
        <v>1</v>
      </c>
    </row>
    <row r="148" spans="2:4" ht="20.25">
      <c r="B148" s="62">
        <v>30406</v>
      </c>
      <c r="C148" s="63" t="s">
        <v>108</v>
      </c>
      <c r="D148" s="103">
        <v>1</v>
      </c>
    </row>
    <row r="149" spans="2:4" ht="20.25">
      <c r="B149" s="64">
        <v>30407</v>
      </c>
      <c r="C149" s="65" t="s">
        <v>359</v>
      </c>
      <c r="D149" s="102">
        <v>4</v>
      </c>
    </row>
    <row r="150" spans="2:4" ht="20.25">
      <c r="B150" s="62">
        <v>30408</v>
      </c>
      <c r="C150" s="63" t="s">
        <v>360</v>
      </c>
      <c r="D150" s="103">
        <v>0</v>
      </c>
    </row>
    <row r="151" spans="2:4" ht="20.25">
      <c r="B151" s="64">
        <v>30409</v>
      </c>
      <c r="C151" s="65" t="s">
        <v>110</v>
      </c>
      <c r="D151" s="102">
        <v>1</v>
      </c>
    </row>
    <row r="152" spans="2:4" ht="20.25">
      <c r="B152" s="62">
        <v>30410</v>
      </c>
      <c r="C152" s="63" t="s">
        <v>111</v>
      </c>
      <c r="D152" s="103">
        <v>0</v>
      </c>
    </row>
    <row r="153" spans="2:4" ht="20.25">
      <c r="B153" s="64">
        <v>30411</v>
      </c>
      <c r="C153" s="65" t="s">
        <v>361</v>
      </c>
      <c r="D153" s="102">
        <v>3</v>
      </c>
    </row>
    <row r="154" spans="2:4" ht="20.25">
      <c r="B154" s="62">
        <v>30412</v>
      </c>
      <c r="C154" s="63" t="s">
        <v>112</v>
      </c>
      <c r="D154" s="103">
        <v>0</v>
      </c>
    </row>
    <row r="155" spans="2:4" ht="20.25">
      <c r="B155" s="64">
        <v>30413</v>
      </c>
      <c r="C155" s="65" t="s">
        <v>113</v>
      </c>
      <c r="D155" s="102">
        <v>2</v>
      </c>
    </row>
    <row r="156" spans="2:4" ht="20.25">
      <c r="B156" s="62">
        <v>30414</v>
      </c>
      <c r="C156" s="63" t="s">
        <v>114</v>
      </c>
      <c r="D156" s="103">
        <v>39</v>
      </c>
    </row>
    <row r="157" spans="2:4" ht="20.25">
      <c r="B157" s="64">
        <v>30415</v>
      </c>
      <c r="C157" s="65" t="s">
        <v>115</v>
      </c>
      <c r="D157" s="102">
        <v>0</v>
      </c>
    </row>
    <row r="158" spans="2:4" ht="20.25">
      <c r="B158" s="62">
        <v>30416</v>
      </c>
      <c r="C158" s="63" t="s">
        <v>116</v>
      </c>
      <c r="D158" s="103">
        <v>1</v>
      </c>
    </row>
    <row r="159" spans="2:4" ht="20.25">
      <c r="B159" s="64">
        <v>30417</v>
      </c>
      <c r="C159" s="65" t="s">
        <v>117</v>
      </c>
      <c r="D159" s="102">
        <v>0</v>
      </c>
    </row>
    <row r="160" spans="2:4" ht="20.25">
      <c r="B160" s="62">
        <v>30418</v>
      </c>
      <c r="C160" s="63" t="s">
        <v>118</v>
      </c>
      <c r="D160" s="103">
        <v>1</v>
      </c>
    </row>
    <row r="161" spans="2:4" ht="20.25">
      <c r="B161" s="64">
        <v>30419</v>
      </c>
      <c r="C161" s="65" t="s">
        <v>119</v>
      </c>
      <c r="D161" s="102">
        <v>6</v>
      </c>
    </row>
    <row r="162" spans="2:4" ht="20.25">
      <c r="B162" s="62">
        <v>30420</v>
      </c>
      <c r="C162" s="63" t="s">
        <v>120</v>
      </c>
      <c r="D162" s="103">
        <v>15</v>
      </c>
    </row>
    <row r="163" spans="2:4" ht="20.25">
      <c r="B163" s="64">
        <v>30421</v>
      </c>
      <c r="C163" s="65" t="s">
        <v>121</v>
      </c>
      <c r="D163" s="102">
        <v>3</v>
      </c>
    </row>
    <row r="164" spans="2:4" ht="20.25">
      <c r="B164" s="62">
        <v>30422</v>
      </c>
      <c r="C164" s="63" t="s">
        <v>122</v>
      </c>
      <c r="D164" s="103">
        <v>12</v>
      </c>
    </row>
    <row r="165" spans="2:4" ht="20.25">
      <c r="B165" s="64">
        <v>30423</v>
      </c>
      <c r="C165" s="65" t="s">
        <v>123</v>
      </c>
      <c r="D165" s="102">
        <v>0</v>
      </c>
    </row>
    <row r="166" spans="2:4" ht="20.25">
      <c r="B166" s="62">
        <v>30424</v>
      </c>
      <c r="C166" s="63" t="s">
        <v>124</v>
      </c>
      <c r="D166" s="103">
        <v>0</v>
      </c>
    </row>
    <row r="167" spans="2:4" ht="20.25">
      <c r="B167" s="64">
        <v>30425</v>
      </c>
      <c r="C167" s="65" t="s">
        <v>125</v>
      </c>
      <c r="D167" s="102">
        <v>0</v>
      </c>
    </row>
    <row r="168" spans="2:4" ht="20.25">
      <c r="B168" s="62">
        <v>30426</v>
      </c>
      <c r="C168" s="63" t="s">
        <v>126</v>
      </c>
      <c r="D168" s="103">
        <v>0</v>
      </c>
    </row>
    <row r="169" spans="2:4" ht="20.25">
      <c r="B169" s="64">
        <v>30427</v>
      </c>
      <c r="C169" s="65" t="s">
        <v>127</v>
      </c>
      <c r="D169" s="102">
        <v>1</v>
      </c>
    </row>
    <row r="170" spans="2:4" ht="20.25">
      <c r="B170" s="62">
        <v>30428</v>
      </c>
      <c r="C170" s="63" t="s">
        <v>128</v>
      </c>
      <c r="D170" s="103">
        <v>0</v>
      </c>
    </row>
    <row r="171" spans="2:4" ht="20.25">
      <c r="B171" s="64">
        <v>30429</v>
      </c>
      <c r="C171" s="65" t="s">
        <v>129</v>
      </c>
      <c r="D171" s="102">
        <v>0</v>
      </c>
    </row>
    <row r="172" spans="2:4" ht="20.25">
      <c r="B172" s="62">
        <v>30430</v>
      </c>
      <c r="C172" s="63" t="s">
        <v>130</v>
      </c>
      <c r="D172" s="103">
        <v>27</v>
      </c>
    </row>
    <row r="173" spans="2:4" ht="20.25">
      <c r="B173" s="64">
        <v>30431</v>
      </c>
      <c r="C173" s="65" t="s">
        <v>131</v>
      </c>
      <c r="D173" s="102">
        <v>0</v>
      </c>
    </row>
    <row r="174" spans="2:4" ht="20.25">
      <c r="B174" s="62">
        <v>30432</v>
      </c>
      <c r="C174" s="63" t="s">
        <v>132</v>
      </c>
      <c r="D174" s="103">
        <v>0</v>
      </c>
    </row>
    <row r="175" spans="2:4" ht="20.25">
      <c r="B175" s="64">
        <v>30433</v>
      </c>
      <c r="C175" s="65" t="s">
        <v>133</v>
      </c>
      <c r="D175" s="102">
        <v>0</v>
      </c>
    </row>
    <row r="176" spans="2:4" ht="20.25">
      <c r="B176" s="62">
        <v>30434</v>
      </c>
      <c r="C176" s="63" t="s">
        <v>134</v>
      </c>
      <c r="D176" s="103">
        <v>0</v>
      </c>
    </row>
    <row r="177" spans="2:4" ht="20.25">
      <c r="B177" s="64">
        <v>30435</v>
      </c>
      <c r="C177" s="65" t="s">
        <v>135</v>
      </c>
      <c r="D177" s="102">
        <v>0</v>
      </c>
    </row>
    <row r="178" spans="2:4" ht="20.25">
      <c r="B178" s="62">
        <v>30436</v>
      </c>
      <c r="C178" s="63" t="s">
        <v>136</v>
      </c>
      <c r="D178" s="103">
        <v>0</v>
      </c>
    </row>
    <row r="179" spans="2:4" ht="20.25">
      <c r="B179" s="64">
        <v>30437</v>
      </c>
      <c r="C179" s="65" t="s">
        <v>137</v>
      </c>
      <c r="D179" s="102">
        <v>0</v>
      </c>
    </row>
    <row r="180" spans="2:4" ht="20.25">
      <c r="B180" s="62">
        <v>30438</v>
      </c>
      <c r="C180" s="63" t="s">
        <v>138</v>
      </c>
      <c r="D180" s="103">
        <v>0</v>
      </c>
    </row>
    <row r="181" spans="2:4" ht="20.25">
      <c r="B181" s="64">
        <v>30439</v>
      </c>
      <c r="C181" s="65" t="s">
        <v>139</v>
      </c>
      <c r="D181" s="102">
        <v>0</v>
      </c>
    </row>
    <row r="182" spans="2:4" ht="20.25">
      <c r="B182" s="62">
        <v>30440</v>
      </c>
      <c r="C182" s="63" t="s">
        <v>362</v>
      </c>
      <c r="D182" s="103">
        <v>1</v>
      </c>
    </row>
    <row r="183" spans="2:4" ht="20.25">
      <c r="B183" s="64">
        <v>30441</v>
      </c>
      <c r="C183" s="65" t="s">
        <v>363</v>
      </c>
      <c r="D183" s="102">
        <v>0</v>
      </c>
    </row>
    <row r="184" spans="2:4" ht="20.25">
      <c r="B184" s="62">
        <v>30442</v>
      </c>
      <c r="C184" s="63" t="s">
        <v>364</v>
      </c>
      <c r="D184" s="103">
        <v>0</v>
      </c>
    </row>
    <row r="185" spans="2:4" ht="20.25">
      <c r="B185" s="64">
        <v>30443</v>
      </c>
      <c r="C185" s="65" t="s">
        <v>365</v>
      </c>
      <c r="D185" s="102">
        <v>0</v>
      </c>
    </row>
    <row r="186" spans="2:4" ht="20.25">
      <c r="B186" s="62">
        <v>30444</v>
      </c>
      <c r="C186" s="63" t="s">
        <v>366</v>
      </c>
      <c r="D186" s="103">
        <v>0</v>
      </c>
    </row>
    <row r="187" spans="2:4" ht="20.25">
      <c r="B187" s="64">
        <v>30445</v>
      </c>
      <c r="C187" s="65" t="s">
        <v>367</v>
      </c>
      <c r="D187" s="102">
        <v>0</v>
      </c>
    </row>
    <row r="188" spans="2:4" ht="20.25">
      <c r="B188" s="62">
        <v>30446</v>
      </c>
      <c r="C188" s="63" t="s">
        <v>368</v>
      </c>
      <c r="D188" s="103">
        <v>19</v>
      </c>
    </row>
    <row r="189" spans="2:4" ht="20.25">
      <c r="B189" s="64">
        <v>30501</v>
      </c>
      <c r="C189" s="65" t="s">
        <v>140</v>
      </c>
      <c r="D189" s="102">
        <v>5</v>
      </c>
    </row>
    <row r="190" spans="2:4" ht="20.25">
      <c r="B190" s="62">
        <v>30502</v>
      </c>
      <c r="C190" s="63" t="s">
        <v>141</v>
      </c>
      <c r="D190" s="103">
        <v>195</v>
      </c>
    </row>
    <row r="191" spans="2:4" ht="20.25">
      <c r="B191" s="64">
        <v>30503</v>
      </c>
      <c r="C191" s="65" t="s">
        <v>142</v>
      </c>
      <c r="D191" s="102">
        <v>281</v>
      </c>
    </row>
    <row r="192" spans="2:4" ht="20.25">
      <c r="B192" s="62">
        <v>30504</v>
      </c>
      <c r="C192" s="63" t="s">
        <v>369</v>
      </c>
      <c r="D192" s="103">
        <v>13</v>
      </c>
    </row>
    <row r="193" spans="2:4" ht="20.25">
      <c r="B193" s="64">
        <v>30505</v>
      </c>
      <c r="C193" s="65" t="s">
        <v>370</v>
      </c>
      <c r="D193" s="102">
        <v>9</v>
      </c>
    </row>
    <row r="194" spans="2:4" ht="20.25">
      <c r="B194" s="62">
        <v>30601</v>
      </c>
      <c r="C194" s="63" t="s">
        <v>143</v>
      </c>
      <c r="D194" s="103">
        <v>11</v>
      </c>
    </row>
    <row r="195" spans="2:4" ht="20.25">
      <c r="B195" s="64">
        <v>30602</v>
      </c>
      <c r="C195" s="65" t="s">
        <v>144</v>
      </c>
      <c r="D195" s="102">
        <v>19</v>
      </c>
    </row>
    <row r="196" spans="2:4" ht="20.25">
      <c r="B196" s="62">
        <v>30603</v>
      </c>
      <c r="C196" s="63" t="s">
        <v>145</v>
      </c>
      <c r="D196" s="103">
        <v>10</v>
      </c>
    </row>
    <row r="197" spans="2:4" ht="20.25">
      <c r="B197" s="64">
        <v>30604</v>
      </c>
      <c r="C197" s="65" t="s">
        <v>146</v>
      </c>
      <c r="D197" s="102">
        <v>0</v>
      </c>
    </row>
    <row r="198" spans="2:4" ht="20.25">
      <c r="B198" s="62">
        <v>30605</v>
      </c>
      <c r="C198" s="63" t="s">
        <v>371</v>
      </c>
      <c r="D198" s="103">
        <v>0</v>
      </c>
    </row>
    <row r="199" spans="2:4" ht="20.25">
      <c r="B199" s="64">
        <v>30606</v>
      </c>
      <c r="C199" s="65" t="s">
        <v>372</v>
      </c>
      <c r="D199" s="102">
        <v>20</v>
      </c>
    </row>
    <row r="200" spans="2:4" ht="20.25">
      <c r="B200" s="62">
        <v>30607</v>
      </c>
      <c r="C200" s="63" t="s">
        <v>147</v>
      </c>
      <c r="D200" s="103">
        <v>2</v>
      </c>
    </row>
    <row r="201" spans="2:4" ht="20.25">
      <c r="B201" s="64">
        <v>30608</v>
      </c>
      <c r="C201" s="65" t="s">
        <v>148</v>
      </c>
      <c r="D201" s="102">
        <v>0</v>
      </c>
    </row>
    <row r="202" spans="2:4" ht="20.25">
      <c r="B202" s="62">
        <v>30609</v>
      </c>
      <c r="C202" s="63" t="s">
        <v>373</v>
      </c>
      <c r="D202" s="103">
        <v>2</v>
      </c>
    </row>
    <row r="203" spans="2:4" ht="20.25">
      <c r="B203" s="64">
        <v>30610</v>
      </c>
      <c r="C203" s="65" t="s">
        <v>374</v>
      </c>
      <c r="D203" s="102">
        <v>0</v>
      </c>
    </row>
    <row r="204" spans="2:4" ht="20.25">
      <c r="B204" s="62">
        <v>30611</v>
      </c>
      <c r="C204" s="63" t="s">
        <v>375</v>
      </c>
      <c r="D204" s="103">
        <v>0</v>
      </c>
    </row>
    <row r="205" spans="2:4" ht="20.25">
      <c r="B205" s="64">
        <v>30701</v>
      </c>
      <c r="C205" s="65" t="s">
        <v>149</v>
      </c>
      <c r="D205" s="102">
        <v>5</v>
      </c>
    </row>
    <row r="206" spans="2:4" ht="20.25">
      <c r="B206" s="62">
        <v>30702</v>
      </c>
      <c r="C206" s="63" t="s">
        <v>150</v>
      </c>
      <c r="D206" s="103">
        <v>19</v>
      </c>
    </row>
    <row r="207" spans="2:4" ht="20.25">
      <c r="B207" s="64">
        <v>30703</v>
      </c>
      <c r="C207" s="65" t="s">
        <v>151</v>
      </c>
      <c r="D207" s="102">
        <v>0</v>
      </c>
    </row>
    <row r="208" spans="2:4" ht="20.25">
      <c r="B208" s="62">
        <v>30704</v>
      </c>
      <c r="C208" s="63" t="s">
        <v>152</v>
      </c>
      <c r="D208" s="103">
        <v>0</v>
      </c>
    </row>
    <row r="209" spans="2:4" ht="20.25">
      <c r="B209" s="64">
        <v>30705</v>
      </c>
      <c r="C209" s="65" t="s">
        <v>153</v>
      </c>
      <c r="D209" s="102">
        <v>0</v>
      </c>
    </row>
    <row r="210" spans="2:4" ht="20.25">
      <c r="B210" s="62">
        <v>30706</v>
      </c>
      <c r="C210" s="63" t="s">
        <v>154</v>
      </c>
      <c r="D210" s="103">
        <v>0</v>
      </c>
    </row>
    <row r="211" spans="2:4" ht="20.25">
      <c r="B211" s="64">
        <v>30707</v>
      </c>
      <c r="C211" s="65" t="s">
        <v>155</v>
      </c>
      <c r="D211" s="102">
        <v>2</v>
      </c>
    </row>
    <row r="212" spans="2:4" ht="20.25">
      <c r="B212" s="62">
        <v>30708</v>
      </c>
      <c r="C212" s="63" t="s">
        <v>376</v>
      </c>
      <c r="D212" s="103">
        <v>0</v>
      </c>
    </row>
    <row r="213" spans="2:4" ht="20.25">
      <c r="B213" s="64">
        <v>30709</v>
      </c>
      <c r="C213" s="65" t="s">
        <v>159</v>
      </c>
      <c r="D213" s="102">
        <v>0</v>
      </c>
    </row>
    <row r="214" spans="2:4" ht="20.25">
      <c r="B214" s="62">
        <v>30710</v>
      </c>
      <c r="C214" s="63" t="s">
        <v>377</v>
      </c>
      <c r="D214" s="103">
        <v>0</v>
      </c>
    </row>
    <row r="215" spans="2:4" ht="20.25">
      <c r="B215" s="64">
        <v>30711</v>
      </c>
      <c r="C215" s="65" t="s">
        <v>158</v>
      </c>
      <c r="D215" s="102">
        <v>1</v>
      </c>
    </row>
    <row r="216" spans="2:4" ht="20.25">
      <c r="B216" s="62">
        <v>30801</v>
      </c>
      <c r="C216" s="63" t="s">
        <v>156</v>
      </c>
      <c r="D216" s="103">
        <v>0</v>
      </c>
    </row>
    <row r="217" spans="2:4" ht="20.25">
      <c r="B217" s="64">
        <v>30802</v>
      </c>
      <c r="C217" s="65" t="s">
        <v>157</v>
      </c>
      <c r="D217" s="102">
        <v>5</v>
      </c>
    </row>
    <row r="218" spans="2:4" ht="20.25">
      <c r="B218" s="62">
        <v>30803</v>
      </c>
      <c r="C218" s="63" t="s">
        <v>98</v>
      </c>
      <c r="D218" s="103">
        <v>0</v>
      </c>
    </row>
    <row r="219" spans="2:4" ht="20.25">
      <c r="B219" s="64">
        <v>30804</v>
      </c>
      <c r="C219" s="65" t="s">
        <v>185</v>
      </c>
      <c r="D219" s="102">
        <v>0</v>
      </c>
    </row>
    <row r="220" spans="2:4" ht="20.25">
      <c r="B220" s="62">
        <v>30805</v>
      </c>
      <c r="C220" s="63" t="s">
        <v>175</v>
      </c>
      <c r="D220" s="103">
        <v>0</v>
      </c>
    </row>
    <row r="221" spans="2:4" ht="20.25">
      <c r="B221" s="64">
        <v>30806</v>
      </c>
      <c r="C221" s="65" t="s">
        <v>378</v>
      </c>
      <c r="D221" s="102">
        <v>42</v>
      </c>
    </row>
    <row r="222" spans="2:4" ht="20.25">
      <c r="B222" s="62">
        <v>30807</v>
      </c>
      <c r="C222" s="63" t="s">
        <v>379</v>
      </c>
      <c r="D222" s="103">
        <v>0</v>
      </c>
    </row>
    <row r="223" spans="2:4" ht="20.25">
      <c r="B223" s="64">
        <v>30808</v>
      </c>
      <c r="C223" s="65" t="s">
        <v>172</v>
      </c>
      <c r="D223" s="102">
        <v>0</v>
      </c>
    </row>
    <row r="224" spans="2:4" ht="20.25">
      <c r="B224" s="62">
        <v>30809</v>
      </c>
      <c r="C224" s="63" t="s">
        <v>380</v>
      </c>
      <c r="D224" s="103">
        <v>0</v>
      </c>
    </row>
    <row r="225" spans="2:4" ht="20.25">
      <c r="B225" s="64">
        <v>30810</v>
      </c>
      <c r="C225" s="65" t="s">
        <v>381</v>
      </c>
      <c r="D225" s="102">
        <v>0</v>
      </c>
    </row>
    <row r="226" spans="2:4" ht="20.25">
      <c r="B226" s="62">
        <v>30901</v>
      </c>
      <c r="C226" s="63" t="s">
        <v>382</v>
      </c>
      <c r="D226" s="103">
        <v>1</v>
      </c>
    </row>
    <row r="227" spans="2:4" ht="20.25">
      <c r="B227" s="64">
        <v>30902</v>
      </c>
      <c r="C227" s="65" t="s">
        <v>383</v>
      </c>
      <c r="D227" s="102">
        <v>0</v>
      </c>
    </row>
    <row r="228" spans="2:4" ht="20.25">
      <c r="B228" s="62">
        <v>30903</v>
      </c>
      <c r="C228" s="63" t="s">
        <v>164</v>
      </c>
      <c r="D228" s="103">
        <v>59</v>
      </c>
    </row>
    <row r="229" spans="2:4" ht="20.25">
      <c r="B229" s="64">
        <v>30904</v>
      </c>
      <c r="C229" s="65" t="s">
        <v>184</v>
      </c>
      <c r="D229" s="102">
        <v>235</v>
      </c>
    </row>
    <row r="230" spans="2:4" ht="20.25">
      <c r="B230" s="62">
        <v>30905</v>
      </c>
      <c r="C230" s="63" t="s">
        <v>160</v>
      </c>
      <c r="D230" s="103">
        <v>16</v>
      </c>
    </row>
    <row r="231" spans="2:4" ht="20.25">
      <c r="B231" s="64">
        <v>30906</v>
      </c>
      <c r="C231" s="65" t="s">
        <v>161</v>
      </c>
      <c r="D231" s="102">
        <v>0</v>
      </c>
    </row>
    <row r="232" spans="2:4" ht="20.25">
      <c r="B232" s="62">
        <v>30907</v>
      </c>
      <c r="C232" s="63" t="s">
        <v>162</v>
      </c>
      <c r="D232" s="103">
        <v>361</v>
      </c>
    </row>
    <row r="233" spans="2:4" ht="20.25">
      <c r="B233" s="64">
        <v>30908</v>
      </c>
      <c r="C233" s="65" t="s">
        <v>163</v>
      </c>
      <c r="D233" s="102">
        <v>1</v>
      </c>
    </row>
    <row r="234" spans="2:4" ht="20.25">
      <c r="B234" s="62">
        <v>30909</v>
      </c>
      <c r="C234" s="63" t="s">
        <v>384</v>
      </c>
      <c r="D234" s="103">
        <v>1</v>
      </c>
    </row>
    <row r="235" spans="2:4" ht="20.25">
      <c r="B235" s="64">
        <v>31001</v>
      </c>
      <c r="C235" s="65" t="s">
        <v>165</v>
      </c>
      <c r="D235" s="102">
        <v>0</v>
      </c>
    </row>
    <row r="236" spans="2:4" ht="20.25">
      <c r="B236" s="62">
        <v>31002</v>
      </c>
      <c r="C236" s="63" t="s">
        <v>385</v>
      </c>
      <c r="D236" s="103">
        <v>9</v>
      </c>
    </row>
    <row r="237" spans="2:4" ht="20.25">
      <c r="B237" s="64">
        <v>31003</v>
      </c>
      <c r="C237" s="65" t="s">
        <v>166</v>
      </c>
      <c r="D237" s="102">
        <v>13</v>
      </c>
    </row>
    <row r="238" spans="2:4" ht="20.25">
      <c r="B238" s="62">
        <v>31004</v>
      </c>
      <c r="C238" s="63" t="s">
        <v>167</v>
      </c>
      <c r="D238" s="103">
        <v>0</v>
      </c>
    </row>
    <row r="239" spans="2:4" ht="20.25">
      <c r="B239" s="64">
        <v>31005</v>
      </c>
      <c r="C239" s="65" t="s">
        <v>168</v>
      </c>
      <c r="D239" s="102">
        <v>0</v>
      </c>
    </row>
    <row r="240" spans="2:4" ht="20.25">
      <c r="B240" s="62">
        <v>31006</v>
      </c>
      <c r="C240" s="63" t="s">
        <v>169</v>
      </c>
      <c r="D240" s="103">
        <v>0</v>
      </c>
    </row>
    <row r="241" spans="2:4" ht="20.25">
      <c r="B241" s="64">
        <v>31007</v>
      </c>
      <c r="C241" s="65" t="s">
        <v>170</v>
      </c>
      <c r="D241" s="102">
        <v>0</v>
      </c>
    </row>
    <row r="242" spans="2:4" ht="20.25">
      <c r="B242" s="62">
        <v>31008</v>
      </c>
      <c r="C242" s="63" t="s">
        <v>386</v>
      </c>
      <c r="D242" s="103">
        <v>0</v>
      </c>
    </row>
    <row r="243" spans="2:4" ht="20.25">
      <c r="B243" s="64">
        <v>31009</v>
      </c>
      <c r="C243" s="65" t="s">
        <v>387</v>
      </c>
      <c r="D243" s="102">
        <v>0</v>
      </c>
    </row>
    <row r="244" spans="2:4" ht="20.25">
      <c r="B244" s="62">
        <v>31010</v>
      </c>
      <c r="C244" s="63" t="s">
        <v>93</v>
      </c>
      <c r="D244" s="103">
        <v>1</v>
      </c>
    </row>
    <row r="245" spans="2:4" ht="20.25">
      <c r="B245" s="64">
        <v>31011</v>
      </c>
      <c r="C245" s="65" t="s">
        <v>388</v>
      </c>
      <c r="D245" s="102">
        <v>0</v>
      </c>
    </row>
    <row r="246" spans="2:4" ht="20.25">
      <c r="B246" s="62">
        <v>31012</v>
      </c>
      <c r="C246" s="63" t="s">
        <v>389</v>
      </c>
      <c r="D246" s="103">
        <v>2</v>
      </c>
    </row>
    <row r="247" spans="2:4" ht="20.25">
      <c r="B247" s="64">
        <v>31013</v>
      </c>
      <c r="C247" s="65" t="s">
        <v>390</v>
      </c>
      <c r="D247" s="102">
        <v>0</v>
      </c>
    </row>
    <row r="248" spans="2:4" ht="20.25">
      <c r="B248" s="62">
        <v>31014</v>
      </c>
      <c r="C248" s="63" t="s">
        <v>391</v>
      </c>
      <c r="D248" s="103">
        <v>0</v>
      </c>
    </row>
    <row r="249" spans="2:4" ht="20.25">
      <c r="B249" s="64">
        <v>31015</v>
      </c>
      <c r="C249" s="65" t="s">
        <v>392</v>
      </c>
      <c r="D249" s="102">
        <v>12</v>
      </c>
    </row>
    <row r="250" spans="2:4" ht="20.25">
      <c r="B250" s="62">
        <v>31101</v>
      </c>
      <c r="C250" s="63" t="s">
        <v>173</v>
      </c>
      <c r="D250" s="103">
        <v>128</v>
      </c>
    </row>
    <row r="251" spans="2:4" ht="20.25">
      <c r="B251" s="64">
        <v>31102</v>
      </c>
      <c r="C251" s="65" t="s">
        <v>174</v>
      </c>
      <c r="D251" s="102">
        <v>27</v>
      </c>
    </row>
    <row r="252" spans="2:4" ht="20.25">
      <c r="B252" s="62">
        <v>31103</v>
      </c>
      <c r="C252" s="63" t="s">
        <v>176</v>
      </c>
      <c r="D252" s="103">
        <v>48</v>
      </c>
    </row>
    <row r="253" spans="2:4" ht="20.25">
      <c r="B253" s="64">
        <v>31104</v>
      </c>
      <c r="C253" s="65" t="s">
        <v>177</v>
      </c>
      <c r="D253" s="102">
        <v>21</v>
      </c>
    </row>
    <row r="254" spans="2:4" ht="20.25">
      <c r="B254" s="62">
        <v>31105</v>
      </c>
      <c r="C254" s="63" t="s">
        <v>178</v>
      </c>
      <c r="D254" s="103">
        <v>41</v>
      </c>
    </row>
    <row r="255" spans="2:4" ht="20.25">
      <c r="B255" s="64">
        <v>31106</v>
      </c>
      <c r="C255" s="65" t="s">
        <v>393</v>
      </c>
      <c r="D255" s="102">
        <v>0</v>
      </c>
    </row>
    <row r="256" spans="2:4" ht="20.25">
      <c r="B256" s="62">
        <v>31107</v>
      </c>
      <c r="C256" s="63" t="s">
        <v>394</v>
      </c>
      <c r="D256" s="103">
        <v>0</v>
      </c>
    </row>
    <row r="257" spans="2:4" ht="20.25">
      <c r="B257" s="64">
        <v>31108</v>
      </c>
      <c r="C257" s="65" t="s">
        <v>395</v>
      </c>
      <c r="D257" s="102">
        <v>5</v>
      </c>
    </row>
    <row r="258" spans="2:4" ht="20.25">
      <c r="B258" s="62">
        <v>31109</v>
      </c>
      <c r="C258" s="63" t="s">
        <v>179</v>
      </c>
      <c r="D258" s="103">
        <v>1</v>
      </c>
    </row>
    <row r="259" spans="2:4" ht="20.25">
      <c r="B259" s="64">
        <v>31110</v>
      </c>
      <c r="C259" s="65" t="s">
        <v>180</v>
      </c>
      <c r="D259" s="102">
        <v>0</v>
      </c>
    </row>
    <row r="260" spans="2:4" ht="20.25">
      <c r="B260" s="62">
        <v>31111</v>
      </c>
      <c r="C260" s="63" t="s">
        <v>181</v>
      </c>
      <c r="D260" s="103">
        <v>0</v>
      </c>
    </row>
    <row r="261" spans="2:4" ht="20.25">
      <c r="B261" s="64">
        <v>31112</v>
      </c>
      <c r="C261" s="65" t="s">
        <v>396</v>
      </c>
      <c r="D261" s="102">
        <v>101</v>
      </c>
    </row>
    <row r="262" spans="2:4" ht="20.25">
      <c r="B262" s="62">
        <v>31113</v>
      </c>
      <c r="C262" s="63" t="s">
        <v>182</v>
      </c>
      <c r="D262" s="103">
        <v>28</v>
      </c>
    </row>
    <row r="263" spans="2:4" ht="20.25">
      <c r="B263" s="64">
        <v>31114</v>
      </c>
      <c r="C263" s="65" t="s">
        <v>397</v>
      </c>
      <c r="D263" s="102">
        <v>147</v>
      </c>
    </row>
    <row r="264" spans="2:4" ht="20.25">
      <c r="B264" s="66">
        <v>40101</v>
      </c>
      <c r="C264" s="67" t="s">
        <v>188</v>
      </c>
      <c r="D264" s="104">
        <v>0</v>
      </c>
    </row>
    <row r="265" spans="2:4" ht="20.25">
      <c r="B265" s="62">
        <v>40102</v>
      </c>
      <c r="C265" s="63" t="s">
        <v>398</v>
      </c>
      <c r="D265" s="103">
        <v>9</v>
      </c>
    </row>
    <row r="266" spans="2:4" ht="20.25">
      <c r="B266" s="66">
        <v>40103</v>
      </c>
      <c r="C266" s="67" t="s">
        <v>189</v>
      </c>
      <c r="D266" s="104">
        <v>0</v>
      </c>
    </row>
    <row r="267" spans="2:4" ht="20.25">
      <c r="B267" s="62">
        <v>40104</v>
      </c>
      <c r="C267" s="63" t="s">
        <v>190</v>
      </c>
      <c r="D267" s="103">
        <v>19</v>
      </c>
    </row>
    <row r="268" spans="2:4" ht="20.25">
      <c r="B268" s="66">
        <v>40105</v>
      </c>
      <c r="C268" s="67" t="s">
        <v>192</v>
      </c>
      <c r="D268" s="104">
        <v>2</v>
      </c>
    </row>
    <row r="269" spans="2:4" ht="20.25">
      <c r="B269" s="62">
        <v>40106</v>
      </c>
      <c r="C269" s="63" t="s">
        <v>195</v>
      </c>
      <c r="D269" s="103">
        <v>52</v>
      </c>
    </row>
    <row r="270" spans="2:4" ht="20.25">
      <c r="B270" s="66">
        <v>40107</v>
      </c>
      <c r="C270" s="67" t="s">
        <v>197</v>
      </c>
      <c r="D270" s="104">
        <v>25</v>
      </c>
    </row>
    <row r="271" spans="2:4" ht="20.25">
      <c r="B271" s="62">
        <v>40108</v>
      </c>
      <c r="C271" s="63" t="s">
        <v>198</v>
      </c>
      <c r="D271" s="103">
        <v>0</v>
      </c>
    </row>
    <row r="272" spans="2:4" ht="20.25">
      <c r="B272" s="66">
        <v>40109</v>
      </c>
      <c r="C272" s="67" t="s">
        <v>78</v>
      </c>
      <c r="D272" s="104">
        <v>0</v>
      </c>
    </row>
    <row r="273" spans="2:4" ht="20.25">
      <c r="B273" s="62">
        <v>40110</v>
      </c>
      <c r="C273" s="63" t="s">
        <v>191</v>
      </c>
      <c r="D273" s="103">
        <v>6</v>
      </c>
    </row>
    <row r="274" spans="2:4" ht="20.25">
      <c r="B274" s="72">
        <v>50101</v>
      </c>
      <c r="C274" s="73" t="s">
        <v>399</v>
      </c>
      <c r="D274" s="105">
        <v>3</v>
      </c>
    </row>
    <row r="275" spans="2:4" ht="20.25">
      <c r="B275" s="62">
        <v>50102</v>
      </c>
      <c r="C275" s="63" t="s">
        <v>400</v>
      </c>
      <c r="D275" s="103">
        <v>6</v>
      </c>
    </row>
    <row r="276" spans="2:4" ht="20.25">
      <c r="B276" s="72">
        <v>50103</v>
      </c>
      <c r="C276" s="73" t="s">
        <v>401</v>
      </c>
      <c r="D276" s="105">
        <v>0</v>
      </c>
    </row>
    <row r="277" spans="2:4" ht="20.25">
      <c r="B277" s="62">
        <v>50104</v>
      </c>
      <c r="C277" s="63" t="s">
        <v>109</v>
      </c>
      <c r="D277" s="103">
        <v>1</v>
      </c>
    </row>
    <row r="278" spans="2:4" ht="20.25">
      <c r="B278" s="72">
        <v>50105</v>
      </c>
      <c r="C278" s="73" t="s">
        <v>183</v>
      </c>
      <c r="D278" s="105">
        <v>271</v>
      </c>
    </row>
    <row r="279" spans="2:4" ht="20.25">
      <c r="B279" s="62">
        <v>50106</v>
      </c>
      <c r="C279" s="63" t="s">
        <v>171</v>
      </c>
      <c r="D279" s="103">
        <v>0</v>
      </c>
    </row>
    <row r="280" spans="2:4" ht="20.25">
      <c r="B280" s="72">
        <v>50107</v>
      </c>
      <c r="C280" s="73" t="s">
        <v>402</v>
      </c>
      <c r="D280" s="105">
        <v>11</v>
      </c>
    </row>
    <row r="281" spans="2:4" ht="20.25">
      <c r="B281" s="62">
        <v>50108</v>
      </c>
      <c r="C281" s="63" t="s">
        <v>403</v>
      </c>
      <c r="D281" s="103">
        <v>7</v>
      </c>
    </row>
    <row r="282" spans="2:4" ht="20.25">
      <c r="B282" s="72">
        <v>50201</v>
      </c>
      <c r="C282" s="73" t="s">
        <v>404</v>
      </c>
      <c r="D282" s="105">
        <v>3</v>
      </c>
    </row>
    <row r="283" spans="2:4" ht="20.25">
      <c r="B283" s="62">
        <v>50202</v>
      </c>
      <c r="C283" s="63" t="s">
        <v>405</v>
      </c>
      <c r="D283" s="103">
        <v>0</v>
      </c>
    </row>
    <row r="284" spans="2:4" ht="20.25">
      <c r="B284" s="72">
        <v>50203</v>
      </c>
      <c r="C284" s="73" t="s">
        <v>406</v>
      </c>
      <c r="D284" s="105">
        <v>10</v>
      </c>
    </row>
    <row r="285" spans="2:4" ht="20.25">
      <c r="B285" s="62">
        <v>50301</v>
      </c>
      <c r="C285" s="63" t="s">
        <v>407</v>
      </c>
      <c r="D285" s="103">
        <v>120</v>
      </c>
    </row>
    <row r="286" spans="2:4" ht="20.25">
      <c r="B286" s="72">
        <v>50302</v>
      </c>
      <c r="C286" s="73" t="s">
        <v>408</v>
      </c>
      <c r="D286" s="105">
        <v>9</v>
      </c>
    </row>
    <row r="287" spans="2:4" ht="20.25">
      <c r="B287" s="62">
        <v>50303</v>
      </c>
      <c r="C287" s="63" t="s">
        <v>186</v>
      </c>
      <c r="D287" s="103">
        <v>28</v>
      </c>
    </row>
    <row r="288" spans="2:4" ht="20.25">
      <c r="B288" s="72">
        <v>50304</v>
      </c>
      <c r="C288" s="73" t="s">
        <v>187</v>
      </c>
      <c r="D288" s="105">
        <v>5</v>
      </c>
    </row>
    <row r="289" spans="2:4" ht="20.25">
      <c r="B289" s="62">
        <v>50305</v>
      </c>
      <c r="C289" s="63" t="s">
        <v>409</v>
      </c>
      <c r="D289" s="103">
        <v>51</v>
      </c>
    </row>
    <row r="290" spans="2:4" ht="20.25">
      <c r="B290" s="72">
        <v>50306</v>
      </c>
      <c r="C290" s="73" t="s">
        <v>410</v>
      </c>
      <c r="D290" s="105">
        <v>15</v>
      </c>
    </row>
    <row r="291" spans="2:4" ht="20.25">
      <c r="B291" s="74">
        <v>60101</v>
      </c>
      <c r="C291" s="75" t="s">
        <v>411</v>
      </c>
      <c r="D291" s="106">
        <v>0</v>
      </c>
    </row>
    <row r="292" spans="2:4" ht="20.25">
      <c r="B292" s="62">
        <v>60102</v>
      </c>
      <c r="C292" s="63" t="s">
        <v>194</v>
      </c>
      <c r="D292" s="103">
        <v>0</v>
      </c>
    </row>
    <row r="293" spans="2:4" ht="20.25">
      <c r="B293" s="74">
        <v>60103</v>
      </c>
      <c r="C293" s="75" t="s">
        <v>412</v>
      </c>
      <c r="D293" s="106">
        <v>857</v>
      </c>
    </row>
    <row r="294" spans="2:4" ht="20.25">
      <c r="B294" s="76">
        <v>70101</v>
      </c>
      <c r="C294" s="77" t="s">
        <v>413</v>
      </c>
      <c r="D294" s="107">
        <v>0</v>
      </c>
    </row>
    <row r="295" spans="2:4" ht="20.25">
      <c r="B295" s="62">
        <v>70102</v>
      </c>
      <c r="C295" s="63" t="s">
        <v>199</v>
      </c>
      <c r="D295" s="103">
        <v>1</v>
      </c>
    </row>
    <row r="296" spans="2:4" ht="20.25">
      <c r="B296" s="76">
        <v>70103</v>
      </c>
      <c r="C296" s="77" t="s">
        <v>200</v>
      </c>
      <c r="D296" s="107">
        <v>49</v>
      </c>
    </row>
    <row r="297" spans="2:4" ht="20.25">
      <c r="B297" s="62">
        <v>70104</v>
      </c>
      <c r="C297" s="63" t="s">
        <v>414</v>
      </c>
      <c r="D297" s="103">
        <v>0</v>
      </c>
    </row>
    <row r="298" spans="2:4" ht="20.25">
      <c r="B298" s="76">
        <v>70105</v>
      </c>
      <c r="C298" s="77" t="s">
        <v>201</v>
      </c>
      <c r="D298" s="107">
        <v>628</v>
      </c>
    </row>
    <row r="299" spans="2:4" ht="20.25">
      <c r="B299" s="62">
        <v>70106</v>
      </c>
      <c r="C299" s="63" t="s">
        <v>415</v>
      </c>
      <c r="D299" s="103">
        <v>0</v>
      </c>
    </row>
    <row r="300" spans="2:4" ht="20.25">
      <c r="B300" s="76">
        <v>70107</v>
      </c>
      <c r="C300" s="77" t="s">
        <v>416</v>
      </c>
      <c r="D300" s="107">
        <v>0</v>
      </c>
    </row>
    <row r="301" spans="2:4" ht="21" thickBot="1">
      <c r="B301" s="78">
        <v>70108</v>
      </c>
      <c r="C301" s="79" t="s">
        <v>417</v>
      </c>
      <c r="D301" s="108">
        <v>39</v>
      </c>
    </row>
    <row r="302" spans="2:4" ht="19.899999999999999" customHeight="1" thickBot="1">
      <c r="B302" s="80" t="s">
        <v>1</v>
      </c>
      <c r="C302" s="81"/>
      <c r="D302" s="82">
        <f>SUM(D20:D301)</f>
        <v>6830</v>
      </c>
    </row>
  </sheetData>
  <sheetProtection password="CC15" sheet="1" objects="1" scenarios="1"/>
  <protectedRanges>
    <protectedRange password="CC15" sqref="D20:D301" name="Rango1"/>
  </protectedRanges>
  <customSheetViews>
    <customSheetView guid="{857CB3B9-618A-49FD-8D38-75EE2A4021B4}" showPageBreaks="1" showGridLines="0" fitToPage="1" printArea="1" view="pageBreakPreview">
      <selection activeCell="B10" sqref="B10:D10"/>
      <rowBreaks count="1" manualBreakCount="1">
        <brk id="178" min="1" max="3" man="1"/>
      </rowBreaks>
      <pageMargins left="0.7" right="0.7" top="0.75" bottom="0.75" header="0.3" footer="0.3"/>
      <pageSetup scale="72" fitToHeight="0" orientation="portrait" r:id="rId1"/>
    </customSheetView>
  </customSheetViews>
  <mergeCells count="9">
    <mergeCell ref="B6:D6"/>
    <mergeCell ref="F8:J8"/>
    <mergeCell ref="B18:C18"/>
    <mergeCell ref="B7:D7"/>
    <mergeCell ref="B8:D8"/>
    <mergeCell ref="B9:D9"/>
    <mergeCell ref="B10:D10"/>
    <mergeCell ref="B17:C17"/>
    <mergeCell ref="B16:D16"/>
  </mergeCells>
  <pageMargins left="0.7" right="0.7" top="0.75" bottom="0.75" header="0.3" footer="0.3"/>
  <pageSetup scale="10" fitToHeight="0" orientation="portrait" r:id="rId2"/>
  <rowBreaks count="1" manualBreakCount="1">
    <brk id="178" min="1" max="3" man="1"/>
  </rowBreaks>
  <colBreaks count="1" manualBreakCount="1">
    <brk id="3" max="1048575" man="1"/>
  </colBreaks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Hoja6">
    <pageSetUpPr fitToPage="1"/>
  </sheetPr>
  <dimension ref="B1:HR302"/>
  <sheetViews>
    <sheetView showGridLines="0" view="pageBreakPreview" topLeftCell="A280" zoomScale="120" zoomScaleNormal="100" zoomScaleSheetLayoutView="120" workbookViewId="0">
      <selection activeCell="D300" sqref="D300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1"/>
      <c r="G8" s="111"/>
      <c r="H8" s="111"/>
      <c r="I8" s="111"/>
      <c r="J8" s="11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9" t="s">
        <v>2</v>
      </c>
      <c r="C16" s="120"/>
      <c r="D16" s="121"/>
    </row>
    <row r="17" spans="2:7" ht="15">
      <c r="B17" s="117" t="s">
        <v>246</v>
      </c>
      <c r="C17" s="118"/>
      <c r="D17" s="50" t="s">
        <v>4</v>
      </c>
    </row>
    <row r="18" spans="2:7" ht="15">
      <c r="B18" s="112" t="s">
        <v>247</v>
      </c>
      <c r="C18" s="113"/>
      <c r="D18" s="50" t="s">
        <v>425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16.5">
      <c r="B20" s="68">
        <v>10101</v>
      </c>
      <c r="C20" s="69" t="s">
        <v>265</v>
      </c>
      <c r="D20" s="109">
        <v>0</v>
      </c>
    </row>
    <row r="21" spans="2:7" ht="16.5">
      <c r="B21" s="58">
        <v>10102</v>
      </c>
      <c r="C21" s="59" t="s">
        <v>266</v>
      </c>
      <c r="D21" s="88">
        <v>1</v>
      </c>
    </row>
    <row r="22" spans="2:7" ht="16.5">
      <c r="B22" s="68">
        <v>10103</v>
      </c>
      <c r="C22" s="69" t="s">
        <v>267</v>
      </c>
      <c r="D22" s="91">
        <v>40</v>
      </c>
    </row>
    <row r="23" spans="2:7" ht="16.5">
      <c r="B23" s="58">
        <v>10104</v>
      </c>
      <c r="C23" s="59" t="s">
        <v>268</v>
      </c>
      <c r="D23" s="88">
        <v>98</v>
      </c>
    </row>
    <row r="24" spans="2:7" ht="16.5">
      <c r="B24" s="68">
        <v>10105</v>
      </c>
      <c r="C24" s="69" t="s">
        <v>269</v>
      </c>
      <c r="D24" s="91">
        <v>0</v>
      </c>
    </row>
    <row r="25" spans="2:7" ht="16.5">
      <c r="B25" s="58">
        <v>10106</v>
      </c>
      <c r="C25" s="59" t="s">
        <v>270</v>
      </c>
      <c r="D25" s="88">
        <v>0</v>
      </c>
    </row>
    <row r="26" spans="2:7" ht="16.5">
      <c r="B26" s="68">
        <v>10107</v>
      </c>
      <c r="C26" s="69" t="s">
        <v>271</v>
      </c>
      <c r="D26" s="91">
        <v>0</v>
      </c>
    </row>
    <row r="27" spans="2:7" ht="16.5">
      <c r="B27" s="58">
        <v>10108</v>
      </c>
      <c r="C27" s="59" t="s">
        <v>272</v>
      </c>
      <c r="D27" s="88">
        <v>0</v>
      </c>
    </row>
    <row r="28" spans="2:7" ht="16.5">
      <c r="B28" s="68">
        <v>10109</v>
      </c>
      <c r="C28" s="69" t="s">
        <v>273</v>
      </c>
      <c r="D28" s="91">
        <v>1</v>
      </c>
    </row>
    <row r="29" spans="2:7" ht="16.5">
      <c r="B29" s="58">
        <v>10110</v>
      </c>
      <c r="C29" s="59" t="s">
        <v>274</v>
      </c>
      <c r="D29" s="88">
        <v>0</v>
      </c>
    </row>
    <row r="30" spans="2:7" ht="16.5">
      <c r="B30" s="68">
        <v>10111</v>
      </c>
      <c r="C30" s="69" t="s">
        <v>275</v>
      </c>
      <c r="D30" s="91">
        <v>0</v>
      </c>
    </row>
    <row r="31" spans="2:7" ht="16.5">
      <c r="B31" s="58">
        <v>10112</v>
      </c>
      <c r="C31" s="59" t="s">
        <v>276</v>
      </c>
      <c r="D31" s="88">
        <v>2</v>
      </c>
    </row>
    <row r="32" spans="2:7" ht="16.5">
      <c r="B32" s="68">
        <v>10113</v>
      </c>
      <c r="C32" s="69" t="s">
        <v>277</v>
      </c>
      <c r="D32" s="91">
        <v>0</v>
      </c>
    </row>
    <row r="33" spans="2:4" ht="16.5">
      <c r="B33" s="58">
        <v>10114</v>
      </c>
      <c r="C33" s="59" t="s">
        <v>278</v>
      </c>
      <c r="D33" s="88">
        <v>0</v>
      </c>
    </row>
    <row r="34" spans="2:4" ht="16.5">
      <c r="B34" s="68">
        <v>10115</v>
      </c>
      <c r="C34" s="69" t="s">
        <v>279</v>
      </c>
      <c r="D34" s="91">
        <v>0</v>
      </c>
    </row>
    <row r="35" spans="2:4" ht="16.5">
      <c r="B35" s="58">
        <v>10116</v>
      </c>
      <c r="C35" s="59" t="s">
        <v>280</v>
      </c>
      <c r="D35" s="88">
        <v>12</v>
      </c>
    </row>
    <row r="36" spans="2:4" ht="16.5">
      <c r="B36" s="68">
        <v>10117</v>
      </c>
      <c r="C36" s="69" t="s">
        <v>281</v>
      </c>
      <c r="D36" s="91">
        <v>0</v>
      </c>
    </row>
    <row r="37" spans="2:4" ht="16.5">
      <c r="B37" s="58">
        <v>10118</v>
      </c>
      <c r="C37" s="59" t="s">
        <v>282</v>
      </c>
      <c r="D37" s="88">
        <v>0</v>
      </c>
    </row>
    <row r="38" spans="2:4" ht="16.5">
      <c r="B38" s="68">
        <v>10119</v>
      </c>
      <c r="C38" s="69" t="s">
        <v>283</v>
      </c>
      <c r="D38" s="91">
        <v>0</v>
      </c>
    </row>
    <row r="39" spans="2:4" ht="16.5">
      <c r="B39" s="58">
        <v>10120</v>
      </c>
      <c r="C39" s="59" t="s">
        <v>284</v>
      </c>
      <c r="D39" s="88">
        <v>0</v>
      </c>
    </row>
    <row r="40" spans="2:4" ht="16.5">
      <c r="B40" s="68">
        <v>10121</v>
      </c>
      <c r="C40" s="69" t="s">
        <v>285</v>
      </c>
      <c r="D40" s="91">
        <v>0</v>
      </c>
    </row>
    <row r="41" spans="2:4" ht="16.5">
      <c r="B41" s="58">
        <v>10201</v>
      </c>
      <c r="C41" s="59" t="s">
        <v>286</v>
      </c>
      <c r="D41" s="88">
        <v>9</v>
      </c>
    </row>
    <row r="42" spans="2:4" ht="16.5">
      <c r="B42" s="68">
        <v>10202</v>
      </c>
      <c r="C42" s="69" t="s">
        <v>287</v>
      </c>
      <c r="D42" s="91">
        <v>0</v>
      </c>
    </row>
    <row r="43" spans="2:4" ht="16.5">
      <c r="B43" s="58">
        <v>10203</v>
      </c>
      <c r="C43" s="59" t="s">
        <v>288</v>
      </c>
      <c r="D43" s="88">
        <v>0</v>
      </c>
    </row>
    <row r="44" spans="2:4" ht="16.5">
      <c r="B44" s="68">
        <v>10204</v>
      </c>
      <c r="C44" s="69" t="s">
        <v>289</v>
      </c>
      <c r="D44" s="91">
        <v>47</v>
      </c>
    </row>
    <row r="45" spans="2:4" ht="16.5">
      <c r="B45" s="58">
        <v>10205</v>
      </c>
      <c r="C45" s="59" t="s">
        <v>290</v>
      </c>
      <c r="D45" s="88">
        <v>3</v>
      </c>
    </row>
    <row r="46" spans="2:4" ht="16.5">
      <c r="B46" s="68">
        <v>10206</v>
      </c>
      <c r="C46" s="69" t="s">
        <v>291</v>
      </c>
      <c r="D46" s="91">
        <v>2</v>
      </c>
    </row>
    <row r="47" spans="2:4" ht="16.5">
      <c r="B47" s="58">
        <v>10207</v>
      </c>
      <c r="C47" s="59" t="s">
        <v>292</v>
      </c>
      <c r="D47" s="88">
        <v>0</v>
      </c>
    </row>
    <row r="48" spans="2:4" ht="16.5">
      <c r="B48" s="68">
        <v>10208</v>
      </c>
      <c r="C48" s="69" t="s">
        <v>293</v>
      </c>
      <c r="D48" s="91">
        <v>6</v>
      </c>
    </row>
    <row r="49" spans="2:4" ht="16.5">
      <c r="B49" s="58">
        <v>10209</v>
      </c>
      <c r="C49" s="59" t="s">
        <v>294</v>
      </c>
      <c r="D49" s="88">
        <v>1</v>
      </c>
    </row>
    <row r="50" spans="2:4" ht="16.5">
      <c r="B50" s="68">
        <v>10210</v>
      </c>
      <c r="C50" s="69" t="s">
        <v>295</v>
      </c>
      <c r="D50" s="91">
        <v>22</v>
      </c>
    </row>
    <row r="51" spans="2:4" ht="16.5">
      <c r="B51" s="58">
        <v>10211</v>
      </c>
      <c r="C51" s="59" t="s">
        <v>77</v>
      </c>
      <c r="D51" s="88">
        <v>1</v>
      </c>
    </row>
    <row r="52" spans="2:4" ht="16.5">
      <c r="B52" s="68">
        <v>10212</v>
      </c>
      <c r="C52" s="69" t="s">
        <v>296</v>
      </c>
      <c r="D52" s="91">
        <v>0</v>
      </c>
    </row>
    <row r="53" spans="2:4" ht="16.5">
      <c r="B53" s="58">
        <v>10213</v>
      </c>
      <c r="C53" s="59" t="s">
        <v>297</v>
      </c>
      <c r="D53" s="88">
        <v>0</v>
      </c>
    </row>
    <row r="54" spans="2:4" ht="16.5">
      <c r="B54" s="68">
        <v>10214</v>
      </c>
      <c r="C54" s="69" t="s">
        <v>298</v>
      </c>
      <c r="D54" s="91">
        <v>0</v>
      </c>
    </row>
    <row r="55" spans="2:4" ht="16.5">
      <c r="B55" s="58">
        <v>10215</v>
      </c>
      <c r="C55" s="59" t="s">
        <v>299</v>
      </c>
      <c r="D55" s="88">
        <v>0</v>
      </c>
    </row>
    <row r="56" spans="2:4" ht="16.5" customHeight="1">
      <c r="B56" s="68">
        <v>10216</v>
      </c>
      <c r="C56" s="69" t="s">
        <v>300</v>
      </c>
      <c r="D56" s="91">
        <v>0</v>
      </c>
    </row>
    <row r="57" spans="2:4" ht="16.5">
      <c r="B57" s="58">
        <v>10217</v>
      </c>
      <c r="C57" s="59" t="s">
        <v>301</v>
      </c>
      <c r="D57" s="88">
        <v>0</v>
      </c>
    </row>
    <row r="58" spans="2:4" ht="16.5">
      <c r="B58" s="68">
        <v>10218</v>
      </c>
      <c r="C58" s="69" t="s">
        <v>302</v>
      </c>
      <c r="D58" s="91">
        <v>0</v>
      </c>
    </row>
    <row r="59" spans="2:4" ht="16.5">
      <c r="B59" s="58">
        <v>10219</v>
      </c>
      <c r="C59" s="59" t="s">
        <v>303</v>
      </c>
      <c r="D59" s="88">
        <v>3</v>
      </c>
    </row>
    <row r="60" spans="2:4" ht="16.5">
      <c r="B60" s="68">
        <v>10220</v>
      </c>
      <c r="C60" s="69" t="s">
        <v>304</v>
      </c>
      <c r="D60" s="91">
        <v>42</v>
      </c>
    </row>
    <row r="61" spans="2:4" ht="16.5">
      <c r="B61" s="58">
        <v>10301</v>
      </c>
      <c r="C61" s="59" t="s">
        <v>305</v>
      </c>
      <c r="D61" s="88">
        <v>4</v>
      </c>
    </row>
    <row r="62" spans="2:4" ht="16.5">
      <c r="B62" s="68">
        <v>10302</v>
      </c>
      <c r="C62" s="69" t="s">
        <v>306</v>
      </c>
      <c r="D62" s="91">
        <v>1</v>
      </c>
    </row>
    <row r="63" spans="2:4" ht="16.5">
      <c r="B63" s="58">
        <v>10303</v>
      </c>
      <c r="C63" s="59" t="s">
        <v>307</v>
      </c>
      <c r="D63" s="88">
        <v>5</v>
      </c>
    </row>
    <row r="64" spans="2:4" ht="16.5">
      <c r="B64" s="68">
        <v>10304</v>
      </c>
      <c r="C64" s="69" t="s">
        <v>308</v>
      </c>
      <c r="D64" s="91">
        <v>0</v>
      </c>
    </row>
    <row r="65" spans="2:4" ht="16.5">
      <c r="B65" s="58">
        <v>10305</v>
      </c>
      <c r="C65" s="59" t="s">
        <v>309</v>
      </c>
      <c r="D65" s="88">
        <v>36</v>
      </c>
    </row>
    <row r="66" spans="2:4" ht="16.5">
      <c r="B66" s="68">
        <v>10306</v>
      </c>
      <c r="C66" s="69" t="s">
        <v>310</v>
      </c>
      <c r="D66" s="91">
        <v>0</v>
      </c>
    </row>
    <row r="67" spans="2:4" ht="16.5">
      <c r="B67" s="58">
        <v>10307</v>
      </c>
      <c r="C67" s="59" t="s">
        <v>75</v>
      </c>
      <c r="D67" s="88">
        <v>21</v>
      </c>
    </row>
    <row r="68" spans="2:4" ht="16.5">
      <c r="B68" s="68">
        <v>10308</v>
      </c>
      <c r="C68" s="69" t="s">
        <v>311</v>
      </c>
      <c r="D68" s="91">
        <v>45</v>
      </c>
    </row>
    <row r="69" spans="2:4" ht="16.5">
      <c r="B69" s="58">
        <v>10309</v>
      </c>
      <c r="C69" s="59" t="s">
        <v>312</v>
      </c>
      <c r="D69" s="88">
        <v>2</v>
      </c>
    </row>
    <row r="70" spans="2:4" ht="16.5">
      <c r="B70" s="68">
        <v>10310</v>
      </c>
      <c r="C70" s="69" t="s">
        <v>313</v>
      </c>
      <c r="D70" s="91">
        <v>0</v>
      </c>
    </row>
    <row r="71" spans="2:4" ht="16.5">
      <c r="B71" s="58">
        <v>10311</v>
      </c>
      <c r="C71" s="59" t="s">
        <v>314</v>
      </c>
      <c r="D71" s="88">
        <v>5</v>
      </c>
    </row>
    <row r="72" spans="2:4" ht="16.5">
      <c r="B72" s="68">
        <v>10312</v>
      </c>
      <c r="C72" s="69" t="s">
        <v>315</v>
      </c>
      <c r="D72" s="91">
        <v>2</v>
      </c>
    </row>
    <row r="73" spans="2:4" ht="16.5">
      <c r="B73" s="58">
        <v>10313</v>
      </c>
      <c r="C73" s="59" t="s">
        <v>316</v>
      </c>
      <c r="D73" s="88">
        <v>0</v>
      </c>
    </row>
    <row r="74" spans="2:4" ht="16.5">
      <c r="B74" s="68">
        <v>10314</v>
      </c>
      <c r="C74" s="69" t="s">
        <v>317</v>
      </c>
      <c r="D74" s="91">
        <v>1</v>
      </c>
    </row>
    <row r="75" spans="2:4" ht="16.5">
      <c r="B75" s="58">
        <v>10315</v>
      </c>
      <c r="C75" s="59" t="s">
        <v>318</v>
      </c>
      <c r="D75" s="88">
        <v>3</v>
      </c>
    </row>
    <row r="76" spans="2:4" ht="16.5">
      <c r="B76" s="68">
        <v>10316</v>
      </c>
      <c r="C76" s="69" t="s">
        <v>319</v>
      </c>
      <c r="D76" s="91">
        <v>261</v>
      </c>
    </row>
    <row r="77" spans="2:4" ht="16.5">
      <c r="B77" s="58">
        <v>10317</v>
      </c>
      <c r="C77" s="59" t="s">
        <v>320</v>
      </c>
      <c r="D77" s="88">
        <v>41</v>
      </c>
    </row>
    <row r="78" spans="2:4" ht="16.5">
      <c r="B78" s="68">
        <v>10318</v>
      </c>
      <c r="C78" s="69" t="s">
        <v>321</v>
      </c>
      <c r="D78" s="91">
        <v>4</v>
      </c>
    </row>
    <row r="79" spans="2:4" ht="16.5">
      <c r="B79" s="58">
        <v>10319</v>
      </c>
      <c r="C79" s="59" t="s">
        <v>81</v>
      </c>
      <c r="D79" s="88">
        <v>0</v>
      </c>
    </row>
    <row r="80" spans="2:4" ht="16.5">
      <c r="B80" s="70">
        <v>20101</v>
      </c>
      <c r="C80" s="71" t="s">
        <v>322</v>
      </c>
      <c r="D80" s="92">
        <v>0</v>
      </c>
    </row>
    <row r="81" spans="2:4" ht="16.5">
      <c r="B81" s="60">
        <v>20102</v>
      </c>
      <c r="C81" s="61" t="s">
        <v>264</v>
      </c>
      <c r="D81" s="87">
        <v>0</v>
      </c>
    </row>
    <row r="82" spans="2:4" ht="16.5">
      <c r="B82" s="70">
        <v>20103</v>
      </c>
      <c r="C82" s="71" t="s">
        <v>79</v>
      </c>
      <c r="D82" s="92">
        <v>26</v>
      </c>
    </row>
    <row r="83" spans="2:4" ht="16.5">
      <c r="B83" s="60">
        <v>20104</v>
      </c>
      <c r="C83" s="61" t="s">
        <v>80</v>
      </c>
      <c r="D83" s="87">
        <v>15</v>
      </c>
    </row>
    <row r="84" spans="2:4" ht="16.5">
      <c r="B84" s="70">
        <v>20105</v>
      </c>
      <c r="C84" s="71" t="s">
        <v>323</v>
      </c>
      <c r="D84" s="92">
        <v>0</v>
      </c>
    </row>
    <row r="85" spans="2:4" ht="16.5">
      <c r="B85" s="60">
        <v>20106</v>
      </c>
      <c r="C85" s="61" t="s">
        <v>324</v>
      </c>
      <c r="D85" s="87">
        <v>0</v>
      </c>
    </row>
    <row r="86" spans="2:4" ht="16.5">
      <c r="B86" s="70">
        <v>20107</v>
      </c>
      <c r="C86" s="71" t="s">
        <v>82</v>
      </c>
      <c r="D86" s="92">
        <v>0</v>
      </c>
    </row>
    <row r="87" spans="2:4" ht="16.5">
      <c r="B87" s="60">
        <v>20108</v>
      </c>
      <c r="C87" s="61" t="s">
        <v>325</v>
      </c>
      <c r="D87" s="87">
        <v>20</v>
      </c>
    </row>
    <row r="88" spans="2:4" ht="16.5">
      <c r="B88" s="70">
        <v>20109</v>
      </c>
      <c r="C88" s="71" t="s">
        <v>326</v>
      </c>
      <c r="D88" s="92">
        <v>0</v>
      </c>
    </row>
    <row r="89" spans="2:4" ht="16.5">
      <c r="B89" s="60">
        <v>20110</v>
      </c>
      <c r="C89" s="61" t="s">
        <v>327</v>
      </c>
      <c r="D89" s="87">
        <v>0</v>
      </c>
    </row>
    <row r="90" spans="2:4" ht="16.5">
      <c r="B90" s="70">
        <v>20111</v>
      </c>
      <c r="C90" s="71" t="s">
        <v>328</v>
      </c>
      <c r="D90" s="92">
        <v>2</v>
      </c>
    </row>
    <row r="91" spans="2:4" ht="16.5">
      <c r="B91" s="60">
        <v>20112</v>
      </c>
      <c r="C91" s="61" t="s">
        <v>329</v>
      </c>
      <c r="D91" s="87">
        <v>0</v>
      </c>
    </row>
    <row r="92" spans="2:4" ht="16.5">
      <c r="B92" s="70">
        <v>20113</v>
      </c>
      <c r="C92" s="71" t="s">
        <v>196</v>
      </c>
      <c r="D92" s="92">
        <v>0</v>
      </c>
    </row>
    <row r="93" spans="2:4" ht="16.5">
      <c r="B93" s="60">
        <v>20114</v>
      </c>
      <c r="C93" s="61" t="s">
        <v>83</v>
      </c>
      <c r="D93" s="87">
        <v>0</v>
      </c>
    </row>
    <row r="94" spans="2:4" ht="16.5">
      <c r="B94" s="70">
        <v>20201</v>
      </c>
      <c r="C94" s="71" t="s">
        <v>84</v>
      </c>
      <c r="D94" s="92">
        <v>26</v>
      </c>
    </row>
    <row r="95" spans="2:4" ht="16.5">
      <c r="B95" s="60">
        <v>20202</v>
      </c>
      <c r="C95" s="61" t="s">
        <v>85</v>
      </c>
      <c r="D95" s="87">
        <v>0</v>
      </c>
    </row>
    <row r="96" spans="2:4" ht="16.5">
      <c r="B96" s="70">
        <v>20203</v>
      </c>
      <c r="C96" s="71" t="s">
        <v>86</v>
      </c>
      <c r="D96" s="92">
        <v>36</v>
      </c>
    </row>
    <row r="97" spans="2:4" ht="16.5">
      <c r="B97" s="60">
        <v>20204</v>
      </c>
      <c r="C97" s="61" t="s">
        <v>87</v>
      </c>
      <c r="D97" s="87">
        <v>0</v>
      </c>
    </row>
    <row r="98" spans="2:4" ht="16.5">
      <c r="B98" s="70">
        <v>20205</v>
      </c>
      <c r="C98" s="71" t="s">
        <v>88</v>
      </c>
      <c r="D98" s="92">
        <v>0</v>
      </c>
    </row>
    <row r="99" spans="2:4" ht="16.5">
      <c r="B99" s="60">
        <v>20206</v>
      </c>
      <c r="C99" s="61" t="s">
        <v>89</v>
      </c>
      <c r="D99" s="87">
        <v>0</v>
      </c>
    </row>
    <row r="100" spans="2:4" ht="16.5">
      <c r="B100" s="70">
        <v>20207</v>
      </c>
      <c r="C100" s="71" t="s">
        <v>90</v>
      </c>
      <c r="D100" s="92">
        <v>0</v>
      </c>
    </row>
    <row r="101" spans="2:4" ht="16.5">
      <c r="B101" s="60">
        <v>20208</v>
      </c>
      <c r="C101" s="61" t="s">
        <v>91</v>
      </c>
      <c r="D101" s="87">
        <v>0</v>
      </c>
    </row>
    <row r="102" spans="2:4" ht="16.5">
      <c r="B102" s="70">
        <v>20209</v>
      </c>
      <c r="C102" s="71" t="s">
        <v>92</v>
      </c>
      <c r="D102" s="92">
        <v>0</v>
      </c>
    </row>
    <row r="103" spans="2:4" ht="16.5">
      <c r="B103" s="60">
        <v>20210</v>
      </c>
      <c r="C103" s="61" t="s">
        <v>193</v>
      </c>
      <c r="D103" s="87">
        <v>0</v>
      </c>
    </row>
    <row r="104" spans="2:4" ht="16.5">
      <c r="B104" s="70">
        <v>20211</v>
      </c>
      <c r="C104" s="71" t="s">
        <v>330</v>
      </c>
      <c r="D104" s="92">
        <v>0</v>
      </c>
    </row>
    <row r="105" spans="2:4" ht="16.5">
      <c r="B105" s="60">
        <v>20212</v>
      </c>
      <c r="C105" s="61" t="s">
        <v>94</v>
      </c>
      <c r="D105" s="87">
        <v>0</v>
      </c>
    </row>
    <row r="106" spans="2:4" ht="16.5">
      <c r="B106" s="70">
        <v>20213</v>
      </c>
      <c r="C106" s="71" t="s">
        <v>95</v>
      </c>
      <c r="D106" s="92">
        <v>0</v>
      </c>
    </row>
    <row r="107" spans="2:4" ht="16.5">
      <c r="B107" s="60">
        <v>20214</v>
      </c>
      <c r="C107" s="61" t="s">
        <v>331</v>
      </c>
      <c r="D107" s="87">
        <v>0</v>
      </c>
    </row>
    <row r="108" spans="2:4" ht="16.5">
      <c r="B108" s="70">
        <v>20301</v>
      </c>
      <c r="C108" s="71" t="s">
        <v>332</v>
      </c>
      <c r="D108" s="92">
        <v>14</v>
      </c>
    </row>
    <row r="109" spans="2:4" ht="16.5">
      <c r="B109" s="60">
        <v>20302</v>
      </c>
      <c r="C109" s="61" t="s">
        <v>333</v>
      </c>
      <c r="D109" s="87">
        <v>0</v>
      </c>
    </row>
    <row r="110" spans="2:4" ht="16.5">
      <c r="B110" s="70">
        <v>20303</v>
      </c>
      <c r="C110" s="71" t="s">
        <v>334</v>
      </c>
      <c r="D110" s="92">
        <v>10</v>
      </c>
    </row>
    <row r="111" spans="2:4" ht="16.5">
      <c r="B111" s="60">
        <v>20304</v>
      </c>
      <c r="C111" s="61" t="s">
        <v>335</v>
      </c>
      <c r="D111" s="87">
        <v>7</v>
      </c>
    </row>
    <row r="112" spans="2:4" ht="16.5">
      <c r="B112" s="70">
        <v>20305</v>
      </c>
      <c r="C112" s="71" t="s">
        <v>336</v>
      </c>
      <c r="D112" s="92">
        <v>0</v>
      </c>
    </row>
    <row r="113" spans="2:4" ht="16.5">
      <c r="B113" s="60">
        <v>20306</v>
      </c>
      <c r="C113" s="61" t="s">
        <v>337</v>
      </c>
      <c r="D113" s="87">
        <v>0</v>
      </c>
    </row>
    <row r="114" spans="2:4" ht="16.5">
      <c r="B114" s="70">
        <v>20307</v>
      </c>
      <c r="C114" s="71" t="s">
        <v>338</v>
      </c>
      <c r="D114" s="92">
        <v>33</v>
      </c>
    </row>
    <row r="115" spans="2:4" ht="16.5">
      <c r="B115" s="60">
        <v>20308</v>
      </c>
      <c r="C115" s="61" t="s">
        <v>339</v>
      </c>
      <c r="D115" s="87">
        <v>46</v>
      </c>
    </row>
    <row r="116" spans="2:4" ht="16.5">
      <c r="B116" s="70">
        <v>20309</v>
      </c>
      <c r="C116" s="71" t="s">
        <v>340</v>
      </c>
      <c r="D116" s="92">
        <v>0</v>
      </c>
    </row>
    <row r="117" spans="2:4" ht="16.5">
      <c r="B117" s="60">
        <v>20310</v>
      </c>
      <c r="C117" s="61" t="s">
        <v>341</v>
      </c>
      <c r="D117" s="87">
        <v>0</v>
      </c>
    </row>
    <row r="118" spans="2:4" ht="16.5">
      <c r="B118" s="70">
        <v>20311</v>
      </c>
      <c r="C118" s="71" t="s">
        <v>342</v>
      </c>
      <c r="D118" s="92">
        <v>64</v>
      </c>
    </row>
    <row r="119" spans="2:4" ht="16.5">
      <c r="B119" s="60">
        <v>20401</v>
      </c>
      <c r="C119" s="61" t="s">
        <v>343</v>
      </c>
      <c r="D119" s="87">
        <v>0</v>
      </c>
    </row>
    <row r="120" spans="2:4" ht="16.5">
      <c r="B120" s="70">
        <v>20402</v>
      </c>
      <c r="C120" s="71" t="s">
        <v>344</v>
      </c>
      <c r="D120" s="92">
        <v>0</v>
      </c>
    </row>
    <row r="121" spans="2:4" ht="16.5">
      <c r="B121" s="60">
        <v>20403</v>
      </c>
      <c r="C121" s="61" t="s">
        <v>345</v>
      </c>
      <c r="D121" s="87">
        <v>19</v>
      </c>
    </row>
    <row r="122" spans="2:4" ht="16.5">
      <c r="B122" s="70">
        <v>20404</v>
      </c>
      <c r="C122" s="71" t="s">
        <v>346</v>
      </c>
      <c r="D122" s="92">
        <v>1</v>
      </c>
    </row>
    <row r="123" spans="2:4" ht="16.5">
      <c r="B123" s="64">
        <v>30101</v>
      </c>
      <c r="C123" s="65" t="s">
        <v>347</v>
      </c>
      <c r="D123" s="89">
        <v>120</v>
      </c>
    </row>
    <row r="124" spans="2:4" ht="16.5">
      <c r="B124" s="62">
        <v>30102</v>
      </c>
      <c r="C124" s="63" t="s">
        <v>96</v>
      </c>
      <c r="D124" s="87">
        <v>13</v>
      </c>
    </row>
    <row r="125" spans="2:4" ht="16.5">
      <c r="B125" s="64">
        <v>30103</v>
      </c>
      <c r="C125" s="65" t="s">
        <v>76</v>
      </c>
      <c r="D125" s="89">
        <v>71</v>
      </c>
    </row>
    <row r="126" spans="2:4" ht="16.5">
      <c r="B126" s="62">
        <v>30201</v>
      </c>
      <c r="C126" s="63" t="s">
        <v>97</v>
      </c>
      <c r="D126" s="87">
        <v>0</v>
      </c>
    </row>
    <row r="127" spans="2:4" ht="16.5">
      <c r="B127" s="64">
        <v>30202</v>
      </c>
      <c r="C127" s="65" t="s">
        <v>418</v>
      </c>
      <c r="D127" s="89">
        <v>1</v>
      </c>
    </row>
    <row r="128" spans="2:4" ht="16.5">
      <c r="B128" s="62">
        <v>30203</v>
      </c>
      <c r="C128" s="63" t="s">
        <v>348</v>
      </c>
      <c r="D128" s="87">
        <v>0</v>
      </c>
    </row>
    <row r="129" spans="2:4" ht="16.5">
      <c r="B129" s="64">
        <v>30204</v>
      </c>
      <c r="C129" s="65" t="s">
        <v>99</v>
      </c>
      <c r="D129" s="89">
        <v>2</v>
      </c>
    </row>
    <row r="130" spans="2:4" ht="16.5">
      <c r="B130" s="62">
        <v>30205</v>
      </c>
      <c r="C130" s="63" t="s">
        <v>349</v>
      </c>
      <c r="D130" s="87">
        <v>2</v>
      </c>
    </row>
    <row r="131" spans="2:4" ht="16.5">
      <c r="B131" s="64">
        <v>30206</v>
      </c>
      <c r="C131" s="65" t="s">
        <v>350</v>
      </c>
      <c r="D131" s="89">
        <v>0</v>
      </c>
    </row>
    <row r="132" spans="2:4" ht="16.5">
      <c r="B132" s="62">
        <v>30207</v>
      </c>
      <c r="C132" s="63" t="s">
        <v>351</v>
      </c>
      <c r="D132" s="87">
        <v>0</v>
      </c>
    </row>
    <row r="133" spans="2:4" ht="16.5">
      <c r="B133" s="64">
        <v>30301</v>
      </c>
      <c r="C133" s="65" t="s">
        <v>100</v>
      </c>
      <c r="D133" s="89">
        <v>1</v>
      </c>
    </row>
    <row r="134" spans="2:4" ht="16.5">
      <c r="B134" s="62">
        <v>30302</v>
      </c>
      <c r="C134" s="63" t="s">
        <v>101</v>
      </c>
      <c r="D134" s="87">
        <v>20</v>
      </c>
    </row>
    <row r="135" spans="2:4" ht="16.5">
      <c r="B135" s="64">
        <v>30303</v>
      </c>
      <c r="C135" s="65" t="s">
        <v>352</v>
      </c>
      <c r="D135" s="89">
        <v>0</v>
      </c>
    </row>
    <row r="136" spans="2:4" ht="16.5">
      <c r="B136" s="62">
        <v>30304</v>
      </c>
      <c r="C136" s="63" t="s">
        <v>102</v>
      </c>
      <c r="D136" s="87">
        <v>0</v>
      </c>
    </row>
    <row r="137" spans="2:4" ht="16.5">
      <c r="B137" s="64">
        <v>30305</v>
      </c>
      <c r="C137" s="65" t="s">
        <v>103</v>
      </c>
      <c r="D137" s="89">
        <v>39</v>
      </c>
    </row>
    <row r="138" spans="2:4" ht="16.5">
      <c r="B138" s="62">
        <v>30306</v>
      </c>
      <c r="C138" s="63" t="s">
        <v>104</v>
      </c>
      <c r="D138" s="87">
        <v>0</v>
      </c>
    </row>
    <row r="139" spans="2:4" ht="16.5">
      <c r="B139" s="64">
        <v>30307</v>
      </c>
      <c r="C139" s="65" t="s">
        <v>105</v>
      </c>
      <c r="D139" s="89">
        <v>23</v>
      </c>
    </row>
    <row r="140" spans="2:4" ht="16.5">
      <c r="B140" s="62">
        <v>30308</v>
      </c>
      <c r="C140" s="63" t="s">
        <v>353</v>
      </c>
      <c r="D140" s="87">
        <v>8</v>
      </c>
    </row>
    <row r="141" spans="2:4" ht="16.5">
      <c r="B141" s="64">
        <v>30309</v>
      </c>
      <c r="C141" s="65" t="s">
        <v>354</v>
      </c>
      <c r="D141" s="89">
        <v>296</v>
      </c>
    </row>
    <row r="142" spans="2:4" ht="16.5">
      <c r="B142" s="62">
        <v>30310</v>
      </c>
      <c r="C142" s="63" t="s">
        <v>355</v>
      </c>
      <c r="D142" s="87">
        <v>285</v>
      </c>
    </row>
    <row r="143" spans="2:4" ht="16.5">
      <c r="B143" s="64">
        <v>30401</v>
      </c>
      <c r="C143" s="65" t="s">
        <v>356</v>
      </c>
      <c r="D143" s="89">
        <v>128</v>
      </c>
    </row>
    <row r="144" spans="2:4" ht="16.5">
      <c r="B144" s="62">
        <v>30402</v>
      </c>
      <c r="C144" s="63" t="s">
        <v>357</v>
      </c>
      <c r="D144" s="87">
        <v>0</v>
      </c>
    </row>
    <row r="145" spans="2:4" ht="16.5">
      <c r="B145" s="64">
        <v>30403</v>
      </c>
      <c r="C145" s="65" t="s">
        <v>358</v>
      </c>
      <c r="D145" s="89">
        <v>7</v>
      </c>
    </row>
    <row r="146" spans="2:4" ht="16.5">
      <c r="B146" s="62">
        <v>30404</v>
      </c>
      <c r="C146" s="63" t="s">
        <v>106</v>
      </c>
      <c r="D146" s="87">
        <v>16</v>
      </c>
    </row>
    <row r="147" spans="2:4" ht="16.5">
      <c r="B147" s="64">
        <v>30405</v>
      </c>
      <c r="C147" s="65" t="s">
        <v>107</v>
      </c>
      <c r="D147" s="89">
        <v>1</v>
      </c>
    </row>
    <row r="148" spans="2:4" ht="16.5">
      <c r="B148" s="62">
        <v>30406</v>
      </c>
      <c r="C148" s="63" t="s">
        <v>108</v>
      </c>
      <c r="D148" s="87">
        <v>2</v>
      </c>
    </row>
    <row r="149" spans="2:4" ht="16.5">
      <c r="B149" s="64">
        <v>30407</v>
      </c>
      <c r="C149" s="65" t="s">
        <v>359</v>
      </c>
      <c r="D149" s="89">
        <v>12</v>
      </c>
    </row>
    <row r="150" spans="2:4" ht="16.5">
      <c r="B150" s="62">
        <v>30408</v>
      </c>
      <c r="C150" s="63" t="s">
        <v>360</v>
      </c>
      <c r="D150" s="87">
        <v>1</v>
      </c>
    </row>
    <row r="151" spans="2:4" ht="16.5">
      <c r="B151" s="64">
        <v>30409</v>
      </c>
      <c r="C151" s="65" t="s">
        <v>110</v>
      </c>
      <c r="D151" s="89">
        <v>0</v>
      </c>
    </row>
    <row r="152" spans="2:4" ht="16.5">
      <c r="B152" s="62">
        <v>30410</v>
      </c>
      <c r="C152" s="63" t="s">
        <v>111</v>
      </c>
      <c r="D152" s="87">
        <v>0</v>
      </c>
    </row>
    <row r="153" spans="2:4" ht="16.5">
      <c r="B153" s="64">
        <v>30411</v>
      </c>
      <c r="C153" s="65" t="s">
        <v>361</v>
      </c>
      <c r="D153" s="89">
        <v>2</v>
      </c>
    </row>
    <row r="154" spans="2:4" ht="16.5">
      <c r="B154" s="62">
        <v>30412</v>
      </c>
      <c r="C154" s="63" t="s">
        <v>112</v>
      </c>
      <c r="D154" s="87">
        <v>0</v>
      </c>
    </row>
    <row r="155" spans="2:4" ht="16.5">
      <c r="B155" s="64">
        <v>30413</v>
      </c>
      <c r="C155" s="65" t="s">
        <v>113</v>
      </c>
      <c r="D155" s="89">
        <v>2</v>
      </c>
    </row>
    <row r="156" spans="2:4" ht="16.5">
      <c r="B156" s="62">
        <v>30414</v>
      </c>
      <c r="C156" s="63" t="s">
        <v>114</v>
      </c>
      <c r="D156" s="87">
        <v>23</v>
      </c>
    </row>
    <row r="157" spans="2:4" ht="16.5">
      <c r="B157" s="64">
        <v>30415</v>
      </c>
      <c r="C157" s="65" t="s">
        <v>115</v>
      </c>
      <c r="D157" s="89">
        <v>0</v>
      </c>
    </row>
    <row r="158" spans="2:4" ht="16.5">
      <c r="B158" s="62">
        <v>30416</v>
      </c>
      <c r="C158" s="63" t="s">
        <v>116</v>
      </c>
      <c r="D158" s="87">
        <v>1</v>
      </c>
    </row>
    <row r="159" spans="2:4" ht="16.5">
      <c r="B159" s="64">
        <v>30417</v>
      </c>
      <c r="C159" s="65" t="s">
        <v>117</v>
      </c>
      <c r="D159" s="89">
        <v>1</v>
      </c>
    </row>
    <row r="160" spans="2:4" ht="16.5">
      <c r="B160" s="62">
        <v>30418</v>
      </c>
      <c r="C160" s="63" t="s">
        <v>118</v>
      </c>
      <c r="D160" s="87">
        <v>0</v>
      </c>
    </row>
    <row r="161" spans="2:4" ht="16.5">
      <c r="B161" s="64">
        <v>30419</v>
      </c>
      <c r="C161" s="65" t="s">
        <v>119</v>
      </c>
      <c r="D161" s="89">
        <v>6</v>
      </c>
    </row>
    <row r="162" spans="2:4" ht="16.5">
      <c r="B162" s="62">
        <v>30420</v>
      </c>
      <c r="C162" s="63" t="s">
        <v>120</v>
      </c>
      <c r="D162" s="87">
        <v>11</v>
      </c>
    </row>
    <row r="163" spans="2:4" ht="16.5">
      <c r="B163" s="64">
        <v>30421</v>
      </c>
      <c r="C163" s="65" t="s">
        <v>121</v>
      </c>
      <c r="D163" s="89">
        <v>8</v>
      </c>
    </row>
    <row r="164" spans="2:4" ht="16.5">
      <c r="B164" s="62">
        <v>30422</v>
      </c>
      <c r="C164" s="63" t="s">
        <v>122</v>
      </c>
      <c r="D164" s="87">
        <v>8</v>
      </c>
    </row>
    <row r="165" spans="2:4" ht="16.5">
      <c r="B165" s="64">
        <v>30423</v>
      </c>
      <c r="C165" s="65" t="s">
        <v>123</v>
      </c>
      <c r="D165" s="89">
        <v>1</v>
      </c>
    </row>
    <row r="166" spans="2:4" ht="16.5">
      <c r="B166" s="62">
        <v>30424</v>
      </c>
      <c r="C166" s="63" t="s">
        <v>124</v>
      </c>
      <c r="D166" s="87">
        <v>0</v>
      </c>
    </row>
    <row r="167" spans="2:4" ht="16.5">
      <c r="B167" s="64">
        <v>30425</v>
      </c>
      <c r="C167" s="65" t="s">
        <v>125</v>
      </c>
      <c r="D167" s="89">
        <v>0</v>
      </c>
    </row>
    <row r="168" spans="2:4" ht="16.5">
      <c r="B168" s="62">
        <v>30426</v>
      </c>
      <c r="C168" s="63" t="s">
        <v>126</v>
      </c>
      <c r="D168" s="87">
        <v>0</v>
      </c>
    </row>
    <row r="169" spans="2:4" ht="16.5">
      <c r="B169" s="64">
        <v>30427</v>
      </c>
      <c r="C169" s="65" t="s">
        <v>127</v>
      </c>
      <c r="D169" s="89">
        <v>0</v>
      </c>
    </row>
    <row r="170" spans="2:4" ht="16.5">
      <c r="B170" s="62">
        <v>30428</v>
      </c>
      <c r="C170" s="63" t="s">
        <v>128</v>
      </c>
      <c r="D170" s="87">
        <v>0</v>
      </c>
    </row>
    <row r="171" spans="2:4" ht="16.5">
      <c r="B171" s="64">
        <v>30429</v>
      </c>
      <c r="C171" s="65" t="s">
        <v>129</v>
      </c>
      <c r="D171" s="89">
        <v>0</v>
      </c>
    </row>
    <row r="172" spans="2:4" ht="16.5">
      <c r="B172" s="62">
        <v>30430</v>
      </c>
      <c r="C172" s="63" t="s">
        <v>130</v>
      </c>
      <c r="D172" s="87">
        <v>16</v>
      </c>
    </row>
    <row r="173" spans="2:4" ht="16.5">
      <c r="B173" s="64">
        <v>30431</v>
      </c>
      <c r="C173" s="65" t="s">
        <v>131</v>
      </c>
      <c r="D173" s="89">
        <v>0</v>
      </c>
    </row>
    <row r="174" spans="2:4" ht="16.5">
      <c r="B174" s="62">
        <v>30432</v>
      </c>
      <c r="C174" s="63" t="s">
        <v>132</v>
      </c>
      <c r="D174" s="87">
        <v>0</v>
      </c>
    </row>
    <row r="175" spans="2:4" ht="16.5">
      <c r="B175" s="64">
        <v>30433</v>
      </c>
      <c r="C175" s="65" t="s">
        <v>133</v>
      </c>
      <c r="D175" s="89">
        <v>0</v>
      </c>
    </row>
    <row r="176" spans="2:4" ht="16.5">
      <c r="B176" s="62">
        <v>30434</v>
      </c>
      <c r="C176" s="63" t="s">
        <v>134</v>
      </c>
      <c r="D176" s="87">
        <v>0</v>
      </c>
    </row>
    <row r="177" spans="2:4" ht="16.5">
      <c r="B177" s="64">
        <v>30435</v>
      </c>
      <c r="C177" s="65" t="s">
        <v>135</v>
      </c>
      <c r="D177" s="89">
        <v>0</v>
      </c>
    </row>
    <row r="178" spans="2:4" ht="16.5">
      <c r="B178" s="62">
        <v>30436</v>
      </c>
      <c r="C178" s="63" t="s">
        <v>136</v>
      </c>
      <c r="D178" s="87">
        <v>0</v>
      </c>
    </row>
    <row r="179" spans="2:4" ht="16.5">
      <c r="B179" s="64">
        <v>30437</v>
      </c>
      <c r="C179" s="65" t="s">
        <v>137</v>
      </c>
      <c r="D179" s="89">
        <v>0</v>
      </c>
    </row>
    <row r="180" spans="2:4" ht="16.5">
      <c r="B180" s="62">
        <v>30438</v>
      </c>
      <c r="C180" s="63" t="s">
        <v>138</v>
      </c>
      <c r="D180" s="87">
        <v>0</v>
      </c>
    </row>
    <row r="181" spans="2:4" ht="16.5">
      <c r="B181" s="64">
        <v>30439</v>
      </c>
      <c r="C181" s="65" t="s">
        <v>139</v>
      </c>
      <c r="D181" s="89">
        <v>0</v>
      </c>
    </row>
    <row r="182" spans="2:4" ht="16.5">
      <c r="B182" s="62">
        <v>30440</v>
      </c>
      <c r="C182" s="63" t="s">
        <v>362</v>
      </c>
      <c r="D182" s="87">
        <v>0</v>
      </c>
    </row>
    <row r="183" spans="2:4" ht="16.5">
      <c r="B183" s="64">
        <v>30441</v>
      </c>
      <c r="C183" s="65" t="s">
        <v>363</v>
      </c>
      <c r="D183" s="89">
        <v>0</v>
      </c>
    </row>
    <row r="184" spans="2:4" ht="16.5">
      <c r="B184" s="62">
        <v>30442</v>
      </c>
      <c r="C184" s="63" t="s">
        <v>364</v>
      </c>
      <c r="D184" s="87">
        <v>0</v>
      </c>
    </row>
    <row r="185" spans="2:4" ht="16.5">
      <c r="B185" s="64">
        <v>30443</v>
      </c>
      <c r="C185" s="65" t="s">
        <v>365</v>
      </c>
      <c r="D185" s="89">
        <v>3</v>
      </c>
    </row>
    <row r="186" spans="2:4" ht="16.5">
      <c r="B186" s="62">
        <v>30444</v>
      </c>
      <c r="C186" s="63" t="s">
        <v>366</v>
      </c>
      <c r="D186" s="87">
        <v>0</v>
      </c>
    </row>
    <row r="187" spans="2:4" ht="16.5">
      <c r="B187" s="64">
        <v>30445</v>
      </c>
      <c r="C187" s="65" t="s">
        <v>367</v>
      </c>
      <c r="D187" s="89">
        <v>0</v>
      </c>
    </row>
    <row r="188" spans="2:4" ht="16.5">
      <c r="B188" s="62">
        <v>30446</v>
      </c>
      <c r="C188" s="63" t="s">
        <v>368</v>
      </c>
      <c r="D188" s="87">
        <v>11</v>
      </c>
    </row>
    <row r="189" spans="2:4" ht="16.5">
      <c r="B189" s="64">
        <v>30501</v>
      </c>
      <c r="C189" s="65" t="s">
        <v>140</v>
      </c>
      <c r="D189" s="89">
        <v>2</v>
      </c>
    </row>
    <row r="190" spans="2:4" ht="16.5">
      <c r="B190" s="62">
        <v>30502</v>
      </c>
      <c r="C190" s="63" t="s">
        <v>141</v>
      </c>
      <c r="D190" s="87">
        <v>260</v>
      </c>
    </row>
    <row r="191" spans="2:4" ht="16.5">
      <c r="B191" s="64">
        <v>30503</v>
      </c>
      <c r="C191" s="65" t="s">
        <v>142</v>
      </c>
      <c r="D191" s="89">
        <v>97</v>
      </c>
    </row>
    <row r="192" spans="2:4" ht="16.5">
      <c r="B192" s="62">
        <v>30504</v>
      </c>
      <c r="C192" s="63" t="s">
        <v>369</v>
      </c>
      <c r="D192" s="87">
        <v>47</v>
      </c>
    </row>
    <row r="193" spans="2:4" ht="16.5">
      <c r="B193" s="64">
        <v>30505</v>
      </c>
      <c r="C193" s="65" t="s">
        <v>370</v>
      </c>
      <c r="D193" s="89">
        <v>11</v>
      </c>
    </row>
    <row r="194" spans="2:4" ht="16.5">
      <c r="B194" s="62">
        <v>30601</v>
      </c>
      <c r="C194" s="63" t="s">
        <v>143</v>
      </c>
      <c r="D194" s="87">
        <v>2</v>
      </c>
    </row>
    <row r="195" spans="2:4" ht="16.5">
      <c r="B195" s="64">
        <v>30602</v>
      </c>
      <c r="C195" s="65" t="s">
        <v>144</v>
      </c>
      <c r="D195" s="89">
        <v>11</v>
      </c>
    </row>
    <row r="196" spans="2:4" ht="16.5">
      <c r="B196" s="62">
        <v>30603</v>
      </c>
      <c r="C196" s="63" t="s">
        <v>145</v>
      </c>
      <c r="D196" s="87">
        <v>1</v>
      </c>
    </row>
    <row r="197" spans="2:4" ht="16.5">
      <c r="B197" s="64">
        <v>30604</v>
      </c>
      <c r="C197" s="65" t="s">
        <v>146</v>
      </c>
      <c r="D197" s="89">
        <v>0</v>
      </c>
    </row>
    <row r="198" spans="2:4" ht="16.5">
      <c r="B198" s="62">
        <v>30605</v>
      </c>
      <c r="C198" s="63" t="s">
        <v>371</v>
      </c>
      <c r="D198" s="87">
        <v>0</v>
      </c>
    </row>
    <row r="199" spans="2:4" ht="16.5">
      <c r="B199" s="64">
        <v>30606</v>
      </c>
      <c r="C199" s="65" t="s">
        <v>372</v>
      </c>
      <c r="D199" s="89">
        <v>55</v>
      </c>
    </row>
    <row r="200" spans="2:4" ht="16.5">
      <c r="B200" s="62">
        <v>30607</v>
      </c>
      <c r="C200" s="63" t="s">
        <v>147</v>
      </c>
      <c r="D200" s="87">
        <v>0</v>
      </c>
    </row>
    <row r="201" spans="2:4" ht="16.5">
      <c r="B201" s="64">
        <v>30608</v>
      </c>
      <c r="C201" s="65" t="s">
        <v>148</v>
      </c>
      <c r="D201" s="89">
        <v>0</v>
      </c>
    </row>
    <row r="202" spans="2:4" ht="16.5">
      <c r="B202" s="62">
        <v>30609</v>
      </c>
      <c r="C202" s="63" t="s">
        <v>373</v>
      </c>
      <c r="D202" s="87">
        <v>0</v>
      </c>
    </row>
    <row r="203" spans="2:4" ht="16.5">
      <c r="B203" s="64">
        <v>30610</v>
      </c>
      <c r="C203" s="65" t="s">
        <v>374</v>
      </c>
      <c r="D203" s="89">
        <v>0</v>
      </c>
    </row>
    <row r="204" spans="2:4" ht="16.5">
      <c r="B204" s="62">
        <v>30611</v>
      </c>
      <c r="C204" s="63" t="s">
        <v>375</v>
      </c>
      <c r="D204" s="87">
        <v>0</v>
      </c>
    </row>
    <row r="205" spans="2:4" ht="16.5">
      <c r="B205" s="64">
        <v>30701</v>
      </c>
      <c r="C205" s="65" t="s">
        <v>149</v>
      </c>
      <c r="D205" s="89">
        <v>3</v>
      </c>
    </row>
    <row r="206" spans="2:4" ht="16.5">
      <c r="B206" s="62">
        <v>30702</v>
      </c>
      <c r="C206" s="63" t="s">
        <v>150</v>
      </c>
      <c r="D206" s="87">
        <v>3</v>
      </c>
    </row>
    <row r="207" spans="2:4" ht="16.5">
      <c r="B207" s="64">
        <v>30703</v>
      </c>
      <c r="C207" s="65" t="s">
        <v>151</v>
      </c>
      <c r="D207" s="89">
        <v>0</v>
      </c>
    </row>
    <row r="208" spans="2:4" ht="16.5">
      <c r="B208" s="62">
        <v>30704</v>
      </c>
      <c r="C208" s="63" t="s">
        <v>152</v>
      </c>
      <c r="D208" s="87">
        <v>0</v>
      </c>
    </row>
    <row r="209" spans="2:4" ht="16.5">
      <c r="B209" s="64">
        <v>30705</v>
      </c>
      <c r="C209" s="65" t="s">
        <v>153</v>
      </c>
      <c r="D209" s="89">
        <v>1</v>
      </c>
    </row>
    <row r="210" spans="2:4" ht="16.5">
      <c r="B210" s="62">
        <v>30706</v>
      </c>
      <c r="C210" s="63" t="s">
        <v>154</v>
      </c>
      <c r="D210" s="87">
        <v>0</v>
      </c>
    </row>
    <row r="211" spans="2:4" ht="16.5">
      <c r="B211" s="64">
        <v>30707</v>
      </c>
      <c r="C211" s="65" t="s">
        <v>155</v>
      </c>
      <c r="D211" s="89">
        <v>0</v>
      </c>
    </row>
    <row r="212" spans="2:4" ht="16.5">
      <c r="B212" s="62">
        <v>30708</v>
      </c>
      <c r="C212" s="63" t="s">
        <v>376</v>
      </c>
      <c r="D212" s="87">
        <v>0</v>
      </c>
    </row>
    <row r="213" spans="2:4" ht="16.5">
      <c r="B213" s="64">
        <v>30709</v>
      </c>
      <c r="C213" s="65" t="s">
        <v>159</v>
      </c>
      <c r="D213" s="89">
        <v>0</v>
      </c>
    </row>
    <row r="214" spans="2:4" ht="16.5">
      <c r="B214" s="62">
        <v>30710</v>
      </c>
      <c r="C214" s="63" t="s">
        <v>377</v>
      </c>
      <c r="D214" s="87">
        <v>0</v>
      </c>
    </row>
    <row r="215" spans="2:4" ht="16.5">
      <c r="B215" s="64">
        <v>30711</v>
      </c>
      <c r="C215" s="65" t="s">
        <v>158</v>
      </c>
      <c r="D215" s="89">
        <v>2</v>
      </c>
    </row>
    <row r="216" spans="2:4" ht="16.5">
      <c r="B216" s="62">
        <v>30801</v>
      </c>
      <c r="C216" s="63" t="s">
        <v>156</v>
      </c>
      <c r="D216" s="87">
        <v>0</v>
      </c>
    </row>
    <row r="217" spans="2:4" ht="16.5">
      <c r="B217" s="64">
        <v>30802</v>
      </c>
      <c r="C217" s="65" t="s">
        <v>157</v>
      </c>
      <c r="D217" s="89">
        <v>0</v>
      </c>
    </row>
    <row r="218" spans="2:4" ht="16.5">
      <c r="B218" s="62">
        <v>30803</v>
      </c>
      <c r="C218" s="63" t="s">
        <v>98</v>
      </c>
      <c r="D218" s="87">
        <v>0</v>
      </c>
    </row>
    <row r="219" spans="2:4" ht="16.5">
      <c r="B219" s="64">
        <v>30804</v>
      </c>
      <c r="C219" s="65" t="s">
        <v>185</v>
      </c>
      <c r="D219" s="89">
        <v>0</v>
      </c>
    </row>
    <row r="220" spans="2:4" ht="16.5">
      <c r="B220" s="62">
        <v>30805</v>
      </c>
      <c r="C220" s="63" t="s">
        <v>175</v>
      </c>
      <c r="D220" s="87">
        <v>0</v>
      </c>
    </row>
    <row r="221" spans="2:4" ht="16.5">
      <c r="B221" s="64">
        <v>30806</v>
      </c>
      <c r="C221" s="65" t="s">
        <v>378</v>
      </c>
      <c r="D221" s="89">
        <v>0</v>
      </c>
    </row>
    <row r="222" spans="2:4" ht="16.5">
      <c r="B222" s="62">
        <v>30807</v>
      </c>
      <c r="C222" s="63" t="s">
        <v>379</v>
      </c>
      <c r="D222" s="87">
        <v>0</v>
      </c>
    </row>
    <row r="223" spans="2:4" ht="16.5">
      <c r="B223" s="64">
        <v>30808</v>
      </c>
      <c r="C223" s="65" t="s">
        <v>172</v>
      </c>
      <c r="D223" s="89">
        <v>0</v>
      </c>
    </row>
    <row r="224" spans="2:4" ht="16.5">
      <c r="B224" s="62">
        <v>30809</v>
      </c>
      <c r="C224" s="63" t="s">
        <v>380</v>
      </c>
      <c r="D224" s="87">
        <v>0</v>
      </c>
    </row>
    <row r="225" spans="2:4" ht="16.5">
      <c r="B225" s="64">
        <v>30810</v>
      </c>
      <c r="C225" s="65" t="s">
        <v>381</v>
      </c>
      <c r="D225" s="89">
        <v>0</v>
      </c>
    </row>
    <row r="226" spans="2:4" ht="16.5">
      <c r="B226" s="62">
        <v>30901</v>
      </c>
      <c r="C226" s="63" t="s">
        <v>382</v>
      </c>
      <c r="D226" s="87">
        <v>0</v>
      </c>
    </row>
    <row r="227" spans="2:4" ht="16.5">
      <c r="B227" s="64">
        <v>30902</v>
      </c>
      <c r="C227" s="65" t="s">
        <v>383</v>
      </c>
      <c r="D227" s="89">
        <v>0</v>
      </c>
    </row>
    <row r="228" spans="2:4" ht="16.5">
      <c r="B228" s="62">
        <v>30903</v>
      </c>
      <c r="C228" s="63" t="s">
        <v>164</v>
      </c>
      <c r="D228" s="87">
        <v>48</v>
      </c>
    </row>
    <row r="229" spans="2:4" ht="16.5">
      <c r="B229" s="64">
        <v>30904</v>
      </c>
      <c r="C229" s="65" t="s">
        <v>184</v>
      </c>
      <c r="D229" s="89">
        <v>141</v>
      </c>
    </row>
    <row r="230" spans="2:4" ht="16.5">
      <c r="B230" s="62">
        <v>30905</v>
      </c>
      <c r="C230" s="63" t="s">
        <v>160</v>
      </c>
      <c r="D230" s="87">
        <v>12</v>
      </c>
    </row>
    <row r="231" spans="2:4" ht="16.5">
      <c r="B231" s="64">
        <v>30906</v>
      </c>
      <c r="C231" s="65" t="s">
        <v>161</v>
      </c>
      <c r="D231" s="89">
        <v>0</v>
      </c>
    </row>
    <row r="232" spans="2:4" ht="16.5">
      <c r="B232" s="62">
        <v>30907</v>
      </c>
      <c r="C232" s="63" t="s">
        <v>162</v>
      </c>
      <c r="D232" s="87">
        <v>478</v>
      </c>
    </row>
    <row r="233" spans="2:4" ht="16.5">
      <c r="B233" s="64">
        <v>30908</v>
      </c>
      <c r="C233" s="65" t="s">
        <v>163</v>
      </c>
      <c r="D233" s="89">
        <v>2</v>
      </c>
    </row>
    <row r="234" spans="2:4" ht="16.5">
      <c r="B234" s="62">
        <v>30909</v>
      </c>
      <c r="C234" s="63" t="s">
        <v>384</v>
      </c>
      <c r="D234" s="87">
        <v>2</v>
      </c>
    </row>
    <row r="235" spans="2:4" ht="16.5">
      <c r="B235" s="64">
        <v>31001</v>
      </c>
      <c r="C235" s="65" t="s">
        <v>165</v>
      </c>
      <c r="D235" s="89">
        <v>26</v>
      </c>
    </row>
    <row r="236" spans="2:4" ht="16.5">
      <c r="B236" s="62">
        <v>31002</v>
      </c>
      <c r="C236" s="63" t="s">
        <v>385</v>
      </c>
      <c r="D236" s="87">
        <v>7</v>
      </c>
    </row>
    <row r="237" spans="2:4" ht="16.5">
      <c r="B237" s="64">
        <v>31003</v>
      </c>
      <c r="C237" s="65" t="s">
        <v>166</v>
      </c>
      <c r="D237" s="89">
        <v>5</v>
      </c>
    </row>
    <row r="238" spans="2:4" ht="16.5">
      <c r="B238" s="62">
        <v>31004</v>
      </c>
      <c r="C238" s="63" t="s">
        <v>167</v>
      </c>
      <c r="D238" s="87">
        <v>0</v>
      </c>
    </row>
    <row r="239" spans="2:4" ht="16.5">
      <c r="B239" s="64">
        <v>31005</v>
      </c>
      <c r="C239" s="65" t="s">
        <v>168</v>
      </c>
      <c r="D239" s="89">
        <v>0</v>
      </c>
    </row>
    <row r="240" spans="2:4" ht="16.5">
      <c r="B240" s="62">
        <v>31006</v>
      </c>
      <c r="C240" s="63" t="s">
        <v>169</v>
      </c>
      <c r="D240" s="87">
        <v>0</v>
      </c>
    </row>
    <row r="241" spans="2:4" ht="16.5">
      <c r="B241" s="64">
        <v>31007</v>
      </c>
      <c r="C241" s="65" t="s">
        <v>170</v>
      </c>
      <c r="D241" s="89">
        <v>0</v>
      </c>
    </row>
    <row r="242" spans="2:4" ht="16.5">
      <c r="B242" s="62">
        <v>31008</v>
      </c>
      <c r="C242" s="63" t="s">
        <v>386</v>
      </c>
      <c r="D242" s="87">
        <v>0</v>
      </c>
    </row>
    <row r="243" spans="2:4" ht="16.5">
      <c r="B243" s="64">
        <v>31009</v>
      </c>
      <c r="C243" s="65" t="s">
        <v>387</v>
      </c>
      <c r="D243" s="89">
        <v>0</v>
      </c>
    </row>
    <row r="244" spans="2:4" ht="16.5">
      <c r="B244" s="62">
        <v>31010</v>
      </c>
      <c r="C244" s="63" t="s">
        <v>93</v>
      </c>
      <c r="D244" s="87">
        <v>1</v>
      </c>
    </row>
    <row r="245" spans="2:4" ht="16.5">
      <c r="B245" s="64">
        <v>31011</v>
      </c>
      <c r="C245" s="65" t="s">
        <v>388</v>
      </c>
      <c r="D245" s="89">
        <v>0</v>
      </c>
    </row>
    <row r="246" spans="2:4" ht="16.5">
      <c r="B246" s="62">
        <v>31012</v>
      </c>
      <c r="C246" s="63" t="s">
        <v>389</v>
      </c>
      <c r="D246" s="87">
        <v>26</v>
      </c>
    </row>
    <row r="247" spans="2:4" ht="16.5">
      <c r="B247" s="64">
        <v>31013</v>
      </c>
      <c r="C247" s="65" t="s">
        <v>390</v>
      </c>
      <c r="D247" s="89">
        <v>0</v>
      </c>
    </row>
    <row r="248" spans="2:4" ht="16.5">
      <c r="B248" s="62">
        <v>31014</v>
      </c>
      <c r="C248" s="63" t="s">
        <v>391</v>
      </c>
      <c r="D248" s="87">
        <v>0</v>
      </c>
    </row>
    <row r="249" spans="2:4" ht="16.5">
      <c r="B249" s="64">
        <v>31015</v>
      </c>
      <c r="C249" s="65" t="s">
        <v>392</v>
      </c>
      <c r="D249" s="89">
        <v>2</v>
      </c>
    </row>
    <row r="250" spans="2:4" ht="16.5">
      <c r="B250" s="62">
        <v>31101</v>
      </c>
      <c r="C250" s="63" t="s">
        <v>173</v>
      </c>
      <c r="D250" s="87">
        <v>108</v>
      </c>
    </row>
    <row r="251" spans="2:4" ht="16.5">
      <c r="B251" s="64">
        <v>31102</v>
      </c>
      <c r="C251" s="65" t="s">
        <v>174</v>
      </c>
      <c r="D251" s="89">
        <v>26</v>
      </c>
    </row>
    <row r="252" spans="2:4" ht="16.5">
      <c r="B252" s="62">
        <v>31103</v>
      </c>
      <c r="C252" s="63" t="s">
        <v>176</v>
      </c>
      <c r="D252" s="87">
        <v>18</v>
      </c>
    </row>
    <row r="253" spans="2:4" ht="16.5">
      <c r="B253" s="64">
        <v>31104</v>
      </c>
      <c r="C253" s="65" t="s">
        <v>177</v>
      </c>
      <c r="D253" s="89">
        <v>13</v>
      </c>
    </row>
    <row r="254" spans="2:4" ht="16.5">
      <c r="B254" s="62">
        <v>31105</v>
      </c>
      <c r="C254" s="63" t="s">
        <v>178</v>
      </c>
      <c r="D254" s="87">
        <v>17</v>
      </c>
    </row>
    <row r="255" spans="2:4" ht="16.5">
      <c r="B255" s="64">
        <v>31106</v>
      </c>
      <c r="C255" s="65" t="s">
        <v>393</v>
      </c>
      <c r="D255" s="89">
        <v>0</v>
      </c>
    </row>
    <row r="256" spans="2:4" ht="16.5">
      <c r="B256" s="62">
        <v>31107</v>
      </c>
      <c r="C256" s="63" t="s">
        <v>394</v>
      </c>
      <c r="D256" s="87">
        <v>0</v>
      </c>
    </row>
    <row r="257" spans="2:4" ht="16.5">
      <c r="B257" s="64">
        <v>31108</v>
      </c>
      <c r="C257" s="65" t="s">
        <v>395</v>
      </c>
      <c r="D257" s="89">
        <v>1</v>
      </c>
    </row>
    <row r="258" spans="2:4" ht="16.5">
      <c r="B258" s="62">
        <v>31109</v>
      </c>
      <c r="C258" s="63" t="s">
        <v>179</v>
      </c>
      <c r="D258" s="87">
        <v>1</v>
      </c>
    </row>
    <row r="259" spans="2:4" ht="16.5">
      <c r="B259" s="64">
        <v>31110</v>
      </c>
      <c r="C259" s="65" t="s">
        <v>180</v>
      </c>
      <c r="D259" s="89">
        <v>0</v>
      </c>
    </row>
    <row r="260" spans="2:4" ht="16.5">
      <c r="B260" s="62">
        <v>31111</v>
      </c>
      <c r="C260" s="63" t="s">
        <v>181</v>
      </c>
      <c r="D260" s="87">
        <v>0</v>
      </c>
    </row>
    <row r="261" spans="2:4" ht="16.5">
      <c r="B261" s="64">
        <v>31112</v>
      </c>
      <c r="C261" s="65" t="s">
        <v>396</v>
      </c>
      <c r="D261" s="89">
        <v>86</v>
      </c>
    </row>
    <row r="262" spans="2:4" ht="16.5">
      <c r="B262" s="62">
        <v>31113</v>
      </c>
      <c r="C262" s="63" t="s">
        <v>182</v>
      </c>
      <c r="D262" s="87">
        <v>17</v>
      </c>
    </row>
    <row r="263" spans="2:4" ht="16.5">
      <c r="B263" s="64">
        <v>31114</v>
      </c>
      <c r="C263" s="65" t="s">
        <v>397</v>
      </c>
      <c r="D263" s="89">
        <v>78</v>
      </c>
    </row>
    <row r="264" spans="2:4" ht="16.5">
      <c r="B264" s="66">
        <v>40101</v>
      </c>
      <c r="C264" s="67" t="s">
        <v>188</v>
      </c>
      <c r="D264" s="90">
        <v>0</v>
      </c>
    </row>
    <row r="265" spans="2:4" ht="16.5">
      <c r="B265" s="62">
        <v>40102</v>
      </c>
      <c r="C265" s="63" t="s">
        <v>398</v>
      </c>
      <c r="D265" s="87">
        <v>3</v>
      </c>
    </row>
    <row r="266" spans="2:4" ht="16.5">
      <c r="B266" s="66">
        <v>40103</v>
      </c>
      <c r="C266" s="67" t="s">
        <v>189</v>
      </c>
      <c r="D266" s="90">
        <v>0</v>
      </c>
    </row>
    <row r="267" spans="2:4" ht="16.5">
      <c r="B267" s="62">
        <v>40104</v>
      </c>
      <c r="C267" s="63" t="s">
        <v>190</v>
      </c>
      <c r="D267" s="87">
        <v>7</v>
      </c>
    </row>
    <row r="268" spans="2:4" ht="16.5">
      <c r="B268" s="66">
        <v>40105</v>
      </c>
      <c r="C268" s="67" t="s">
        <v>192</v>
      </c>
      <c r="D268" s="90">
        <v>0</v>
      </c>
    </row>
    <row r="269" spans="2:4" ht="16.5">
      <c r="B269" s="62">
        <v>40106</v>
      </c>
      <c r="C269" s="63" t="s">
        <v>195</v>
      </c>
      <c r="D269" s="87">
        <v>19</v>
      </c>
    </row>
    <row r="270" spans="2:4" ht="16.5">
      <c r="B270" s="66">
        <v>40107</v>
      </c>
      <c r="C270" s="67" t="s">
        <v>197</v>
      </c>
      <c r="D270" s="90">
        <v>54</v>
      </c>
    </row>
    <row r="271" spans="2:4" ht="16.5">
      <c r="B271" s="62">
        <v>40108</v>
      </c>
      <c r="C271" s="63" t="s">
        <v>198</v>
      </c>
      <c r="D271" s="87">
        <v>0</v>
      </c>
    </row>
    <row r="272" spans="2:4" ht="16.5">
      <c r="B272" s="66">
        <v>40109</v>
      </c>
      <c r="C272" s="67" t="s">
        <v>78</v>
      </c>
      <c r="D272" s="90">
        <v>0</v>
      </c>
    </row>
    <row r="273" spans="2:4" ht="16.5">
      <c r="B273" s="62">
        <v>40110</v>
      </c>
      <c r="C273" s="63" t="s">
        <v>191</v>
      </c>
      <c r="D273" s="87">
        <v>0</v>
      </c>
    </row>
    <row r="274" spans="2:4" ht="16.5">
      <c r="B274" s="72">
        <v>50101</v>
      </c>
      <c r="C274" s="73" t="s">
        <v>399</v>
      </c>
      <c r="D274" s="93">
        <v>0</v>
      </c>
    </row>
    <row r="275" spans="2:4" ht="16.5">
      <c r="B275" s="62">
        <v>50102</v>
      </c>
      <c r="C275" s="63" t="s">
        <v>400</v>
      </c>
      <c r="D275" s="87">
        <v>7</v>
      </c>
    </row>
    <row r="276" spans="2:4" ht="16.5">
      <c r="B276" s="72">
        <v>50103</v>
      </c>
      <c r="C276" s="73" t="s">
        <v>401</v>
      </c>
      <c r="D276" s="93">
        <v>0</v>
      </c>
    </row>
    <row r="277" spans="2:4" ht="16.5">
      <c r="B277" s="62">
        <v>50104</v>
      </c>
      <c r="C277" s="63" t="s">
        <v>109</v>
      </c>
      <c r="D277" s="87">
        <v>0</v>
      </c>
    </row>
    <row r="278" spans="2:4" ht="16.5">
      <c r="B278" s="72">
        <v>50105</v>
      </c>
      <c r="C278" s="73" t="s">
        <v>183</v>
      </c>
      <c r="D278" s="93">
        <v>198</v>
      </c>
    </row>
    <row r="279" spans="2:4" ht="16.5">
      <c r="B279" s="62">
        <v>50106</v>
      </c>
      <c r="C279" s="63" t="s">
        <v>171</v>
      </c>
      <c r="D279" s="87">
        <v>0</v>
      </c>
    </row>
    <row r="280" spans="2:4" ht="16.5">
      <c r="B280" s="72">
        <v>50107</v>
      </c>
      <c r="C280" s="73" t="s">
        <v>402</v>
      </c>
      <c r="D280" s="93">
        <v>34</v>
      </c>
    </row>
    <row r="281" spans="2:4" ht="16.5">
      <c r="B281" s="62">
        <v>50108</v>
      </c>
      <c r="C281" s="63" t="s">
        <v>403</v>
      </c>
      <c r="D281" s="87">
        <v>0</v>
      </c>
    </row>
    <row r="282" spans="2:4" ht="16.5">
      <c r="B282" s="72">
        <v>50201</v>
      </c>
      <c r="C282" s="73" t="s">
        <v>404</v>
      </c>
      <c r="D282" s="93">
        <v>0</v>
      </c>
    </row>
    <row r="283" spans="2:4" ht="16.5">
      <c r="B283" s="62">
        <v>50202</v>
      </c>
      <c r="C283" s="63" t="s">
        <v>405</v>
      </c>
      <c r="D283" s="87">
        <v>0</v>
      </c>
    </row>
    <row r="284" spans="2:4" ht="16.5">
      <c r="B284" s="72">
        <v>50203</v>
      </c>
      <c r="C284" s="73" t="s">
        <v>406</v>
      </c>
      <c r="D284" s="93">
        <v>5</v>
      </c>
    </row>
    <row r="285" spans="2:4" ht="16.5">
      <c r="B285" s="62">
        <v>50301</v>
      </c>
      <c r="C285" s="63" t="s">
        <v>407</v>
      </c>
      <c r="D285" s="87">
        <v>351</v>
      </c>
    </row>
    <row r="286" spans="2:4" ht="16.5">
      <c r="B286" s="72">
        <v>50302</v>
      </c>
      <c r="C286" s="73" t="s">
        <v>408</v>
      </c>
      <c r="D286" s="93">
        <v>7</v>
      </c>
    </row>
    <row r="287" spans="2:4" ht="16.5">
      <c r="B287" s="62">
        <v>50303</v>
      </c>
      <c r="C287" s="63" t="s">
        <v>186</v>
      </c>
      <c r="D287" s="87">
        <v>25</v>
      </c>
    </row>
    <row r="288" spans="2:4" ht="16.5">
      <c r="B288" s="72">
        <v>50304</v>
      </c>
      <c r="C288" s="73" t="s">
        <v>187</v>
      </c>
      <c r="D288" s="93">
        <v>8</v>
      </c>
    </row>
    <row r="289" spans="2:4" ht="16.5">
      <c r="B289" s="62">
        <v>50305</v>
      </c>
      <c r="C289" s="63" t="s">
        <v>409</v>
      </c>
      <c r="D289" s="87">
        <v>15</v>
      </c>
    </row>
    <row r="290" spans="2:4" ht="16.5">
      <c r="B290" s="72">
        <v>50306</v>
      </c>
      <c r="C290" s="73" t="s">
        <v>410</v>
      </c>
      <c r="D290" s="93">
        <v>8</v>
      </c>
    </row>
    <row r="291" spans="2:4" ht="16.5">
      <c r="B291" s="74">
        <v>60101</v>
      </c>
      <c r="C291" s="75" t="s">
        <v>411</v>
      </c>
      <c r="D291" s="94">
        <v>0</v>
      </c>
    </row>
    <row r="292" spans="2:4" ht="16.5">
      <c r="B292" s="62">
        <v>60102</v>
      </c>
      <c r="C292" s="63" t="s">
        <v>194</v>
      </c>
      <c r="D292" s="87">
        <v>0</v>
      </c>
    </row>
    <row r="293" spans="2:4" ht="16.5">
      <c r="B293" s="74">
        <v>60103</v>
      </c>
      <c r="C293" s="75" t="s">
        <v>412</v>
      </c>
      <c r="D293" s="94">
        <v>542</v>
      </c>
    </row>
    <row r="294" spans="2:4" ht="16.5">
      <c r="B294" s="76">
        <v>70101</v>
      </c>
      <c r="C294" s="77" t="s">
        <v>413</v>
      </c>
      <c r="D294" s="95">
        <v>745</v>
      </c>
    </row>
    <row r="295" spans="2:4" ht="16.5">
      <c r="B295" s="62">
        <v>70102</v>
      </c>
      <c r="C295" s="63" t="s">
        <v>199</v>
      </c>
      <c r="D295" s="87">
        <v>0</v>
      </c>
    </row>
    <row r="296" spans="2:4" ht="16.5">
      <c r="B296" s="76">
        <v>70103</v>
      </c>
      <c r="C296" s="77" t="s">
        <v>200</v>
      </c>
      <c r="D296" s="95">
        <v>118</v>
      </c>
    </row>
    <row r="297" spans="2:4" ht="16.5">
      <c r="B297" s="62">
        <v>70104</v>
      </c>
      <c r="C297" s="63" t="s">
        <v>414</v>
      </c>
      <c r="D297" s="87">
        <v>363</v>
      </c>
    </row>
    <row r="298" spans="2:4" ht="16.5">
      <c r="B298" s="76">
        <v>70105</v>
      </c>
      <c r="C298" s="77" t="s">
        <v>201</v>
      </c>
      <c r="D298" s="95">
        <v>5</v>
      </c>
    </row>
    <row r="299" spans="2:4" ht="16.5">
      <c r="B299" s="62">
        <v>70106</v>
      </c>
      <c r="C299" s="63" t="s">
        <v>415</v>
      </c>
      <c r="D299" s="87">
        <v>2837</v>
      </c>
    </row>
    <row r="300" spans="2:4" ht="16.5">
      <c r="B300" s="76">
        <v>70107</v>
      </c>
      <c r="C300" s="77" t="s">
        <v>416</v>
      </c>
      <c r="D300" s="95">
        <v>104</v>
      </c>
    </row>
    <row r="301" spans="2:4" ht="17.25" thickBot="1">
      <c r="B301" s="78">
        <v>70108</v>
      </c>
      <c r="C301" s="79" t="s">
        <v>417</v>
      </c>
      <c r="D301" s="96">
        <v>673</v>
      </c>
    </row>
    <row r="302" spans="2:4" ht="19.899999999999999" customHeight="1" thickBot="1">
      <c r="B302" s="80" t="s">
        <v>1</v>
      </c>
      <c r="C302" s="81"/>
      <c r="D302" s="82">
        <f>SUM(D20:D301)</f>
        <v>9919</v>
      </c>
    </row>
  </sheetData>
  <sheetProtection password="CC15" sheet="1" objects="1" scenarios="1"/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Hoja9">
    <pageSetUpPr fitToPage="1"/>
  </sheetPr>
  <dimension ref="B1:HR302"/>
  <sheetViews>
    <sheetView showGridLines="0" view="pageBreakPreview" topLeftCell="A281" zoomScaleNormal="100" zoomScaleSheetLayoutView="100" workbookViewId="0">
      <selection activeCell="D302" sqref="D302"/>
    </sheetView>
  </sheetViews>
  <sheetFormatPr baseColWidth="10" defaultColWidth="11.42578125" defaultRowHeight="12.75"/>
  <cols>
    <col min="1" max="1" width="8" style="17" customWidth="1"/>
    <col min="2" max="2" width="7.7109375" style="25" customWidth="1"/>
    <col min="3" max="3" width="75.42578125" style="17" customWidth="1"/>
    <col min="4" max="4" width="45.42578125" style="25" customWidth="1"/>
    <col min="5" max="5" width="5.28515625" style="17" customWidth="1"/>
    <col min="6" max="7" width="14.85546875" style="17" bestFit="1" customWidth="1"/>
    <col min="8" max="10" width="13.85546875" style="17" bestFit="1" customWidth="1"/>
    <col min="11" max="16384" width="11.42578125" style="17"/>
  </cols>
  <sheetData>
    <row r="1" spans="2:226">
      <c r="D1" s="17"/>
    </row>
    <row r="2" spans="2:226">
      <c r="D2" s="17"/>
    </row>
    <row r="3" spans="2:226" ht="16.5">
      <c r="D3" s="17"/>
      <c r="F3" s="44"/>
      <c r="G3" s="44"/>
      <c r="H3" s="44"/>
      <c r="I3" s="44"/>
      <c r="J3" s="44"/>
    </row>
    <row r="4" spans="2:226" ht="30">
      <c r="B4" s="17"/>
      <c r="D4" s="17"/>
      <c r="E4" s="1"/>
      <c r="F4" s="37"/>
      <c r="G4" s="37"/>
      <c r="H4" s="37"/>
      <c r="I4" s="37"/>
      <c r="J4" s="3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  <c r="EQ4" s="18"/>
      <c r="ER4" s="18"/>
      <c r="ES4" s="18"/>
      <c r="ET4" s="18"/>
      <c r="EU4" s="18"/>
      <c r="EV4" s="18"/>
      <c r="EW4" s="18"/>
      <c r="EX4" s="18"/>
      <c r="EY4" s="18"/>
      <c r="EZ4" s="18"/>
      <c r="FA4" s="18"/>
      <c r="FB4" s="18"/>
      <c r="FC4" s="18"/>
      <c r="FD4" s="18"/>
      <c r="FE4" s="18"/>
      <c r="FF4" s="18"/>
      <c r="FG4" s="18"/>
      <c r="FH4" s="18"/>
      <c r="FI4" s="18"/>
      <c r="FJ4" s="18"/>
      <c r="FK4" s="18"/>
      <c r="FL4" s="18"/>
      <c r="FM4" s="18"/>
      <c r="FN4" s="18"/>
      <c r="FO4" s="18"/>
      <c r="FP4" s="18"/>
      <c r="FQ4" s="18"/>
      <c r="FR4" s="18"/>
      <c r="FS4" s="18"/>
      <c r="FT4" s="18"/>
      <c r="FU4" s="18"/>
      <c r="FV4" s="18"/>
      <c r="FW4" s="18"/>
      <c r="FX4" s="18"/>
      <c r="FY4" s="18"/>
      <c r="FZ4" s="18"/>
      <c r="GA4" s="18"/>
      <c r="GB4" s="18"/>
      <c r="GC4" s="18"/>
      <c r="GD4" s="18"/>
      <c r="GE4" s="18"/>
      <c r="GF4" s="18"/>
      <c r="GG4" s="18"/>
      <c r="GH4" s="18"/>
      <c r="GI4" s="18"/>
      <c r="GJ4" s="18"/>
      <c r="GK4" s="18"/>
      <c r="GL4" s="18"/>
      <c r="GM4" s="18"/>
      <c r="GN4" s="18"/>
      <c r="GO4" s="18"/>
      <c r="GP4" s="18"/>
      <c r="GQ4" s="18"/>
      <c r="GR4" s="18"/>
      <c r="GS4" s="18"/>
      <c r="GT4" s="18"/>
      <c r="GU4" s="18"/>
      <c r="GV4" s="18"/>
      <c r="GW4" s="18"/>
      <c r="GX4" s="18"/>
      <c r="GY4" s="18"/>
      <c r="GZ4" s="18"/>
      <c r="HA4" s="18"/>
      <c r="HB4" s="18"/>
      <c r="HC4" s="18"/>
      <c r="HD4" s="18"/>
      <c r="HE4" s="18"/>
      <c r="HF4" s="18"/>
      <c r="HG4" s="18"/>
      <c r="HH4" s="18"/>
      <c r="HI4" s="18"/>
      <c r="HJ4" s="18"/>
      <c r="HK4" s="18"/>
      <c r="HL4" s="18"/>
      <c r="HM4" s="18"/>
      <c r="HN4" s="18"/>
      <c r="HO4" s="18"/>
      <c r="HP4" s="18"/>
      <c r="HQ4" s="18"/>
      <c r="HR4" s="18"/>
    </row>
    <row r="5" spans="2:226" ht="30">
      <c r="B5" s="17"/>
      <c r="D5" s="17"/>
      <c r="E5" s="1"/>
      <c r="F5" s="37"/>
      <c r="G5" s="37"/>
      <c r="H5" s="37"/>
      <c r="I5" s="37"/>
      <c r="J5" s="3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18"/>
      <c r="EJ5" s="18"/>
      <c r="EK5" s="18"/>
      <c r="EL5" s="18"/>
      <c r="EM5" s="18"/>
      <c r="EN5" s="18"/>
      <c r="EO5" s="18"/>
      <c r="EP5" s="18"/>
      <c r="EQ5" s="18"/>
      <c r="ER5" s="18"/>
      <c r="ES5" s="18"/>
      <c r="ET5" s="18"/>
      <c r="EU5" s="18"/>
      <c r="EV5" s="18"/>
      <c r="EW5" s="18"/>
      <c r="EX5" s="18"/>
      <c r="EY5" s="18"/>
      <c r="EZ5" s="18"/>
      <c r="FA5" s="18"/>
      <c r="FB5" s="18"/>
      <c r="FC5" s="18"/>
      <c r="FD5" s="18"/>
      <c r="FE5" s="18"/>
      <c r="FF5" s="18"/>
      <c r="FG5" s="18"/>
      <c r="FH5" s="18"/>
      <c r="FI5" s="18"/>
      <c r="FJ5" s="18"/>
      <c r="FK5" s="18"/>
      <c r="FL5" s="18"/>
      <c r="FM5" s="18"/>
      <c r="FN5" s="18"/>
      <c r="FO5" s="18"/>
      <c r="FP5" s="18"/>
      <c r="FQ5" s="18"/>
      <c r="FR5" s="18"/>
      <c r="FS5" s="18"/>
      <c r="FT5" s="18"/>
      <c r="FU5" s="18"/>
      <c r="FV5" s="18"/>
      <c r="FW5" s="18"/>
      <c r="FX5" s="18"/>
      <c r="FY5" s="18"/>
      <c r="FZ5" s="18"/>
      <c r="GA5" s="18"/>
      <c r="GB5" s="18"/>
      <c r="GC5" s="18"/>
      <c r="GD5" s="18"/>
      <c r="GE5" s="18"/>
      <c r="GF5" s="18"/>
      <c r="GG5" s="18"/>
      <c r="GH5" s="18"/>
      <c r="GI5" s="18"/>
      <c r="GJ5" s="18"/>
      <c r="GK5" s="18"/>
      <c r="GL5" s="18"/>
      <c r="GM5" s="18"/>
      <c r="GN5" s="18"/>
      <c r="GO5" s="18"/>
      <c r="GP5" s="18"/>
      <c r="GQ5" s="18"/>
      <c r="GR5" s="18"/>
      <c r="GS5" s="18"/>
      <c r="GT5" s="18"/>
      <c r="GU5" s="18"/>
      <c r="GV5" s="18"/>
      <c r="GW5" s="18"/>
      <c r="GX5" s="18"/>
      <c r="GY5" s="18"/>
      <c r="GZ5" s="18"/>
      <c r="HA5" s="18"/>
      <c r="HB5" s="18"/>
      <c r="HC5" s="18"/>
      <c r="HD5" s="18"/>
      <c r="HE5" s="18"/>
      <c r="HF5" s="18"/>
      <c r="HG5" s="18"/>
      <c r="HH5" s="18"/>
      <c r="HI5" s="18"/>
      <c r="HJ5" s="18"/>
      <c r="HK5" s="18"/>
      <c r="HL5" s="18"/>
      <c r="HM5" s="18"/>
      <c r="HN5" s="18"/>
      <c r="HO5" s="18"/>
      <c r="HP5" s="18"/>
      <c r="HQ5" s="18"/>
      <c r="HR5" s="18"/>
    </row>
    <row r="6" spans="2:226" ht="19.5" customHeight="1">
      <c r="B6" s="110" t="s">
        <v>427</v>
      </c>
      <c r="C6" s="110"/>
      <c r="D6" s="110"/>
      <c r="E6" s="1"/>
      <c r="F6" s="37"/>
      <c r="G6" s="37"/>
      <c r="H6" s="37"/>
      <c r="I6" s="37"/>
      <c r="J6" s="3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8"/>
      <c r="BK6" s="18"/>
      <c r="BL6" s="18"/>
      <c r="BM6" s="18"/>
      <c r="BN6" s="18"/>
      <c r="BO6" s="18"/>
      <c r="BP6" s="18"/>
      <c r="BQ6" s="18"/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8"/>
      <c r="DH6" s="18"/>
      <c r="DI6" s="18"/>
      <c r="DJ6" s="18"/>
      <c r="DK6" s="18"/>
      <c r="DL6" s="18"/>
      <c r="DM6" s="18"/>
      <c r="DN6" s="18"/>
      <c r="DO6" s="18"/>
      <c r="DP6" s="18"/>
      <c r="DQ6" s="18"/>
      <c r="DR6" s="18"/>
      <c r="DS6" s="18"/>
      <c r="DT6" s="18"/>
      <c r="DU6" s="18"/>
      <c r="DV6" s="18"/>
      <c r="DW6" s="18"/>
      <c r="DX6" s="18"/>
      <c r="DY6" s="18"/>
      <c r="DZ6" s="18"/>
      <c r="EA6" s="18"/>
      <c r="EB6" s="18"/>
      <c r="EC6" s="18"/>
      <c r="ED6" s="18"/>
      <c r="EE6" s="18"/>
      <c r="EF6" s="18"/>
      <c r="EG6" s="18"/>
      <c r="EH6" s="18"/>
      <c r="EI6" s="18"/>
      <c r="EJ6" s="18"/>
      <c r="EK6" s="18"/>
      <c r="EL6" s="18"/>
      <c r="EM6" s="18"/>
      <c r="EN6" s="18"/>
      <c r="EO6" s="18"/>
      <c r="EP6" s="18"/>
      <c r="EQ6" s="18"/>
      <c r="ER6" s="18"/>
      <c r="ES6" s="18"/>
      <c r="ET6" s="18"/>
      <c r="EU6" s="18"/>
      <c r="EV6" s="18"/>
      <c r="EW6" s="18"/>
      <c r="EX6" s="18"/>
      <c r="EY6" s="18"/>
      <c r="EZ6" s="18"/>
      <c r="FA6" s="18"/>
      <c r="FB6" s="18"/>
      <c r="FC6" s="18"/>
      <c r="FD6" s="18"/>
      <c r="FE6" s="18"/>
      <c r="FF6" s="18"/>
      <c r="FG6" s="18"/>
      <c r="FH6" s="18"/>
      <c r="FI6" s="18"/>
      <c r="FJ6" s="18"/>
      <c r="FK6" s="18"/>
      <c r="FL6" s="18"/>
      <c r="FM6" s="18"/>
      <c r="FN6" s="18"/>
      <c r="FO6" s="18"/>
      <c r="FP6" s="18"/>
      <c r="FQ6" s="18"/>
      <c r="FR6" s="18"/>
      <c r="FS6" s="18"/>
      <c r="FT6" s="18"/>
      <c r="FU6" s="18"/>
      <c r="FV6" s="18"/>
      <c r="FW6" s="18"/>
      <c r="FX6" s="18"/>
      <c r="FY6" s="18"/>
      <c r="FZ6" s="18"/>
      <c r="GA6" s="18"/>
      <c r="GB6" s="18"/>
      <c r="GC6" s="18"/>
      <c r="GD6" s="18"/>
      <c r="GE6" s="18"/>
      <c r="GF6" s="18"/>
      <c r="GG6" s="18"/>
      <c r="GH6" s="18"/>
      <c r="GI6" s="18"/>
      <c r="GJ6" s="18"/>
      <c r="GK6" s="18"/>
      <c r="GL6" s="18"/>
      <c r="GM6" s="18"/>
      <c r="GN6" s="18"/>
      <c r="GO6" s="18"/>
      <c r="GP6" s="18"/>
      <c r="GQ6" s="18"/>
      <c r="GR6" s="18"/>
      <c r="GS6" s="18"/>
      <c r="GT6" s="18"/>
      <c r="GU6" s="18"/>
      <c r="GV6" s="18"/>
      <c r="GW6" s="18"/>
      <c r="GX6" s="18"/>
      <c r="GY6" s="18"/>
      <c r="GZ6" s="18"/>
      <c r="HA6" s="18"/>
      <c r="HB6" s="18"/>
      <c r="HC6" s="18"/>
      <c r="HD6" s="18"/>
      <c r="HE6" s="18"/>
      <c r="HF6" s="18"/>
      <c r="HG6" s="18"/>
      <c r="HH6" s="18"/>
      <c r="HI6" s="18"/>
      <c r="HJ6" s="18"/>
      <c r="HK6" s="18"/>
      <c r="HL6" s="18"/>
      <c r="HM6" s="18"/>
      <c r="HN6" s="18"/>
      <c r="HO6" s="18"/>
      <c r="HP6" s="18"/>
      <c r="HQ6" s="18"/>
      <c r="HR6" s="18"/>
    </row>
    <row r="7" spans="2:226" ht="19.5" customHeight="1">
      <c r="B7" s="114" t="s">
        <v>248</v>
      </c>
      <c r="C7" s="115"/>
      <c r="D7" s="115"/>
      <c r="E7" s="1"/>
      <c r="F7" s="37"/>
      <c r="G7" s="37"/>
      <c r="H7" s="37"/>
      <c r="I7" s="37"/>
      <c r="J7" s="3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8"/>
      <c r="AB7" s="18"/>
      <c r="AC7" s="18"/>
      <c r="AD7" s="18"/>
      <c r="AE7" s="18"/>
      <c r="AF7" s="18"/>
      <c r="AG7" s="18"/>
      <c r="AH7" s="18"/>
      <c r="AI7" s="18"/>
      <c r="AJ7" s="18"/>
      <c r="AK7" s="18"/>
      <c r="AL7" s="18"/>
      <c r="AM7" s="18"/>
      <c r="AN7" s="18"/>
      <c r="AO7" s="18"/>
      <c r="AP7" s="18"/>
      <c r="AQ7" s="18"/>
      <c r="AR7" s="18"/>
      <c r="AS7" s="18"/>
      <c r="AT7" s="18"/>
      <c r="AU7" s="18"/>
      <c r="AV7" s="18"/>
      <c r="AW7" s="18"/>
      <c r="AX7" s="18"/>
      <c r="AY7" s="18"/>
      <c r="AZ7" s="18"/>
      <c r="BA7" s="18"/>
      <c r="BB7" s="18"/>
      <c r="BC7" s="18"/>
      <c r="BD7" s="18"/>
      <c r="BE7" s="18"/>
      <c r="BF7" s="18"/>
      <c r="BG7" s="18"/>
      <c r="BH7" s="18"/>
      <c r="BI7" s="18"/>
      <c r="BJ7" s="18"/>
      <c r="BK7" s="18"/>
      <c r="BL7" s="18"/>
      <c r="BM7" s="18"/>
      <c r="BN7" s="18"/>
      <c r="BO7" s="18"/>
      <c r="BP7" s="18"/>
      <c r="BQ7" s="18"/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8"/>
      <c r="DH7" s="18"/>
      <c r="DI7" s="18"/>
      <c r="DJ7" s="18"/>
      <c r="DK7" s="18"/>
      <c r="DL7" s="18"/>
      <c r="DM7" s="18"/>
      <c r="DN7" s="18"/>
      <c r="DO7" s="18"/>
      <c r="DP7" s="18"/>
      <c r="DQ7" s="18"/>
      <c r="DR7" s="18"/>
      <c r="DS7" s="18"/>
      <c r="DT7" s="18"/>
      <c r="DU7" s="18"/>
      <c r="DV7" s="18"/>
      <c r="DW7" s="18"/>
      <c r="DX7" s="18"/>
      <c r="DY7" s="18"/>
      <c r="DZ7" s="18"/>
      <c r="EA7" s="18"/>
      <c r="EB7" s="18"/>
      <c r="EC7" s="18"/>
      <c r="ED7" s="18"/>
      <c r="EE7" s="18"/>
      <c r="EF7" s="18"/>
      <c r="EG7" s="18"/>
      <c r="EH7" s="18"/>
      <c r="EI7" s="18"/>
      <c r="EJ7" s="18"/>
      <c r="EK7" s="18"/>
      <c r="EL7" s="18"/>
      <c r="EM7" s="18"/>
      <c r="EN7" s="18"/>
      <c r="EO7" s="18"/>
      <c r="EP7" s="18"/>
      <c r="EQ7" s="18"/>
      <c r="ER7" s="18"/>
      <c r="ES7" s="18"/>
      <c r="ET7" s="18"/>
      <c r="EU7" s="18"/>
      <c r="EV7" s="18"/>
      <c r="EW7" s="18"/>
      <c r="EX7" s="18"/>
      <c r="EY7" s="18"/>
      <c r="EZ7" s="18"/>
      <c r="FA7" s="18"/>
      <c r="FB7" s="18"/>
      <c r="FC7" s="18"/>
      <c r="FD7" s="18"/>
      <c r="FE7" s="18"/>
      <c r="FF7" s="18"/>
      <c r="FG7" s="18"/>
      <c r="FH7" s="18"/>
      <c r="FI7" s="18"/>
      <c r="FJ7" s="18"/>
      <c r="FK7" s="18"/>
      <c r="FL7" s="18"/>
      <c r="FM7" s="18"/>
      <c r="FN7" s="18"/>
      <c r="FO7" s="18"/>
      <c r="FP7" s="18"/>
      <c r="FQ7" s="18"/>
      <c r="FR7" s="18"/>
      <c r="FS7" s="18"/>
      <c r="FT7" s="18"/>
      <c r="FU7" s="18"/>
      <c r="FV7" s="18"/>
      <c r="FW7" s="18"/>
      <c r="FX7" s="18"/>
      <c r="FY7" s="18"/>
      <c r="FZ7" s="18"/>
      <c r="GA7" s="18"/>
      <c r="GB7" s="18"/>
      <c r="GC7" s="18"/>
      <c r="GD7" s="18"/>
      <c r="GE7" s="18"/>
      <c r="GF7" s="18"/>
      <c r="GG7" s="18"/>
      <c r="GH7" s="18"/>
      <c r="GI7" s="18"/>
      <c r="GJ7" s="18"/>
      <c r="GK7" s="18"/>
      <c r="GL7" s="18"/>
      <c r="GM7" s="18"/>
      <c r="GN7" s="18"/>
      <c r="GO7" s="18"/>
      <c r="GP7" s="18"/>
      <c r="GQ7" s="18"/>
      <c r="GR7" s="18"/>
      <c r="GS7" s="18"/>
      <c r="GT7" s="18"/>
      <c r="GU7" s="18"/>
      <c r="GV7" s="18"/>
      <c r="GW7" s="18"/>
      <c r="GX7" s="18"/>
      <c r="GY7" s="18"/>
      <c r="GZ7" s="18"/>
      <c r="HA7" s="18"/>
      <c r="HB7" s="18"/>
      <c r="HC7" s="18"/>
      <c r="HD7" s="18"/>
      <c r="HE7" s="18"/>
      <c r="HF7" s="18"/>
      <c r="HG7" s="18"/>
      <c r="HH7" s="18"/>
      <c r="HI7" s="18"/>
      <c r="HJ7" s="18"/>
      <c r="HK7" s="18"/>
      <c r="HL7" s="18"/>
      <c r="HM7" s="18"/>
      <c r="HN7" s="18"/>
      <c r="HO7" s="18"/>
      <c r="HP7" s="18"/>
      <c r="HQ7" s="18"/>
      <c r="HR7" s="18"/>
    </row>
    <row r="8" spans="2:226" ht="19.5" customHeight="1">
      <c r="B8" s="114" t="s">
        <v>0</v>
      </c>
      <c r="C8" s="115"/>
      <c r="D8" s="115"/>
      <c r="E8" s="1"/>
      <c r="F8" s="111"/>
      <c r="G8" s="111"/>
      <c r="H8" s="111"/>
      <c r="I8" s="111"/>
      <c r="J8" s="111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8"/>
      <c r="AB8" s="18"/>
      <c r="AC8" s="18"/>
      <c r="AD8" s="18"/>
      <c r="AE8" s="18"/>
      <c r="AF8" s="18"/>
      <c r="AG8" s="18"/>
      <c r="AH8" s="18"/>
      <c r="AI8" s="18"/>
      <c r="AJ8" s="18"/>
      <c r="AK8" s="18"/>
      <c r="AL8" s="18"/>
      <c r="AM8" s="18"/>
      <c r="AN8" s="18"/>
      <c r="AO8" s="18"/>
      <c r="AP8" s="18"/>
      <c r="AQ8" s="18"/>
      <c r="AR8" s="18"/>
      <c r="AS8" s="18"/>
      <c r="AT8" s="18"/>
      <c r="AU8" s="18"/>
      <c r="AV8" s="18"/>
      <c r="AW8" s="18"/>
      <c r="AX8" s="18"/>
      <c r="AY8" s="18"/>
      <c r="AZ8" s="18"/>
      <c r="BA8" s="18"/>
      <c r="BB8" s="18"/>
      <c r="BC8" s="18"/>
      <c r="BD8" s="18"/>
      <c r="BE8" s="18"/>
      <c r="BF8" s="18"/>
      <c r="BG8" s="18"/>
      <c r="BH8" s="18"/>
      <c r="BI8" s="18"/>
      <c r="BJ8" s="18"/>
      <c r="BK8" s="18"/>
      <c r="BL8" s="18"/>
      <c r="BM8" s="18"/>
      <c r="BN8" s="18"/>
      <c r="BO8" s="18"/>
      <c r="BP8" s="18"/>
      <c r="BQ8" s="18"/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8"/>
      <c r="DH8" s="18"/>
      <c r="DI8" s="18"/>
      <c r="DJ8" s="18"/>
      <c r="DK8" s="18"/>
      <c r="DL8" s="18"/>
      <c r="DM8" s="18"/>
      <c r="DN8" s="18"/>
      <c r="DO8" s="18"/>
      <c r="DP8" s="18"/>
      <c r="DQ8" s="18"/>
      <c r="DR8" s="18"/>
      <c r="DS8" s="18"/>
      <c r="DT8" s="18"/>
      <c r="DU8" s="18"/>
      <c r="DV8" s="18"/>
      <c r="DW8" s="18"/>
      <c r="DX8" s="18"/>
      <c r="DY8" s="18"/>
      <c r="DZ8" s="18"/>
      <c r="EA8" s="18"/>
      <c r="EB8" s="18"/>
      <c r="EC8" s="18"/>
      <c r="ED8" s="18"/>
      <c r="EE8" s="18"/>
      <c r="EF8" s="18"/>
      <c r="EG8" s="18"/>
      <c r="EH8" s="18"/>
      <c r="EI8" s="18"/>
      <c r="EJ8" s="18"/>
      <c r="EK8" s="18"/>
      <c r="EL8" s="18"/>
      <c r="EM8" s="18"/>
      <c r="EN8" s="18"/>
      <c r="EO8" s="18"/>
      <c r="EP8" s="18"/>
      <c r="EQ8" s="18"/>
      <c r="ER8" s="18"/>
      <c r="ES8" s="18"/>
      <c r="ET8" s="18"/>
      <c r="EU8" s="18"/>
      <c r="EV8" s="18"/>
      <c r="EW8" s="18"/>
      <c r="EX8" s="18"/>
      <c r="EY8" s="18"/>
      <c r="EZ8" s="18"/>
      <c r="FA8" s="18"/>
      <c r="FB8" s="18"/>
      <c r="FC8" s="18"/>
      <c r="FD8" s="18"/>
      <c r="FE8" s="18"/>
      <c r="FF8" s="18"/>
      <c r="FG8" s="18"/>
      <c r="FH8" s="18"/>
      <c r="FI8" s="18"/>
      <c r="FJ8" s="18"/>
      <c r="FK8" s="18"/>
      <c r="FL8" s="18"/>
      <c r="FM8" s="18"/>
      <c r="FN8" s="18"/>
      <c r="FO8" s="18"/>
      <c r="FP8" s="18"/>
      <c r="FQ8" s="18"/>
      <c r="FR8" s="18"/>
      <c r="FS8" s="18"/>
      <c r="FT8" s="18"/>
      <c r="FU8" s="18"/>
      <c r="FV8" s="18"/>
      <c r="FW8" s="18"/>
      <c r="FX8" s="18"/>
      <c r="FY8" s="18"/>
      <c r="FZ8" s="18"/>
      <c r="GA8" s="18"/>
      <c r="GB8" s="18"/>
      <c r="GC8" s="18"/>
      <c r="GD8" s="18"/>
      <c r="GE8" s="18"/>
      <c r="GF8" s="18"/>
      <c r="GG8" s="18"/>
      <c r="GH8" s="18"/>
      <c r="GI8" s="18"/>
      <c r="GJ8" s="18"/>
      <c r="GK8" s="18"/>
      <c r="GL8" s="18"/>
      <c r="GM8" s="18"/>
      <c r="GN8" s="18"/>
      <c r="GO8" s="18"/>
      <c r="GP8" s="18"/>
      <c r="GQ8" s="18"/>
      <c r="GR8" s="18"/>
      <c r="GS8" s="18"/>
      <c r="GT8" s="18"/>
      <c r="GU8" s="18"/>
      <c r="GV8" s="18"/>
      <c r="GW8" s="18"/>
      <c r="GX8" s="18"/>
      <c r="GY8" s="18"/>
      <c r="GZ8" s="18"/>
      <c r="HA8" s="18"/>
      <c r="HB8" s="18"/>
      <c r="HC8" s="18"/>
      <c r="HD8" s="18"/>
      <c r="HE8" s="18"/>
      <c r="HF8" s="18"/>
      <c r="HG8" s="18"/>
      <c r="HH8" s="18"/>
      <c r="HI8" s="18"/>
      <c r="HJ8" s="18"/>
      <c r="HK8" s="18"/>
      <c r="HL8" s="18"/>
      <c r="HM8" s="18"/>
      <c r="HN8" s="18"/>
      <c r="HO8" s="18"/>
      <c r="HP8" s="18"/>
      <c r="HQ8" s="18"/>
      <c r="HR8" s="18"/>
    </row>
    <row r="9" spans="2:226" ht="16.5">
      <c r="B9" s="114"/>
      <c r="C9" s="115"/>
      <c r="D9" s="115"/>
      <c r="E9" s="1"/>
      <c r="F9" s="1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8"/>
      <c r="AB9" s="18"/>
      <c r="AC9" s="18"/>
      <c r="AD9" s="18"/>
      <c r="AE9" s="18"/>
      <c r="AF9" s="18"/>
      <c r="AG9" s="18"/>
      <c r="AH9" s="18"/>
      <c r="AI9" s="18"/>
      <c r="AJ9" s="18"/>
      <c r="AK9" s="18"/>
      <c r="AL9" s="18"/>
      <c r="AM9" s="18"/>
      <c r="AN9" s="18"/>
      <c r="AO9" s="18"/>
      <c r="AP9" s="18"/>
      <c r="AQ9" s="18"/>
      <c r="AR9" s="18"/>
      <c r="AS9" s="18"/>
      <c r="AT9" s="18"/>
      <c r="AU9" s="18"/>
      <c r="AV9" s="18"/>
      <c r="AW9" s="18"/>
      <c r="AX9" s="18"/>
      <c r="AY9" s="18"/>
      <c r="AZ9" s="18"/>
      <c r="BA9" s="18"/>
      <c r="BB9" s="18"/>
      <c r="BC9" s="18"/>
      <c r="BD9" s="18"/>
      <c r="BE9" s="18"/>
      <c r="BF9" s="18"/>
      <c r="BG9" s="18"/>
      <c r="BH9" s="18"/>
      <c r="BI9" s="18"/>
      <c r="BJ9" s="18"/>
      <c r="BK9" s="18"/>
      <c r="BL9" s="18"/>
      <c r="BM9" s="18"/>
      <c r="BN9" s="18"/>
      <c r="BO9" s="18"/>
      <c r="BP9" s="18"/>
      <c r="BQ9" s="18"/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8"/>
      <c r="DH9" s="18"/>
      <c r="DI9" s="18"/>
      <c r="DJ9" s="18"/>
      <c r="DK9" s="18"/>
      <c r="DL9" s="18"/>
      <c r="DM9" s="18"/>
      <c r="DN9" s="18"/>
      <c r="DO9" s="18"/>
      <c r="DP9" s="18"/>
      <c r="DQ9" s="18"/>
      <c r="DR9" s="18"/>
      <c r="DS9" s="18"/>
      <c r="DT9" s="18"/>
      <c r="DU9" s="18"/>
      <c r="DV9" s="18"/>
      <c r="DW9" s="18"/>
      <c r="DX9" s="18"/>
      <c r="DY9" s="18"/>
      <c r="DZ9" s="18"/>
      <c r="EA9" s="18"/>
      <c r="EB9" s="18"/>
      <c r="EC9" s="18"/>
      <c r="ED9" s="18"/>
      <c r="EE9" s="18"/>
      <c r="EF9" s="18"/>
      <c r="EG9" s="18"/>
      <c r="EH9" s="18"/>
      <c r="EI9" s="18"/>
      <c r="EJ9" s="18"/>
      <c r="EK9" s="18"/>
      <c r="EL9" s="18"/>
      <c r="EM9" s="18"/>
      <c r="EN9" s="18"/>
      <c r="EO9" s="18"/>
      <c r="EP9" s="18"/>
      <c r="EQ9" s="18"/>
      <c r="ER9" s="18"/>
      <c r="ES9" s="18"/>
      <c r="ET9" s="18"/>
      <c r="EU9" s="18"/>
      <c r="EV9" s="18"/>
      <c r="EW9" s="18"/>
      <c r="EX9" s="18"/>
      <c r="EY9" s="18"/>
      <c r="EZ9" s="18"/>
      <c r="FA9" s="18"/>
      <c r="FB9" s="18"/>
      <c r="FC9" s="18"/>
      <c r="FD9" s="18"/>
      <c r="FE9" s="18"/>
      <c r="FF9" s="18"/>
      <c r="FG9" s="18"/>
      <c r="FH9" s="18"/>
      <c r="FI9" s="18"/>
      <c r="FJ9" s="18"/>
      <c r="FK9" s="18"/>
      <c r="FL9" s="18"/>
      <c r="FM9" s="18"/>
      <c r="FN9" s="18"/>
      <c r="FO9" s="18"/>
      <c r="FP9" s="18"/>
      <c r="FQ9" s="18"/>
      <c r="FR9" s="18"/>
      <c r="FS9" s="18"/>
      <c r="FT9" s="18"/>
      <c r="FU9" s="18"/>
      <c r="FV9" s="18"/>
      <c r="FW9" s="18"/>
      <c r="FX9" s="18"/>
      <c r="FY9" s="18"/>
      <c r="FZ9" s="18"/>
      <c r="GA9" s="18"/>
      <c r="GB9" s="18"/>
      <c r="GC9" s="18"/>
      <c r="GD9" s="18"/>
      <c r="GE9" s="18"/>
      <c r="GF9" s="18"/>
      <c r="GG9" s="18"/>
      <c r="GH9" s="18"/>
      <c r="GI9" s="18"/>
      <c r="GJ9" s="18"/>
      <c r="GK9" s="18"/>
      <c r="GL9" s="18"/>
      <c r="GM9" s="18"/>
      <c r="GN9" s="18"/>
      <c r="GO9" s="18"/>
      <c r="GP9" s="18"/>
      <c r="GQ9" s="18"/>
      <c r="GR9" s="18"/>
      <c r="GS9" s="18"/>
      <c r="GT9" s="18"/>
      <c r="GU9" s="18"/>
      <c r="GV9" s="18"/>
      <c r="GW9" s="18"/>
      <c r="GX9" s="18"/>
      <c r="GY9" s="18"/>
      <c r="GZ9" s="18"/>
      <c r="HA9" s="18"/>
      <c r="HB9" s="18"/>
      <c r="HC9" s="18"/>
      <c r="HD9" s="18"/>
      <c r="HE9" s="18"/>
      <c r="HF9" s="18"/>
      <c r="HG9" s="18"/>
      <c r="HH9" s="18"/>
      <c r="HI9" s="18"/>
      <c r="HJ9" s="18"/>
      <c r="HK9" s="18"/>
      <c r="HL9" s="18"/>
      <c r="HM9" s="18"/>
      <c r="HN9" s="18"/>
      <c r="HO9" s="18"/>
      <c r="HP9" s="18"/>
      <c r="HQ9" s="18"/>
      <c r="HR9" s="18"/>
    </row>
    <row r="10" spans="2:226" ht="23.25">
      <c r="B10" s="116" t="s">
        <v>419</v>
      </c>
      <c r="C10" s="116"/>
      <c r="D10" s="116"/>
      <c r="E10" s="1"/>
      <c r="F10" s="1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18"/>
      <c r="AC10" s="18"/>
      <c r="AD10" s="18"/>
      <c r="AE10" s="18"/>
      <c r="AF10" s="18"/>
      <c r="AG10" s="18"/>
      <c r="AH10" s="18"/>
      <c r="AI10" s="18"/>
      <c r="AJ10" s="18"/>
      <c r="AK10" s="18"/>
      <c r="AL10" s="18"/>
      <c r="AM10" s="18"/>
      <c r="AN10" s="18"/>
      <c r="AO10" s="18"/>
      <c r="AP10" s="18"/>
      <c r="AQ10" s="18"/>
      <c r="AR10" s="18"/>
      <c r="AS10" s="18"/>
      <c r="AT10" s="18"/>
      <c r="AU10" s="18"/>
      <c r="AV10" s="18"/>
      <c r="AW10" s="18"/>
      <c r="AX10" s="18"/>
      <c r="AY10" s="18"/>
      <c r="AZ10" s="18"/>
      <c r="BA10" s="18"/>
      <c r="BB10" s="18"/>
      <c r="BC10" s="18"/>
      <c r="BD10" s="18"/>
      <c r="BE10" s="18"/>
      <c r="BF10" s="18"/>
      <c r="BG10" s="18"/>
      <c r="BH10" s="18"/>
      <c r="BI10" s="18"/>
      <c r="BJ10" s="18"/>
      <c r="BK10" s="18"/>
      <c r="BL10" s="18"/>
      <c r="BM10" s="18"/>
      <c r="BN10" s="18"/>
      <c r="BO10" s="18"/>
      <c r="BP10" s="18"/>
      <c r="BQ10" s="18"/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8"/>
      <c r="DH10" s="18"/>
      <c r="DI10" s="18"/>
      <c r="DJ10" s="18"/>
      <c r="DK10" s="18"/>
      <c r="DL10" s="18"/>
      <c r="DM10" s="18"/>
      <c r="DN10" s="18"/>
      <c r="DO10" s="18"/>
      <c r="DP10" s="18"/>
      <c r="DQ10" s="18"/>
      <c r="DR10" s="18"/>
      <c r="DS10" s="18"/>
      <c r="DT10" s="18"/>
      <c r="DU10" s="18"/>
      <c r="DV10" s="18"/>
      <c r="DW10" s="18"/>
      <c r="DX10" s="18"/>
      <c r="DY10" s="18"/>
      <c r="DZ10" s="18"/>
      <c r="EA10" s="18"/>
      <c r="EB10" s="18"/>
      <c r="EC10" s="18"/>
      <c r="ED10" s="18"/>
      <c r="EE10" s="18"/>
      <c r="EF10" s="18"/>
      <c r="EG10" s="18"/>
      <c r="EH10" s="18"/>
      <c r="EI10" s="18"/>
      <c r="EJ10" s="18"/>
      <c r="EK10" s="18"/>
      <c r="EL10" s="18"/>
      <c r="EM10" s="18"/>
      <c r="EN10" s="18"/>
      <c r="EO10" s="18"/>
      <c r="EP10" s="18"/>
      <c r="EQ10" s="18"/>
      <c r="ER10" s="18"/>
      <c r="ES10" s="18"/>
      <c r="ET10" s="18"/>
      <c r="EU10" s="18"/>
      <c r="EV10" s="18"/>
      <c r="EW10" s="18"/>
      <c r="EX10" s="18"/>
      <c r="EY10" s="18"/>
      <c r="EZ10" s="18"/>
      <c r="FA10" s="18"/>
      <c r="FB10" s="18"/>
      <c r="FC10" s="18"/>
      <c r="FD10" s="18"/>
      <c r="FE10" s="18"/>
      <c r="FF10" s="18"/>
      <c r="FG10" s="18"/>
      <c r="FH10" s="18"/>
      <c r="FI10" s="18"/>
      <c r="FJ10" s="18"/>
      <c r="FK10" s="18"/>
      <c r="FL10" s="18"/>
      <c r="FM10" s="18"/>
      <c r="FN10" s="18"/>
      <c r="FO10" s="18"/>
      <c r="FP10" s="18"/>
      <c r="FQ10" s="18"/>
      <c r="FR10" s="18"/>
      <c r="FS10" s="18"/>
      <c r="FT10" s="18"/>
      <c r="FU10" s="18"/>
      <c r="FV10" s="18"/>
      <c r="FW10" s="18"/>
      <c r="FX10" s="18"/>
      <c r="FY10" s="18"/>
      <c r="FZ10" s="18"/>
      <c r="GA10" s="18"/>
      <c r="GB10" s="18"/>
      <c r="GC10" s="18"/>
      <c r="GD10" s="18"/>
      <c r="GE10" s="18"/>
      <c r="GF10" s="18"/>
      <c r="GG10" s="18"/>
      <c r="GH10" s="18"/>
      <c r="GI10" s="18"/>
      <c r="GJ10" s="18"/>
      <c r="GK10" s="18"/>
      <c r="GL10" s="18"/>
      <c r="GM10" s="18"/>
      <c r="GN10" s="18"/>
      <c r="GO10" s="18"/>
      <c r="GP10" s="18"/>
      <c r="GQ10" s="18"/>
      <c r="GR10" s="18"/>
      <c r="GS10" s="18"/>
      <c r="GT10" s="18"/>
      <c r="GU10" s="18"/>
      <c r="GV10" s="18"/>
      <c r="GW10" s="18"/>
      <c r="GX10" s="18"/>
      <c r="GY10" s="18"/>
      <c r="GZ10" s="18"/>
      <c r="HA10" s="18"/>
      <c r="HB10" s="18"/>
      <c r="HC10" s="18"/>
      <c r="HD10" s="18"/>
      <c r="HE10" s="18"/>
      <c r="HF10" s="18"/>
      <c r="HG10" s="18"/>
      <c r="HH10" s="18"/>
      <c r="HI10" s="18"/>
      <c r="HJ10" s="18"/>
      <c r="HK10" s="18"/>
      <c r="HL10" s="18"/>
      <c r="HM10" s="18"/>
      <c r="HN10" s="18"/>
      <c r="HO10" s="18"/>
      <c r="HP10" s="18"/>
      <c r="HQ10" s="18"/>
      <c r="HR10" s="18"/>
    </row>
    <row r="11" spans="2:226" ht="16.5">
      <c r="C11" s="46"/>
      <c r="D11" s="47"/>
      <c r="E11" s="20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18"/>
      <c r="AC11" s="18"/>
      <c r="AD11" s="18"/>
      <c r="AE11" s="18"/>
      <c r="AF11" s="18"/>
      <c r="AG11" s="18"/>
      <c r="AH11" s="18"/>
      <c r="AI11" s="18"/>
      <c r="AJ11" s="18"/>
      <c r="AK11" s="18"/>
      <c r="AL11" s="18"/>
      <c r="AM11" s="18"/>
      <c r="AN11" s="18"/>
      <c r="AO11" s="18"/>
      <c r="AP11" s="18"/>
      <c r="AQ11" s="18"/>
      <c r="AR11" s="18"/>
      <c r="AS11" s="18"/>
      <c r="AT11" s="18"/>
      <c r="AU11" s="18"/>
      <c r="AV11" s="18"/>
      <c r="AW11" s="18"/>
      <c r="AX11" s="18"/>
      <c r="AY11" s="18"/>
      <c r="AZ11" s="18"/>
      <c r="BA11" s="18"/>
      <c r="BB11" s="18"/>
      <c r="BC11" s="18"/>
      <c r="BD11" s="18"/>
      <c r="BE11" s="18"/>
      <c r="BF11" s="18"/>
      <c r="BG11" s="18"/>
      <c r="BH11" s="18"/>
      <c r="BI11" s="18"/>
      <c r="BJ11" s="18"/>
      <c r="BK11" s="18"/>
      <c r="BL11" s="18"/>
      <c r="BM11" s="18"/>
      <c r="BN11" s="18"/>
      <c r="BO11" s="18"/>
      <c r="BP11" s="18"/>
      <c r="BQ11" s="18"/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8"/>
      <c r="DH11" s="18"/>
      <c r="DI11" s="18"/>
      <c r="DJ11" s="18"/>
      <c r="DK11" s="18"/>
      <c r="DL11" s="18"/>
      <c r="DM11" s="18"/>
      <c r="DN11" s="18"/>
      <c r="DO11" s="18"/>
      <c r="DP11" s="18"/>
      <c r="DQ11" s="18"/>
      <c r="DR11" s="18"/>
      <c r="DS11" s="18"/>
      <c r="DT11" s="18"/>
      <c r="DU11" s="18"/>
      <c r="DV11" s="18"/>
      <c r="DW11" s="18"/>
      <c r="DX11" s="18"/>
      <c r="DY11" s="18"/>
      <c r="DZ11" s="18"/>
      <c r="EA11" s="18"/>
      <c r="EB11" s="18"/>
      <c r="EC11" s="18"/>
      <c r="ED11" s="18"/>
      <c r="EE11" s="18"/>
      <c r="EF11" s="18"/>
      <c r="EG11" s="18"/>
      <c r="EH11" s="18"/>
      <c r="EI11" s="18"/>
      <c r="EJ11" s="18"/>
      <c r="EK11" s="18"/>
      <c r="EL11" s="18"/>
      <c r="EM11" s="18"/>
      <c r="EN11" s="18"/>
      <c r="EO11" s="18"/>
      <c r="EP11" s="18"/>
      <c r="EQ11" s="18"/>
      <c r="ER11" s="18"/>
      <c r="ES11" s="18"/>
      <c r="ET11" s="18"/>
      <c r="EU11" s="18"/>
      <c r="EV11" s="18"/>
      <c r="EW11" s="18"/>
      <c r="EX11" s="18"/>
      <c r="EY11" s="18"/>
      <c r="EZ11" s="18"/>
      <c r="FA11" s="18"/>
      <c r="FB11" s="18"/>
      <c r="FC11" s="18"/>
      <c r="FD11" s="18"/>
      <c r="FE11" s="18"/>
      <c r="FF11" s="18"/>
      <c r="FG11" s="18"/>
      <c r="FH11" s="18"/>
      <c r="FI11" s="18"/>
      <c r="FJ11" s="18"/>
      <c r="FK11" s="18"/>
      <c r="FL11" s="18"/>
      <c r="FM11" s="18"/>
      <c r="FN11" s="18"/>
      <c r="FO11" s="18"/>
      <c r="FP11" s="18"/>
      <c r="FQ11" s="18"/>
      <c r="FR11" s="18"/>
      <c r="FS11" s="18"/>
      <c r="FT11" s="18"/>
      <c r="FU11" s="18"/>
      <c r="FV11" s="18"/>
      <c r="FW11" s="18"/>
      <c r="FX11" s="18"/>
      <c r="FY11" s="18"/>
      <c r="FZ11" s="18"/>
      <c r="GA11" s="18"/>
      <c r="GB11" s="18"/>
      <c r="GC11" s="18"/>
      <c r="GD11" s="18"/>
      <c r="GE11" s="18"/>
      <c r="GF11" s="18"/>
      <c r="GG11" s="18"/>
      <c r="GH11" s="18"/>
      <c r="GI11" s="18"/>
      <c r="GJ11" s="18"/>
      <c r="GK11" s="18"/>
      <c r="GL11" s="18"/>
      <c r="GM11" s="18"/>
      <c r="GN11" s="18"/>
      <c r="GO11" s="18"/>
      <c r="GP11" s="18"/>
      <c r="GQ11" s="18"/>
      <c r="GR11" s="18"/>
      <c r="GS11" s="18"/>
      <c r="GT11" s="18"/>
      <c r="GU11" s="18"/>
      <c r="GV11" s="18"/>
      <c r="GW11" s="18"/>
      <c r="GX11" s="18"/>
      <c r="GY11" s="18"/>
      <c r="GZ11" s="18"/>
      <c r="HA11" s="18"/>
      <c r="HB11" s="18"/>
      <c r="HC11" s="18"/>
      <c r="HD11" s="18"/>
      <c r="HE11" s="18"/>
      <c r="HF11" s="18"/>
      <c r="HG11" s="18"/>
      <c r="HH11" s="18"/>
      <c r="HI11" s="18"/>
      <c r="HJ11" s="18"/>
      <c r="HK11" s="18"/>
      <c r="HL11" s="18"/>
      <c r="HM11" s="18"/>
      <c r="HN11" s="18"/>
      <c r="HO11" s="18"/>
      <c r="HP11" s="18"/>
      <c r="HQ11" s="18"/>
      <c r="HR11" s="18"/>
    </row>
    <row r="12" spans="2:226" ht="16.5" customHeight="1">
      <c r="C12" s="40" t="s">
        <v>243</v>
      </c>
      <c r="D12" s="48" t="s">
        <v>205</v>
      </c>
      <c r="E12" s="20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8"/>
      <c r="AB12" s="18"/>
      <c r="AC12" s="18"/>
      <c r="AD12" s="18"/>
      <c r="AE12" s="18"/>
      <c r="AF12" s="18"/>
      <c r="AG12" s="18"/>
      <c r="AH12" s="18"/>
      <c r="AI12" s="18"/>
      <c r="AJ12" s="18"/>
      <c r="AK12" s="18"/>
      <c r="AL12" s="18"/>
      <c r="AM12" s="18"/>
      <c r="AN12" s="18"/>
      <c r="AO12" s="18"/>
      <c r="AP12" s="18"/>
      <c r="AQ12" s="18"/>
      <c r="AR12" s="18"/>
      <c r="AS12" s="18"/>
      <c r="AT12" s="18"/>
      <c r="AU12" s="18"/>
      <c r="AV12" s="18"/>
      <c r="AW12" s="18"/>
      <c r="AX12" s="18"/>
      <c r="AY12" s="18"/>
      <c r="AZ12" s="18"/>
      <c r="BA12" s="18"/>
      <c r="BB12" s="18"/>
      <c r="BC12" s="18"/>
      <c r="BD12" s="18"/>
      <c r="BE12" s="18"/>
      <c r="BF12" s="18"/>
      <c r="BG12" s="18"/>
      <c r="BH12" s="18"/>
      <c r="BI12" s="18"/>
      <c r="BJ12" s="18"/>
      <c r="BK12" s="18"/>
      <c r="BL12" s="18"/>
      <c r="BM12" s="18"/>
      <c r="BN12" s="18"/>
      <c r="BO12" s="18"/>
      <c r="BP12" s="18"/>
      <c r="BQ12" s="18"/>
      <c r="BR12" s="18"/>
      <c r="BS12" s="18"/>
      <c r="BT12" s="18"/>
      <c r="BU12" s="18"/>
      <c r="BV12" s="18"/>
      <c r="BW12" s="18"/>
      <c r="BX12" s="18"/>
      <c r="BY12" s="18"/>
      <c r="BZ12" s="18"/>
      <c r="CA12" s="18"/>
      <c r="CB12" s="18"/>
      <c r="CC12" s="18"/>
      <c r="CD12" s="18"/>
      <c r="CE12" s="18"/>
      <c r="CF12" s="18"/>
      <c r="CG12" s="18"/>
      <c r="CH12" s="18"/>
      <c r="CI12" s="18"/>
      <c r="CJ12" s="18"/>
      <c r="CK12" s="18"/>
      <c r="CL12" s="18"/>
      <c r="CM12" s="18"/>
      <c r="CN12" s="18"/>
      <c r="CO12" s="18"/>
      <c r="CP12" s="18"/>
      <c r="CQ12" s="18"/>
      <c r="CR12" s="18"/>
      <c r="CS12" s="18"/>
      <c r="CT12" s="18"/>
      <c r="CU12" s="18"/>
      <c r="CV12" s="18"/>
      <c r="CW12" s="18"/>
      <c r="CX12" s="18"/>
      <c r="CY12" s="18"/>
      <c r="CZ12" s="18"/>
      <c r="DA12" s="18"/>
      <c r="DB12" s="18"/>
      <c r="DC12" s="18"/>
      <c r="DD12" s="18"/>
      <c r="DE12" s="18"/>
      <c r="DF12" s="18"/>
      <c r="DG12" s="18"/>
      <c r="DH12" s="18"/>
      <c r="DI12" s="18"/>
      <c r="DJ12" s="18"/>
      <c r="DK12" s="18"/>
      <c r="DL12" s="18"/>
      <c r="DM12" s="18"/>
      <c r="DN12" s="18"/>
      <c r="DO12" s="18"/>
      <c r="DP12" s="18"/>
      <c r="DQ12" s="18"/>
      <c r="DR12" s="18"/>
      <c r="DS12" s="18"/>
      <c r="DT12" s="18"/>
      <c r="DU12" s="18"/>
      <c r="DV12" s="18"/>
      <c r="DW12" s="18"/>
      <c r="DX12" s="18"/>
      <c r="DY12" s="18"/>
      <c r="DZ12" s="18"/>
      <c r="EA12" s="18"/>
      <c r="EB12" s="18"/>
      <c r="EC12" s="18"/>
      <c r="ED12" s="18"/>
      <c r="EE12" s="18"/>
      <c r="EF12" s="18"/>
      <c r="EG12" s="18"/>
      <c r="EH12" s="18"/>
      <c r="EI12" s="18"/>
      <c r="EJ12" s="18"/>
      <c r="EK12" s="18"/>
      <c r="EL12" s="18"/>
      <c r="EM12" s="18"/>
      <c r="EN12" s="18"/>
      <c r="EO12" s="18"/>
      <c r="EP12" s="18"/>
      <c r="EQ12" s="18"/>
      <c r="ER12" s="18"/>
      <c r="ES12" s="18"/>
      <c r="ET12" s="18"/>
      <c r="EU12" s="18"/>
      <c r="EV12" s="18"/>
      <c r="EW12" s="18"/>
      <c r="EX12" s="18"/>
      <c r="EY12" s="18"/>
      <c r="EZ12" s="18"/>
      <c r="FA12" s="18"/>
      <c r="FB12" s="18"/>
      <c r="FC12" s="18"/>
      <c r="FD12" s="18"/>
      <c r="FE12" s="18"/>
      <c r="FF12" s="18"/>
      <c r="FG12" s="18"/>
      <c r="FH12" s="18"/>
      <c r="FI12" s="18"/>
      <c r="FJ12" s="18"/>
      <c r="FK12" s="18"/>
      <c r="FL12" s="18"/>
      <c r="FM12" s="18"/>
      <c r="FN12" s="18"/>
      <c r="FO12" s="18"/>
      <c r="FP12" s="18"/>
      <c r="FQ12" s="18"/>
      <c r="FR12" s="18"/>
      <c r="FS12" s="18"/>
      <c r="FT12" s="18"/>
      <c r="FU12" s="18"/>
      <c r="FV12" s="18"/>
      <c r="FW12" s="18"/>
      <c r="FX12" s="18"/>
      <c r="FY12" s="18"/>
      <c r="FZ12" s="18"/>
      <c r="GA12" s="18"/>
      <c r="GB12" s="18"/>
      <c r="GC12" s="18"/>
      <c r="GD12" s="18"/>
      <c r="GE12" s="18"/>
      <c r="GF12" s="18"/>
      <c r="GG12" s="18"/>
      <c r="GH12" s="18"/>
      <c r="GI12" s="18"/>
      <c r="GJ12" s="18"/>
      <c r="GK12" s="18"/>
      <c r="GL12" s="18"/>
      <c r="GM12" s="18"/>
      <c r="GN12" s="18"/>
      <c r="GO12" s="18"/>
      <c r="GP12" s="18"/>
      <c r="GQ12" s="18"/>
      <c r="GR12" s="18"/>
      <c r="GS12" s="18"/>
      <c r="GT12" s="18"/>
      <c r="GU12" s="18"/>
      <c r="GV12" s="18"/>
      <c r="GW12" s="18"/>
      <c r="GX12" s="18"/>
      <c r="GY12" s="18"/>
      <c r="GZ12" s="18"/>
      <c r="HA12" s="18"/>
      <c r="HB12" s="18"/>
      <c r="HC12" s="18"/>
      <c r="HD12" s="18"/>
      <c r="HE12" s="18"/>
      <c r="HF12" s="18"/>
      <c r="HG12" s="18"/>
      <c r="HH12" s="18"/>
      <c r="HI12" s="18"/>
      <c r="HJ12" s="18"/>
      <c r="HK12" s="18"/>
      <c r="HL12" s="18"/>
      <c r="HM12" s="18"/>
      <c r="HN12" s="18"/>
      <c r="HO12" s="18"/>
      <c r="HP12" s="18"/>
      <c r="HQ12" s="18"/>
    </row>
    <row r="13" spans="2:226" ht="16.5">
      <c r="C13" s="40" t="s">
        <v>244</v>
      </c>
      <c r="D13" s="49">
        <f>RESUMEN!C11</f>
        <v>2026</v>
      </c>
      <c r="E13" s="20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  <c r="AC13" s="18"/>
      <c r="AD13" s="18"/>
      <c r="AE13" s="18"/>
      <c r="AF13" s="18"/>
      <c r="AG13" s="18"/>
      <c r="AH13" s="18"/>
      <c r="AI13" s="18"/>
      <c r="AJ13" s="18"/>
      <c r="AK13" s="18"/>
      <c r="AL13" s="18"/>
      <c r="AM13" s="18"/>
      <c r="AN13" s="18"/>
      <c r="AO13" s="18"/>
      <c r="AP13" s="18"/>
      <c r="AQ13" s="18"/>
      <c r="AR13" s="18"/>
      <c r="AS13" s="18"/>
      <c r="AT13" s="18"/>
      <c r="AU13" s="18"/>
      <c r="AV13" s="18"/>
      <c r="AW13" s="18"/>
      <c r="AX13" s="18"/>
      <c r="AY13" s="18"/>
      <c r="AZ13" s="18"/>
      <c r="BA13" s="18"/>
      <c r="BB13" s="18"/>
      <c r="BC13" s="18"/>
      <c r="BD13" s="18"/>
      <c r="BE13" s="18"/>
      <c r="BF13" s="18"/>
      <c r="BG13" s="18"/>
      <c r="BH13" s="18"/>
      <c r="BI13" s="18"/>
      <c r="BJ13" s="18"/>
      <c r="BK13" s="18"/>
      <c r="BL13" s="18"/>
      <c r="BM13" s="18"/>
      <c r="BN13" s="18"/>
      <c r="BO13" s="18"/>
      <c r="BP13" s="18"/>
      <c r="BQ13" s="18"/>
      <c r="BR13" s="18"/>
      <c r="BS13" s="18"/>
      <c r="BT13" s="18"/>
      <c r="BU13" s="18"/>
      <c r="BV13" s="18"/>
      <c r="BW13" s="18"/>
      <c r="BX13" s="18"/>
      <c r="BY13" s="18"/>
      <c r="BZ13" s="18"/>
      <c r="CA13" s="18"/>
      <c r="CB13" s="18"/>
      <c r="CC13" s="18"/>
      <c r="CD13" s="18"/>
      <c r="CE13" s="18"/>
      <c r="CF13" s="18"/>
      <c r="CG13" s="18"/>
      <c r="CH13" s="18"/>
      <c r="CI13" s="18"/>
      <c r="CJ13" s="18"/>
      <c r="CK13" s="18"/>
      <c r="CL13" s="18"/>
      <c r="CM13" s="18"/>
      <c r="CN13" s="18"/>
      <c r="CO13" s="18"/>
      <c r="CP13" s="18"/>
      <c r="CQ13" s="18"/>
      <c r="CR13" s="18"/>
      <c r="CS13" s="18"/>
      <c r="CT13" s="18"/>
      <c r="CU13" s="18"/>
      <c r="CV13" s="18"/>
      <c r="CW13" s="18"/>
      <c r="CX13" s="18"/>
      <c r="CY13" s="18"/>
      <c r="CZ13" s="18"/>
      <c r="DA13" s="18"/>
      <c r="DB13" s="18"/>
      <c r="DC13" s="18"/>
      <c r="DD13" s="18"/>
      <c r="DE13" s="18"/>
      <c r="DF13" s="18"/>
      <c r="DG13" s="18"/>
      <c r="DH13" s="18"/>
      <c r="DI13" s="18"/>
      <c r="DJ13" s="18"/>
      <c r="DK13" s="18"/>
      <c r="DL13" s="18"/>
      <c r="DM13" s="18"/>
      <c r="DN13" s="18"/>
      <c r="DO13" s="18"/>
      <c r="DP13" s="18"/>
      <c r="DQ13" s="18"/>
      <c r="DR13" s="18"/>
      <c r="DS13" s="18"/>
      <c r="DT13" s="18"/>
      <c r="DU13" s="18"/>
      <c r="DV13" s="18"/>
      <c r="DW13" s="18"/>
      <c r="DX13" s="18"/>
      <c r="DY13" s="18"/>
      <c r="DZ13" s="18"/>
      <c r="EA13" s="18"/>
      <c r="EB13" s="18"/>
      <c r="EC13" s="18"/>
      <c r="ED13" s="18"/>
      <c r="EE13" s="18"/>
      <c r="EF13" s="18"/>
      <c r="EG13" s="18"/>
      <c r="EH13" s="18"/>
      <c r="EI13" s="18"/>
      <c r="EJ13" s="18"/>
      <c r="EK13" s="18"/>
      <c r="EL13" s="18"/>
      <c r="EM13" s="18"/>
      <c r="EN13" s="18"/>
      <c r="EO13" s="18"/>
      <c r="EP13" s="18"/>
      <c r="EQ13" s="18"/>
      <c r="ER13" s="18"/>
      <c r="ES13" s="18"/>
      <c r="ET13" s="18"/>
      <c r="EU13" s="18"/>
      <c r="EV13" s="18"/>
      <c r="EW13" s="18"/>
      <c r="EX13" s="18"/>
      <c r="EY13" s="18"/>
      <c r="EZ13" s="18"/>
      <c r="FA13" s="18"/>
      <c r="FB13" s="18"/>
      <c r="FC13" s="18"/>
      <c r="FD13" s="18"/>
      <c r="FE13" s="18"/>
      <c r="FF13" s="18"/>
      <c r="FG13" s="18"/>
      <c r="FH13" s="18"/>
      <c r="FI13" s="18"/>
      <c r="FJ13" s="18"/>
      <c r="FK13" s="18"/>
      <c r="FL13" s="18"/>
      <c r="FM13" s="18"/>
      <c r="FN13" s="18"/>
      <c r="FO13" s="18"/>
      <c r="FP13" s="18"/>
      <c r="FQ13" s="18"/>
      <c r="FR13" s="18"/>
      <c r="FS13" s="18"/>
      <c r="FT13" s="18"/>
      <c r="FU13" s="18"/>
      <c r="FV13" s="18"/>
      <c r="FW13" s="18"/>
      <c r="FX13" s="18"/>
      <c r="FY13" s="18"/>
      <c r="FZ13" s="18"/>
      <c r="GA13" s="18"/>
      <c r="GB13" s="18"/>
      <c r="GC13" s="18"/>
      <c r="GD13" s="18"/>
      <c r="GE13" s="18"/>
      <c r="GF13" s="18"/>
      <c r="GG13" s="18"/>
      <c r="GH13" s="18"/>
      <c r="GI13" s="18"/>
      <c r="GJ13" s="18"/>
      <c r="GK13" s="18"/>
      <c r="GL13" s="18"/>
      <c r="GM13" s="18"/>
      <c r="GN13" s="18"/>
      <c r="GO13" s="18"/>
      <c r="GP13" s="18"/>
      <c r="GQ13" s="18"/>
      <c r="GR13" s="18"/>
      <c r="GS13" s="18"/>
      <c r="GT13" s="18"/>
      <c r="GU13" s="18"/>
      <c r="GV13" s="18"/>
      <c r="GW13" s="18"/>
      <c r="GX13" s="18"/>
      <c r="GY13" s="18"/>
      <c r="GZ13" s="18"/>
      <c r="HA13" s="18"/>
      <c r="HB13" s="18"/>
      <c r="HC13" s="18"/>
      <c r="HD13" s="18"/>
      <c r="HE13" s="18"/>
      <c r="HF13" s="18"/>
      <c r="HG13" s="18"/>
      <c r="HH13" s="18"/>
      <c r="HI13" s="18"/>
      <c r="HJ13" s="18"/>
      <c r="HK13" s="18"/>
      <c r="HL13" s="18"/>
      <c r="HM13" s="18"/>
      <c r="HN13" s="18"/>
      <c r="HO13" s="18"/>
      <c r="HP13" s="18"/>
      <c r="HQ13" s="18"/>
    </row>
    <row r="14" spans="2:226" ht="16.5">
      <c r="C14" s="40" t="s">
        <v>245</v>
      </c>
      <c r="D14" s="49" t="str">
        <f>RESUMEN!C12</f>
        <v>Julio</v>
      </c>
      <c r="E14" s="20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8"/>
      <c r="AB14" s="18"/>
      <c r="AC14" s="18"/>
      <c r="AD14" s="18"/>
      <c r="AE14" s="18"/>
      <c r="AF14" s="18"/>
      <c r="AG14" s="18"/>
      <c r="AH14" s="18"/>
      <c r="AI14" s="18"/>
      <c r="AJ14" s="18"/>
      <c r="AK14" s="18"/>
      <c r="AL14" s="18"/>
      <c r="AM14" s="18"/>
      <c r="AN14" s="18"/>
      <c r="AO14" s="18"/>
      <c r="AP14" s="18"/>
      <c r="AQ14" s="18"/>
      <c r="AR14" s="18"/>
      <c r="AS14" s="18"/>
      <c r="AT14" s="18"/>
      <c r="AU14" s="18"/>
      <c r="AV14" s="18"/>
      <c r="AW14" s="18"/>
      <c r="AX14" s="18"/>
      <c r="AY14" s="18"/>
      <c r="AZ14" s="18"/>
      <c r="BA14" s="18"/>
      <c r="BB14" s="18"/>
      <c r="BC14" s="18"/>
      <c r="BD14" s="18"/>
      <c r="BE14" s="18"/>
      <c r="BF14" s="18"/>
      <c r="BG14" s="18"/>
      <c r="BH14" s="18"/>
      <c r="BI14" s="18"/>
      <c r="BJ14" s="18"/>
      <c r="BK14" s="18"/>
      <c r="BL14" s="18"/>
      <c r="BM14" s="18"/>
      <c r="BN14" s="18"/>
      <c r="BO14" s="18"/>
      <c r="BP14" s="18"/>
      <c r="BQ14" s="18"/>
      <c r="BR14" s="18"/>
      <c r="BS14" s="18"/>
      <c r="BT14" s="18"/>
      <c r="BU14" s="18"/>
      <c r="BV14" s="18"/>
      <c r="BW14" s="18"/>
      <c r="BX14" s="18"/>
      <c r="BY14" s="18"/>
      <c r="BZ14" s="18"/>
      <c r="CA14" s="18"/>
      <c r="CB14" s="18"/>
      <c r="CC14" s="18"/>
      <c r="CD14" s="18"/>
      <c r="CE14" s="18"/>
      <c r="CF14" s="18"/>
      <c r="CG14" s="18"/>
      <c r="CH14" s="18"/>
      <c r="CI14" s="18"/>
      <c r="CJ14" s="18"/>
      <c r="CK14" s="18"/>
      <c r="CL14" s="18"/>
      <c r="CM14" s="18"/>
      <c r="CN14" s="18"/>
      <c r="CO14" s="18"/>
      <c r="CP14" s="18"/>
      <c r="CQ14" s="18"/>
      <c r="CR14" s="18"/>
      <c r="CS14" s="18"/>
      <c r="CT14" s="18"/>
      <c r="CU14" s="18"/>
      <c r="CV14" s="18"/>
      <c r="CW14" s="18"/>
      <c r="CX14" s="18"/>
      <c r="CY14" s="18"/>
      <c r="CZ14" s="18"/>
      <c r="DA14" s="18"/>
      <c r="DB14" s="18"/>
      <c r="DC14" s="18"/>
      <c r="DD14" s="18"/>
      <c r="DE14" s="18"/>
      <c r="DF14" s="18"/>
      <c r="DG14" s="18"/>
      <c r="DH14" s="18"/>
      <c r="DI14" s="18"/>
      <c r="DJ14" s="18"/>
      <c r="DK14" s="18"/>
      <c r="DL14" s="18"/>
      <c r="DM14" s="18"/>
      <c r="DN14" s="18"/>
      <c r="DO14" s="18"/>
      <c r="DP14" s="18"/>
      <c r="DQ14" s="18"/>
      <c r="DR14" s="18"/>
      <c r="DS14" s="18"/>
      <c r="DT14" s="18"/>
      <c r="DU14" s="18"/>
      <c r="DV14" s="18"/>
      <c r="DW14" s="18"/>
      <c r="DX14" s="18"/>
      <c r="DY14" s="18"/>
      <c r="DZ14" s="18"/>
      <c r="EA14" s="18"/>
      <c r="EB14" s="18"/>
      <c r="EC14" s="18"/>
      <c r="ED14" s="18"/>
      <c r="EE14" s="18"/>
      <c r="EF14" s="18"/>
      <c r="EG14" s="18"/>
      <c r="EH14" s="18"/>
      <c r="EI14" s="18"/>
      <c r="EJ14" s="18"/>
      <c r="EK14" s="18"/>
      <c r="EL14" s="18"/>
      <c r="EM14" s="18"/>
      <c r="EN14" s="18"/>
      <c r="EO14" s="18"/>
      <c r="EP14" s="18"/>
      <c r="EQ14" s="18"/>
      <c r="ER14" s="18"/>
      <c r="ES14" s="18"/>
      <c r="ET14" s="18"/>
      <c r="EU14" s="18"/>
      <c r="EV14" s="18"/>
      <c r="EW14" s="18"/>
      <c r="EX14" s="18"/>
      <c r="EY14" s="18"/>
      <c r="EZ14" s="18"/>
      <c r="FA14" s="18"/>
      <c r="FB14" s="18"/>
      <c r="FC14" s="18"/>
      <c r="FD14" s="18"/>
      <c r="FE14" s="18"/>
      <c r="FF14" s="18"/>
      <c r="FG14" s="18"/>
      <c r="FH14" s="18"/>
      <c r="FI14" s="18"/>
      <c r="FJ14" s="18"/>
      <c r="FK14" s="18"/>
      <c r="FL14" s="18"/>
      <c r="FM14" s="18"/>
      <c r="FN14" s="18"/>
      <c r="FO14" s="18"/>
      <c r="FP14" s="18"/>
      <c r="FQ14" s="18"/>
      <c r="FR14" s="18"/>
      <c r="FS14" s="18"/>
      <c r="FT14" s="18"/>
      <c r="FU14" s="18"/>
      <c r="FV14" s="18"/>
      <c r="FW14" s="18"/>
      <c r="FX14" s="18"/>
      <c r="FY14" s="18"/>
      <c r="FZ14" s="18"/>
      <c r="GA14" s="18"/>
      <c r="GB14" s="18"/>
      <c r="GC14" s="18"/>
      <c r="GD14" s="18"/>
      <c r="GE14" s="18"/>
      <c r="GF14" s="18"/>
      <c r="GG14" s="18"/>
      <c r="GH14" s="18"/>
      <c r="GI14" s="18"/>
      <c r="GJ14" s="18"/>
      <c r="GK14" s="18"/>
      <c r="GL14" s="18"/>
      <c r="GM14" s="18"/>
      <c r="GN14" s="18"/>
      <c r="GO14" s="18"/>
      <c r="GP14" s="18"/>
      <c r="GQ14" s="18"/>
      <c r="GR14" s="18"/>
      <c r="GS14" s="18"/>
      <c r="GT14" s="18"/>
      <c r="GU14" s="18"/>
      <c r="GV14" s="18"/>
      <c r="GW14" s="18"/>
      <c r="GX14" s="18"/>
      <c r="GY14" s="18"/>
      <c r="GZ14" s="18"/>
      <c r="HA14" s="18"/>
      <c r="HB14" s="18"/>
      <c r="HC14" s="18"/>
      <c r="HD14" s="18"/>
      <c r="HE14" s="18"/>
      <c r="HF14" s="18"/>
      <c r="HG14" s="18"/>
      <c r="HH14" s="18"/>
      <c r="HI14" s="18"/>
      <c r="HJ14" s="18"/>
      <c r="HK14" s="18"/>
      <c r="HL14" s="18"/>
      <c r="HM14" s="18"/>
      <c r="HN14" s="18"/>
      <c r="HO14" s="18"/>
      <c r="HP14" s="18"/>
      <c r="HQ14" s="18"/>
    </row>
    <row r="15" spans="2:226" ht="16.5">
      <c r="C15" s="23"/>
      <c r="D15" s="24"/>
      <c r="E15" s="20"/>
      <c r="F15" s="18"/>
      <c r="G15" s="18"/>
      <c r="H15" s="2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18"/>
      <c r="AC15" s="18"/>
      <c r="AD15" s="18"/>
      <c r="AE15" s="18"/>
      <c r="AF15" s="18"/>
      <c r="AG15" s="18"/>
      <c r="AH15" s="18"/>
      <c r="AI15" s="18"/>
      <c r="AJ15" s="18"/>
      <c r="AK15" s="18"/>
      <c r="AL15" s="18"/>
      <c r="AM15" s="18"/>
      <c r="AN15" s="18"/>
      <c r="AO15" s="18"/>
      <c r="AP15" s="18"/>
      <c r="AQ15" s="18"/>
      <c r="AR15" s="18"/>
      <c r="AS15" s="18"/>
      <c r="AT15" s="18"/>
      <c r="AU15" s="18"/>
      <c r="AV15" s="18"/>
      <c r="AW15" s="18"/>
      <c r="AX15" s="18"/>
      <c r="AY15" s="18"/>
      <c r="AZ15" s="18"/>
      <c r="BA15" s="18"/>
      <c r="BB15" s="18"/>
      <c r="BC15" s="18"/>
      <c r="BD15" s="18"/>
      <c r="BE15" s="18"/>
      <c r="BF15" s="18"/>
      <c r="BG15" s="18"/>
      <c r="BH15" s="18"/>
      <c r="BI15" s="18"/>
      <c r="BJ15" s="18"/>
      <c r="BK15" s="18"/>
      <c r="BL15" s="18"/>
      <c r="BM15" s="18"/>
      <c r="BN15" s="18"/>
      <c r="BO15" s="18"/>
      <c r="BP15" s="18"/>
      <c r="BQ15" s="18"/>
      <c r="BR15" s="18"/>
      <c r="BS15" s="18"/>
      <c r="BT15" s="18"/>
      <c r="BU15" s="18"/>
      <c r="BV15" s="18"/>
      <c r="BW15" s="18"/>
      <c r="BX15" s="18"/>
      <c r="BY15" s="18"/>
      <c r="BZ15" s="18"/>
      <c r="CA15" s="18"/>
      <c r="CB15" s="18"/>
      <c r="CC15" s="18"/>
      <c r="CD15" s="18"/>
      <c r="CE15" s="18"/>
      <c r="CF15" s="18"/>
      <c r="CG15" s="18"/>
      <c r="CH15" s="18"/>
      <c r="CI15" s="18"/>
      <c r="CJ15" s="18"/>
      <c r="CK15" s="18"/>
      <c r="CL15" s="18"/>
      <c r="CM15" s="18"/>
      <c r="CN15" s="18"/>
      <c r="CO15" s="18"/>
      <c r="CP15" s="18"/>
      <c r="CQ15" s="18"/>
      <c r="CR15" s="18"/>
      <c r="CS15" s="18"/>
      <c r="CT15" s="18"/>
      <c r="CU15" s="18"/>
      <c r="CV15" s="18"/>
      <c r="CW15" s="18"/>
      <c r="CX15" s="18"/>
      <c r="CY15" s="18"/>
      <c r="CZ15" s="18"/>
      <c r="DA15" s="18"/>
      <c r="DB15" s="18"/>
      <c r="DC15" s="18"/>
      <c r="DD15" s="18"/>
      <c r="DE15" s="18"/>
      <c r="DF15" s="18"/>
      <c r="DG15" s="18"/>
      <c r="DH15" s="18"/>
      <c r="DI15" s="18"/>
      <c r="DJ15" s="18"/>
      <c r="DK15" s="18"/>
      <c r="DL15" s="18"/>
      <c r="DM15" s="18"/>
      <c r="DN15" s="18"/>
      <c r="DO15" s="18"/>
      <c r="DP15" s="18"/>
      <c r="DQ15" s="18"/>
      <c r="DR15" s="18"/>
      <c r="DS15" s="18"/>
      <c r="DT15" s="18"/>
      <c r="DU15" s="18"/>
      <c r="DV15" s="18"/>
      <c r="DW15" s="18"/>
      <c r="DX15" s="18"/>
      <c r="DY15" s="18"/>
      <c r="DZ15" s="18"/>
      <c r="EA15" s="18"/>
      <c r="EB15" s="18"/>
      <c r="EC15" s="18"/>
      <c r="ED15" s="18"/>
      <c r="EE15" s="18"/>
      <c r="EF15" s="18"/>
      <c r="EG15" s="18"/>
      <c r="EH15" s="18"/>
      <c r="EI15" s="18"/>
      <c r="EJ15" s="18"/>
      <c r="EK15" s="18"/>
      <c r="EL15" s="18"/>
      <c r="EM15" s="18"/>
      <c r="EN15" s="18"/>
      <c r="EO15" s="18"/>
      <c r="EP15" s="18"/>
      <c r="EQ15" s="18"/>
      <c r="ER15" s="18"/>
      <c r="ES15" s="18"/>
      <c r="ET15" s="18"/>
      <c r="EU15" s="18"/>
      <c r="EV15" s="18"/>
      <c r="EW15" s="18"/>
      <c r="EX15" s="18"/>
      <c r="EY15" s="18"/>
      <c r="EZ15" s="18"/>
      <c r="FA15" s="18"/>
      <c r="FB15" s="18"/>
      <c r="FC15" s="18"/>
      <c r="FD15" s="18"/>
      <c r="FE15" s="18"/>
      <c r="FF15" s="18"/>
      <c r="FG15" s="18"/>
      <c r="FH15" s="18"/>
      <c r="FI15" s="18"/>
      <c r="FJ15" s="18"/>
      <c r="FK15" s="18"/>
      <c r="FL15" s="18"/>
      <c r="FM15" s="18"/>
      <c r="FN15" s="18"/>
      <c r="FO15" s="18"/>
      <c r="FP15" s="18"/>
      <c r="FQ15" s="18"/>
      <c r="FR15" s="18"/>
      <c r="FS15" s="18"/>
      <c r="FT15" s="18"/>
      <c r="FU15" s="18"/>
      <c r="FV15" s="18"/>
      <c r="FW15" s="18"/>
      <c r="FX15" s="18"/>
      <c r="FY15" s="18"/>
      <c r="FZ15" s="18"/>
      <c r="GA15" s="18"/>
      <c r="GB15" s="18"/>
      <c r="GC15" s="18"/>
      <c r="GD15" s="18"/>
      <c r="GE15" s="18"/>
      <c r="GF15" s="18"/>
      <c r="GG15" s="18"/>
      <c r="GH15" s="18"/>
      <c r="GI15" s="18"/>
      <c r="GJ15" s="18"/>
      <c r="GK15" s="18"/>
      <c r="GL15" s="18"/>
      <c r="GM15" s="18"/>
      <c r="GN15" s="18"/>
      <c r="GO15" s="18"/>
      <c r="GP15" s="18"/>
      <c r="GQ15" s="18"/>
      <c r="GR15" s="18"/>
      <c r="GS15" s="18"/>
      <c r="GT15" s="18"/>
      <c r="GU15" s="18"/>
      <c r="GV15" s="18"/>
      <c r="GW15" s="18"/>
      <c r="GX15" s="18"/>
      <c r="GY15" s="18"/>
      <c r="GZ15" s="18"/>
      <c r="HA15" s="18"/>
      <c r="HB15" s="18"/>
      <c r="HC15" s="18"/>
      <c r="HD15" s="18"/>
      <c r="HE15" s="18"/>
      <c r="HF15" s="18"/>
      <c r="HG15" s="18"/>
      <c r="HH15" s="18"/>
      <c r="HI15" s="18"/>
      <c r="HJ15" s="18"/>
      <c r="HK15" s="18"/>
      <c r="HL15" s="18"/>
      <c r="HM15" s="18"/>
      <c r="HN15" s="18"/>
      <c r="HO15" s="18"/>
      <c r="HP15" s="18"/>
      <c r="HQ15" s="18"/>
      <c r="HR15" s="18"/>
    </row>
    <row r="16" spans="2:226" ht="15" customHeight="1">
      <c r="B16" s="119" t="s">
        <v>2</v>
      </c>
      <c r="C16" s="120"/>
      <c r="D16" s="121"/>
    </row>
    <row r="17" spans="2:7" ht="15">
      <c r="B17" s="117" t="s">
        <v>246</v>
      </c>
      <c r="C17" s="118"/>
      <c r="D17" s="50" t="s">
        <v>4</v>
      </c>
    </row>
    <row r="18" spans="2:7" ht="15">
      <c r="B18" s="112" t="s">
        <v>247</v>
      </c>
      <c r="C18" s="113"/>
      <c r="D18" s="50" t="s">
        <v>426</v>
      </c>
    </row>
    <row r="19" spans="2:7" ht="15">
      <c r="B19" s="51" t="s">
        <v>74</v>
      </c>
      <c r="C19" s="52" t="s">
        <v>73</v>
      </c>
      <c r="D19" s="53" t="s">
        <v>72</v>
      </c>
      <c r="G19" s="29"/>
    </row>
    <row r="20" spans="2:7" ht="20.25">
      <c r="B20" s="68">
        <v>10101</v>
      </c>
      <c r="C20" s="69" t="s">
        <v>265</v>
      </c>
      <c r="D20" s="97">
        <v>0</v>
      </c>
    </row>
    <row r="21" spans="2:7" ht="20.25">
      <c r="B21" s="58">
        <v>10102</v>
      </c>
      <c r="C21" s="59" t="s">
        <v>266</v>
      </c>
      <c r="D21" s="98">
        <v>0</v>
      </c>
    </row>
    <row r="22" spans="2:7" ht="20.25">
      <c r="B22" s="68">
        <v>10103</v>
      </c>
      <c r="C22" s="69" t="s">
        <v>267</v>
      </c>
      <c r="D22" s="97">
        <v>12</v>
      </c>
    </row>
    <row r="23" spans="2:7" ht="20.25">
      <c r="B23" s="58">
        <v>10104</v>
      </c>
      <c r="C23" s="59" t="s">
        <v>268</v>
      </c>
      <c r="D23" s="99">
        <v>12</v>
      </c>
    </row>
    <row r="24" spans="2:7" ht="20.25">
      <c r="B24" s="68">
        <v>10105</v>
      </c>
      <c r="C24" s="69" t="s">
        <v>269</v>
      </c>
      <c r="D24" s="97">
        <v>0</v>
      </c>
    </row>
    <row r="25" spans="2:7" ht="20.25">
      <c r="B25" s="58">
        <v>10106</v>
      </c>
      <c r="C25" s="59" t="s">
        <v>270</v>
      </c>
      <c r="D25" s="99">
        <v>0</v>
      </c>
    </row>
    <row r="26" spans="2:7" ht="20.25">
      <c r="B26" s="68">
        <v>10107</v>
      </c>
      <c r="C26" s="69" t="s">
        <v>271</v>
      </c>
      <c r="D26" s="97">
        <v>22</v>
      </c>
    </row>
    <row r="27" spans="2:7" ht="20.25">
      <c r="B27" s="58">
        <v>10108</v>
      </c>
      <c r="C27" s="59" t="s">
        <v>272</v>
      </c>
      <c r="D27" s="99">
        <v>0</v>
      </c>
    </row>
    <row r="28" spans="2:7" ht="20.25">
      <c r="B28" s="68">
        <v>10109</v>
      </c>
      <c r="C28" s="69" t="s">
        <v>273</v>
      </c>
      <c r="D28" s="97">
        <v>0</v>
      </c>
    </row>
    <row r="29" spans="2:7" ht="20.25">
      <c r="B29" s="58">
        <v>10110</v>
      </c>
      <c r="C29" s="59" t="s">
        <v>274</v>
      </c>
      <c r="D29" s="98">
        <v>0</v>
      </c>
    </row>
    <row r="30" spans="2:7" ht="20.25">
      <c r="B30" s="68">
        <v>10111</v>
      </c>
      <c r="C30" s="69" t="s">
        <v>275</v>
      </c>
      <c r="D30" s="97">
        <v>0</v>
      </c>
    </row>
    <row r="31" spans="2:7" ht="20.25">
      <c r="B31" s="58">
        <v>10112</v>
      </c>
      <c r="C31" s="59" t="s">
        <v>276</v>
      </c>
      <c r="D31" s="99">
        <v>0</v>
      </c>
    </row>
    <row r="32" spans="2:7" ht="20.25">
      <c r="B32" s="68">
        <v>10113</v>
      </c>
      <c r="C32" s="69" t="s">
        <v>277</v>
      </c>
      <c r="D32" s="97">
        <v>0</v>
      </c>
    </row>
    <row r="33" spans="2:4" ht="20.25">
      <c r="B33" s="58">
        <v>10114</v>
      </c>
      <c r="C33" s="59" t="s">
        <v>278</v>
      </c>
      <c r="D33" s="99">
        <v>0</v>
      </c>
    </row>
    <row r="34" spans="2:4" ht="20.25">
      <c r="B34" s="68">
        <v>10115</v>
      </c>
      <c r="C34" s="69" t="s">
        <v>279</v>
      </c>
      <c r="D34" s="97">
        <v>0</v>
      </c>
    </row>
    <row r="35" spans="2:4" ht="20.25">
      <c r="B35" s="58">
        <v>10116</v>
      </c>
      <c r="C35" s="59" t="s">
        <v>280</v>
      </c>
      <c r="D35" s="99">
        <v>1</v>
      </c>
    </row>
    <row r="36" spans="2:4" ht="20.25">
      <c r="B36" s="68">
        <v>10117</v>
      </c>
      <c r="C36" s="69" t="s">
        <v>281</v>
      </c>
      <c r="D36" s="97">
        <v>0</v>
      </c>
    </row>
    <row r="37" spans="2:4" ht="20.25">
      <c r="B37" s="58">
        <v>10118</v>
      </c>
      <c r="C37" s="59" t="s">
        <v>282</v>
      </c>
      <c r="D37" s="99">
        <v>0</v>
      </c>
    </row>
    <row r="38" spans="2:4" ht="20.25">
      <c r="B38" s="68">
        <v>10119</v>
      </c>
      <c r="C38" s="69" t="s">
        <v>283</v>
      </c>
      <c r="D38" s="97">
        <v>0</v>
      </c>
    </row>
    <row r="39" spans="2:4" ht="20.25">
      <c r="B39" s="58">
        <v>10120</v>
      </c>
      <c r="C39" s="59" t="s">
        <v>284</v>
      </c>
      <c r="D39" s="99">
        <v>0</v>
      </c>
    </row>
    <row r="40" spans="2:4" ht="20.25">
      <c r="B40" s="68">
        <v>10121</v>
      </c>
      <c r="C40" s="69" t="s">
        <v>285</v>
      </c>
      <c r="D40" s="97">
        <v>0</v>
      </c>
    </row>
    <row r="41" spans="2:4" ht="20.25">
      <c r="B41" s="58">
        <v>10201</v>
      </c>
      <c r="C41" s="59" t="s">
        <v>286</v>
      </c>
      <c r="D41" s="99">
        <v>0</v>
      </c>
    </row>
    <row r="42" spans="2:4" ht="20.25">
      <c r="B42" s="68">
        <v>10202</v>
      </c>
      <c r="C42" s="69" t="s">
        <v>287</v>
      </c>
      <c r="D42" s="97">
        <v>0</v>
      </c>
    </row>
    <row r="43" spans="2:4" ht="20.25">
      <c r="B43" s="58">
        <v>10203</v>
      </c>
      <c r="C43" s="59" t="s">
        <v>288</v>
      </c>
      <c r="D43" s="99">
        <v>0</v>
      </c>
    </row>
    <row r="44" spans="2:4" ht="20.25">
      <c r="B44" s="68">
        <v>10204</v>
      </c>
      <c r="C44" s="69" t="s">
        <v>289</v>
      </c>
      <c r="D44" s="97">
        <v>16</v>
      </c>
    </row>
    <row r="45" spans="2:4" ht="20.25">
      <c r="B45" s="58">
        <v>10205</v>
      </c>
      <c r="C45" s="59" t="s">
        <v>290</v>
      </c>
      <c r="D45" s="99">
        <v>0</v>
      </c>
    </row>
    <row r="46" spans="2:4" ht="20.25">
      <c r="B46" s="68">
        <v>10206</v>
      </c>
      <c r="C46" s="69" t="s">
        <v>291</v>
      </c>
      <c r="D46" s="97">
        <v>0</v>
      </c>
    </row>
    <row r="47" spans="2:4" ht="20.25">
      <c r="B47" s="58">
        <v>10207</v>
      </c>
      <c r="C47" s="59" t="s">
        <v>292</v>
      </c>
      <c r="D47" s="99">
        <v>1</v>
      </c>
    </row>
    <row r="48" spans="2:4" ht="20.25">
      <c r="B48" s="68">
        <v>10208</v>
      </c>
      <c r="C48" s="69" t="s">
        <v>293</v>
      </c>
      <c r="D48" s="97">
        <v>0</v>
      </c>
    </row>
    <row r="49" spans="2:4" ht="20.25">
      <c r="B49" s="58">
        <v>10209</v>
      </c>
      <c r="C49" s="59" t="s">
        <v>294</v>
      </c>
      <c r="D49" s="99">
        <v>0</v>
      </c>
    </row>
    <row r="50" spans="2:4" ht="20.25">
      <c r="B50" s="68">
        <v>10210</v>
      </c>
      <c r="C50" s="69" t="s">
        <v>295</v>
      </c>
      <c r="D50" s="97">
        <v>2</v>
      </c>
    </row>
    <row r="51" spans="2:4" ht="20.25">
      <c r="B51" s="58">
        <v>10211</v>
      </c>
      <c r="C51" s="59" t="s">
        <v>77</v>
      </c>
      <c r="D51" s="99">
        <v>0</v>
      </c>
    </row>
    <row r="52" spans="2:4" ht="20.25">
      <c r="B52" s="68">
        <v>10212</v>
      </c>
      <c r="C52" s="69" t="s">
        <v>296</v>
      </c>
      <c r="D52" s="97">
        <v>0</v>
      </c>
    </row>
    <row r="53" spans="2:4" ht="20.25">
      <c r="B53" s="58">
        <v>10213</v>
      </c>
      <c r="C53" s="59" t="s">
        <v>297</v>
      </c>
      <c r="D53" s="99">
        <v>0</v>
      </c>
    </row>
    <row r="54" spans="2:4" ht="20.25">
      <c r="B54" s="68">
        <v>10214</v>
      </c>
      <c r="C54" s="69" t="s">
        <v>298</v>
      </c>
      <c r="D54" s="97">
        <v>0</v>
      </c>
    </row>
    <row r="55" spans="2:4" ht="20.25">
      <c r="B55" s="58">
        <v>10215</v>
      </c>
      <c r="C55" s="59" t="s">
        <v>299</v>
      </c>
      <c r="D55" s="99">
        <v>0</v>
      </c>
    </row>
    <row r="56" spans="2:4" ht="16.5" customHeight="1">
      <c r="B56" s="68">
        <v>10216</v>
      </c>
      <c r="C56" s="69" t="s">
        <v>300</v>
      </c>
      <c r="D56" s="97">
        <v>0</v>
      </c>
    </row>
    <row r="57" spans="2:4" ht="20.25">
      <c r="B57" s="58">
        <v>10217</v>
      </c>
      <c r="C57" s="59" t="s">
        <v>301</v>
      </c>
      <c r="D57" s="99">
        <v>0</v>
      </c>
    </row>
    <row r="58" spans="2:4" ht="20.25">
      <c r="B58" s="68">
        <v>10218</v>
      </c>
      <c r="C58" s="69" t="s">
        <v>302</v>
      </c>
      <c r="D58" s="97">
        <v>0</v>
      </c>
    </row>
    <row r="59" spans="2:4" ht="20.25">
      <c r="B59" s="58">
        <v>10219</v>
      </c>
      <c r="C59" s="59" t="s">
        <v>303</v>
      </c>
      <c r="D59" s="99">
        <v>0</v>
      </c>
    </row>
    <row r="60" spans="2:4" ht="20.25">
      <c r="B60" s="68">
        <v>10220</v>
      </c>
      <c r="C60" s="69" t="s">
        <v>304</v>
      </c>
      <c r="D60" s="97">
        <v>17</v>
      </c>
    </row>
    <row r="61" spans="2:4" ht="20.25">
      <c r="B61" s="58">
        <v>10301</v>
      </c>
      <c r="C61" s="59" t="s">
        <v>305</v>
      </c>
      <c r="D61" s="99">
        <v>0</v>
      </c>
    </row>
    <row r="62" spans="2:4" ht="20.25">
      <c r="B62" s="68">
        <v>10302</v>
      </c>
      <c r="C62" s="69" t="s">
        <v>306</v>
      </c>
      <c r="D62" s="97">
        <v>0</v>
      </c>
    </row>
    <row r="63" spans="2:4" ht="20.25">
      <c r="B63" s="58">
        <v>10303</v>
      </c>
      <c r="C63" s="59" t="s">
        <v>307</v>
      </c>
      <c r="D63" s="99">
        <v>1</v>
      </c>
    </row>
    <row r="64" spans="2:4" ht="20.25">
      <c r="B64" s="68">
        <v>10304</v>
      </c>
      <c r="C64" s="69" t="s">
        <v>308</v>
      </c>
      <c r="D64" s="97">
        <v>0</v>
      </c>
    </row>
    <row r="65" spans="2:4" ht="20.25">
      <c r="B65" s="58">
        <v>10305</v>
      </c>
      <c r="C65" s="59" t="s">
        <v>309</v>
      </c>
      <c r="D65" s="99">
        <v>10</v>
      </c>
    </row>
    <row r="66" spans="2:4" ht="20.25">
      <c r="B66" s="68">
        <v>10306</v>
      </c>
      <c r="C66" s="69" t="s">
        <v>310</v>
      </c>
      <c r="D66" s="97">
        <v>1</v>
      </c>
    </row>
    <row r="67" spans="2:4" ht="20.25">
      <c r="B67" s="58">
        <v>10307</v>
      </c>
      <c r="C67" s="59" t="s">
        <v>75</v>
      </c>
      <c r="D67" s="99">
        <v>7</v>
      </c>
    </row>
    <row r="68" spans="2:4" ht="20.25">
      <c r="B68" s="68">
        <v>10308</v>
      </c>
      <c r="C68" s="69" t="s">
        <v>311</v>
      </c>
      <c r="D68" s="97">
        <v>10</v>
      </c>
    </row>
    <row r="69" spans="2:4" ht="20.25">
      <c r="B69" s="58">
        <v>10309</v>
      </c>
      <c r="C69" s="59" t="s">
        <v>312</v>
      </c>
      <c r="D69" s="99">
        <v>3</v>
      </c>
    </row>
    <row r="70" spans="2:4" ht="20.25">
      <c r="B70" s="68">
        <v>10310</v>
      </c>
      <c r="C70" s="69" t="s">
        <v>313</v>
      </c>
      <c r="D70" s="97">
        <v>1</v>
      </c>
    </row>
    <row r="71" spans="2:4" ht="20.25">
      <c r="B71" s="58">
        <v>10311</v>
      </c>
      <c r="C71" s="59" t="s">
        <v>314</v>
      </c>
      <c r="D71" s="99">
        <v>0</v>
      </c>
    </row>
    <row r="72" spans="2:4" ht="20.25">
      <c r="B72" s="68">
        <v>10312</v>
      </c>
      <c r="C72" s="69" t="s">
        <v>315</v>
      </c>
      <c r="D72" s="97">
        <v>2</v>
      </c>
    </row>
    <row r="73" spans="2:4" ht="20.25">
      <c r="B73" s="58">
        <v>10313</v>
      </c>
      <c r="C73" s="59" t="s">
        <v>316</v>
      </c>
      <c r="D73" s="99">
        <v>0</v>
      </c>
    </row>
    <row r="74" spans="2:4" ht="20.25">
      <c r="B74" s="68">
        <v>10314</v>
      </c>
      <c r="C74" s="69" t="s">
        <v>317</v>
      </c>
      <c r="D74" s="97">
        <v>1</v>
      </c>
    </row>
    <row r="75" spans="2:4" ht="20.25">
      <c r="B75" s="58">
        <v>10315</v>
      </c>
      <c r="C75" s="59" t="s">
        <v>318</v>
      </c>
      <c r="D75" s="99">
        <v>1</v>
      </c>
    </row>
    <row r="76" spans="2:4" ht="20.25">
      <c r="B76" s="68">
        <v>10316</v>
      </c>
      <c r="C76" s="69" t="s">
        <v>319</v>
      </c>
      <c r="D76" s="97">
        <v>72</v>
      </c>
    </row>
    <row r="77" spans="2:4" ht="20.25">
      <c r="B77" s="58">
        <v>10317</v>
      </c>
      <c r="C77" s="59" t="s">
        <v>320</v>
      </c>
      <c r="D77" s="99">
        <v>13</v>
      </c>
    </row>
    <row r="78" spans="2:4" ht="20.25">
      <c r="B78" s="68">
        <v>10318</v>
      </c>
      <c r="C78" s="69" t="s">
        <v>321</v>
      </c>
      <c r="D78" s="97">
        <v>2</v>
      </c>
    </row>
    <row r="79" spans="2:4" ht="20.25">
      <c r="B79" s="58">
        <v>10319</v>
      </c>
      <c r="C79" s="59" t="s">
        <v>81</v>
      </c>
      <c r="D79" s="99">
        <v>0</v>
      </c>
    </row>
    <row r="80" spans="2:4" ht="20.25">
      <c r="B80" s="70">
        <v>20101</v>
      </c>
      <c r="C80" s="71" t="s">
        <v>322</v>
      </c>
      <c r="D80" s="100">
        <v>0</v>
      </c>
    </row>
    <row r="81" spans="2:4" ht="20.25">
      <c r="B81" s="60">
        <v>20102</v>
      </c>
      <c r="C81" s="61" t="s">
        <v>264</v>
      </c>
      <c r="D81" s="101">
        <v>0</v>
      </c>
    </row>
    <row r="82" spans="2:4" ht="20.25">
      <c r="B82" s="70">
        <v>20103</v>
      </c>
      <c r="C82" s="71" t="s">
        <v>79</v>
      </c>
      <c r="D82" s="100">
        <v>11</v>
      </c>
    </row>
    <row r="83" spans="2:4" ht="20.25">
      <c r="B83" s="60">
        <v>20104</v>
      </c>
      <c r="C83" s="61" t="s">
        <v>80</v>
      </c>
      <c r="D83" s="101">
        <v>1</v>
      </c>
    </row>
    <row r="84" spans="2:4" ht="20.25">
      <c r="B84" s="70">
        <v>20105</v>
      </c>
      <c r="C84" s="71" t="s">
        <v>323</v>
      </c>
      <c r="D84" s="100">
        <v>0</v>
      </c>
    </row>
    <row r="85" spans="2:4" ht="20.25">
      <c r="B85" s="60">
        <v>20106</v>
      </c>
      <c r="C85" s="61" t="s">
        <v>324</v>
      </c>
      <c r="D85" s="101">
        <v>0</v>
      </c>
    </row>
    <row r="86" spans="2:4" ht="20.25">
      <c r="B86" s="70">
        <v>20107</v>
      </c>
      <c r="C86" s="71" t="s">
        <v>82</v>
      </c>
      <c r="D86" s="100">
        <v>0</v>
      </c>
    </row>
    <row r="87" spans="2:4" ht="20.25">
      <c r="B87" s="60">
        <v>20108</v>
      </c>
      <c r="C87" s="61" t="s">
        <v>325</v>
      </c>
      <c r="D87" s="101">
        <v>4</v>
      </c>
    </row>
    <row r="88" spans="2:4" ht="20.25">
      <c r="B88" s="70">
        <v>20109</v>
      </c>
      <c r="C88" s="71" t="s">
        <v>326</v>
      </c>
      <c r="D88" s="100">
        <v>0</v>
      </c>
    </row>
    <row r="89" spans="2:4" ht="20.25">
      <c r="B89" s="60">
        <v>20110</v>
      </c>
      <c r="C89" s="61" t="s">
        <v>327</v>
      </c>
      <c r="D89" s="101">
        <v>0</v>
      </c>
    </row>
    <row r="90" spans="2:4" ht="20.25">
      <c r="B90" s="70">
        <v>20111</v>
      </c>
      <c r="C90" s="71" t="s">
        <v>328</v>
      </c>
      <c r="D90" s="100">
        <v>4</v>
      </c>
    </row>
    <row r="91" spans="2:4" ht="20.25">
      <c r="B91" s="60">
        <v>20112</v>
      </c>
      <c r="C91" s="61" t="s">
        <v>329</v>
      </c>
      <c r="D91" s="101">
        <v>0</v>
      </c>
    </row>
    <row r="92" spans="2:4" ht="20.25">
      <c r="B92" s="70">
        <v>20113</v>
      </c>
      <c r="C92" s="71" t="s">
        <v>196</v>
      </c>
      <c r="D92" s="100">
        <v>0</v>
      </c>
    </row>
    <row r="93" spans="2:4" ht="20.25">
      <c r="B93" s="60">
        <v>20114</v>
      </c>
      <c r="C93" s="61" t="s">
        <v>83</v>
      </c>
      <c r="D93" s="101">
        <v>0</v>
      </c>
    </row>
    <row r="94" spans="2:4" ht="20.25">
      <c r="B94" s="70">
        <v>20201</v>
      </c>
      <c r="C94" s="71" t="s">
        <v>84</v>
      </c>
      <c r="D94" s="100">
        <v>33</v>
      </c>
    </row>
    <row r="95" spans="2:4" ht="20.25">
      <c r="B95" s="60">
        <v>20202</v>
      </c>
      <c r="C95" s="61" t="s">
        <v>85</v>
      </c>
      <c r="D95" s="101">
        <v>0</v>
      </c>
    </row>
    <row r="96" spans="2:4" ht="20.25">
      <c r="B96" s="70">
        <v>20203</v>
      </c>
      <c r="C96" s="71" t="s">
        <v>86</v>
      </c>
      <c r="D96" s="100">
        <v>13</v>
      </c>
    </row>
    <row r="97" spans="2:4" ht="20.25">
      <c r="B97" s="60">
        <v>20204</v>
      </c>
      <c r="C97" s="61" t="s">
        <v>87</v>
      </c>
      <c r="D97" s="101">
        <v>0</v>
      </c>
    </row>
    <row r="98" spans="2:4" ht="20.25">
      <c r="B98" s="70">
        <v>20205</v>
      </c>
      <c r="C98" s="71" t="s">
        <v>88</v>
      </c>
      <c r="D98" s="100">
        <v>0</v>
      </c>
    </row>
    <row r="99" spans="2:4" ht="20.25">
      <c r="B99" s="60">
        <v>20206</v>
      </c>
      <c r="C99" s="61" t="s">
        <v>89</v>
      </c>
      <c r="D99" s="101">
        <v>0</v>
      </c>
    </row>
    <row r="100" spans="2:4" ht="20.25">
      <c r="B100" s="70">
        <v>20207</v>
      </c>
      <c r="C100" s="71" t="s">
        <v>90</v>
      </c>
      <c r="D100" s="100">
        <v>0</v>
      </c>
    </row>
    <row r="101" spans="2:4" ht="20.25">
      <c r="B101" s="60">
        <v>20208</v>
      </c>
      <c r="C101" s="61" t="s">
        <v>91</v>
      </c>
      <c r="D101" s="101">
        <v>0</v>
      </c>
    </row>
    <row r="102" spans="2:4" ht="20.25">
      <c r="B102" s="70">
        <v>20209</v>
      </c>
      <c r="C102" s="71" t="s">
        <v>92</v>
      </c>
      <c r="D102" s="100">
        <v>0</v>
      </c>
    </row>
    <row r="103" spans="2:4" ht="20.25">
      <c r="B103" s="60">
        <v>20210</v>
      </c>
      <c r="C103" s="61" t="s">
        <v>193</v>
      </c>
      <c r="D103" s="101">
        <v>0</v>
      </c>
    </row>
    <row r="104" spans="2:4" ht="20.25">
      <c r="B104" s="70">
        <v>20211</v>
      </c>
      <c r="C104" s="71" t="s">
        <v>330</v>
      </c>
      <c r="D104" s="100">
        <v>0</v>
      </c>
    </row>
    <row r="105" spans="2:4" ht="20.25">
      <c r="B105" s="60">
        <v>20212</v>
      </c>
      <c r="C105" s="61" t="s">
        <v>94</v>
      </c>
      <c r="D105" s="101">
        <v>0</v>
      </c>
    </row>
    <row r="106" spans="2:4" ht="20.25">
      <c r="B106" s="70">
        <v>20213</v>
      </c>
      <c r="C106" s="71" t="s">
        <v>95</v>
      </c>
      <c r="D106" s="100">
        <v>0</v>
      </c>
    </row>
    <row r="107" spans="2:4" ht="20.25">
      <c r="B107" s="60">
        <v>20214</v>
      </c>
      <c r="C107" s="61" t="s">
        <v>331</v>
      </c>
      <c r="D107" s="101">
        <v>0</v>
      </c>
    </row>
    <row r="108" spans="2:4" ht="20.25">
      <c r="B108" s="70">
        <v>20301</v>
      </c>
      <c r="C108" s="71" t="s">
        <v>332</v>
      </c>
      <c r="D108" s="100">
        <v>5</v>
      </c>
    </row>
    <row r="109" spans="2:4" ht="20.25">
      <c r="B109" s="60">
        <v>20302</v>
      </c>
      <c r="C109" s="61" t="s">
        <v>333</v>
      </c>
      <c r="D109" s="101">
        <v>0</v>
      </c>
    </row>
    <row r="110" spans="2:4" ht="20.25">
      <c r="B110" s="70">
        <v>20303</v>
      </c>
      <c r="C110" s="71" t="s">
        <v>334</v>
      </c>
      <c r="D110" s="100">
        <v>5</v>
      </c>
    </row>
    <row r="111" spans="2:4" ht="20.25">
      <c r="B111" s="60">
        <v>20304</v>
      </c>
      <c r="C111" s="61" t="s">
        <v>335</v>
      </c>
      <c r="D111" s="101">
        <v>0</v>
      </c>
    </row>
    <row r="112" spans="2:4" ht="20.25">
      <c r="B112" s="70">
        <v>20305</v>
      </c>
      <c r="C112" s="71" t="s">
        <v>336</v>
      </c>
      <c r="D112" s="100">
        <v>0</v>
      </c>
    </row>
    <row r="113" spans="2:4" ht="20.25">
      <c r="B113" s="60">
        <v>20306</v>
      </c>
      <c r="C113" s="61" t="s">
        <v>337</v>
      </c>
      <c r="D113" s="101">
        <v>0</v>
      </c>
    </row>
    <row r="114" spans="2:4" ht="20.25">
      <c r="B114" s="70">
        <v>20307</v>
      </c>
      <c r="C114" s="71" t="s">
        <v>338</v>
      </c>
      <c r="D114" s="100">
        <v>5</v>
      </c>
    </row>
    <row r="115" spans="2:4" ht="20.25">
      <c r="B115" s="60">
        <v>20308</v>
      </c>
      <c r="C115" s="61" t="s">
        <v>339</v>
      </c>
      <c r="D115" s="101">
        <v>0</v>
      </c>
    </row>
    <row r="116" spans="2:4" ht="20.25">
      <c r="B116" s="70">
        <v>20309</v>
      </c>
      <c r="C116" s="71" t="s">
        <v>340</v>
      </c>
      <c r="D116" s="100">
        <v>0</v>
      </c>
    </row>
    <row r="117" spans="2:4" ht="20.25">
      <c r="B117" s="60">
        <v>20310</v>
      </c>
      <c r="C117" s="61" t="s">
        <v>341</v>
      </c>
      <c r="D117" s="101">
        <v>0</v>
      </c>
    </row>
    <row r="118" spans="2:4" ht="20.25">
      <c r="B118" s="70">
        <v>20311</v>
      </c>
      <c r="C118" s="71" t="s">
        <v>342</v>
      </c>
      <c r="D118" s="100">
        <v>20</v>
      </c>
    </row>
    <row r="119" spans="2:4" ht="20.25">
      <c r="B119" s="60">
        <v>20401</v>
      </c>
      <c r="C119" s="61" t="s">
        <v>343</v>
      </c>
      <c r="D119" s="101">
        <v>0</v>
      </c>
    </row>
    <row r="120" spans="2:4" ht="20.25">
      <c r="B120" s="70">
        <v>20402</v>
      </c>
      <c r="C120" s="71" t="s">
        <v>344</v>
      </c>
      <c r="D120" s="100">
        <v>0</v>
      </c>
    </row>
    <row r="121" spans="2:4" ht="20.25">
      <c r="B121" s="60">
        <v>20403</v>
      </c>
      <c r="C121" s="61" t="s">
        <v>345</v>
      </c>
      <c r="D121" s="101">
        <v>7</v>
      </c>
    </row>
    <row r="122" spans="2:4" ht="20.25">
      <c r="B122" s="70">
        <v>20404</v>
      </c>
      <c r="C122" s="71" t="s">
        <v>346</v>
      </c>
      <c r="D122" s="100">
        <v>0</v>
      </c>
    </row>
    <row r="123" spans="2:4" ht="20.25">
      <c r="B123" s="64">
        <v>30101</v>
      </c>
      <c r="C123" s="65" t="s">
        <v>347</v>
      </c>
      <c r="D123" s="102">
        <v>7</v>
      </c>
    </row>
    <row r="124" spans="2:4" ht="20.25">
      <c r="B124" s="62">
        <v>30102</v>
      </c>
      <c r="C124" s="63" t="s">
        <v>96</v>
      </c>
      <c r="D124" s="103">
        <v>14</v>
      </c>
    </row>
    <row r="125" spans="2:4" ht="20.25">
      <c r="B125" s="64">
        <v>30103</v>
      </c>
      <c r="C125" s="65" t="s">
        <v>76</v>
      </c>
      <c r="D125" s="102">
        <v>15</v>
      </c>
    </row>
    <row r="126" spans="2:4" ht="20.25">
      <c r="B126" s="62">
        <v>30201</v>
      </c>
      <c r="C126" s="63" t="s">
        <v>97</v>
      </c>
      <c r="D126" s="103">
        <v>0</v>
      </c>
    </row>
    <row r="127" spans="2:4" ht="20.25">
      <c r="B127" s="64">
        <v>30202</v>
      </c>
      <c r="C127" s="65" t="s">
        <v>418</v>
      </c>
      <c r="D127" s="102">
        <v>3</v>
      </c>
    </row>
    <row r="128" spans="2:4" ht="20.25">
      <c r="B128" s="62">
        <v>30203</v>
      </c>
      <c r="C128" s="63" t="s">
        <v>348</v>
      </c>
      <c r="D128" s="103">
        <v>0</v>
      </c>
    </row>
    <row r="129" spans="2:4" ht="20.25">
      <c r="B129" s="64">
        <v>30204</v>
      </c>
      <c r="C129" s="65" t="s">
        <v>99</v>
      </c>
      <c r="D129" s="102">
        <v>0</v>
      </c>
    </row>
    <row r="130" spans="2:4" ht="20.25">
      <c r="B130" s="62">
        <v>30205</v>
      </c>
      <c r="C130" s="63" t="s">
        <v>349</v>
      </c>
      <c r="D130" s="103">
        <v>1</v>
      </c>
    </row>
    <row r="131" spans="2:4" ht="20.25">
      <c r="B131" s="64">
        <v>30206</v>
      </c>
      <c r="C131" s="65" t="s">
        <v>350</v>
      </c>
      <c r="D131" s="102">
        <v>0</v>
      </c>
    </row>
    <row r="132" spans="2:4" ht="20.25">
      <c r="B132" s="62">
        <v>30207</v>
      </c>
      <c r="C132" s="63" t="s">
        <v>351</v>
      </c>
      <c r="D132" s="103">
        <v>0</v>
      </c>
    </row>
    <row r="133" spans="2:4" ht="20.25">
      <c r="B133" s="64">
        <v>30301</v>
      </c>
      <c r="C133" s="65" t="s">
        <v>100</v>
      </c>
      <c r="D133" s="102">
        <v>0</v>
      </c>
    </row>
    <row r="134" spans="2:4" ht="20.25">
      <c r="B134" s="62">
        <v>30302</v>
      </c>
      <c r="C134" s="63" t="s">
        <v>101</v>
      </c>
      <c r="D134" s="103">
        <v>0</v>
      </c>
    </row>
    <row r="135" spans="2:4" ht="20.25">
      <c r="B135" s="64">
        <v>30303</v>
      </c>
      <c r="C135" s="65" t="s">
        <v>352</v>
      </c>
      <c r="D135" s="102">
        <v>0</v>
      </c>
    </row>
    <row r="136" spans="2:4" ht="20.25">
      <c r="B136" s="62">
        <v>30304</v>
      </c>
      <c r="C136" s="63" t="s">
        <v>102</v>
      </c>
      <c r="D136" s="103">
        <v>0</v>
      </c>
    </row>
    <row r="137" spans="2:4" ht="20.25">
      <c r="B137" s="64">
        <v>30305</v>
      </c>
      <c r="C137" s="65" t="s">
        <v>103</v>
      </c>
      <c r="D137" s="102">
        <v>22</v>
      </c>
    </row>
    <row r="138" spans="2:4" ht="20.25">
      <c r="B138" s="62">
        <v>30306</v>
      </c>
      <c r="C138" s="63" t="s">
        <v>104</v>
      </c>
      <c r="D138" s="103">
        <v>0</v>
      </c>
    </row>
    <row r="139" spans="2:4" ht="20.25">
      <c r="B139" s="64">
        <v>30307</v>
      </c>
      <c r="C139" s="65" t="s">
        <v>105</v>
      </c>
      <c r="D139" s="102">
        <v>9</v>
      </c>
    </row>
    <row r="140" spans="2:4" ht="20.25">
      <c r="B140" s="62">
        <v>30308</v>
      </c>
      <c r="C140" s="63" t="s">
        <v>353</v>
      </c>
      <c r="D140" s="103">
        <v>11</v>
      </c>
    </row>
    <row r="141" spans="2:4" ht="20.25">
      <c r="B141" s="64">
        <v>30309</v>
      </c>
      <c r="C141" s="65" t="s">
        <v>354</v>
      </c>
      <c r="D141" s="102">
        <v>59</v>
      </c>
    </row>
    <row r="142" spans="2:4" ht="20.25">
      <c r="B142" s="62">
        <v>30310</v>
      </c>
      <c r="C142" s="63" t="s">
        <v>355</v>
      </c>
      <c r="D142" s="103">
        <v>57</v>
      </c>
    </row>
    <row r="143" spans="2:4" ht="20.25">
      <c r="B143" s="64">
        <v>30401</v>
      </c>
      <c r="C143" s="65" t="s">
        <v>356</v>
      </c>
      <c r="D143" s="102">
        <v>17</v>
      </c>
    </row>
    <row r="144" spans="2:4" ht="20.25">
      <c r="B144" s="62">
        <v>30402</v>
      </c>
      <c r="C144" s="63" t="s">
        <v>357</v>
      </c>
      <c r="D144" s="103">
        <v>0</v>
      </c>
    </row>
    <row r="145" spans="2:4" ht="20.25">
      <c r="B145" s="64">
        <v>30403</v>
      </c>
      <c r="C145" s="65" t="s">
        <v>358</v>
      </c>
      <c r="D145" s="102">
        <v>1</v>
      </c>
    </row>
    <row r="146" spans="2:4" ht="20.25">
      <c r="B146" s="62">
        <v>30404</v>
      </c>
      <c r="C146" s="63" t="s">
        <v>106</v>
      </c>
      <c r="D146" s="103">
        <v>17</v>
      </c>
    </row>
    <row r="147" spans="2:4" ht="20.25">
      <c r="B147" s="64">
        <v>30405</v>
      </c>
      <c r="C147" s="65" t="s">
        <v>107</v>
      </c>
      <c r="D147" s="102">
        <v>0</v>
      </c>
    </row>
    <row r="148" spans="2:4" ht="20.25">
      <c r="B148" s="62">
        <v>30406</v>
      </c>
      <c r="C148" s="63" t="s">
        <v>108</v>
      </c>
      <c r="D148" s="103">
        <v>0</v>
      </c>
    </row>
    <row r="149" spans="2:4" ht="20.25">
      <c r="B149" s="64">
        <v>30407</v>
      </c>
      <c r="C149" s="65" t="s">
        <v>359</v>
      </c>
      <c r="D149" s="102">
        <v>3</v>
      </c>
    </row>
    <row r="150" spans="2:4" ht="20.25">
      <c r="B150" s="62">
        <v>30408</v>
      </c>
      <c r="C150" s="63" t="s">
        <v>360</v>
      </c>
      <c r="D150" s="103">
        <v>0</v>
      </c>
    </row>
    <row r="151" spans="2:4" ht="20.25">
      <c r="B151" s="64">
        <v>30409</v>
      </c>
      <c r="C151" s="65" t="s">
        <v>110</v>
      </c>
      <c r="D151" s="102">
        <v>0</v>
      </c>
    </row>
    <row r="152" spans="2:4" ht="20.25">
      <c r="B152" s="62">
        <v>30410</v>
      </c>
      <c r="C152" s="63" t="s">
        <v>111</v>
      </c>
      <c r="D152" s="103">
        <v>0</v>
      </c>
    </row>
    <row r="153" spans="2:4" ht="20.25">
      <c r="B153" s="64">
        <v>30411</v>
      </c>
      <c r="C153" s="65" t="s">
        <v>361</v>
      </c>
      <c r="D153" s="102">
        <v>1</v>
      </c>
    </row>
    <row r="154" spans="2:4" ht="20.25">
      <c r="B154" s="62">
        <v>30412</v>
      </c>
      <c r="C154" s="63" t="s">
        <v>112</v>
      </c>
      <c r="D154" s="103">
        <v>1</v>
      </c>
    </row>
    <row r="155" spans="2:4" ht="20.25">
      <c r="B155" s="64">
        <v>30413</v>
      </c>
      <c r="C155" s="65" t="s">
        <v>113</v>
      </c>
      <c r="D155" s="102">
        <v>0</v>
      </c>
    </row>
    <row r="156" spans="2:4" ht="20.25">
      <c r="B156" s="62">
        <v>30414</v>
      </c>
      <c r="C156" s="63" t="s">
        <v>114</v>
      </c>
      <c r="D156" s="103">
        <v>18</v>
      </c>
    </row>
    <row r="157" spans="2:4" ht="20.25">
      <c r="B157" s="64">
        <v>30415</v>
      </c>
      <c r="C157" s="65" t="s">
        <v>115</v>
      </c>
      <c r="D157" s="102">
        <v>0</v>
      </c>
    </row>
    <row r="158" spans="2:4" ht="20.25">
      <c r="B158" s="62">
        <v>30416</v>
      </c>
      <c r="C158" s="63" t="s">
        <v>116</v>
      </c>
      <c r="D158" s="103">
        <v>1</v>
      </c>
    </row>
    <row r="159" spans="2:4" ht="20.25">
      <c r="B159" s="64">
        <v>30417</v>
      </c>
      <c r="C159" s="65" t="s">
        <v>117</v>
      </c>
      <c r="D159" s="102">
        <v>0</v>
      </c>
    </row>
    <row r="160" spans="2:4" ht="20.25">
      <c r="B160" s="62">
        <v>30418</v>
      </c>
      <c r="C160" s="63" t="s">
        <v>118</v>
      </c>
      <c r="D160" s="103">
        <v>0</v>
      </c>
    </row>
    <row r="161" spans="2:4" ht="20.25">
      <c r="B161" s="64">
        <v>30419</v>
      </c>
      <c r="C161" s="65" t="s">
        <v>119</v>
      </c>
      <c r="D161" s="102">
        <v>0</v>
      </c>
    </row>
    <row r="162" spans="2:4" ht="20.25">
      <c r="B162" s="62">
        <v>30420</v>
      </c>
      <c r="C162" s="63" t="s">
        <v>120</v>
      </c>
      <c r="D162" s="103">
        <v>5</v>
      </c>
    </row>
    <row r="163" spans="2:4" ht="20.25">
      <c r="B163" s="64">
        <v>30421</v>
      </c>
      <c r="C163" s="65" t="s">
        <v>121</v>
      </c>
      <c r="D163" s="102">
        <v>1</v>
      </c>
    </row>
    <row r="164" spans="2:4" ht="20.25">
      <c r="B164" s="62">
        <v>30422</v>
      </c>
      <c r="C164" s="63" t="s">
        <v>122</v>
      </c>
      <c r="D164" s="103">
        <v>0</v>
      </c>
    </row>
    <row r="165" spans="2:4" ht="20.25">
      <c r="B165" s="64">
        <v>30423</v>
      </c>
      <c r="C165" s="65" t="s">
        <v>123</v>
      </c>
      <c r="D165" s="102">
        <v>0</v>
      </c>
    </row>
    <row r="166" spans="2:4" ht="20.25">
      <c r="B166" s="62">
        <v>30424</v>
      </c>
      <c r="C166" s="63" t="s">
        <v>124</v>
      </c>
      <c r="D166" s="103">
        <v>0</v>
      </c>
    </row>
    <row r="167" spans="2:4" ht="20.25">
      <c r="B167" s="64">
        <v>30425</v>
      </c>
      <c r="C167" s="65" t="s">
        <v>125</v>
      </c>
      <c r="D167" s="102">
        <v>0</v>
      </c>
    </row>
    <row r="168" spans="2:4" ht="20.25">
      <c r="B168" s="62">
        <v>30426</v>
      </c>
      <c r="C168" s="63" t="s">
        <v>126</v>
      </c>
      <c r="D168" s="103">
        <v>0</v>
      </c>
    </row>
    <row r="169" spans="2:4" ht="20.25">
      <c r="B169" s="64">
        <v>30427</v>
      </c>
      <c r="C169" s="65" t="s">
        <v>127</v>
      </c>
      <c r="D169" s="102">
        <v>0</v>
      </c>
    </row>
    <row r="170" spans="2:4" ht="20.25">
      <c r="B170" s="62">
        <v>30428</v>
      </c>
      <c r="C170" s="63" t="s">
        <v>128</v>
      </c>
      <c r="D170" s="103">
        <v>0</v>
      </c>
    </row>
    <row r="171" spans="2:4" ht="20.25">
      <c r="B171" s="64">
        <v>30429</v>
      </c>
      <c r="C171" s="65" t="s">
        <v>129</v>
      </c>
      <c r="D171" s="102">
        <v>1</v>
      </c>
    </row>
    <row r="172" spans="2:4" ht="20.25">
      <c r="B172" s="62">
        <v>30430</v>
      </c>
      <c r="C172" s="63" t="s">
        <v>130</v>
      </c>
      <c r="D172" s="103">
        <v>6</v>
      </c>
    </row>
    <row r="173" spans="2:4" ht="20.25">
      <c r="B173" s="64">
        <v>30431</v>
      </c>
      <c r="C173" s="65" t="s">
        <v>131</v>
      </c>
      <c r="D173" s="102">
        <v>0</v>
      </c>
    </row>
    <row r="174" spans="2:4" ht="20.25">
      <c r="B174" s="62">
        <v>30432</v>
      </c>
      <c r="C174" s="63" t="s">
        <v>132</v>
      </c>
      <c r="D174" s="103">
        <v>0</v>
      </c>
    </row>
    <row r="175" spans="2:4" ht="20.25">
      <c r="B175" s="64">
        <v>30433</v>
      </c>
      <c r="C175" s="65" t="s">
        <v>133</v>
      </c>
      <c r="D175" s="102">
        <v>0</v>
      </c>
    </row>
    <row r="176" spans="2:4" ht="20.25">
      <c r="B176" s="62">
        <v>30434</v>
      </c>
      <c r="C176" s="63" t="s">
        <v>134</v>
      </c>
      <c r="D176" s="103">
        <v>0</v>
      </c>
    </row>
    <row r="177" spans="2:4" ht="20.25">
      <c r="B177" s="64">
        <v>30435</v>
      </c>
      <c r="C177" s="65" t="s">
        <v>135</v>
      </c>
      <c r="D177" s="102">
        <v>0</v>
      </c>
    </row>
    <row r="178" spans="2:4" ht="20.25">
      <c r="B178" s="62">
        <v>30436</v>
      </c>
      <c r="C178" s="63" t="s">
        <v>136</v>
      </c>
      <c r="D178" s="103">
        <v>0</v>
      </c>
    </row>
    <row r="179" spans="2:4" ht="20.25">
      <c r="B179" s="64">
        <v>30437</v>
      </c>
      <c r="C179" s="65" t="s">
        <v>137</v>
      </c>
      <c r="D179" s="102">
        <v>0</v>
      </c>
    </row>
    <row r="180" spans="2:4" ht="20.25">
      <c r="B180" s="62">
        <v>30438</v>
      </c>
      <c r="C180" s="63" t="s">
        <v>138</v>
      </c>
      <c r="D180" s="103">
        <v>0</v>
      </c>
    </row>
    <row r="181" spans="2:4" ht="20.25">
      <c r="B181" s="64">
        <v>30439</v>
      </c>
      <c r="C181" s="65" t="s">
        <v>139</v>
      </c>
      <c r="D181" s="102">
        <v>0</v>
      </c>
    </row>
    <row r="182" spans="2:4" ht="20.25">
      <c r="B182" s="62">
        <v>30440</v>
      </c>
      <c r="C182" s="63" t="s">
        <v>362</v>
      </c>
      <c r="D182" s="103">
        <v>0</v>
      </c>
    </row>
    <row r="183" spans="2:4" ht="20.25">
      <c r="B183" s="64">
        <v>30441</v>
      </c>
      <c r="C183" s="65" t="s">
        <v>363</v>
      </c>
      <c r="D183" s="102">
        <v>0</v>
      </c>
    </row>
    <row r="184" spans="2:4" ht="20.25">
      <c r="B184" s="62">
        <v>30442</v>
      </c>
      <c r="C184" s="63" t="s">
        <v>364</v>
      </c>
      <c r="D184" s="103">
        <v>0</v>
      </c>
    </row>
    <row r="185" spans="2:4" ht="20.25">
      <c r="B185" s="64">
        <v>30443</v>
      </c>
      <c r="C185" s="65" t="s">
        <v>365</v>
      </c>
      <c r="D185" s="102">
        <v>0</v>
      </c>
    </row>
    <row r="186" spans="2:4" ht="20.25">
      <c r="B186" s="62">
        <v>30444</v>
      </c>
      <c r="C186" s="63" t="s">
        <v>366</v>
      </c>
      <c r="D186" s="103">
        <v>0</v>
      </c>
    </row>
    <row r="187" spans="2:4" ht="20.25">
      <c r="B187" s="64">
        <v>30445</v>
      </c>
      <c r="C187" s="65" t="s">
        <v>367</v>
      </c>
      <c r="D187" s="102">
        <v>0</v>
      </c>
    </row>
    <row r="188" spans="2:4" ht="20.25">
      <c r="B188" s="62">
        <v>30446</v>
      </c>
      <c r="C188" s="63" t="s">
        <v>368</v>
      </c>
      <c r="D188" s="103">
        <v>1</v>
      </c>
    </row>
    <row r="189" spans="2:4" ht="20.25">
      <c r="B189" s="64">
        <v>30501</v>
      </c>
      <c r="C189" s="65" t="s">
        <v>140</v>
      </c>
      <c r="D189" s="102">
        <v>0</v>
      </c>
    </row>
    <row r="190" spans="2:4" ht="20.25">
      <c r="B190" s="62">
        <v>30502</v>
      </c>
      <c r="C190" s="63" t="s">
        <v>141</v>
      </c>
      <c r="D190" s="103">
        <v>34</v>
      </c>
    </row>
    <row r="191" spans="2:4" ht="20.25">
      <c r="B191" s="64">
        <v>30503</v>
      </c>
      <c r="C191" s="65" t="s">
        <v>142</v>
      </c>
      <c r="D191" s="102">
        <v>29</v>
      </c>
    </row>
    <row r="192" spans="2:4" ht="20.25">
      <c r="B192" s="62">
        <v>30504</v>
      </c>
      <c r="C192" s="63" t="s">
        <v>369</v>
      </c>
      <c r="D192" s="103">
        <v>0</v>
      </c>
    </row>
    <row r="193" spans="2:4" ht="20.25">
      <c r="B193" s="64">
        <v>30505</v>
      </c>
      <c r="C193" s="65" t="s">
        <v>370</v>
      </c>
      <c r="D193" s="102">
        <v>1</v>
      </c>
    </row>
    <row r="194" spans="2:4" ht="20.25">
      <c r="B194" s="62">
        <v>30601</v>
      </c>
      <c r="C194" s="63" t="s">
        <v>143</v>
      </c>
      <c r="D194" s="103">
        <v>1</v>
      </c>
    </row>
    <row r="195" spans="2:4" ht="20.25">
      <c r="B195" s="64">
        <v>30602</v>
      </c>
      <c r="C195" s="65" t="s">
        <v>144</v>
      </c>
      <c r="D195" s="102">
        <v>3</v>
      </c>
    </row>
    <row r="196" spans="2:4" ht="20.25">
      <c r="B196" s="62">
        <v>30603</v>
      </c>
      <c r="C196" s="63" t="s">
        <v>145</v>
      </c>
      <c r="D196" s="103">
        <v>1</v>
      </c>
    </row>
    <row r="197" spans="2:4" ht="20.25">
      <c r="B197" s="64">
        <v>30604</v>
      </c>
      <c r="C197" s="65" t="s">
        <v>146</v>
      </c>
      <c r="D197" s="102">
        <v>0</v>
      </c>
    </row>
    <row r="198" spans="2:4" ht="20.25">
      <c r="B198" s="62">
        <v>30605</v>
      </c>
      <c r="C198" s="63" t="s">
        <v>371</v>
      </c>
      <c r="D198" s="103">
        <v>0</v>
      </c>
    </row>
    <row r="199" spans="2:4" ht="20.25">
      <c r="B199" s="64">
        <v>30606</v>
      </c>
      <c r="C199" s="65" t="s">
        <v>372</v>
      </c>
      <c r="D199" s="102">
        <v>0</v>
      </c>
    </row>
    <row r="200" spans="2:4" ht="20.25">
      <c r="B200" s="62">
        <v>30607</v>
      </c>
      <c r="C200" s="63" t="s">
        <v>147</v>
      </c>
      <c r="D200" s="103">
        <v>0</v>
      </c>
    </row>
    <row r="201" spans="2:4" ht="20.25">
      <c r="B201" s="64">
        <v>30608</v>
      </c>
      <c r="C201" s="65" t="s">
        <v>148</v>
      </c>
      <c r="D201" s="102">
        <v>0</v>
      </c>
    </row>
    <row r="202" spans="2:4" ht="20.25">
      <c r="B202" s="62">
        <v>30609</v>
      </c>
      <c r="C202" s="63" t="s">
        <v>373</v>
      </c>
      <c r="D202" s="103">
        <v>0</v>
      </c>
    </row>
    <row r="203" spans="2:4" ht="20.25">
      <c r="B203" s="64">
        <v>30610</v>
      </c>
      <c r="C203" s="65" t="s">
        <v>374</v>
      </c>
      <c r="D203" s="102">
        <v>0</v>
      </c>
    </row>
    <row r="204" spans="2:4" ht="20.25">
      <c r="B204" s="62">
        <v>30611</v>
      </c>
      <c r="C204" s="63" t="s">
        <v>375</v>
      </c>
      <c r="D204" s="103">
        <v>0</v>
      </c>
    </row>
    <row r="205" spans="2:4" ht="20.25">
      <c r="B205" s="64">
        <v>30701</v>
      </c>
      <c r="C205" s="65" t="s">
        <v>149</v>
      </c>
      <c r="D205" s="102">
        <v>1</v>
      </c>
    </row>
    <row r="206" spans="2:4" ht="20.25">
      <c r="B206" s="62">
        <v>30702</v>
      </c>
      <c r="C206" s="63" t="s">
        <v>150</v>
      </c>
      <c r="D206" s="103">
        <v>3</v>
      </c>
    </row>
    <row r="207" spans="2:4" ht="20.25">
      <c r="B207" s="64">
        <v>30703</v>
      </c>
      <c r="C207" s="65" t="s">
        <v>151</v>
      </c>
      <c r="D207" s="102">
        <v>0</v>
      </c>
    </row>
    <row r="208" spans="2:4" ht="20.25">
      <c r="B208" s="62">
        <v>30704</v>
      </c>
      <c r="C208" s="63" t="s">
        <v>152</v>
      </c>
      <c r="D208" s="103">
        <v>0</v>
      </c>
    </row>
    <row r="209" spans="2:4" ht="20.25">
      <c r="B209" s="64">
        <v>30705</v>
      </c>
      <c r="C209" s="65" t="s">
        <v>153</v>
      </c>
      <c r="D209" s="102">
        <v>0</v>
      </c>
    </row>
    <row r="210" spans="2:4" ht="20.25">
      <c r="B210" s="62">
        <v>30706</v>
      </c>
      <c r="C210" s="63" t="s">
        <v>154</v>
      </c>
      <c r="D210" s="103">
        <v>0</v>
      </c>
    </row>
    <row r="211" spans="2:4" ht="20.25">
      <c r="B211" s="64">
        <v>30707</v>
      </c>
      <c r="C211" s="65" t="s">
        <v>155</v>
      </c>
      <c r="D211" s="102">
        <v>0</v>
      </c>
    </row>
    <row r="212" spans="2:4" ht="20.25">
      <c r="B212" s="62">
        <v>30708</v>
      </c>
      <c r="C212" s="63" t="s">
        <v>376</v>
      </c>
      <c r="D212" s="103">
        <v>0</v>
      </c>
    </row>
    <row r="213" spans="2:4" ht="20.25">
      <c r="B213" s="64">
        <v>30709</v>
      </c>
      <c r="C213" s="65" t="s">
        <v>159</v>
      </c>
      <c r="D213" s="102">
        <v>0</v>
      </c>
    </row>
    <row r="214" spans="2:4" ht="20.25">
      <c r="B214" s="62">
        <v>30710</v>
      </c>
      <c r="C214" s="63" t="s">
        <v>377</v>
      </c>
      <c r="D214" s="103">
        <v>0</v>
      </c>
    </row>
    <row r="215" spans="2:4" ht="20.25">
      <c r="B215" s="64">
        <v>30711</v>
      </c>
      <c r="C215" s="65" t="s">
        <v>158</v>
      </c>
      <c r="D215" s="102">
        <v>0</v>
      </c>
    </row>
    <row r="216" spans="2:4" ht="20.25">
      <c r="B216" s="62">
        <v>30801</v>
      </c>
      <c r="C216" s="63" t="s">
        <v>156</v>
      </c>
      <c r="D216" s="103">
        <v>0</v>
      </c>
    </row>
    <row r="217" spans="2:4" ht="20.25">
      <c r="B217" s="64">
        <v>30802</v>
      </c>
      <c r="C217" s="65" t="s">
        <v>157</v>
      </c>
      <c r="D217" s="102">
        <v>2</v>
      </c>
    </row>
    <row r="218" spans="2:4" ht="20.25">
      <c r="B218" s="62">
        <v>30803</v>
      </c>
      <c r="C218" s="63" t="s">
        <v>98</v>
      </c>
      <c r="D218" s="103">
        <v>0</v>
      </c>
    </row>
    <row r="219" spans="2:4" ht="20.25">
      <c r="B219" s="64">
        <v>30804</v>
      </c>
      <c r="C219" s="65" t="s">
        <v>185</v>
      </c>
      <c r="D219" s="102">
        <v>0</v>
      </c>
    </row>
    <row r="220" spans="2:4" ht="20.25">
      <c r="B220" s="62">
        <v>30805</v>
      </c>
      <c r="C220" s="63" t="s">
        <v>175</v>
      </c>
      <c r="D220" s="103">
        <v>0</v>
      </c>
    </row>
    <row r="221" spans="2:4" ht="20.25">
      <c r="B221" s="64">
        <v>30806</v>
      </c>
      <c r="C221" s="65" t="s">
        <v>378</v>
      </c>
      <c r="D221" s="102">
        <v>0</v>
      </c>
    </row>
    <row r="222" spans="2:4" ht="20.25">
      <c r="B222" s="62">
        <v>30807</v>
      </c>
      <c r="C222" s="63" t="s">
        <v>379</v>
      </c>
      <c r="D222" s="103">
        <v>0</v>
      </c>
    </row>
    <row r="223" spans="2:4" ht="20.25">
      <c r="B223" s="64">
        <v>30808</v>
      </c>
      <c r="C223" s="65" t="s">
        <v>172</v>
      </c>
      <c r="D223" s="102">
        <v>0</v>
      </c>
    </row>
    <row r="224" spans="2:4" ht="20.25">
      <c r="B224" s="62">
        <v>30809</v>
      </c>
      <c r="C224" s="63" t="s">
        <v>380</v>
      </c>
      <c r="D224" s="103">
        <v>0</v>
      </c>
    </row>
    <row r="225" spans="2:4" ht="20.25">
      <c r="B225" s="64">
        <v>30810</v>
      </c>
      <c r="C225" s="65" t="s">
        <v>381</v>
      </c>
      <c r="D225" s="102">
        <v>0</v>
      </c>
    </row>
    <row r="226" spans="2:4" ht="20.25">
      <c r="B226" s="62">
        <v>30901</v>
      </c>
      <c r="C226" s="63" t="s">
        <v>382</v>
      </c>
      <c r="D226" s="103">
        <v>0</v>
      </c>
    </row>
    <row r="227" spans="2:4" ht="20.25">
      <c r="B227" s="64">
        <v>30902</v>
      </c>
      <c r="C227" s="65" t="s">
        <v>383</v>
      </c>
      <c r="D227" s="102">
        <v>0</v>
      </c>
    </row>
    <row r="228" spans="2:4" ht="20.25">
      <c r="B228" s="62">
        <v>30903</v>
      </c>
      <c r="C228" s="63" t="s">
        <v>164</v>
      </c>
      <c r="D228" s="103">
        <v>9</v>
      </c>
    </row>
    <row r="229" spans="2:4" ht="20.25">
      <c r="B229" s="64">
        <v>30904</v>
      </c>
      <c r="C229" s="65" t="s">
        <v>184</v>
      </c>
      <c r="D229" s="102">
        <v>36</v>
      </c>
    </row>
    <row r="230" spans="2:4" ht="20.25">
      <c r="B230" s="62">
        <v>30905</v>
      </c>
      <c r="C230" s="63" t="s">
        <v>160</v>
      </c>
      <c r="D230" s="103">
        <v>0</v>
      </c>
    </row>
    <row r="231" spans="2:4" ht="20.25">
      <c r="B231" s="64">
        <v>30906</v>
      </c>
      <c r="C231" s="65" t="s">
        <v>161</v>
      </c>
      <c r="D231" s="102">
        <v>0</v>
      </c>
    </row>
    <row r="232" spans="2:4" ht="20.25">
      <c r="B232" s="62">
        <v>30907</v>
      </c>
      <c r="C232" s="63" t="s">
        <v>162</v>
      </c>
      <c r="D232" s="103">
        <v>69</v>
      </c>
    </row>
    <row r="233" spans="2:4" ht="20.25">
      <c r="B233" s="64">
        <v>30908</v>
      </c>
      <c r="C233" s="65" t="s">
        <v>163</v>
      </c>
      <c r="D233" s="102">
        <v>1</v>
      </c>
    </row>
    <row r="234" spans="2:4" ht="20.25">
      <c r="B234" s="62">
        <v>30909</v>
      </c>
      <c r="C234" s="63" t="s">
        <v>384</v>
      </c>
      <c r="D234" s="103">
        <v>1</v>
      </c>
    </row>
    <row r="235" spans="2:4" ht="20.25">
      <c r="B235" s="64">
        <v>31001</v>
      </c>
      <c r="C235" s="65" t="s">
        <v>165</v>
      </c>
      <c r="D235" s="102">
        <v>2</v>
      </c>
    </row>
    <row r="236" spans="2:4" ht="20.25">
      <c r="B236" s="62">
        <v>31002</v>
      </c>
      <c r="C236" s="63" t="s">
        <v>385</v>
      </c>
      <c r="D236" s="103">
        <v>3</v>
      </c>
    </row>
    <row r="237" spans="2:4" ht="20.25">
      <c r="B237" s="64">
        <v>31003</v>
      </c>
      <c r="C237" s="65" t="s">
        <v>166</v>
      </c>
      <c r="D237" s="102">
        <v>3</v>
      </c>
    </row>
    <row r="238" spans="2:4" ht="20.25">
      <c r="B238" s="62">
        <v>31004</v>
      </c>
      <c r="C238" s="63" t="s">
        <v>167</v>
      </c>
      <c r="D238" s="103">
        <v>0</v>
      </c>
    </row>
    <row r="239" spans="2:4" ht="20.25">
      <c r="B239" s="64">
        <v>31005</v>
      </c>
      <c r="C239" s="65" t="s">
        <v>168</v>
      </c>
      <c r="D239" s="102">
        <v>0</v>
      </c>
    </row>
    <row r="240" spans="2:4" ht="20.25">
      <c r="B240" s="62">
        <v>31006</v>
      </c>
      <c r="C240" s="63" t="s">
        <v>169</v>
      </c>
      <c r="D240" s="103">
        <v>0</v>
      </c>
    </row>
    <row r="241" spans="2:4" ht="20.25">
      <c r="B241" s="64">
        <v>31007</v>
      </c>
      <c r="C241" s="65" t="s">
        <v>170</v>
      </c>
      <c r="D241" s="102">
        <v>1</v>
      </c>
    </row>
    <row r="242" spans="2:4" ht="20.25">
      <c r="B242" s="62">
        <v>31008</v>
      </c>
      <c r="C242" s="63" t="s">
        <v>386</v>
      </c>
      <c r="D242" s="103">
        <v>0</v>
      </c>
    </row>
    <row r="243" spans="2:4" ht="20.25">
      <c r="B243" s="64">
        <v>31009</v>
      </c>
      <c r="C243" s="65" t="s">
        <v>387</v>
      </c>
      <c r="D243" s="102">
        <v>0</v>
      </c>
    </row>
    <row r="244" spans="2:4" ht="20.25">
      <c r="B244" s="62">
        <v>31010</v>
      </c>
      <c r="C244" s="63" t="s">
        <v>93</v>
      </c>
      <c r="D244" s="103">
        <v>0</v>
      </c>
    </row>
    <row r="245" spans="2:4" ht="20.25">
      <c r="B245" s="64">
        <v>31011</v>
      </c>
      <c r="C245" s="65" t="s">
        <v>388</v>
      </c>
      <c r="D245" s="102">
        <v>0</v>
      </c>
    </row>
    <row r="246" spans="2:4" ht="20.25">
      <c r="B246" s="62">
        <v>31012</v>
      </c>
      <c r="C246" s="63" t="s">
        <v>389</v>
      </c>
      <c r="D246" s="103">
        <v>0</v>
      </c>
    </row>
    <row r="247" spans="2:4" ht="20.25">
      <c r="B247" s="64">
        <v>31013</v>
      </c>
      <c r="C247" s="65" t="s">
        <v>390</v>
      </c>
      <c r="D247" s="102">
        <v>0</v>
      </c>
    </row>
    <row r="248" spans="2:4" ht="20.25">
      <c r="B248" s="62">
        <v>31014</v>
      </c>
      <c r="C248" s="63" t="s">
        <v>391</v>
      </c>
      <c r="D248" s="103">
        <v>0</v>
      </c>
    </row>
    <row r="249" spans="2:4" ht="20.25">
      <c r="B249" s="64">
        <v>31015</v>
      </c>
      <c r="C249" s="65" t="s">
        <v>392</v>
      </c>
      <c r="D249" s="102">
        <v>0</v>
      </c>
    </row>
    <row r="250" spans="2:4" ht="20.25">
      <c r="B250" s="62">
        <v>31101</v>
      </c>
      <c r="C250" s="63" t="s">
        <v>173</v>
      </c>
      <c r="D250" s="103">
        <v>51</v>
      </c>
    </row>
    <row r="251" spans="2:4" ht="20.25">
      <c r="B251" s="64">
        <v>31102</v>
      </c>
      <c r="C251" s="65" t="s">
        <v>174</v>
      </c>
      <c r="D251" s="102">
        <v>6</v>
      </c>
    </row>
    <row r="252" spans="2:4" ht="20.25">
      <c r="B252" s="62">
        <v>31103</v>
      </c>
      <c r="C252" s="63" t="s">
        <v>176</v>
      </c>
      <c r="D252" s="103">
        <v>5</v>
      </c>
    </row>
    <row r="253" spans="2:4" ht="20.25">
      <c r="B253" s="64">
        <v>31104</v>
      </c>
      <c r="C253" s="65" t="s">
        <v>177</v>
      </c>
      <c r="D253" s="102">
        <v>3</v>
      </c>
    </row>
    <row r="254" spans="2:4" ht="20.25">
      <c r="B254" s="62">
        <v>31105</v>
      </c>
      <c r="C254" s="63" t="s">
        <v>178</v>
      </c>
      <c r="D254" s="103">
        <v>5</v>
      </c>
    </row>
    <row r="255" spans="2:4" ht="20.25">
      <c r="B255" s="64">
        <v>31106</v>
      </c>
      <c r="C255" s="65" t="s">
        <v>393</v>
      </c>
      <c r="D255" s="102">
        <v>0</v>
      </c>
    </row>
    <row r="256" spans="2:4" ht="20.25">
      <c r="B256" s="62">
        <v>31107</v>
      </c>
      <c r="C256" s="63" t="s">
        <v>394</v>
      </c>
      <c r="D256" s="103">
        <v>0</v>
      </c>
    </row>
    <row r="257" spans="2:4" ht="20.25">
      <c r="B257" s="64">
        <v>31108</v>
      </c>
      <c r="C257" s="65" t="s">
        <v>395</v>
      </c>
      <c r="D257" s="102">
        <v>0</v>
      </c>
    </row>
    <row r="258" spans="2:4" ht="20.25">
      <c r="B258" s="62">
        <v>31109</v>
      </c>
      <c r="C258" s="63" t="s">
        <v>179</v>
      </c>
      <c r="D258" s="103">
        <v>0</v>
      </c>
    </row>
    <row r="259" spans="2:4" ht="20.25">
      <c r="B259" s="64">
        <v>31110</v>
      </c>
      <c r="C259" s="65" t="s">
        <v>180</v>
      </c>
      <c r="D259" s="102">
        <v>0</v>
      </c>
    </row>
    <row r="260" spans="2:4" ht="20.25">
      <c r="B260" s="62">
        <v>31111</v>
      </c>
      <c r="C260" s="63" t="s">
        <v>181</v>
      </c>
      <c r="D260" s="103">
        <v>0</v>
      </c>
    </row>
    <row r="261" spans="2:4" ht="20.25">
      <c r="B261" s="64">
        <v>31112</v>
      </c>
      <c r="C261" s="65" t="s">
        <v>396</v>
      </c>
      <c r="D261" s="102">
        <v>38</v>
      </c>
    </row>
    <row r="262" spans="2:4" ht="20.25">
      <c r="B262" s="62">
        <v>31113</v>
      </c>
      <c r="C262" s="63" t="s">
        <v>182</v>
      </c>
      <c r="D262" s="103">
        <v>3</v>
      </c>
    </row>
    <row r="263" spans="2:4" ht="20.25">
      <c r="B263" s="64">
        <v>31114</v>
      </c>
      <c r="C263" s="65" t="s">
        <v>397</v>
      </c>
      <c r="D263" s="102">
        <v>6</v>
      </c>
    </row>
    <row r="264" spans="2:4" ht="20.25">
      <c r="B264" s="66">
        <v>40101</v>
      </c>
      <c r="C264" s="67" t="s">
        <v>188</v>
      </c>
      <c r="D264" s="104">
        <v>0</v>
      </c>
    </row>
    <row r="265" spans="2:4" ht="20.25">
      <c r="B265" s="62">
        <v>40102</v>
      </c>
      <c r="C265" s="63" t="s">
        <v>398</v>
      </c>
      <c r="D265" s="103">
        <v>1</v>
      </c>
    </row>
    <row r="266" spans="2:4" ht="20.25">
      <c r="B266" s="66">
        <v>40103</v>
      </c>
      <c r="C266" s="67" t="s">
        <v>189</v>
      </c>
      <c r="D266" s="104">
        <v>1</v>
      </c>
    </row>
    <row r="267" spans="2:4" ht="20.25">
      <c r="B267" s="62">
        <v>40104</v>
      </c>
      <c r="C267" s="63" t="s">
        <v>190</v>
      </c>
      <c r="D267" s="103">
        <v>0</v>
      </c>
    </row>
    <row r="268" spans="2:4" ht="20.25">
      <c r="B268" s="66">
        <v>40105</v>
      </c>
      <c r="C268" s="67" t="s">
        <v>192</v>
      </c>
      <c r="D268" s="104">
        <v>0</v>
      </c>
    </row>
    <row r="269" spans="2:4" ht="20.25">
      <c r="B269" s="62">
        <v>40106</v>
      </c>
      <c r="C269" s="63" t="s">
        <v>195</v>
      </c>
      <c r="D269" s="103">
        <v>7</v>
      </c>
    </row>
    <row r="270" spans="2:4" ht="20.25">
      <c r="B270" s="66">
        <v>40107</v>
      </c>
      <c r="C270" s="67" t="s">
        <v>197</v>
      </c>
      <c r="D270" s="104">
        <v>1</v>
      </c>
    </row>
    <row r="271" spans="2:4" ht="20.25">
      <c r="B271" s="62">
        <v>40108</v>
      </c>
      <c r="C271" s="63" t="s">
        <v>198</v>
      </c>
      <c r="D271" s="103">
        <v>0</v>
      </c>
    </row>
    <row r="272" spans="2:4" ht="20.25">
      <c r="B272" s="66">
        <v>40109</v>
      </c>
      <c r="C272" s="67" t="s">
        <v>78</v>
      </c>
      <c r="D272" s="104">
        <v>5</v>
      </c>
    </row>
    <row r="273" spans="2:4" ht="20.25">
      <c r="B273" s="62">
        <v>40110</v>
      </c>
      <c r="C273" s="63" t="s">
        <v>191</v>
      </c>
      <c r="D273" s="103">
        <v>0</v>
      </c>
    </row>
    <row r="274" spans="2:4" ht="20.25">
      <c r="B274" s="72">
        <v>50101</v>
      </c>
      <c r="C274" s="73" t="s">
        <v>399</v>
      </c>
      <c r="D274" s="105">
        <v>0</v>
      </c>
    </row>
    <row r="275" spans="2:4" ht="20.25">
      <c r="B275" s="62">
        <v>50102</v>
      </c>
      <c r="C275" s="63" t="s">
        <v>400</v>
      </c>
      <c r="D275" s="103">
        <v>3</v>
      </c>
    </row>
    <row r="276" spans="2:4" ht="20.25">
      <c r="B276" s="72">
        <v>50103</v>
      </c>
      <c r="C276" s="73" t="s">
        <v>401</v>
      </c>
      <c r="D276" s="105">
        <v>0</v>
      </c>
    </row>
    <row r="277" spans="2:4" ht="20.25">
      <c r="B277" s="62">
        <v>50104</v>
      </c>
      <c r="C277" s="63" t="s">
        <v>109</v>
      </c>
      <c r="D277" s="103">
        <v>0</v>
      </c>
    </row>
    <row r="278" spans="2:4" ht="20.25">
      <c r="B278" s="72">
        <v>50105</v>
      </c>
      <c r="C278" s="73" t="s">
        <v>183</v>
      </c>
      <c r="D278" s="105">
        <v>54</v>
      </c>
    </row>
    <row r="279" spans="2:4" ht="20.25">
      <c r="B279" s="62">
        <v>50106</v>
      </c>
      <c r="C279" s="63" t="s">
        <v>171</v>
      </c>
      <c r="D279" s="103">
        <v>0</v>
      </c>
    </row>
    <row r="280" spans="2:4" ht="20.25">
      <c r="B280" s="72">
        <v>50107</v>
      </c>
      <c r="C280" s="73" t="s">
        <v>402</v>
      </c>
      <c r="D280" s="105">
        <v>7</v>
      </c>
    </row>
    <row r="281" spans="2:4" ht="20.25">
      <c r="B281" s="62">
        <v>50108</v>
      </c>
      <c r="C281" s="63" t="s">
        <v>403</v>
      </c>
      <c r="D281" s="103">
        <v>1</v>
      </c>
    </row>
    <row r="282" spans="2:4" ht="20.25">
      <c r="B282" s="72">
        <v>50201</v>
      </c>
      <c r="C282" s="73" t="s">
        <v>404</v>
      </c>
      <c r="D282" s="105">
        <v>0</v>
      </c>
    </row>
    <row r="283" spans="2:4" ht="20.25">
      <c r="B283" s="62">
        <v>50202</v>
      </c>
      <c r="C283" s="63" t="s">
        <v>405</v>
      </c>
      <c r="D283" s="103">
        <v>0</v>
      </c>
    </row>
    <row r="284" spans="2:4" ht="20.25">
      <c r="B284" s="72">
        <v>50203</v>
      </c>
      <c r="C284" s="73" t="s">
        <v>406</v>
      </c>
      <c r="D284" s="105">
        <v>1</v>
      </c>
    </row>
    <row r="285" spans="2:4" ht="20.25">
      <c r="B285" s="62">
        <v>50301</v>
      </c>
      <c r="C285" s="63" t="s">
        <v>407</v>
      </c>
      <c r="D285" s="103">
        <v>71</v>
      </c>
    </row>
    <row r="286" spans="2:4" ht="20.25">
      <c r="B286" s="72">
        <v>50302</v>
      </c>
      <c r="C286" s="73" t="s">
        <v>408</v>
      </c>
      <c r="D286" s="105">
        <v>0</v>
      </c>
    </row>
    <row r="287" spans="2:4" ht="20.25">
      <c r="B287" s="62">
        <v>50303</v>
      </c>
      <c r="C287" s="63" t="s">
        <v>186</v>
      </c>
      <c r="D287" s="103">
        <v>4</v>
      </c>
    </row>
    <row r="288" spans="2:4" ht="20.25">
      <c r="B288" s="72">
        <v>50304</v>
      </c>
      <c r="C288" s="73" t="s">
        <v>187</v>
      </c>
      <c r="D288" s="105">
        <v>1</v>
      </c>
    </row>
    <row r="289" spans="2:4" ht="20.25">
      <c r="B289" s="62">
        <v>50305</v>
      </c>
      <c r="C289" s="63" t="s">
        <v>409</v>
      </c>
      <c r="D289" s="103">
        <v>10</v>
      </c>
    </row>
    <row r="290" spans="2:4" ht="20.25">
      <c r="B290" s="72">
        <v>50306</v>
      </c>
      <c r="C290" s="73" t="s">
        <v>410</v>
      </c>
      <c r="D290" s="105">
        <v>0</v>
      </c>
    </row>
    <row r="291" spans="2:4" ht="20.25">
      <c r="B291" s="74">
        <v>60101</v>
      </c>
      <c r="C291" s="75" t="s">
        <v>411</v>
      </c>
      <c r="D291" s="106">
        <v>0</v>
      </c>
    </row>
    <row r="292" spans="2:4" ht="20.25">
      <c r="B292" s="62">
        <v>60102</v>
      </c>
      <c r="C292" s="63" t="s">
        <v>194</v>
      </c>
      <c r="D292" s="103">
        <v>0</v>
      </c>
    </row>
    <row r="293" spans="2:4" ht="20.25">
      <c r="B293" s="74">
        <v>60103</v>
      </c>
      <c r="C293" s="75" t="s">
        <v>412</v>
      </c>
      <c r="D293" s="106">
        <v>248</v>
      </c>
    </row>
    <row r="294" spans="2:4" ht="20.25">
      <c r="B294" s="76">
        <v>70101</v>
      </c>
      <c r="C294" s="77" t="s">
        <v>413</v>
      </c>
      <c r="D294" s="107">
        <v>0</v>
      </c>
    </row>
    <row r="295" spans="2:4" ht="20.25">
      <c r="B295" s="62">
        <v>70102</v>
      </c>
      <c r="C295" s="63" t="s">
        <v>199</v>
      </c>
      <c r="D295" s="103">
        <v>2</v>
      </c>
    </row>
    <row r="296" spans="2:4" ht="20.25">
      <c r="B296" s="76">
        <v>70103</v>
      </c>
      <c r="C296" s="77" t="s">
        <v>200</v>
      </c>
      <c r="D296" s="107">
        <v>20</v>
      </c>
    </row>
    <row r="297" spans="2:4" ht="20.25">
      <c r="B297" s="62">
        <v>70104</v>
      </c>
      <c r="C297" s="63" t="s">
        <v>414</v>
      </c>
      <c r="D297" s="103">
        <v>0</v>
      </c>
    </row>
    <row r="298" spans="2:4" ht="20.25">
      <c r="B298" s="76">
        <v>70105</v>
      </c>
      <c r="C298" s="77" t="s">
        <v>201</v>
      </c>
      <c r="D298" s="107">
        <v>67</v>
      </c>
    </row>
    <row r="299" spans="2:4" ht="20.25">
      <c r="B299" s="62">
        <v>70106</v>
      </c>
      <c r="C299" s="63" t="s">
        <v>415</v>
      </c>
      <c r="D299" s="103">
        <v>0</v>
      </c>
    </row>
    <row r="300" spans="2:4" ht="20.25">
      <c r="B300" s="76">
        <v>70107</v>
      </c>
      <c r="C300" s="77" t="s">
        <v>416</v>
      </c>
      <c r="D300" s="107">
        <v>0</v>
      </c>
    </row>
    <row r="301" spans="2:4" ht="21" thickBot="1">
      <c r="B301" s="78">
        <v>70108</v>
      </c>
      <c r="C301" s="79" t="s">
        <v>417</v>
      </c>
      <c r="D301" s="108">
        <v>10</v>
      </c>
    </row>
    <row r="302" spans="2:4" ht="19.899999999999999" customHeight="1" thickBot="1">
      <c r="B302" s="80" t="s">
        <v>1</v>
      </c>
      <c r="C302" s="81"/>
      <c r="D302" s="82">
        <f>SUM(D20:D301)</f>
        <v>1417</v>
      </c>
    </row>
  </sheetData>
  <protectedRanges>
    <protectedRange password="CC15" sqref="D20:D301" name="Rango1"/>
  </protectedRanges>
  <mergeCells count="9">
    <mergeCell ref="B6:D6"/>
    <mergeCell ref="B18:C18"/>
    <mergeCell ref="B7:D7"/>
    <mergeCell ref="B8:D8"/>
    <mergeCell ref="F8:J8"/>
    <mergeCell ref="B9:D9"/>
    <mergeCell ref="B10:D10"/>
    <mergeCell ref="B16:D16"/>
    <mergeCell ref="B17:C17"/>
  </mergeCells>
  <pageMargins left="0.7" right="0.7" top="0.75" bottom="0.75" header="0.3" footer="0.3"/>
  <pageSetup scale="71" fitToHeight="0" orientation="portrait" r:id="rId1"/>
  <rowBreaks count="1" manualBreakCount="1">
    <brk id="178" min="1" max="3" man="1"/>
  </rowBreaks>
  <colBreaks count="1" manualBreakCount="1">
    <brk id="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7</vt:i4>
      </vt:variant>
    </vt:vector>
  </HeadingPairs>
  <TitlesOfParts>
    <vt:vector size="16" baseType="lpstr">
      <vt:lpstr>PORTADA</vt:lpstr>
      <vt:lpstr>PRESENTACIÓN</vt:lpstr>
      <vt:lpstr>INSTRUCCIONES</vt:lpstr>
      <vt:lpstr>Lista</vt:lpstr>
      <vt:lpstr>Datos</vt:lpstr>
      <vt:lpstr>RESUMEN</vt:lpstr>
      <vt:lpstr>C01</vt:lpstr>
      <vt:lpstr>C02</vt:lpstr>
      <vt:lpstr>C03</vt:lpstr>
      <vt:lpstr>'C01'!Área_de_impresión</vt:lpstr>
      <vt:lpstr>'C02'!Área_de_impresión</vt:lpstr>
      <vt:lpstr>'C03'!Área_de_impresión</vt:lpstr>
      <vt:lpstr>INSTRUCCIONES!Área_de_impresión</vt:lpstr>
      <vt:lpstr>PORTADA!Área_de_impresión</vt:lpstr>
      <vt:lpstr>PRESENTACIÓN!Área_de_impresión</vt:lpstr>
      <vt:lpstr>RESUMEN!Área_de_impresión</vt:lpstr>
    </vt:vector>
  </TitlesOfParts>
  <Company>Sistema Nacional de Seguridad Pública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Agustín Avilés</dc:creator>
  <cp:lastModifiedBy>C4 La Paz BCS</cp:lastModifiedBy>
  <cp:lastPrinted>2015-12-19T01:31:18Z</cp:lastPrinted>
  <dcterms:created xsi:type="dcterms:W3CDTF">1999-03-11T18:07:10Z</dcterms:created>
  <dcterms:modified xsi:type="dcterms:W3CDTF">2026-08-05T19:21:56Z</dcterms:modified>
</cp:coreProperties>
</file>