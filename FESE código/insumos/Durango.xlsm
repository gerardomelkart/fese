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ESTADISTICAS\PARA REPORTE MENSUAL\REPORTES MENSUALES 2026\07 - JULIO\"/>
    </mc:Choice>
  </mc:AlternateContent>
  <xr:revisionPtr revIDLastSave="0" documentId="13_ncr:1_{9F93C0DA-F616-4B27-9F05-E69FDE733D9B}" xr6:coauthVersionLast="47" xr6:coauthVersionMax="47" xr10:uidLastSave="{00000000-0000-0000-0000-000000000000}"/>
  <bookViews>
    <workbookView xWindow="-28920" yWindow="-60" windowWidth="29040" windowHeight="15840" tabRatio="892" activeTab="5" xr2:uid="{00000000-000D-0000-FFFF-FFFF00000000}"/>
  </bookViews>
  <sheets>
    <sheet name="PORTADA" sheetId="1" r:id="rId1"/>
    <sheet name="PRESENTACIÓN" sheetId="2" r:id="rId2"/>
    <sheet name="INSTRUCCIONES" sheetId="3" r:id="rId3"/>
    <sheet name="Lista" sheetId="5" state="hidden" r:id="rId4"/>
    <sheet name="Datos" sheetId="6" state="hidden" r:id="rId5"/>
    <sheet name="RESUMEN" sheetId="7" r:id="rId6"/>
    <sheet name="C01" sheetId="4" r:id="rId7"/>
    <sheet name="C02" sheetId="8" r:id="rId8"/>
    <sheet name="C03" sheetId="9" r:id="rId9"/>
    <sheet name="C04" sheetId="11" r:id="rId10"/>
  </sheets>
  <definedNames>
    <definedName name="_xlnm.Print_Area" localSheetId="6">'C01'!$B$1:$D$302</definedName>
    <definedName name="_xlnm.Print_Area" localSheetId="7">'C02'!$B$1:$D$302</definedName>
    <definedName name="_xlnm.Print_Area" localSheetId="8">'C03'!$B$1:$D$302</definedName>
    <definedName name="_xlnm.Print_Area" localSheetId="9">'C04'!$B$1:$D$302</definedName>
    <definedName name="_xlnm.Print_Area" localSheetId="2">INSTRUCCIONES!$B$2:$O$25</definedName>
    <definedName name="_xlnm.Print_Area" localSheetId="0">PORTADA!$B$2:$K$41</definedName>
    <definedName name="_xlnm.Print_Area" localSheetId="1">PRESENTACIÓN!$B$2:$O$51</definedName>
    <definedName name="_xlnm.Print_Area" localSheetId="5">RESUMEN!$A$1:$G$22</definedName>
    <definedName name="Z_857CB3B9_618A_49FD_8D38_75EE2A4021B4_.wvu.PrintArea" localSheetId="6" hidden="1">'C01'!$B$1:$D$302</definedName>
    <definedName name="Z_857CB3B9_618A_49FD_8D38_75EE2A4021B4_.wvu.PrintArea" localSheetId="7" hidden="1">'C02'!$B$1:$D$302</definedName>
    <definedName name="Z_857CB3B9_618A_49FD_8D38_75EE2A4021B4_.wvu.PrintArea" localSheetId="8" hidden="1">'C03'!$B$1:$D$302</definedName>
    <definedName name="Z_857CB3B9_618A_49FD_8D38_75EE2A4021B4_.wvu.PrintArea" localSheetId="9" hidden="1">'C04'!$B$1:$D$302</definedName>
    <definedName name="Z_857CB3B9_618A_49FD_8D38_75EE2A4021B4_.wvu.PrintArea" localSheetId="2" hidden="1">INSTRUCCIONES!$B$2:$O$25</definedName>
    <definedName name="Z_857CB3B9_618A_49FD_8D38_75EE2A4021B4_.wvu.PrintArea" localSheetId="0" hidden="1">PORTADA!$B$2:$K$41</definedName>
    <definedName name="Z_857CB3B9_618A_49FD_8D38_75EE2A4021B4_.wvu.PrintArea" localSheetId="1" hidden="1">PRESENTACIÓN!$B$2:$O$51</definedName>
    <definedName name="Z_857CB3B9_618A_49FD_8D38_75EE2A4021B4_.wvu.PrintArea" localSheetId="5" hidden="1">RESUMEN!$A$1:$G$22</definedName>
  </definedNames>
  <calcPr calcId="191029"/>
  <customWorkbookViews>
    <customWorkbookView name="Salas Romero Moises - Vista personalizada" guid="{857CB3B9-618A-49FD-8D38-75EE2A4021B4}" mergeInterval="0" personalView="1" maximized="1" windowWidth="1916" windowHeight="775" tabRatio="523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6" i="7" l="1"/>
  <c r="D16" i="7"/>
  <c r="D302" i="4"/>
  <c r="G16" i="7" l="1"/>
  <c r="C16" i="7"/>
  <c r="D302" i="11" l="1"/>
  <c r="D302" i="8"/>
  <c r="E16" i="7"/>
  <c r="B16" i="7"/>
  <c r="A16" i="7"/>
  <c r="D14" i="11"/>
  <c r="D13" i="11"/>
  <c r="D12" i="11"/>
  <c r="D302" i="9"/>
  <c r="D14" i="9"/>
  <c r="D13" i="9"/>
  <c r="D12" i="9"/>
  <c r="D14" i="8"/>
  <c r="D13" i="8"/>
  <c r="D12" i="8"/>
  <c r="D14" i="4"/>
  <c r="D13" i="4"/>
  <c r="D12" i="4"/>
  <c r="C13" i="7" l="1"/>
  <c r="D20" i="7" s="1"/>
  <c r="A20" i="7" l="1"/>
  <c r="B20" i="7"/>
  <c r="F20" i="7"/>
  <c r="C20" i="7"/>
  <c r="G20" i="7"/>
  <c r="E20" i="7"/>
</calcChain>
</file>

<file path=xl/sharedStrings.xml><?xml version="1.0" encoding="utf-8"?>
<sst xmlns="http://schemas.openxmlformats.org/spreadsheetml/2006/main" count="1360" uniqueCount="429">
  <si>
    <t>CENTRO NACIONAL DE INFORMACIÓN</t>
  </si>
  <si>
    <t>Total</t>
  </si>
  <si>
    <t>CENTRO DE ATENCIÓN DE LLAMADAS DE EMERGENCIAS</t>
  </si>
  <si>
    <t>Administración</t>
  </si>
  <si>
    <t>Estatal</t>
  </si>
  <si>
    <t>Municipal</t>
  </si>
  <si>
    <t>Morelos</t>
  </si>
  <si>
    <t>Estados</t>
  </si>
  <si>
    <t>Año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</si>
  <si>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</si>
  <si>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</si>
  <si>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</si>
  <si>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</si>
  <si>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</si>
  <si>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</si>
  <si>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</si>
  <si>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</si>
  <si>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</si>
  <si>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</si>
  <si>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</si>
  <si>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</si>
  <si>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</si>
  <si>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AGUASCALIENTES</t>
  </si>
  <si>
    <t>BAJA CALIFORNIA</t>
  </si>
  <si>
    <t>BAJA CALIFORNIA SUR</t>
  </si>
  <si>
    <t>CAMPECHE</t>
  </si>
  <si>
    <t>COAHUILA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</si>
  <si>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</si>
  <si>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</si>
  <si>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</si>
  <si>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</si>
  <si>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</si>
  <si>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</si>
  <si>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</si>
  <si>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HIDALGO</t>
  </si>
  <si>
    <t>JALISCO</t>
  </si>
  <si>
    <t>MÉXICO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</si>
  <si>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</si>
  <si>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</si>
  <si>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</si>
  <si>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</si>
  <si>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</si>
  <si>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</si>
  <si>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</si>
  <si>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</si>
  <si>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</si>
  <si>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</si>
  <si>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</si>
  <si>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</si>
  <si>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</si>
  <si>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</si>
  <si>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</si>
  <si>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</si>
  <si>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</si>
  <si>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Centro Nacional de Información</t>
  </si>
  <si>
    <t xml:space="preserve">PRESENTACIÓN </t>
  </si>
  <si>
    <t>OBJETIVO</t>
  </si>
  <si>
    <t>REPORTE ESTADÍSTICO MENSUAL DEL NÚMERO DE LLAMADAS GENERADAS
 EN EL SERVICIO DE ATENCIÓN DE LLAMADAS DE EMERGENCIA 066</t>
  </si>
  <si>
    <t xml:space="preserve">Ley General del Sistema Nacional de Seguridad Pública
</t>
  </si>
  <si>
    <t xml:space="preserve">Acuerdo Nacional por la Seguridad, la Justicia y la Legalidad
</t>
  </si>
  <si>
    <t xml:space="preserve">Acuerdos aprobados por el Consejo Nacional de Seguridad Pública en su Trigésima Primera Sesión.
</t>
  </si>
  <si>
    <t xml:space="preserve">Reglamento del Secretariado Ejecutivo del Sistema Nacional de Seguridad Pública.
</t>
  </si>
  <si>
    <t>Alcance</t>
  </si>
  <si>
    <t>|</t>
  </si>
  <si>
    <t>INSTRUCTIVO</t>
  </si>
  <si>
    <t>INSTRUCCIONES DE LLENADO</t>
  </si>
  <si>
    <t xml:space="preserve">Integrar, análisar  y explotar  la información generada de los tipos de incidentes de los Centros de Atención de Llamadas de Emergencia 066  que operan a nivel nacional.
</t>
  </si>
  <si>
    <r>
      <rPr>
        <b/>
        <sz val="14"/>
        <color theme="1"/>
        <rFont val="Calibri"/>
        <family val="2"/>
        <scheme val="minor"/>
      </rPr>
      <t>Artículo 111.-</t>
    </r>
    <r>
      <rPr>
        <sz val="14"/>
        <color theme="1"/>
        <rFont val="Calibri"/>
        <family val="2"/>
        <scheme val="minor"/>
      </rPr>
      <t xml:space="preserve"> La Federación, los Estados, el Distrito Federal y los Municipios, realizarán los trabajos para lograr la compatibilidad de los servicios de telecomunicaciones de su Red Local correspondiente, con las bases de datos criminalísticos y de personal del Sistema, previstas en la presente Ley. 
El servicio de llamadas de emergencia y el servicio de denuncia anónima operarán con un número único de atención a la ciudadanía. El Secretario Ejecutivo adoptará las medidas necesarias para la homologación de los servicios.”
</t>
    </r>
  </si>
  <si>
    <t>Homologar la información sobre incidencia delictiva que generan los centros de atención de llamadas de emergencia, así como generar una base de datos nacional con información estadística.</t>
  </si>
  <si>
    <r>
      <rPr>
        <b/>
        <sz val="14"/>
        <color theme="1"/>
        <rFont val="Calibri"/>
        <family val="2"/>
        <scheme val="minor"/>
      </rPr>
      <t>Artículo 12.</t>
    </r>
    <r>
      <rPr>
        <sz val="14"/>
        <color theme="1"/>
        <rFont val="Calibri"/>
        <family val="2"/>
        <scheme val="minor"/>
      </rPr>
      <t xml:space="preserve">- El Centro Nacional de Información, además de las atribuciones que le confiere la Ley, tendrá las siguientes:
</t>
    </r>
    <r>
      <rPr>
        <b/>
        <sz val="14"/>
        <color theme="1"/>
        <rFont val="Calibri"/>
        <family val="2"/>
        <scheme val="minor"/>
      </rPr>
      <t>VII.</t>
    </r>
    <r>
      <rPr>
        <sz val="14"/>
        <color theme="1"/>
        <rFont val="Calibri"/>
        <family val="2"/>
        <scheme val="minor"/>
      </rPr>
      <t xml:space="preserve"> Determinar las estrategias tendientes a satisfacer las necesidades de información y procesamiento
de datos, requeridas por las Instituciones de Seguridad Pública;
</t>
    </r>
    <r>
      <rPr>
        <b/>
        <sz val="14"/>
        <color theme="1"/>
        <rFont val="Calibri"/>
        <family val="2"/>
        <scheme val="minor"/>
      </rPr>
      <t>VIII.</t>
    </r>
    <r>
      <rPr>
        <sz val="14"/>
        <color theme="1"/>
        <rFont val="Calibri"/>
        <family val="2"/>
        <scheme val="minor"/>
      </rPr>
      <t xml:space="preserve"> Definir las medidas necesarias para la operación de los servicios de emergencia y denuncia anónima a través de un número único de atención ciudadana; así como determinar nuevas aplicaciones para su homologación;
</t>
    </r>
    <r>
      <rPr>
        <b/>
        <sz val="14"/>
        <color theme="1"/>
        <rFont val="Calibri"/>
        <family val="2"/>
        <scheme val="minor"/>
      </rPr>
      <t>XXI.</t>
    </r>
    <r>
      <rPr>
        <sz val="14"/>
        <color theme="1"/>
        <rFont val="Calibri"/>
        <family val="2"/>
        <scheme val="minor"/>
      </rPr>
      <t xml:space="preserve"> Incorporar al Sistema Nacional de Información de Seguridad Pública la información contenida en otras bases de datos que contribuyan a los fines de la seguridad pública;</t>
    </r>
  </si>
  <si>
    <t xml:space="preserve"> Secretariado Ejecutivo del Sistema Nacional de Seguridad Pública</t>
  </si>
  <si>
    <t>Hidalgo</t>
  </si>
  <si>
    <t>Cantidad</t>
  </si>
  <si>
    <t>Incidente</t>
  </si>
  <si>
    <t>ID</t>
  </si>
  <si>
    <t>CONVULSIONES</t>
  </si>
  <si>
    <t>PERSONA TIRADA EN VÍA PÚBLICA</t>
  </si>
  <si>
    <t>QUEMADURAS</t>
  </si>
  <si>
    <t>AFECTACIÓN DE LOS SERVICIOS BÁSICOS O DE INFRAESTRUCTURA ESTRATÉGICA</t>
  </si>
  <si>
    <t>ANIMAL PELIGROSO</t>
  </si>
  <si>
    <t>ANIMALES SUELTOS</t>
  </si>
  <si>
    <t>EPIDEMIAS</t>
  </si>
  <si>
    <t>EXPLOSIÓN</t>
  </si>
  <si>
    <t>TRANSPORTE DE SUSTANCIAS PELIGROSAS</t>
  </si>
  <si>
    <t>CONTAMINACIÓN DE SUELO, AIRE Y AGUA</t>
  </si>
  <si>
    <t>DERRUMBES</t>
  </si>
  <si>
    <t>ENJAMBRE DE ABEJAS</t>
  </si>
  <si>
    <t>ERUPCIÓN O EMISIONES VOLCÁNICAS</t>
  </si>
  <si>
    <t>FRENTES FRÍOS, BAJAS TEMPERATURAS, NEVADAS Y HELADAS</t>
  </si>
  <si>
    <t>HURACANES</t>
  </si>
  <si>
    <t>INUNDACIONES</t>
  </si>
  <si>
    <t>PLAGAS</t>
  </si>
  <si>
    <t>SISMO</t>
  </si>
  <si>
    <t>TALA ILEGAL</t>
  </si>
  <si>
    <t>TORNADOS</t>
  </si>
  <si>
    <t>TSUNAMI</t>
  </si>
  <si>
    <t>OBJETO SOSPECHOSO O PELIGROSO</t>
  </si>
  <si>
    <t>DETONACIÓN DE EXPLOSIVOS</t>
  </si>
  <si>
    <t>ENFRENTAMIENTO DE GRUPOS ARMADOS</t>
  </si>
  <si>
    <t>PORTACIÓN DE ARMAS O CARTUCHOS</t>
  </si>
  <si>
    <t>AERONAVE SOSPECHOSA</t>
  </si>
  <si>
    <t>ARRANCONES O CARRERAS DE VEHÍCULOS</t>
  </si>
  <si>
    <t>CIRCULAR EN SENTIDO CONTRARIO</t>
  </si>
  <si>
    <t>VEHÍCULO A EXCESO DE VELOCIDAD</t>
  </si>
  <si>
    <t>VEHÍCULO EN HUIDA</t>
  </si>
  <si>
    <t>VEHÍCULO SOSPECHOSO</t>
  </si>
  <si>
    <t>DAÑO A PROPIEDAD AJENA</t>
  </si>
  <si>
    <t>DESPOJO</t>
  </si>
  <si>
    <t>EXTORSIÓN</t>
  </si>
  <si>
    <t>FRAUDE</t>
  </si>
  <si>
    <t>ROBO DE COMBUSTIBLE O TOMA CLANDESTINA DE DUCTOS</t>
  </si>
  <si>
    <t>ROBO A CAJERO AUTOMÁTICO</t>
  </si>
  <si>
    <t>ROBO DE GANADO</t>
  </si>
  <si>
    <t>ROBO A CASA HABITACIÓN CON VIOLENCIA</t>
  </si>
  <si>
    <t>ROBO A CASA HABITACIÓN SIN VIOLENCIA</t>
  </si>
  <si>
    <t>ROBO A ESCUELA CON VIOLENCIA</t>
  </si>
  <si>
    <t>ROBO A ESCUELA SIN VIOLENCIA</t>
  </si>
  <si>
    <t>ROBO A GASOLINERA CON VIOLENCIA</t>
  </si>
  <si>
    <t>ROBO A GASOLINERA SIN VIOLENCIA</t>
  </si>
  <si>
    <t>ROBO A NEGOCIO CON VIOLENCIA</t>
  </si>
  <si>
    <t>ROBO A NEGOCIO SIN VIOLENCIA</t>
  </si>
  <si>
    <t>ROBO A TRANSEÚNTE CON VIOLENCIA</t>
  </si>
  <si>
    <t>ROBO A TRANSEÚNTE SIN VIOLENCIA</t>
  </si>
  <si>
    <t>ROBO EN TRANSPORTE PÚBLICO COLECTIVO CON VIOLENCIA</t>
  </si>
  <si>
    <t>ROBO EN TRANSPORTE PÚBLICO COLECTIVO SIN VIOLENCIA</t>
  </si>
  <si>
    <t>ROBO EN TRANSPORTE PÚBLICO INDIVIDUAL CON VIOLENCIA</t>
  </si>
  <si>
    <t>ROBO EN TRANSPORTE PÚBLICO INDIVIDUAL SIN VIOLENCIA</t>
  </si>
  <si>
    <t>ROBO A TRANSPORTISTA CON VIOLENCIA</t>
  </si>
  <si>
    <t>ROBO A TRANSPORTISTA SIN VIOLENCIA</t>
  </si>
  <si>
    <t>ROBO DE VEHÍCULO PARTICULAR CON VIOLENCIA</t>
  </si>
  <si>
    <t>ROBO DE VEHÍCULO PARTICULAR SIN VIOLENCIA</t>
  </si>
  <si>
    <t>ROBO EN CARRETERA CON VIOLENCIA</t>
  </si>
  <si>
    <t>ROBO EN CARRETERA SIN VIOLENCIA</t>
  </si>
  <si>
    <t>ROBO A BANCO CON VIOLENCIA</t>
  </si>
  <si>
    <t>ROBO A BANCO SIN VIOLENCIA</t>
  </si>
  <si>
    <t>ROBO A CASA DE CAMBIO CON VIOLENCIA</t>
  </si>
  <si>
    <t>ROBO A CASA DE CAMBIO SIN VIOLENCIA</t>
  </si>
  <si>
    <t>ROBO A EMPRESA DE TRASLADO DE VALORES CON VIOLENCIA</t>
  </si>
  <si>
    <t>ROBO A EMPRESA DE TRASLADO DE VALORES SIN VIOLENCIA</t>
  </si>
  <si>
    <t>ROBO A FERROCARRIL</t>
  </si>
  <si>
    <t>ABANDONO DE PERSONA</t>
  </si>
  <si>
    <t>VIOLENCIA DE PAREJA</t>
  </si>
  <si>
    <t>VIOLENCIA FAMILIAR</t>
  </si>
  <si>
    <t>MENOR EXTRAVIADO</t>
  </si>
  <si>
    <t>PERSONA NO LOCALIZADA</t>
  </si>
  <si>
    <t>PRIVACIÓN DE LA LIBERTAD</t>
  </si>
  <si>
    <t>REHENES</t>
  </si>
  <si>
    <t>SUSTRACCIÓN DE MENORES</t>
  </si>
  <si>
    <t>TRÁFICO DE MENORES</t>
  </si>
  <si>
    <t>ABUSO SEXUAL</t>
  </si>
  <si>
    <t>ACOSO U HOSTIGAMIENTO SEXUAL</t>
  </si>
  <si>
    <t>ATAQUES AL PUDOR</t>
  </si>
  <si>
    <t>ESTUPRO</t>
  </si>
  <si>
    <t>EXPLOTACIÓN DE MENORES</t>
  </si>
  <si>
    <t>TRATA DE MENORES</t>
  </si>
  <si>
    <t>VIOLACIÓN</t>
  </si>
  <si>
    <t>ACTOS DE COMERCIALIZACIÓN ILEGAL DE SANGRE, ÓRGANOS Y TEJIDOS HUMANOS</t>
  </si>
  <si>
    <t>ASOCIACIÓN DELICTUOSA O PANDILLERISMO</t>
  </si>
  <si>
    <t>CORRUPCIÓN DE MENORES</t>
  </si>
  <si>
    <t>TRATA DE PERSONAS</t>
  </si>
  <si>
    <t>AMENAZA DE SUICIDIO</t>
  </si>
  <si>
    <t>HOMICIDIO</t>
  </si>
  <si>
    <t>PERSONA AGRESIVA</t>
  </si>
  <si>
    <t>SUICIDIO</t>
  </si>
  <si>
    <t>VIOLENCIA CONTRA LA MUJER</t>
  </si>
  <si>
    <t>ALLANAMIENTO DE MORADA</t>
  </si>
  <si>
    <t>DAÑO A BIENES PÚBLICOS, INSTITUCIONES, MONUMENTOS, ENTRE OTROS</t>
  </si>
  <si>
    <t>DESCARGA DE DESECHOS SIN PERMISOS</t>
  </si>
  <si>
    <t>ELECTORALES</t>
  </si>
  <si>
    <t>FUGA DE REOS</t>
  </si>
  <si>
    <t>NARCOMENUDEO</t>
  </si>
  <si>
    <t>USURPACIÓN DE IDENTIDAD</t>
  </si>
  <si>
    <t>VENTA CLANDESTINA DE PIROTECNIA, COHETES O FUEGOS ARTIFICIALES</t>
  </si>
  <si>
    <t>ALTERACIÓN DEL ORDEN PÚBLICO POR PERSONA ALCOHOLIZADA</t>
  </si>
  <si>
    <t>ALTERACIÓN DEL ORDEN PÚBLICO POR PERSONA DROGADA</t>
  </si>
  <si>
    <t>AMENAZA DE BOMBA</t>
  </si>
  <si>
    <t>CONDUCTOR EBRIO</t>
  </si>
  <si>
    <t>CONSUMO DE ALCOHOL EN VÍA PÚBLICA</t>
  </si>
  <si>
    <t>CONSUMO DE DROGAS EN VÍA PÚBLICA</t>
  </si>
  <si>
    <t>MANIFESTACIÓN CON DISTURBIOS O BLOQUEOS</t>
  </si>
  <si>
    <t>MITIN</t>
  </si>
  <si>
    <t>PELEA CLANDESTINA CON ANIMALES</t>
  </si>
  <si>
    <t>PERSONA EXHIBICIONISTA</t>
  </si>
  <si>
    <t>RUIDO EXCESIVO</t>
  </si>
  <si>
    <t>PERSONA SOSPECHOSA</t>
  </si>
  <si>
    <t>TERRORISMO O ATENTADO</t>
  </si>
  <si>
    <t>MALTRATO DE ANIMALES</t>
  </si>
  <si>
    <t>PERSONA EN SITUACIÓN DE CALLE</t>
  </si>
  <si>
    <t>CAÍDA DE BARDA</t>
  </si>
  <si>
    <t>FALLA DE ALUMBRADO PÚBLICO</t>
  </si>
  <si>
    <t>FALLAS DE SEMÁFORO</t>
  </si>
  <si>
    <t>VIALIDAD EN MAL ESTADO</t>
  </si>
  <si>
    <t>ALCANTARILLA SIN TAPA</t>
  </si>
  <si>
    <t>ÁRBOL CAÍDO O POR CAER</t>
  </si>
  <si>
    <t>ANIMAL MUERTO</t>
  </si>
  <si>
    <t>CABLES COLGANDO</t>
  </si>
  <si>
    <t>CAÍDA DE ANUNCIO O ESPECTACULAR</t>
  </si>
  <si>
    <t>CORTO CIRCUITO</t>
  </si>
  <si>
    <t>GRAVA SUELTA</t>
  </si>
  <si>
    <t>LLAMADA DE PRUEBA</t>
  </si>
  <si>
    <t>LLAMADA INCOMPLETA</t>
  </si>
  <si>
    <t>TRANSFERENCIA DE LLAMADA</t>
  </si>
  <si>
    <t>ENTIDAD</t>
  </si>
  <si>
    <t>Aguascalientes</t>
  </si>
  <si>
    <t>Baja California</t>
  </si>
  <si>
    <t>Baja California Sur</t>
  </si>
  <si>
    <t>Campeche</t>
  </si>
  <si>
    <t>Coahuila de Zaragoza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</si>
  <si>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</si>
  <si>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</si>
  <si>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</si>
  <si>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</si>
  <si>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</si>
  <si>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</si>
  <si>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</si>
  <si>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Jalisco</t>
  </si>
  <si>
    <t>México</t>
  </si>
  <si>
    <t>Michoacán de Ocampo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</si>
  <si>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</si>
  <si>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</si>
  <si>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</si>
  <si>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</si>
  <si>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</si>
  <si>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</si>
  <si>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</si>
  <si>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</si>
  <si>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</si>
  <si>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</si>
  <si>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</si>
  <si>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</si>
  <si>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</si>
  <si>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</si>
  <si>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</si>
  <si>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Federal</t>
  </si>
  <si>
    <t>REPORTE ESTADÍSTICO MENSUAL DEL NÚMERO DE LLAMADAS GENERADAS
 EN EL SERVICIO DE ATENCIÓN DE LLAMADAS DE EMERGENCIA 911</t>
  </si>
  <si>
    <t xml:space="preserve">La información de la estadística generada en el Centro de Atención de Llamadas de Emergencia 911, es a mes vencido.
</t>
  </si>
  <si>
    <r>
      <rPr>
        <b/>
        <sz val="14"/>
        <color theme="1"/>
        <rFont val="Calibri"/>
        <family val="2"/>
        <scheme val="minor"/>
      </rPr>
      <t>10/XXXVII/14</t>
    </r>
    <r>
      <rPr>
        <sz val="14"/>
        <color theme="1"/>
        <rFont val="Calibri"/>
        <family val="2"/>
        <scheme val="minor"/>
      </rPr>
      <t xml:space="preserve">. El Consejo Nacional de Seguridad Pública aprueba la consolidación de un servicio homologado para la atención de llamadas de emergencia en todo el país, que opere de manera estandarizada a nivel nacional, reduzca los tiempos de atención y mejore la calidad del servicio prestado a la ciudadanía. Para ello, se instruye al Secretariado Ejecutivo del Sistema Nacional de Seguridad Pública a realizar un diagnóstico a nivel nacional y, con base en éste, diseñar el programa que definirá las acciones y metas que las autoridades de los tres órdenes de gobierno deberán de cumplir a fin de ejecutar dicho acuerdo, así como las etapas y tiempos para la homologación del servicio y la desaparición progresiva de los números de atención de emergencia actuales.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4"/>
        <color theme="1"/>
        <rFont val="Calibri"/>
        <family val="2"/>
        <scheme val="minor"/>
      </rPr>
      <t>Acuerdo 12/XXXVIII/15</t>
    </r>
    <r>
      <rPr>
        <b/>
        <sz val="12"/>
        <color theme="1"/>
        <rFont val="Calibri"/>
        <family val="2"/>
        <scheme val="minor"/>
      </rPr>
      <t>.</t>
    </r>
    <r>
      <rPr>
        <b/>
        <sz val="14"/>
        <color theme="1"/>
        <rFont val="Calibri"/>
        <family val="2"/>
        <scheme val="minor"/>
      </rPr>
      <t xml:space="preserve"> Catálogo Nacional de Incidentes de Emergencia e integración de Base Nacional.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En el marco del Acuerdo 10/XXXVII/14</t>
    </r>
    <r>
      <rPr>
        <sz val="14"/>
        <color theme="1"/>
        <rFont val="Calibri"/>
        <family val="2"/>
        <scheme val="minor"/>
      </rPr>
      <t xml:space="preserve">, el Consejo Nacional de Seguridad Pública aprueba el Catálogo Nacional de Incidentes de Emergencia y su implementación obligatoria en los Servicios de Atención de Llamadas de Emergencia a nivel nacional, con base en los términos y plazos que determine el Secretariado Ejecutivo del Sistema Nacional de Seguridad Pública.
Asimismo, se instruye a los responsables de los Servicios de Atención de Llamadas de Emergencia, a que proporcionen al Secretariado Ejecutivo del Sistema Nacional de Seguridad Pública, información periódica sobre sus incidentes, con base en dicho Catálogo.
</t>
    </r>
  </si>
  <si>
    <t>REPORTE ESTADÍSTICO DEL NÚMERO DE LLAMADAS GENERADAS
 EN LOS SERVICIOS DE ATENCIÓN DE LLAMADAS DE EMERGENCIA 911</t>
  </si>
  <si>
    <t>Se deberá enviar en los 10 primeros días de cada mes</t>
  </si>
  <si>
    <r>
      <rPr>
        <b/>
        <sz val="14"/>
        <rFont val="Calibri"/>
        <family val="2"/>
        <scheme val="minor"/>
      </rPr>
      <t>Ingrese</t>
    </r>
    <r>
      <rPr>
        <sz val="14"/>
        <rFont val="Calibri"/>
        <family val="2"/>
        <scheme val="minor"/>
      </rPr>
      <t xml:space="preserve"> en la columna "cantidad" el número total de eventos occurridos</t>
    </r>
  </si>
  <si>
    <t>Una vez concluida su captura, guarde los cambios y envíe al correo electrónico correspondiente</t>
  </si>
  <si>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la Hoja que corresponda al Centro de Atencion a Llamadas de Emergencia a reportar</t>
    </r>
  </si>
  <si>
    <r>
      <t xml:space="preserve">En el espacio "MES", </t>
    </r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el mes (vencido) de la información que se remite en el archivo electrónico al Centro Nacional de Información.</t>
    </r>
  </si>
  <si>
    <t>Nombre de la Entidad Federativa:</t>
  </si>
  <si>
    <t>Año:</t>
  </si>
  <si>
    <t>Mes:</t>
  </si>
  <si>
    <t>Tipo de Administración:</t>
  </si>
  <si>
    <t>Nombre del Centro:</t>
  </si>
  <si>
    <t>SECRETARIADO EJECUTIVO DEL SISTEMA NACIONAL DE SEGURIDAD PUBLICA</t>
  </si>
  <si>
    <t>RESUMEN ESTATAL DE LLAMADAS DE EMERGENCIA</t>
  </si>
  <si>
    <t>Total de Llamadas:</t>
  </si>
  <si>
    <t>Porcentaje de Llamadas por tipo Médico</t>
  </si>
  <si>
    <t>Porcentaje de Llamadas por Tipo Protección Civil</t>
  </si>
  <si>
    <t>Porcentaje de Llamadas por Tipo Seguridad</t>
  </si>
  <si>
    <t>Porcentaje de Llamadas por Tipo Servicios Públicos</t>
  </si>
  <si>
    <t>Porcentaje de Llamadas por Tipo Improcedentes</t>
  </si>
  <si>
    <t>Total de Llamadas por Tipo Médico</t>
  </si>
  <si>
    <t>Total de Llamadas por Tipo Protección Civil</t>
  </si>
  <si>
    <t>Total de Llamadas por Tipo Seguridad</t>
  </si>
  <si>
    <t>Total de Llamadas por Tipo Servicios Públicos</t>
  </si>
  <si>
    <t>Total de Llamadas por Tipo Improcedentes</t>
  </si>
  <si>
    <t>(FORMATO ELECTRÓNICO FESE)</t>
  </si>
  <si>
    <t xml:space="preserve">Formato electrónico FESE (Formato Estadístico de los Servicios de Emergencia)para el reporte estadístico mensual del número de llamadas generadas en el Servicio de Atención de Llamadas de Emergencia </t>
  </si>
  <si>
    <r>
      <rPr>
        <b/>
        <sz val="14"/>
        <color theme="1"/>
        <rFont val="Calibri"/>
        <family val="2"/>
        <scheme val="minor"/>
      </rPr>
      <t>Acuerdo 03/XXXVIII/15. Programas con Prioridad Nacional.</t>
    </r>
    <r>
      <rPr>
        <sz val="14"/>
        <color theme="1"/>
        <rFont val="Calibri"/>
        <family val="2"/>
        <scheme val="minor"/>
      </rPr>
      <t xml:space="preserve">
El Consejo Nacional de Seguridad Pública aprueba “Los Ejes Estratégicos del Sistema Nacional de Seguridad Pública y su estructura, así como los Programas con Prioridad Nacional para alcanzarlos, vinculados al ejercicio del fondo, subsidios y demás recursos de carácter federal que se otorguen a las Entidades Federativas, los Municipios y Demarcaciones Territoriales del Distrito Federal, en materia de seguridad pública”.</t>
    </r>
  </si>
  <si>
    <t>ALMACENAMIENTO DE SUSTANCIAS PELIGROSAS</t>
  </si>
  <si>
    <t xml:space="preserve">ACCIDENTE ACUÁTICO CON LESIONADOS   </t>
  </si>
  <si>
    <t xml:space="preserve">ACCIDENTE DE AERONAVE CON LESIONADOS </t>
  </si>
  <si>
    <t xml:space="preserve">ACCIDENTE DE MOTOCICLETA CON LESIONADOS </t>
  </si>
  <si>
    <t xml:space="preserve">ACCIDENTE DE VEHÍCULO AUTOMOTOR CON LESIONADOS   </t>
  </si>
  <si>
    <t xml:space="preserve">ACCIDENTE FERROVIARIO CON LESIONADOS </t>
  </si>
  <si>
    <t xml:space="preserve">ACCIDENTE FERROVIARIO CON FALLECIDO </t>
  </si>
  <si>
    <t xml:space="preserve">ACCIDENTE MÚLTIPLE CON LESIONADOS </t>
  </si>
  <si>
    <t xml:space="preserve">ACCIDENTE MÚLTIPLE CON FALLECIDO </t>
  </si>
  <si>
    <t xml:space="preserve">ACCIDENTE DE VEHÍCULO DE PASAJEROS CON LESIONADOS </t>
  </si>
  <si>
    <t xml:space="preserve">ACCIDENTE DE VEHÍCULO DE PASAJEROS CON FALLECIDO </t>
  </si>
  <si>
    <t xml:space="preserve">ACCIDENTE DE MOTOCICLETA CON FALLECIDO </t>
  </si>
  <si>
    <t xml:space="preserve">ACCIDENTE DE VEHÍCULO AUTOMOTOR CON FALLECIDO   </t>
  </si>
  <si>
    <t>ACCIDENTE DE AERONAVE CON FALLECIDO</t>
  </si>
  <si>
    <t>ACCIDENTE DE EMBARCACIONES CON LESIONADOS</t>
  </si>
  <si>
    <t>ACCIDENTE DE EMBARCACIONES CON FALLECIDO</t>
  </si>
  <si>
    <t xml:space="preserve">ATROPELLAMIENTO </t>
  </si>
  <si>
    <t xml:space="preserve">ACCIDENTE ACUÁTICO CON FALLECIDO   </t>
  </si>
  <si>
    <t xml:space="preserve">ACCIDENTES CON MATERIALES PELIGROSOS </t>
  </si>
  <si>
    <t>ACCIDENTES CON MATERIALES RADIOACTIVOS</t>
  </si>
  <si>
    <t xml:space="preserve">ACCIDENTES CON RIESGO BIOLÓGICO INFECTO-CONTAGIOSO </t>
  </si>
  <si>
    <t>OTROS ACCIDENTES CON LESIONADOS</t>
  </si>
  <si>
    <t xml:space="preserve">AHOGAMIENTO </t>
  </si>
  <si>
    <t xml:space="preserve">AMPUTACIÓN </t>
  </si>
  <si>
    <t xml:space="preserve">ASFIXIA   </t>
  </si>
  <si>
    <t>CAÍDA</t>
  </si>
  <si>
    <t>ELECTROCUTADO/ LESIÓN POR CORRIENTE ELÉCTRICA</t>
  </si>
  <si>
    <t xml:space="preserve">FRACTURADO/ TRAUMATISMO DE EXTREMIDADES </t>
  </si>
  <si>
    <t xml:space="preserve">HEMORRAGIA </t>
  </si>
  <si>
    <t xml:space="preserve">LESIONADO POR ARMA BLANCA </t>
  </si>
  <si>
    <t>LESIONADO POR PROYECTIL DE ARMA DE FUEGO</t>
  </si>
  <si>
    <t xml:space="preserve">MORDEDURA DE ANIMAL </t>
  </si>
  <si>
    <t xml:space="preserve">TRAUMATISMOS MÚLTIPLES </t>
  </si>
  <si>
    <t xml:space="preserve">TRAUMATISMO  DE CRÁNEO </t>
  </si>
  <si>
    <t>TRAUMATISMO DE TÓRAX (PECHO Y/ O ESPALDA)</t>
  </si>
  <si>
    <t>TRAUMATISMO ABDOMINAL</t>
  </si>
  <si>
    <t>TRAUMATISMO GENITAL Y/ O URINARIO</t>
  </si>
  <si>
    <t xml:space="preserve">CONGELAMIENTO / LESIONADO POR CONDICIONES AMBIENTALES </t>
  </si>
  <si>
    <t xml:space="preserve">HIPOTERMIA </t>
  </si>
  <si>
    <t>FALLECIDO DE CAUSA TRAUMÁTICA</t>
  </si>
  <si>
    <t>OTROS INCIDENTES MÉDICOS TRAUMÁTICOS</t>
  </si>
  <si>
    <t xml:space="preserve">TRABAJO DE PARTO </t>
  </si>
  <si>
    <t xml:space="preserve">AMENAZA DE ABORTO </t>
  </si>
  <si>
    <t xml:space="preserve">URGENCIA EN PACIENTE EMBARAZADA </t>
  </si>
  <si>
    <t>INFARTO CEREBRAL</t>
  </si>
  <si>
    <t xml:space="preserve">DIFICULTAD RESPIRATORIA/URGENCIA RESPIRATORIA </t>
  </si>
  <si>
    <t xml:space="preserve">INTOXICACIÓN ETÍLICA </t>
  </si>
  <si>
    <t xml:space="preserve">PERSONA INCONSCIENTE/ URGENCIA NEUROLÓGICA </t>
  </si>
  <si>
    <t>ENVENENAMIENTO POR ANIMAL DE PONZOÑA</t>
  </si>
  <si>
    <t xml:space="preserve">URGENCIA POR ENFERMEDAD GENERAL </t>
  </si>
  <si>
    <t xml:space="preserve">DOLOR ABDOMINAL / URGENCIA ABDOMINAL </t>
  </si>
  <si>
    <t>DESCOMPENSACIÓN DE LA DIABETES/ DESHIDRATACIÓN</t>
  </si>
  <si>
    <t xml:space="preserve">PARO CARDIORRESPIRATORIO </t>
  </si>
  <si>
    <t xml:space="preserve">INFARTO / URGENCIA CARDIOLÓGICA </t>
  </si>
  <si>
    <t xml:space="preserve">INTOXICACIÓN/ SOBREDOSIS / ENVENENAMIENTO POR SUSTANCIAS </t>
  </si>
  <si>
    <t>OTROS INCIDENTES MÉDICOS CLÍNICOS</t>
  </si>
  <si>
    <t>FALLECIDO DE CAUSA NATURAL</t>
  </si>
  <si>
    <t xml:space="preserve">PERSONA EN CRISIS POR TRASTORNO MENTAL  </t>
  </si>
  <si>
    <t>ACCIDENTE FERROVIARIO SIN LESIONADOS</t>
  </si>
  <si>
    <t>FUGAS Y DERRAMES EN ESCUELA</t>
  </si>
  <si>
    <t>ENCHARCAMIENTO/ DESBORDAMIENTO DE RIO</t>
  </si>
  <si>
    <t>FUGAS Y DERRAMES DE SUSTANCIAS QUÍMICAS</t>
  </si>
  <si>
    <t>HUNDIMIENTOS / AGRIETAMIENTOS/ INESTABILIDAD DE LADERA</t>
  </si>
  <si>
    <t>GASES TÓXICOS</t>
  </si>
  <si>
    <t>OLORES FÉTIDOS</t>
  </si>
  <si>
    <t>MATERIALES PELIGROSOS O RADIOACTIVOS</t>
  </si>
  <si>
    <t>TORMENTAS DE GRANIZO /DE NIEVE</t>
  </si>
  <si>
    <t>VIENTO / TORMENTA DE POLVO</t>
  </si>
  <si>
    <t>INCENDIO DE CASA HABITACIÓN</t>
  </si>
  <si>
    <t>INCENDIO EN ESCUELA</t>
  </si>
  <si>
    <t>INCENDIO DE VEHÍCULO</t>
  </si>
  <si>
    <t>INCENDIO DE COMERCIO</t>
  </si>
  <si>
    <t>INCENDIO DE EDIFICIO</t>
  </si>
  <si>
    <t>INCENDIO A BORDO DE EMBARCACIÓN</t>
  </si>
  <si>
    <t>INCENDIO FORESTAL</t>
  </si>
  <si>
    <t xml:space="preserve">QUEMA URBANA </t>
  </si>
  <si>
    <t>QUEMA AGROPECUARIA</t>
  </si>
  <si>
    <t>INCENDIO DE FÁBRICA O INDUSTRIA</t>
  </si>
  <si>
    <t>OTROS INCENDIOS</t>
  </si>
  <si>
    <t>NAUFRAGIO/ HUNDIMIENTO / VARADURA DE EMBARCACIÓN</t>
  </si>
  <si>
    <t>PERSONA ATRAPADA</t>
  </si>
  <si>
    <t>RESCATE ANIMAL</t>
  </si>
  <si>
    <t>OTROS RESCATES</t>
  </si>
  <si>
    <t>VEHÍCULO ABANDONADO</t>
  </si>
  <si>
    <t>PERSONA ARMADA EN ESCUELA</t>
  </si>
  <si>
    <t xml:space="preserve">DETONACIÓN  DE COHETES O FUEGOS ARTIFICIALES </t>
  </si>
  <si>
    <t>DETONACIÓN DE ARMA DE FUEGO EN ESCUELA</t>
  </si>
  <si>
    <t>TRÁFICO DE ARMAS</t>
  </si>
  <si>
    <t>BLOQUEO O CORTE DE VÍAS DE COMUNICACIÓN</t>
  </si>
  <si>
    <t>VEHÍCULO DESCOMPUESTO</t>
  </si>
  <si>
    <t>ACCIDENTE DE TRÁNSITO SIN LESIONADOS</t>
  </si>
  <si>
    <t>OTRAS FALTAS A REGLAMENTO DE TRÁNSITO</t>
  </si>
  <si>
    <t>OTRAS ALARMAS DE EMERGENCIAS ACTIVADAS</t>
  </si>
  <si>
    <t>BOTÓN  DE EMERGENCIA ACTIVADO</t>
  </si>
  <si>
    <t>CRISTALAZO O ROBO AL INTERIOR DE VEHÍCULO</t>
  </si>
  <si>
    <t>EXTORSIÓN TELEFÓNICA</t>
  </si>
  <si>
    <t>ACTIVACIÓN DE ALARMA EN ESCUELA</t>
  </si>
  <si>
    <t>ROBO DE AUTOPARTES O ACCESORIOS</t>
  </si>
  <si>
    <t>ROBO  DE PLACA</t>
  </si>
  <si>
    <t>ROBO A TRANSPORTE ESCOLAR CON VIOLENCIA</t>
  </si>
  <si>
    <t>ROBO A TRANSPORTE ESCOLAR SIN VIOLENCIA</t>
  </si>
  <si>
    <t>ROBO A EMBARCACIONES Y PIRATERÍA</t>
  </si>
  <si>
    <t>TRANSPORTE ILEGAL DE COMBUSTIBLE</t>
  </si>
  <si>
    <t>ROBO DE ARTE SACRO</t>
  </si>
  <si>
    <t>OTROS ACTOS RELACIONADOS CON EL PATRIMONIO</t>
  </si>
  <si>
    <t>OTROS ACTOS RELACIONADOS CON LA FAMILIA</t>
  </si>
  <si>
    <t>MALTRATO INFANTIL</t>
  </si>
  <si>
    <t>ROBO DE INFANTE</t>
  </si>
  <si>
    <t>PERSONA DETENIDA</t>
  </si>
  <si>
    <t>OTROS ACTOS RELACIONADOS CON LA LIBERTAD PERSONAL</t>
  </si>
  <si>
    <t>TENTATIVA DE PRIVACIÓN DE LA LIBERTAD</t>
  </si>
  <si>
    <t>NOTIFICACIÓN DE CIBER INCIDENTE</t>
  </si>
  <si>
    <t xml:space="preserve">OTROS ACTOS RELACIONADOS CON LA LIBERTAD Y LA SEGURIDAD SEXUAL </t>
  </si>
  <si>
    <t>TRÁFICO DE PERSONAS/INDOCUMENTADAS</t>
  </si>
  <si>
    <t>OTROS ACTOS RELACIONADOS CON LA SEGURIDAD COLECTIVA</t>
  </si>
  <si>
    <t>MOTÍN</t>
  </si>
  <si>
    <t>VENTA ILEGAL DE COMBUSTIBLE</t>
  </si>
  <si>
    <t>AMENAZA DE BOMBA EN ESCUELA</t>
  </si>
  <si>
    <t>OTROS ACTOS RELACIONADOS CON LA VIDA Y LA INTEGRIDAD PERSONAL</t>
  </si>
  <si>
    <t>ACCIDENTE DE TRÁNSITO CON MUERTOS</t>
  </si>
  <si>
    <t xml:space="preserve">AGRESIÓN FÍSICA EN PANDILLA </t>
  </si>
  <si>
    <t>AMENAZA</t>
  </si>
  <si>
    <t>TOMA DE EDIFICIO PÚBLICO</t>
  </si>
  <si>
    <t>TOMA DE INSTALACIONES EDUCATIVAS CON VIOLENCIA</t>
  </si>
  <si>
    <t>TRÁFICO DE MADERA</t>
  </si>
  <si>
    <t>TRÁFICO Y/O VENTA CLANDESTINA DE ANIMALES</t>
  </si>
  <si>
    <t>TRÁFICO DE DROGAS Y ESTUPEFACIENTES EN LA MAR</t>
  </si>
  <si>
    <t>TRÁFICO DE DROGAS Y ESTUPEFACIENTES EN VÍA PÚBLICA</t>
  </si>
  <si>
    <t>OTROS ACTOS RELACIONADOS CON OTROS BIENES JURÍDICOS</t>
  </si>
  <si>
    <t>CONSUMO DE ALCOHOL EN ESCUELA</t>
  </si>
  <si>
    <t>CONSUMO DE DROGAS EN ESCUELA</t>
  </si>
  <si>
    <t>GRAFITIS</t>
  </si>
  <si>
    <t>RIÑA / PELEA CLANDESTINA</t>
  </si>
  <si>
    <t>OTROS TIPOS DE ALTERACIÓN AL ORDEN PÚBLICO</t>
  </si>
  <si>
    <t xml:space="preserve">CAÍDA DE POSTE </t>
  </si>
  <si>
    <t>CONCENTRACIÓN PACÍFICA DE PERSONAS</t>
  </si>
  <si>
    <t>TENTATIVA DE ROBO</t>
  </si>
  <si>
    <t>EXTRAVÍO DE PLACA</t>
  </si>
  <si>
    <t>ABUSO DE CONFIANZA</t>
  </si>
  <si>
    <t>ABUSO DE AUTORIDAD</t>
  </si>
  <si>
    <t>RESTOS HUMANOS</t>
  </si>
  <si>
    <t>DE ARMA</t>
  </si>
  <si>
    <t>VEHÍCULO RECUPERADO</t>
  </si>
  <si>
    <t>APOYO  A LA CIUDADANÍA</t>
  </si>
  <si>
    <t>PERSONA LOCALIZADA</t>
  </si>
  <si>
    <t>SOLICITUD DE RONDÍN</t>
  </si>
  <si>
    <t>QUEJA CONTRA SERVIDORES PÚBLICOS</t>
  </si>
  <si>
    <t>ALCANTARILLA OBSTRUÍDA</t>
  </si>
  <si>
    <t>SOLICITUD DE OTROS SERVICIOS PÚBLICOS</t>
  </si>
  <si>
    <t>LLAMADA DE BROMA POR NIÑOS</t>
  </si>
  <si>
    <t>LLAMADA MUDA</t>
  </si>
  <si>
    <t>INSULTOS POR ADULTOS/ LLAMADA OBSCENA</t>
  </si>
  <si>
    <t>JÓVENES/ ADULTOS JUGANDO</t>
  </si>
  <si>
    <t>OTRAS LLAMADAS DE NO EMERGENCIA</t>
  </si>
  <si>
    <t>DETONACIÓN DE ARMA DE FUEGO</t>
  </si>
  <si>
    <t>(FORMATO ELECTRÓNICO FESE V.2.0)</t>
  </si>
  <si>
    <t>Total de Llamadas por Tipo Asistencia</t>
  </si>
  <si>
    <t>Total de Llamadas por Tipo Otros Servicios</t>
  </si>
  <si>
    <t>Porcentaje de Llamadas por Tipo Asistencia</t>
  </si>
  <si>
    <t>Porcentaje de Llamadas por Tipo Otros Servicios</t>
  </si>
  <si>
    <t>C4 Durango</t>
  </si>
  <si>
    <t>C4 Gomez Palacio</t>
  </si>
  <si>
    <t>C4 Santiago Papasquiaro</t>
  </si>
  <si>
    <t>C4 El Salto</t>
  </si>
  <si>
    <t>SECRETARIA DE SEGURIDAD Y PROTECCIÓN CIUDADANA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</si>
</sst>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\-* #,##0_-;_-* &quot;-&quot;??_-;_-@_-"/>
    <numFmt numFmtId="166" formatCode="0_ ;\-0\ "/>
    <numFmt numFmtId="167" formatCode="00000"/>
  </numFmts>
  <fonts count="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1"/>
      <name val="Arial Narrow"/>
      <family val="2"/>
    </font>
    <font>
      <sz val="10"/>
      <name val="Arial"/>
      <family val="2"/>
    </font>
    <font>
      <b/>
      <i/>
      <sz val="11"/>
      <name val="Apple Chancery"/>
      <family val="4"/>
    </font>
    <font>
      <sz val="11"/>
      <name val="Arial Narrow"/>
      <family val="2"/>
    </font>
    <font>
      <sz val="11"/>
      <color rgb="FF000000"/>
      <name val="Arial Narrow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b/>
      <i/>
      <sz val="11"/>
      <name val="Arial"/>
      <family val="2"/>
    </font>
    <font>
      <b/>
      <sz val="11"/>
      <color theme="1"/>
      <name val="Arial"/>
      <family val="2"/>
    </font>
    <font>
      <b/>
      <i/>
      <sz val="7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Arial Narrow"/>
      <family val="2"/>
    </font>
    <font>
      <sz val="15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8"/>
      <color rgb="FFC00000"/>
      <name val="Calibri"/>
      <family val="2"/>
      <scheme val="minor"/>
    </font>
    <font>
      <b/>
      <sz val="14"/>
      <color rgb="FFC00000"/>
      <name val="Arial"/>
      <family val="2"/>
    </font>
    <font>
      <b/>
      <sz val="18"/>
      <color rgb="FFC00000"/>
      <name val="Arial"/>
      <family val="2"/>
    </font>
    <font>
      <b/>
      <sz val="11"/>
      <color rgb="FFFFFFFF"/>
      <name val="Arial Narrow"/>
      <family val="2"/>
    </font>
    <font>
      <b/>
      <sz val="24"/>
      <name val="Arial Narrow"/>
      <family val="2"/>
    </font>
    <font>
      <i/>
      <sz val="72"/>
      <color rgb="FFC00000"/>
      <name val="Calibri"/>
      <family val="2"/>
      <scheme val="minor"/>
    </font>
    <font>
      <b/>
      <sz val="10"/>
      <color theme="0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b/>
      <sz val="12"/>
      <color rgb="FFC00000"/>
      <name val="Arial"/>
      <family val="2"/>
    </font>
    <font>
      <sz val="11"/>
      <color theme="0"/>
      <name val="Arial Narrow"/>
      <family val="2"/>
    </font>
    <font>
      <b/>
      <sz val="12"/>
      <color rgb="FFFF0000"/>
      <name val="Arial Narrow"/>
      <family val="2"/>
    </font>
    <font>
      <sz val="11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darkGrid">
        <fgColor indexed="9"/>
        <bgColor indexed="9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596B5A"/>
        <bgColor indexed="64"/>
      </patternFill>
    </fill>
    <fill>
      <patternFill patternType="solid">
        <fgColor rgb="FFB0782E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5E548A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5D5A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638A86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C17D19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/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3" fillId="0" borderId="0"/>
    <xf numFmtId="0" fontId="6" fillId="3" borderId="0" applyBorder="0"/>
    <xf numFmtId="0" fontId="6" fillId="3" borderId="0" applyBorder="0"/>
    <xf numFmtId="0" fontId="6" fillId="3" borderId="0" applyBorder="0"/>
    <xf numFmtId="0" fontId="2" fillId="0" borderId="0"/>
    <xf numFmtId="0" fontId="6" fillId="0" borderId="0"/>
    <xf numFmtId="0" fontId="6" fillId="0" borderId="0"/>
    <xf numFmtId="9" fontId="4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165" fontId="5" fillId="0" borderId="0" xfId="1" applyNumberFormat="1" applyFont="1" applyBorder="1" applyAlignment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0" fontId="3" fillId="0" borderId="0" xfId="2"/>
    <xf numFmtId="0" fontId="10" fillId="0" borderId="0" xfId="2" applyFont="1" applyAlignment="1"/>
    <xf numFmtId="0" fontId="11" fillId="0" borderId="0" xfId="2" applyFont="1" applyAlignment="1">
      <alignment horizontal="right"/>
    </xf>
    <xf numFmtId="0" fontId="13" fillId="0" borderId="0" xfId="6" applyFont="1" applyAlignment="1">
      <alignment vertical="top"/>
    </xf>
    <xf numFmtId="0" fontId="14" fillId="0" borderId="0" xfId="6" applyFont="1" applyAlignment="1">
      <alignment vertical="top"/>
    </xf>
    <xf numFmtId="0" fontId="13" fillId="0" borderId="0" xfId="6" applyFont="1" applyAlignment="1">
      <alignment horizontal="left" vertical="top" wrapText="1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center" vertical="top" wrapText="1"/>
    </xf>
    <xf numFmtId="0" fontId="18" fillId="0" borderId="0" xfId="6" applyFont="1" applyAlignment="1">
      <alignment horizontal="left" vertical="top" wrapText="1"/>
    </xf>
    <xf numFmtId="0" fontId="17" fillId="0" borderId="0" xfId="6" applyFont="1" applyAlignment="1">
      <alignment horizontal="left" vertical="top" wrapText="1"/>
    </xf>
    <xf numFmtId="0" fontId="12" fillId="0" borderId="0" xfId="6" applyFont="1" applyAlignment="1">
      <alignment horizontal="center" vertical="top"/>
    </xf>
    <xf numFmtId="0" fontId="6" fillId="0" borderId="0" xfId="8" applyFont="1"/>
    <xf numFmtId="0" fontId="4" fillId="0" borderId="0" xfId="8" applyFont="1" applyFill="1" applyBorder="1"/>
    <xf numFmtId="0" fontId="4" fillId="0" borderId="0" xfId="8" applyFont="1"/>
    <xf numFmtId="0" fontId="15" fillId="4" borderId="0" xfId="6" applyFont="1" applyFill="1" applyAlignment="1">
      <alignment vertical="top"/>
    </xf>
    <xf numFmtId="165" fontId="5" fillId="0" borderId="0" xfId="1" applyNumberFormat="1" applyFont="1" applyBorder="1" applyAlignment="1">
      <alignment horizontal="center"/>
    </xf>
    <xf numFmtId="0" fontId="6" fillId="0" borderId="0" xfId="0" applyFont="1"/>
    <xf numFmtId="0" fontId="13" fillId="0" borderId="0" xfId="6" applyFont="1" applyAlignment="1">
      <alignment vertical="top" wrapText="1"/>
    </xf>
    <xf numFmtId="0" fontId="22" fillId="5" borderId="1" xfId="8" applyFont="1" applyFill="1" applyBorder="1" applyAlignment="1">
      <alignment horizontal="center" wrapText="1"/>
    </xf>
    <xf numFmtId="165" fontId="20" fillId="2" borderId="0" xfId="1" applyNumberFormat="1" applyFont="1" applyFill="1" applyBorder="1" applyAlignment="1">
      <alignment horizontal="center"/>
    </xf>
    <xf numFmtId="165" fontId="23" fillId="2" borderId="0" xfId="1" applyNumberFormat="1" applyFont="1" applyFill="1" applyBorder="1" applyAlignment="1"/>
    <xf numFmtId="0" fontId="6" fillId="0" borderId="0" xfId="8" applyFont="1" applyAlignment="1">
      <alignment horizontal="center"/>
    </xf>
    <xf numFmtId="0" fontId="12" fillId="0" borderId="0" xfId="6" applyFont="1" applyAlignment="1">
      <alignment horizontal="center" vertical="top"/>
    </xf>
    <xf numFmtId="0" fontId="15" fillId="6" borderId="0" xfId="6" applyFont="1" applyFill="1" applyAlignment="1">
      <alignment vertical="top"/>
    </xf>
    <xf numFmtId="0" fontId="30" fillId="6" borderId="0" xfId="6" applyFont="1" applyFill="1" applyAlignment="1">
      <alignment vertical="top"/>
    </xf>
    <xf numFmtId="0" fontId="12" fillId="0" borderId="0" xfId="6" applyFont="1" applyAlignment="1">
      <alignment horizontal="center" vertical="top"/>
    </xf>
    <xf numFmtId="0" fontId="6" fillId="0" borderId="0" xfId="8" applyFont="1" applyFill="1" applyAlignment="1">
      <alignment horizontal="center"/>
    </xf>
    <xf numFmtId="0" fontId="4" fillId="0" borderId="0" xfId="8" applyFont="1" applyFill="1" applyBorder="1" applyAlignment="1">
      <alignment horizontal="right"/>
    </xf>
    <xf numFmtId="0" fontId="6" fillId="0" borderId="0" xfId="8" applyFont="1" applyAlignment="1">
      <alignment horizontal="left"/>
    </xf>
    <xf numFmtId="0" fontId="20" fillId="2" borderId="0" xfId="8" applyFont="1" applyFill="1" applyBorder="1" applyAlignment="1">
      <alignment horizontal="right" wrapText="1" indent="1"/>
    </xf>
    <xf numFmtId="166" fontId="20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Border="1"/>
    <xf numFmtId="0" fontId="39" fillId="2" borderId="0" xfId="0" applyFont="1" applyFill="1" applyBorder="1" applyAlignment="1"/>
    <xf numFmtId="0" fontId="6" fillId="2" borderId="0" xfId="8" applyFont="1" applyFill="1"/>
    <xf numFmtId="165" fontId="21" fillId="2" borderId="0" xfId="1" applyNumberFormat="1" applyFont="1" applyFill="1" applyBorder="1" applyAlignment="1"/>
    <xf numFmtId="0" fontId="35" fillId="2" borderId="0" xfId="7" applyFont="1" applyFill="1" applyAlignment="1" applyProtection="1">
      <alignment horizontal="center" vertical="top" wrapText="1"/>
      <protection hidden="1"/>
    </xf>
    <xf numFmtId="46" fontId="38" fillId="2" borderId="0" xfId="0" applyNumberFormat="1" applyFont="1" applyFill="1" applyBorder="1" applyAlignment="1">
      <alignment horizontal="center" vertical="center" wrapText="1"/>
    </xf>
    <xf numFmtId="21" fontId="38" fillId="2" borderId="0" xfId="0" applyNumberFormat="1" applyFont="1" applyFill="1" applyBorder="1" applyAlignment="1">
      <alignment horizontal="center" vertical="center" wrapText="1"/>
    </xf>
    <xf numFmtId="0" fontId="21" fillId="2" borderId="0" xfId="8" applyFont="1" applyFill="1" applyBorder="1" applyAlignment="1">
      <alignment horizontal="right" wrapText="1" indent="1"/>
    </xf>
    <xf numFmtId="0" fontId="20" fillId="2" borderId="0" xfId="8" applyFont="1" applyFill="1" applyBorder="1" applyAlignment="1">
      <alignment horizontal="right" wrapText="1" indent="2"/>
    </xf>
    <xf numFmtId="165" fontId="6" fillId="2" borderId="0" xfId="1" applyNumberFormat="1" applyFont="1" applyFill="1" applyBorder="1" applyAlignment="1"/>
    <xf numFmtId="0" fontId="6" fillId="2" borderId="0" xfId="0" applyFont="1" applyFill="1"/>
    <xf numFmtId="0" fontId="41" fillId="0" borderId="0" xfId="2" applyFont="1" applyAlignment="1">
      <alignment horizontal="right"/>
    </xf>
    <xf numFmtId="0" fontId="20" fillId="2" borderId="0" xfId="8" applyFont="1" applyFill="1" applyBorder="1" applyAlignment="1">
      <alignment horizontal="right" wrapText="1" indent="1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6" fillId="0" borderId="0" xfId="8" applyFont="1" applyBorder="1"/>
    <xf numFmtId="0" fontId="37" fillId="7" borderId="0" xfId="0" applyFont="1" applyFill="1" applyBorder="1" applyAlignment="1">
      <alignment horizontal="center" vertical="center" wrapText="1"/>
    </xf>
    <xf numFmtId="0" fontId="4" fillId="0" borderId="0" xfId="8" applyFont="1" applyBorder="1"/>
    <xf numFmtId="0" fontId="2" fillId="0" borderId="0" xfId="2" applyFont="1" applyProtection="1"/>
    <xf numFmtId="0" fontId="3" fillId="0" borderId="0" xfId="2" applyProtection="1"/>
    <xf numFmtId="0" fontId="6" fillId="0" borderId="0" xfId="8" applyFont="1" applyFill="1" applyAlignment="1" applyProtection="1">
      <alignment horizontal="center"/>
    </xf>
    <xf numFmtId="0" fontId="6" fillId="0" borderId="0" xfId="8" applyFont="1" applyProtection="1"/>
    <xf numFmtId="165" fontId="5" fillId="2" borderId="0" xfId="1" applyNumberFormat="1" applyFont="1" applyFill="1" applyBorder="1" applyAlignment="1" applyProtection="1">
      <alignment horizontal="center"/>
    </xf>
    <xf numFmtId="165" fontId="7" fillId="2" borderId="0" xfId="1" applyNumberFormat="1" applyFont="1" applyFill="1" applyBorder="1" applyAlignment="1" applyProtection="1"/>
    <xf numFmtId="0" fontId="20" fillId="2" borderId="0" xfId="8" applyFont="1" applyFill="1" applyBorder="1" applyAlignment="1" applyProtection="1">
      <alignment horizontal="right" wrapText="1" indent="2"/>
    </xf>
    <xf numFmtId="165" fontId="20" fillId="2" borderId="0" xfId="1" applyNumberFormat="1" applyFont="1" applyFill="1" applyBorder="1" applyAlignment="1" applyProtection="1">
      <alignment horizontal="center"/>
    </xf>
    <xf numFmtId="166" fontId="20" fillId="2" borderId="0" xfId="1" applyNumberFormat="1" applyFont="1" applyFill="1" applyBorder="1" applyAlignment="1" applyProtection="1">
      <alignment horizontal="center"/>
    </xf>
    <xf numFmtId="0" fontId="24" fillId="0" borderId="1" xfId="8" applyFont="1" applyFill="1" applyBorder="1" applyAlignment="1" applyProtection="1">
      <alignment horizontal="left" wrapText="1" indent="3"/>
    </xf>
    <xf numFmtId="0" fontId="22" fillId="5" borderId="6" xfId="8" applyFont="1" applyFill="1" applyBorder="1" applyAlignment="1" applyProtection="1">
      <alignment horizontal="center" wrapText="1"/>
    </xf>
    <xf numFmtId="0" fontId="22" fillId="5" borderId="9" xfId="8" applyFont="1" applyFill="1" applyBorder="1" applyAlignment="1" applyProtection="1">
      <alignment horizontal="left" wrapText="1" indent="6"/>
    </xf>
    <xf numFmtId="0" fontId="22" fillId="5" borderId="8" xfId="8" applyFont="1" applyFill="1" applyBorder="1" applyAlignment="1" applyProtection="1">
      <alignment horizontal="center" wrapText="1"/>
    </xf>
    <xf numFmtId="0" fontId="6" fillId="0" borderId="0" xfId="8" applyFont="1" applyAlignment="1" applyProtection="1">
      <alignment horizontal="center"/>
    </xf>
    <xf numFmtId="0" fontId="22" fillId="5" borderId="1" xfId="8" applyFont="1" applyFill="1" applyBorder="1" applyAlignment="1" applyProtection="1">
      <alignment horizontal="center" wrapText="1"/>
    </xf>
    <xf numFmtId="3" fontId="8" fillId="2" borderId="10" xfId="0" applyNumberFormat="1" applyFont="1" applyFill="1" applyBorder="1" applyAlignment="1" applyProtection="1">
      <alignment horizontal="center" vertical="center" wrapText="1"/>
    </xf>
    <xf numFmtId="0" fontId="22" fillId="2" borderId="1" xfId="8" applyFont="1" applyFill="1" applyBorder="1" applyAlignment="1" applyProtection="1">
      <alignment horizontal="center" wrapText="1"/>
    </xf>
    <xf numFmtId="0" fontId="0" fillId="2" borderId="0" xfId="0" applyFill="1" applyProtection="1"/>
    <xf numFmtId="0" fontId="40" fillId="6" borderId="1" xfId="8" applyFont="1" applyFill="1" applyBorder="1" applyAlignment="1" applyProtection="1">
      <alignment horizontal="center" wrapText="1"/>
    </xf>
    <xf numFmtId="9" fontId="38" fillId="2" borderId="10" xfId="9" applyFont="1" applyFill="1" applyBorder="1" applyAlignment="1" applyProtection="1">
      <alignment horizontal="center" vertical="center" wrapText="1"/>
    </xf>
    <xf numFmtId="0" fontId="8" fillId="8" borderId="11" xfId="8" applyFont="1" applyFill="1" applyBorder="1" applyAlignment="1">
      <alignment horizontal="center" vertical="center"/>
    </xf>
    <xf numFmtId="0" fontId="8" fillId="8" borderId="12" xfId="8" applyFont="1" applyFill="1" applyBorder="1" applyAlignment="1">
      <alignment horizontal="left" vertical="center" indent="1"/>
    </xf>
    <xf numFmtId="0" fontId="8" fillId="8" borderId="14" xfId="8" applyFont="1" applyFill="1" applyBorder="1" applyAlignment="1">
      <alignment horizontal="center" vertical="center"/>
    </xf>
    <xf numFmtId="0" fontId="8" fillId="8" borderId="15" xfId="8" applyFont="1" applyFill="1" applyBorder="1" applyAlignment="1">
      <alignment horizontal="left" vertical="center" indent="1"/>
    </xf>
    <xf numFmtId="0" fontId="8" fillId="8" borderId="16" xfId="8" applyFont="1" applyFill="1" applyBorder="1" applyAlignment="1">
      <alignment horizontal="center" vertical="center"/>
    </xf>
    <xf numFmtId="0" fontId="8" fillId="8" borderId="17" xfId="8" applyFont="1" applyFill="1" applyBorder="1" applyAlignment="1">
      <alignment horizontal="left" vertical="center" indent="1"/>
    </xf>
    <xf numFmtId="0" fontId="44" fillId="11" borderId="16" xfId="8" applyFont="1" applyFill="1" applyBorder="1" applyAlignment="1">
      <alignment horizontal="center" vertical="center"/>
    </xf>
    <xf numFmtId="0" fontId="44" fillId="11" borderId="17" xfId="8" applyFont="1" applyFill="1" applyBorder="1" applyAlignment="1">
      <alignment horizontal="left" vertical="center" indent="1"/>
    </xf>
    <xf numFmtId="0" fontId="44" fillId="12" borderId="16" xfId="8" applyFont="1" applyFill="1" applyBorder="1" applyAlignment="1">
      <alignment horizontal="center" vertical="center"/>
    </xf>
    <xf numFmtId="0" fontId="44" fillId="12" borderId="17" xfId="8" applyFont="1" applyFill="1" applyBorder="1" applyAlignment="1">
      <alignment horizontal="left" vertical="center" indent="1"/>
    </xf>
    <xf numFmtId="0" fontId="44" fillId="9" borderId="11" xfId="8" applyFont="1" applyFill="1" applyBorder="1" applyAlignment="1">
      <alignment horizontal="center" vertical="center"/>
    </xf>
    <xf numFmtId="0" fontId="44" fillId="9" borderId="12" xfId="8" applyFont="1" applyFill="1" applyBorder="1" applyAlignment="1">
      <alignment horizontal="left" vertical="center" indent="1"/>
    </xf>
    <xf numFmtId="167" fontId="44" fillId="10" borderId="14" xfId="8" applyNumberFormat="1" applyFont="1" applyFill="1" applyBorder="1" applyAlignment="1">
      <alignment horizontal="center" vertical="top"/>
    </xf>
    <xf numFmtId="0" fontId="44" fillId="10" borderId="15" xfId="8" applyFont="1" applyFill="1" applyBorder="1" applyAlignment="1">
      <alignment horizontal="left" vertical="top" indent="1"/>
    </xf>
    <xf numFmtId="0" fontId="44" fillId="13" borderId="16" xfId="8" applyFont="1" applyFill="1" applyBorder="1" applyAlignment="1">
      <alignment horizontal="center" vertical="center"/>
    </xf>
    <xf numFmtId="0" fontId="44" fillId="13" borderId="17" xfId="8" applyFont="1" applyFill="1" applyBorder="1" applyAlignment="1">
      <alignment horizontal="left" vertical="center" indent="1"/>
    </xf>
    <xf numFmtId="0" fontId="44" fillId="14" borderId="16" xfId="8" applyFont="1" applyFill="1" applyBorder="1" applyAlignment="1">
      <alignment horizontal="center" vertical="center"/>
    </xf>
    <xf numFmtId="0" fontId="44" fillId="14" borderId="17" xfId="8" applyFont="1" applyFill="1" applyBorder="1" applyAlignment="1">
      <alignment horizontal="left" vertical="center" indent="1"/>
    </xf>
    <xf numFmtId="0" fontId="44" fillId="15" borderId="16" xfId="8" applyFont="1" applyFill="1" applyBorder="1" applyAlignment="1">
      <alignment horizontal="center" vertical="center"/>
    </xf>
    <xf numFmtId="0" fontId="44" fillId="15" borderId="17" xfId="8" applyFont="1" applyFill="1" applyBorder="1" applyAlignment="1">
      <alignment horizontal="left" vertical="center" indent="1"/>
    </xf>
    <xf numFmtId="0" fontId="8" fillId="8" borderId="18" xfId="8" applyFont="1" applyFill="1" applyBorder="1" applyAlignment="1">
      <alignment horizontal="center" vertical="center"/>
    </xf>
    <xf numFmtId="0" fontId="8" fillId="8" borderId="19" xfId="8" applyFont="1" applyFill="1" applyBorder="1" applyAlignment="1">
      <alignment horizontal="left" vertical="center" indent="1"/>
    </xf>
    <xf numFmtId="0" fontId="22" fillId="5" borderId="20" xfId="8" applyFont="1" applyFill="1" applyBorder="1" applyAlignment="1">
      <alignment horizontal="center" wrapText="1"/>
    </xf>
    <xf numFmtId="0" fontId="22" fillId="5" borderId="21" xfId="8" applyFont="1" applyFill="1" applyBorder="1" applyAlignment="1">
      <alignment horizontal="left" wrapText="1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22" fillId="5" borderId="21" xfId="8" applyFont="1" applyFill="1" applyBorder="1" applyAlignment="1">
      <alignment horizontal="center" wrapText="1"/>
    </xf>
    <xf numFmtId="0" fontId="22" fillId="2" borderId="0" xfId="8" applyFont="1" applyFill="1" applyBorder="1" applyAlignment="1" applyProtection="1">
      <alignment horizontal="center" wrapText="1"/>
    </xf>
    <xf numFmtId="165" fontId="20" fillId="2" borderId="1" xfId="1" applyNumberFormat="1" applyFont="1" applyFill="1" applyBorder="1" applyAlignment="1">
      <alignment horizontal="center" vertical="center"/>
    </xf>
    <xf numFmtId="3" fontId="43" fillId="2" borderId="0" xfId="7" applyNumberFormat="1" applyFont="1" applyFill="1" applyAlignment="1" applyProtection="1">
      <alignment horizontal="center" vertical="center" wrapText="1"/>
      <protection hidden="1"/>
    </xf>
    <xf numFmtId="0" fontId="45" fillId="2" borderId="13" xfId="8" applyFont="1" applyFill="1" applyBorder="1" applyAlignment="1" applyProtection="1">
      <alignment horizontal="center" vertical="center"/>
      <protection locked="0"/>
    </xf>
    <xf numFmtId="0" fontId="6" fillId="0" borderId="0" xfId="8" applyFont="1" applyAlignment="1" applyProtection="1">
      <alignment horizontal="center"/>
    </xf>
    <xf numFmtId="0" fontId="24" fillId="0" borderId="1" xfId="8" applyFont="1" applyFill="1" applyBorder="1" applyAlignment="1">
      <alignment horizontal="left" wrapText="1" indent="3"/>
    </xf>
    <xf numFmtId="0" fontId="6" fillId="0" borderId="0" xfId="8" applyFont="1" applyAlignment="1" applyProtection="1"/>
    <xf numFmtId="0" fontId="44" fillId="9" borderId="1" xfId="8" applyFont="1" applyFill="1" applyBorder="1" applyAlignment="1" applyProtection="1">
      <alignment horizontal="center" vertical="center"/>
      <protection locked="0"/>
    </xf>
    <xf numFmtId="0" fontId="8" fillId="8" borderId="1" xfId="8" applyFont="1" applyFill="1" applyBorder="1" applyAlignment="1" applyProtection="1">
      <alignment horizontal="center" vertical="center"/>
      <protection locked="0"/>
    </xf>
    <xf numFmtId="0" fontId="28" fillId="16" borderId="1" xfId="8" applyFont="1" applyFill="1" applyBorder="1" applyAlignment="1" applyProtection="1">
      <alignment horizontal="center" vertical="center"/>
      <protection locked="0"/>
    </xf>
    <xf numFmtId="0" fontId="44" fillId="10" borderId="1" xfId="8" applyFont="1" applyFill="1" applyBorder="1" applyAlignment="1" applyProtection="1">
      <alignment horizontal="center"/>
      <protection locked="0"/>
    </xf>
    <xf numFmtId="0" fontId="44" fillId="11" borderId="1" xfId="8" applyFont="1" applyFill="1" applyBorder="1" applyAlignment="1" applyProtection="1">
      <alignment horizontal="center" vertical="center"/>
      <protection locked="0"/>
    </xf>
    <xf numFmtId="0" fontId="46" fillId="8" borderId="1" xfId="8" applyFont="1" applyFill="1" applyBorder="1" applyAlignment="1" applyProtection="1">
      <alignment horizontal="center" vertical="center"/>
      <protection locked="0"/>
    </xf>
    <xf numFmtId="0" fontId="44" fillId="12" borderId="1" xfId="8" applyFont="1" applyFill="1" applyBorder="1" applyAlignment="1" applyProtection="1">
      <alignment horizontal="center" vertical="center"/>
      <protection locked="0"/>
    </xf>
    <xf numFmtId="0" fontId="44" fillId="13" borderId="1" xfId="8" applyFont="1" applyFill="1" applyBorder="1" applyAlignment="1" applyProtection="1">
      <alignment horizontal="center" vertical="center"/>
      <protection locked="0"/>
    </xf>
    <xf numFmtId="0" fontId="44" fillId="14" borderId="1" xfId="8" applyFont="1" applyFill="1" applyBorder="1" applyAlignment="1" applyProtection="1">
      <alignment horizontal="center" vertical="center"/>
      <protection locked="0"/>
    </xf>
    <xf numFmtId="0" fontId="44" fillId="15" borderId="1" xfId="8" applyFont="1" applyFill="1" applyBorder="1" applyAlignment="1" applyProtection="1">
      <alignment horizontal="center" vertical="center"/>
      <protection locked="0"/>
    </xf>
    <xf numFmtId="0" fontId="27" fillId="0" borderId="0" xfId="2" applyFont="1" applyAlignment="1" applyProtection="1">
      <alignment horizontal="center" vertical="center" wrapText="1"/>
    </xf>
    <xf numFmtId="0" fontId="25" fillId="0" borderId="0" xfId="2" applyFont="1" applyAlignment="1" applyProtection="1">
      <alignment horizontal="center"/>
    </xf>
    <xf numFmtId="0" fontId="15" fillId="4" borderId="0" xfId="6" applyFont="1" applyFill="1" applyAlignment="1">
      <alignment horizontal="center" vertical="top"/>
    </xf>
    <xf numFmtId="0" fontId="13" fillId="0" borderId="0" xfId="6" applyFont="1" applyAlignment="1">
      <alignment horizontal="center" vertical="top" wrapText="1"/>
    </xf>
    <xf numFmtId="0" fontId="12" fillId="0" borderId="0" xfId="6" applyFont="1" applyAlignment="1">
      <alignment horizontal="center" vertical="top"/>
    </xf>
    <xf numFmtId="0" fontId="29" fillId="0" borderId="0" xfId="7" applyFont="1" applyAlignment="1" applyProtection="1">
      <alignment horizontal="center" vertical="top" wrapText="1"/>
      <protection hidden="1"/>
    </xf>
    <xf numFmtId="0" fontId="14" fillId="0" borderId="0" xfId="6" applyFont="1" applyAlignment="1">
      <alignment horizontal="center" vertical="top" wrapText="1"/>
    </xf>
    <xf numFmtId="0" fontId="32" fillId="0" borderId="0" xfId="7" applyFont="1" applyBorder="1" applyAlignment="1">
      <alignment horizontal="center" vertical="top" wrapText="1"/>
    </xf>
    <xf numFmtId="0" fontId="34" fillId="0" borderId="0" xfId="6" applyFont="1" applyAlignment="1">
      <alignment horizontal="center" vertical="top" wrapText="1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left" vertical="top" wrapText="1"/>
    </xf>
    <xf numFmtId="0" fontId="15" fillId="4" borderId="0" xfId="6" applyFont="1" applyFill="1" applyAlignment="1">
      <alignment horizontal="center" vertical="top" wrapText="1"/>
    </xf>
    <xf numFmtId="0" fontId="13" fillId="0" borderId="0" xfId="6" applyFont="1" applyAlignment="1">
      <alignment horizontal="center" vertical="top"/>
    </xf>
    <xf numFmtId="0" fontId="32" fillId="0" borderId="0" xfId="6" applyFont="1" applyAlignment="1">
      <alignment horizontal="center" vertical="top" wrapText="1"/>
    </xf>
    <xf numFmtId="0" fontId="16" fillId="0" borderId="0" xfId="6" applyFont="1" applyAlignment="1">
      <alignment horizontal="center" vertical="top"/>
    </xf>
    <xf numFmtId="0" fontId="13" fillId="0" borderId="0" xfId="6" applyFont="1" applyAlignment="1">
      <alignment horizontal="left" vertical="top"/>
    </xf>
    <xf numFmtId="0" fontId="19" fillId="0" borderId="0" xfId="6" applyFont="1" applyAlignment="1">
      <alignment horizontal="left" vertical="top" wrapText="1"/>
    </xf>
    <xf numFmtId="0" fontId="33" fillId="0" borderId="0" xfId="6" applyFont="1" applyAlignment="1">
      <alignment horizontal="left" vertical="top" wrapText="1"/>
    </xf>
    <xf numFmtId="0" fontId="30" fillId="6" borderId="0" xfId="6" applyFont="1" applyFill="1" applyAlignment="1">
      <alignment horizontal="left" vertical="top"/>
    </xf>
    <xf numFmtId="0" fontId="30" fillId="6" borderId="0" xfId="6" applyFont="1" applyFill="1" applyAlignment="1">
      <alignment horizontal="left" vertical="top" wrapText="1"/>
    </xf>
    <xf numFmtId="0" fontId="19" fillId="0" borderId="0" xfId="6" applyFont="1" applyAlignment="1">
      <alignment horizontal="center" vertical="top" wrapText="1"/>
    </xf>
    <xf numFmtId="165" fontId="6" fillId="2" borderId="0" xfId="1" applyNumberFormat="1" applyFont="1" applyFill="1" applyBorder="1" applyAlignment="1">
      <alignment horizontal="center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6" fillId="0" borderId="0" xfId="8" applyFont="1" applyAlignment="1" applyProtection="1">
      <alignment horizontal="center"/>
    </xf>
    <xf numFmtId="0" fontId="28" fillId="7" borderId="0" xfId="0" applyFont="1" applyFill="1" applyBorder="1" applyAlignment="1">
      <alignment horizontal="center" vertical="center" wrapText="1"/>
    </xf>
    <xf numFmtId="0" fontId="24" fillId="0" borderId="3" xfId="8" applyFont="1" applyFill="1" applyBorder="1" applyAlignment="1" applyProtection="1">
      <alignment horizontal="right" wrapText="1" indent="2"/>
    </xf>
    <xf numFmtId="0" fontId="24" fillId="0" borderId="2" xfId="8" applyFont="1" applyFill="1" applyBorder="1" applyAlignment="1" applyProtection="1">
      <alignment horizontal="right" wrapText="1" indent="2"/>
    </xf>
    <xf numFmtId="165" fontId="6" fillId="0" borderId="0" xfId="1" applyNumberFormat="1" applyFont="1" applyBorder="1" applyAlignment="1" applyProtection="1">
      <alignment horizontal="center"/>
    </xf>
    <xf numFmtId="165" fontId="21" fillId="0" borderId="0" xfId="1" applyNumberFormat="1" applyFont="1" applyBorder="1" applyAlignment="1" applyProtection="1">
      <alignment horizontal="center"/>
    </xf>
    <xf numFmtId="165" fontId="36" fillId="0" borderId="0" xfId="1" applyNumberFormat="1" applyFont="1" applyBorder="1" applyAlignment="1" applyProtection="1">
      <alignment horizontal="center"/>
    </xf>
    <xf numFmtId="0" fontId="24" fillId="0" borderId="5" xfId="8" applyFont="1" applyFill="1" applyBorder="1" applyAlignment="1" applyProtection="1">
      <alignment horizontal="right" wrapText="1" indent="2"/>
    </xf>
    <xf numFmtId="0" fontId="24" fillId="0" borderId="7" xfId="8" applyFont="1" applyFill="1" applyBorder="1" applyAlignment="1" applyProtection="1">
      <alignment horizontal="right" wrapText="1" indent="2"/>
    </xf>
    <xf numFmtId="0" fontId="22" fillId="5" borderId="5" xfId="8" applyFont="1" applyFill="1" applyBorder="1" applyAlignment="1" applyProtection="1">
      <alignment horizontal="center" wrapText="1"/>
    </xf>
    <xf numFmtId="0" fontId="22" fillId="5" borderId="4" xfId="8" applyFont="1" applyFill="1" applyBorder="1" applyAlignment="1" applyProtection="1">
      <alignment horizontal="center" wrapText="1"/>
    </xf>
    <xf numFmtId="0" fontId="22" fillId="5" borderId="7" xfId="8" applyFont="1" applyFill="1" applyBorder="1" applyAlignment="1" applyProtection="1">
      <alignment horizontal="center" wrapText="1"/>
    </xf>
  </cellXfs>
  <cellStyles count="12">
    <cellStyle name="Millares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8" xr:uid="{00000000-0005-0000-0000-000007000000}"/>
    <cellStyle name="Normal 7" xfId="10" xr:uid="{00000000-0005-0000-0000-000008000000}"/>
    <cellStyle name="Normal_Zac ene 6 del 2000" xfId="7" xr:uid="{00000000-0005-0000-0000-000009000000}"/>
    <cellStyle name="Porcentaje" xfId="9" builtinId="5"/>
    <cellStyle name="Porcentaje 2" xfId="11" xr:uid="{00000000-0005-0000-0000-00000B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65D5A"/>
      <color rgb="FFD27D00"/>
      <color rgb="FFB0782E"/>
      <color rgb="FF5E548A"/>
      <color rgb="FFFF6969"/>
      <color rgb="FF006666"/>
      <color rgb="FFE5E7E9"/>
      <color rgb="FFE5E6E9"/>
      <color rgb="FF596B5A"/>
      <color rgb="FF8F62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161923</xdr:colOff>
      <xdr:row>31</xdr:row>
      <xdr:rowOff>28577</xdr:rowOff>
    </xdr:from>
    <xdr:to>
      <xdr:col>9</xdr:col>
      <xdr:colOff>406397</xdr:colOff>
      <xdr:row>32</xdr:row>
      <xdr:rowOff>68265</xdr:rowOff>
    </xdr:to>
    <xdr:pic>
      <xdr:nvPicPr>
        <xdr:cNvPr id="8" name="7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3685379" y="2886871"/>
          <a:ext cx="230188" cy="727709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523873</xdr:colOff>
      <xdr:row>13</xdr:row>
      <xdr:rowOff>125731</xdr:rowOff>
    </xdr:from>
    <xdr:to>
      <xdr:col>9</xdr:col>
      <xdr:colOff>758822</xdr:colOff>
      <xdr:row>14</xdr:row>
      <xdr:rowOff>157799</xdr:rowOff>
    </xdr:to>
    <xdr:pic>
      <xdr:nvPicPr>
        <xdr:cNvPr id="9" name="8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4596286" y="511018"/>
          <a:ext cx="222568" cy="748347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4</xdr:col>
      <xdr:colOff>388620</xdr:colOff>
      <xdr:row>7</xdr:row>
      <xdr:rowOff>84296</xdr:rowOff>
    </xdr:from>
    <xdr:to>
      <xdr:col>6</xdr:col>
      <xdr:colOff>655320</xdr:colOff>
      <xdr:row>13</xdr:row>
      <xdr:rowOff>68669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160" y="2019776"/>
          <a:ext cx="2796540" cy="2064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695325</xdr:colOff>
      <xdr:row>1</xdr:row>
      <xdr:rowOff>57150</xdr:rowOff>
    </xdr:from>
    <xdr:to>
      <xdr:col>10</xdr:col>
      <xdr:colOff>259018</xdr:colOff>
      <xdr:row>6</xdr:row>
      <xdr:rowOff>123825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247650"/>
          <a:ext cx="7355143" cy="1019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12</xdr:col>
      <xdr:colOff>222250</xdr:colOff>
      <xdr:row>5</xdr:row>
      <xdr:rowOff>41275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0" y="243417"/>
          <a:ext cx="6318250" cy="1014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600075</xdr:colOff>
      <xdr:row>1</xdr:row>
      <xdr:rowOff>28575</xdr:rowOff>
    </xdr:from>
    <xdr:to>
      <xdr:col>13</xdr:col>
      <xdr:colOff>535582</xdr:colOff>
      <xdr:row>7</xdr:row>
      <xdr:rowOff>28575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266700"/>
          <a:ext cx="9041407" cy="1428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0</xdr:row>
      <xdr:rowOff>9525</xdr:rowOff>
    </xdr:from>
    <xdr:to>
      <xdr:col>5</xdr:col>
      <xdr:colOff>1481719</xdr:colOff>
      <xdr:row>3</xdr:row>
      <xdr:rowOff>65555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9525"/>
          <a:ext cx="7806319" cy="12657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0</xdr:row>
      <xdr:rowOff>66675</xdr:rowOff>
    </xdr:from>
    <xdr:to>
      <xdr:col>3</xdr:col>
      <xdr:colOff>2022475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19050</xdr:rowOff>
    </xdr:from>
    <xdr:to>
      <xdr:col>3</xdr:col>
      <xdr:colOff>1793875</xdr:colOff>
      <xdr:row>4</xdr:row>
      <xdr:rowOff>127873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19050"/>
          <a:ext cx="6318250" cy="10232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619125</xdr:colOff>
      <xdr:row>0</xdr:row>
      <xdr:rowOff>66675</xdr:rowOff>
    </xdr:from>
    <xdr:to>
      <xdr:col>3</xdr:col>
      <xdr:colOff>1908175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0</xdr:row>
      <xdr:rowOff>57150</xdr:rowOff>
    </xdr:from>
    <xdr:to>
      <xdr:col>3</xdr:col>
      <xdr:colOff>1870075</xdr:colOff>
      <xdr:row>4</xdr:row>
      <xdr:rowOff>165973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5" y="57150"/>
          <a:ext cx="6318250" cy="10232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41"/>
  <sheetViews>
    <sheetView showGridLines="0" view="pageBreakPreview" zoomScaleNormal="70" zoomScaleSheetLayoutView="100" zoomScalePageLayoutView="82" workbookViewId="0">
      <selection activeCell="N12" sqref="N12"/>
    </sheetView>
  </sheetViews>
  <sheetFormatPr baseColWidth="10" defaultColWidth="11.42578125" defaultRowHeight="15"/>
  <cols>
    <col min="1" max="1" width="6.42578125" style="6" customWidth="1"/>
    <col min="2" max="5" width="11.42578125" style="6"/>
    <col min="6" max="6" width="25.42578125" style="6" bestFit="1" customWidth="1"/>
    <col min="7" max="10" width="11.42578125" style="6"/>
    <col min="11" max="12" width="11.42578125" style="6" customWidth="1"/>
    <col min="13" max="16384" width="11.42578125" style="6"/>
  </cols>
  <sheetData>
    <row r="2" spans="2:11">
      <c r="B2" s="55" t="s">
        <v>63</v>
      </c>
      <c r="C2" s="56"/>
      <c r="D2" s="56"/>
      <c r="E2" s="56"/>
      <c r="F2" s="56"/>
      <c r="G2" s="56"/>
      <c r="H2" s="56"/>
      <c r="I2" s="56"/>
      <c r="J2" s="56"/>
      <c r="K2" s="56"/>
    </row>
    <row r="3" spans="2:11">
      <c r="B3" s="56"/>
      <c r="C3" s="56"/>
      <c r="D3" s="56"/>
      <c r="E3" s="56"/>
      <c r="F3" s="56"/>
      <c r="G3" s="56"/>
      <c r="H3" s="56"/>
      <c r="I3" s="56"/>
      <c r="J3" s="56"/>
      <c r="K3" s="56"/>
    </row>
    <row r="4" spans="2:11">
      <c r="B4" s="56"/>
      <c r="C4" s="56"/>
      <c r="D4" s="56"/>
      <c r="E4" s="56"/>
      <c r="F4" s="56"/>
      <c r="G4" s="56"/>
      <c r="H4" s="56"/>
      <c r="I4" s="56"/>
      <c r="J4" s="56"/>
      <c r="K4" s="56"/>
    </row>
    <row r="5" spans="2:11">
      <c r="B5" s="56"/>
      <c r="C5" s="56"/>
      <c r="D5" s="56"/>
      <c r="E5" s="56"/>
      <c r="F5" s="56"/>
      <c r="G5" s="56"/>
      <c r="H5" s="56"/>
      <c r="I5" s="56"/>
      <c r="J5" s="56"/>
      <c r="K5" s="56"/>
    </row>
    <row r="6" spans="2:11">
      <c r="B6" s="56"/>
      <c r="C6" s="56"/>
      <c r="D6" s="56"/>
      <c r="E6" s="56"/>
      <c r="F6" s="56"/>
      <c r="G6" s="56"/>
      <c r="H6" s="56"/>
      <c r="I6" s="56"/>
      <c r="J6" s="56"/>
      <c r="K6" s="56"/>
    </row>
    <row r="7" spans="2:11">
      <c r="B7" s="56"/>
      <c r="C7" s="56"/>
      <c r="D7" s="56"/>
      <c r="E7" s="56"/>
      <c r="F7" s="56"/>
      <c r="G7" s="56"/>
      <c r="H7" s="56"/>
      <c r="I7" s="56"/>
      <c r="J7" s="56"/>
      <c r="K7" s="56"/>
    </row>
    <row r="8" spans="2:11" ht="92.25">
      <c r="B8" s="56"/>
      <c r="C8" s="56"/>
      <c r="D8" s="56"/>
      <c r="E8" s="56"/>
      <c r="F8" s="119"/>
      <c r="G8" s="119"/>
      <c r="H8" s="56"/>
      <c r="I8" s="56"/>
      <c r="J8" s="56"/>
      <c r="K8" s="56"/>
    </row>
    <row r="9" spans="2:11">
      <c r="B9" s="56"/>
      <c r="C9" s="56"/>
      <c r="D9" s="56"/>
      <c r="E9" s="56"/>
      <c r="F9" s="56"/>
      <c r="G9" s="56"/>
      <c r="H9" s="56"/>
      <c r="I9" s="56"/>
      <c r="J9" s="56"/>
      <c r="K9" s="56"/>
    </row>
    <row r="10" spans="2:11">
      <c r="B10" s="56"/>
      <c r="C10" s="56"/>
      <c r="D10" s="56"/>
      <c r="E10" s="56"/>
      <c r="F10" s="56"/>
      <c r="G10" s="56"/>
      <c r="H10" s="56"/>
      <c r="I10" s="56"/>
      <c r="J10" s="56"/>
      <c r="K10" s="56"/>
    </row>
    <row r="11" spans="2:11">
      <c r="B11" s="56"/>
      <c r="C11" s="56"/>
      <c r="D11" s="56"/>
      <c r="E11" s="56"/>
      <c r="F11" s="56"/>
      <c r="G11" s="56"/>
      <c r="H11" s="56"/>
      <c r="I11" s="56"/>
      <c r="J11" s="56"/>
      <c r="K11" s="56"/>
    </row>
    <row r="12" spans="2:11">
      <c r="B12" s="118" t="s">
        <v>262</v>
      </c>
      <c r="C12" s="118"/>
      <c r="D12" s="118"/>
      <c r="E12" s="118"/>
      <c r="F12" s="118"/>
      <c r="G12" s="118"/>
      <c r="H12" s="118"/>
      <c r="I12" s="118"/>
      <c r="J12" s="118"/>
      <c r="K12" s="118"/>
    </row>
    <row r="13" spans="2:11">
      <c r="B13" s="118"/>
      <c r="C13" s="118"/>
      <c r="D13" s="118"/>
      <c r="E13" s="118"/>
      <c r="F13" s="118"/>
      <c r="G13" s="118"/>
      <c r="H13" s="118"/>
      <c r="I13" s="118"/>
      <c r="J13" s="118"/>
      <c r="K13" s="118"/>
    </row>
    <row r="14" spans="2:11" ht="15" customHeight="1">
      <c r="B14" s="118"/>
      <c r="C14" s="118"/>
      <c r="D14" s="118"/>
      <c r="E14" s="118"/>
      <c r="F14" s="118"/>
      <c r="G14" s="118"/>
      <c r="H14" s="118"/>
      <c r="I14" s="118"/>
      <c r="J14" s="118"/>
      <c r="K14" s="118"/>
    </row>
    <row r="15" spans="2:11" ht="15" customHeight="1">
      <c r="B15" s="118"/>
      <c r="C15" s="118"/>
      <c r="D15" s="118"/>
      <c r="E15" s="118"/>
      <c r="F15" s="118"/>
      <c r="G15" s="118"/>
      <c r="H15" s="118"/>
      <c r="I15" s="118"/>
      <c r="J15" s="118"/>
      <c r="K15" s="118"/>
    </row>
    <row r="16" spans="2:11" ht="15" customHeight="1">
      <c r="B16" s="118"/>
      <c r="C16" s="118"/>
      <c r="D16" s="118"/>
      <c r="E16" s="118"/>
      <c r="F16" s="118"/>
      <c r="G16" s="118"/>
      <c r="H16" s="118"/>
      <c r="I16" s="118"/>
      <c r="J16" s="118"/>
      <c r="K16" s="118"/>
    </row>
    <row r="17" spans="2:11" ht="15" customHeight="1">
      <c r="B17" s="118"/>
      <c r="C17" s="118"/>
      <c r="D17" s="118"/>
      <c r="E17" s="118"/>
      <c r="F17" s="118"/>
      <c r="G17" s="118"/>
      <c r="H17" s="118"/>
      <c r="I17" s="118"/>
      <c r="J17" s="118"/>
      <c r="K17" s="118"/>
    </row>
    <row r="18" spans="2:11" ht="15" customHeight="1">
      <c r="B18" s="118"/>
      <c r="C18" s="118"/>
      <c r="D18" s="118"/>
      <c r="E18" s="118"/>
      <c r="F18" s="118"/>
      <c r="G18" s="118"/>
      <c r="H18" s="118"/>
      <c r="I18" s="118"/>
      <c r="J18" s="118"/>
      <c r="K18" s="118"/>
    </row>
    <row r="19" spans="2:11" ht="15" customHeight="1">
      <c r="B19" s="118"/>
      <c r="C19" s="118"/>
      <c r="D19" s="118"/>
      <c r="E19" s="118"/>
      <c r="F19" s="118"/>
      <c r="G19" s="118"/>
      <c r="H19" s="118"/>
      <c r="I19" s="118"/>
      <c r="J19" s="118"/>
      <c r="K19" s="118"/>
    </row>
    <row r="20" spans="2:11" ht="15" customHeight="1">
      <c r="B20" s="118"/>
      <c r="C20" s="118"/>
      <c r="D20" s="118"/>
      <c r="E20" s="118"/>
      <c r="F20" s="118"/>
      <c r="G20" s="118"/>
      <c r="H20" s="118"/>
      <c r="I20" s="118"/>
      <c r="J20" s="118"/>
      <c r="K20" s="118"/>
    </row>
    <row r="21" spans="2:11" ht="15" customHeight="1">
      <c r="B21" s="118"/>
      <c r="C21" s="118"/>
      <c r="D21" s="118"/>
      <c r="E21" s="118"/>
      <c r="F21" s="118"/>
      <c r="G21" s="118"/>
      <c r="H21" s="118"/>
      <c r="I21" s="118"/>
      <c r="J21" s="118"/>
      <c r="K21" s="118"/>
    </row>
    <row r="22" spans="2:11" ht="15" customHeight="1">
      <c r="B22" s="118"/>
      <c r="C22" s="118"/>
      <c r="D22" s="118"/>
      <c r="E22" s="118"/>
      <c r="F22" s="118"/>
      <c r="G22" s="118"/>
      <c r="H22" s="118"/>
      <c r="I22" s="118"/>
      <c r="J22" s="118"/>
      <c r="K22" s="118"/>
    </row>
    <row r="23" spans="2:11" ht="15" customHeight="1">
      <c r="B23" s="118"/>
      <c r="C23" s="118"/>
      <c r="D23" s="118"/>
      <c r="E23" s="118"/>
      <c r="F23" s="118"/>
      <c r="G23" s="118"/>
      <c r="H23" s="118"/>
      <c r="I23" s="118"/>
      <c r="J23" s="118"/>
      <c r="K23" s="118"/>
    </row>
    <row r="24" spans="2:11" ht="15" customHeight="1">
      <c r="B24" s="118"/>
      <c r="C24" s="118"/>
      <c r="D24" s="118"/>
      <c r="E24" s="118"/>
      <c r="F24" s="118"/>
      <c r="G24" s="118"/>
      <c r="H24" s="118"/>
      <c r="I24" s="118"/>
      <c r="J24" s="118"/>
      <c r="K24" s="118"/>
    </row>
    <row r="25" spans="2:11" ht="15" customHeight="1">
      <c r="B25" s="118"/>
      <c r="C25" s="118"/>
      <c r="D25" s="118"/>
      <c r="E25" s="118"/>
      <c r="F25" s="118"/>
      <c r="G25" s="118"/>
      <c r="H25" s="118"/>
      <c r="I25" s="118"/>
      <c r="J25" s="118"/>
      <c r="K25" s="118"/>
    </row>
    <row r="26" spans="2:11" ht="15" customHeight="1">
      <c r="B26" s="118"/>
      <c r="C26" s="118"/>
      <c r="D26" s="118"/>
      <c r="E26" s="118"/>
      <c r="F26" s="118"/>
      <c r="G26" s="118"/>
      <c r="H26" s="118"/>
      <c r="I26" s="118"/>
      <c r="J26" s="118"/>
      <c r="K26" s="118"/>
    </row>
    <row r="27" spans="2:11" ht="15" customHeight="1">
      <c r="B27" s="118"/>
      <c r="C27" s="118"/>
      <c r="D27" s="118"/>
      <c r="E27" s="118"/>
      <c r="F27" s="118"/>
      <c r="G27" s="118"/>
      <c r="H27" s="118"/>
      <c r="I27" s="118"/>
      <c r="J27" s="118"/>
      <c r="K27" s="118"/>
    </row>
    <row r="28" spans="2:11" ht="15" customHeight="1">
      <c r="B28" s="118"/>
      <c r="C28" s="118"/>
      <c r="D28" s="118"/>
      <c r="E28" s="118"/>
      <c r="F28" s="118"/>
      <c r="G28" s="118"/>
      <c r="H28" s="118"/>
      <c r="I28" s="118"/>
      <c r="J28" s="118"/>
      <c r="K28" s="118"/>
    </row>
    <row r="29" spans="2:11" ht="15" customHeight="1">
      <c r="B29" s="118"/>
      <c r="C29" s="118"/>
      <c r="D29" s="118"/>
      <c r="E29" s="118"/>
      <c r="F29" s="118"/>
      <c r="G29" s="118"/>
      <c r="H29" s="118"/>
      <c r="I29" s="118"/>
      <c r="J29" s="118"/>
      <c r="K29" s="118"/>
    </row>
    <row r="30" spans="2:11" ht="15" customHeight="1">
      <c r="B30" s="118"/>
      <c r="C30" s="118"/>
      <c r="D30" s="118"/>
      <c r="E30" s="118"/>
      <c r="F30" s="118"/>
      <c r="G30" s="118"/>
      <c r="H30" s="118"/>
      <c r="I30" s="118"/>
      <c r="J30" s="118"/>
      <c r="K30" s="118"/>
    </row>
    <row r="31" spans="2:11" ht="15" customHeight="1"/>
    <row r="38" spans="9:11" ht="23.25">
      <c r="I38" s="7"/>
      <c r="J38" s="7"/>
      <c r="K38" s="8" t="s">
        <v>54</v>
      </c>
    </row>
    <row r="39" spans="9:11" ht="23.25">
      <c r="K39" s="8" t="s">
        <v>70</v>
      </c>
    </row>
    <row r="41" spans="9:11" ht="26.25">
      <c r="K41" s="49">
        <v>2019</v>
      </c>
    </row>
  </sheetData>
  <sheetProtection password="CC15" sheet="1" objects="1" scenarios="1" selectLockedCells="1"/>
  <customSheetViews>
    <customSheetView guid="{857CB3B9-618A-49FD-8D38-75EE2A4021B4}" showPageBreaks="1" showGridLines="0" printArea="1" view="pageBreakPreview" topLeftCell="A10">
      <selection activeCell="C48" sqref="C48"/>
      <pageMargins left="0.7" right="0.7" top="0.75" bottom="0.75" header="0.3" footer="0.3"/>
      <pageSetup scale="71" orientation="portrait" r:id="rId1"/>
    </customSheetView>
  </customSheetViews>
  <mergeCells count="2">
    <mergeCell ref="B12:K30"/>
    <mergeCell ref="F8:G8"/>
  </mergeCells>
  <pageMargins left="0.7" right="0.7" top="0.75" bottom="0.75" header="0.3" footer="0.3"/>
  <pageSetup scale="71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6:AD52"/>
  <sheetViews>
    <sheetView showGridLines="0" view="pageBreakPreview" zoomScale="90" zoomScaleNormal="80" zoomScaleSheetLayoutView="90" workbookViewId="0">
      <selection activeCell="B16" sqref="B16:O16"/>
    </sheetView>
  </sheetViews>
  <sheetFormatPr baseColWidth="10" defaultColWidth="11.42578125" defaultRowHeight="18.75"/>
  <cols>
    <col min="1" max="1" width="5.42578125" style="9" customWidth="1"/>
    <col min="2" max="2" width="4.5703125" style="9" customWidth="1"/>
    <col min="3" max="3" width="15.28515625" style="9" customWidth="1"/>
    <col min="4" max="16384" width="11.42578125" style="9"/>
  </cols>
  <sheetData>
    <row r="6" spans="2:30">
      <c r="B6" s="121" t="s">
        <v>0</v>
      </c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</row>
    <row r="7" spans="2:30">
      <c r="B7" s="122" t="s">
        <v>55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</row>
    <row r="8" spans="2:30" s="10" customFormat="1" ht="60.75" customHeight="1">
      <c r="B8" s="123" t="s">
        <v>234</v>
      </c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</row>
    <row r="9" spans="2:30" ht="23.25">
      <c r="B9" s="125" t="s">
        <v>261</v>
      </c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</row>
    <row r="11" spans="2:30">
      <c r="B11" s="120" t="s">
        <v>56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</row>
    <row r="12" spans="2:30" ht="15" customHeight="1">
      <c r="B12" s="128" t="s">
        <v>66</v>
      </c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</row>
    <row r="13" spans="2:30" ht="15" customHeight="1"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</row>
    <row r="14" spans="2:30" ht="15" customHeight="1"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</row>
    <row r="15" spans="2:30" ht="15" customHeight="1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</row>
    <row r="16" spans="2:30" ht="18.75" customHeight="1">
      <c r="B16" s="129" t="s">
        <v>58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</row>
    <row r="17" spans="2:30" ht="18.75" customHeight="1">
      <c r="B17" s="128" t="s">
        <v>67</v>
      </c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</row>
    <row r="18" spans="2:30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2:30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2:30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2:30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2:30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2:30" ht="18.75" customHeight="1">
      <c r="B23" s="129" t="s">
        <v>59</v>
      </c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2:30">
      <c r="B24" s="128" t="s">
        <v>236</v>
      </c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2:30"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2:30"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2:30"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2:30"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2:30"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2:30"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2:30"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2:30"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2:30"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2:30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2:30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2:30"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2:30"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2:30" ht="18.75" customHeight="1">
      <c r="B38" s="129" t="s">
        <v>60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2:30" ht="18.75" customHeight="1">
      <c r="B39" s="128" t="s">
        <v>263</v>
      </c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2:30"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2:30"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2:30"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2:30"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2:30" ht="18.75" customHeight="1">
      <c r="B44" s="129" t="s">
        <v>61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2:30" ht="18.75" customHeight="1">
      <c r="B45" s="128" t="s">
        <v>69</v>
      </c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2:30"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2:30"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2:30" ht="78.75" customHeight="1"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2:30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2:30" ht="18.75" customHeight="1">
      <c r="B50" s="129" t="s">
        <v>62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</row>
    <row r="51" spans="2:30" ht="54.75" customHeight="1">
      <c r="B51" s="128" t="s">
        <v>68</v>
      </c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</row>
    <row r="52" spans="2:30"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</sheetData>
  <sheetProtection password="CC15" sheet="1" objects="1" scenarios="1" selectLockedCells="1"/>
  <customSheetViews>
    <customSheetView guid="{857CB3B9-618A-49FD-8D38-75EE2A4021B4}" scale="90" showPageBreaks="1" showGridLines="0" printArea="1" view="pageBreakPreview" topLeftCell="A6">
      <selection activeCell="B6" sqref="B6:O6"/>
      <pageMargins left="0.70866141732283472" right="0.70866141732283472" top="0.74803149606299213" bottom="0.74803149606299213" header="0" footer="0"/>
      <printOptions horizontalCentered="1"/>
      <pageSetup scale="53" fitToHeight="2" orientation="landscape" r:id="rId1"/>
    </customSheetView>
  </customSheetViews>
  <mergeCells count="17">
    <mergeCell ref="Q12:AD17"/>
    <mergeCell ref="B51:O51"/>
    <mergeCell ref="B17:O21"/>
    <mergeCell ref="B24:O37"/>
    <mergeCell ref="B45:O48"/>
    <mergeCell ref="B44:O44"/>
    <mergeCell ref="B50:O50"/>
    <mergeCell ref="B38:O38"/>
    <mergeCell ref="B23:O23"/>
    <mergeCell ref="B16:O16"/>
    <mergeCell ref="B12:O14"/>
    <mergeCell ref="B39:O43"/>
    <mergeCell ref="B11:O11"/>
    <mergeCell ref="B6:O6"/>
    <mergeCell ref="B7:O7"/>
    <mergeCell ref="B8:O8"/>
    <mergeCell ref="B9:O9"/>
  </mergeCells>
  <printOptions horizontalCentered="1"/>
  <pageMargins left="0.70866141732283472" right="0.70866141732283472" top="0.74803149606299213" bottom="0.74803149606299213" header="0" footer="0"/>
  <pageSetup scale="53" fitToHeight="2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B8:O24"/>
  <sheetViews>
    <sheetView showGridLines="0" view="pageBreakPreview" zoomScaleNormal="70" zoomScaleSheetLayoutView="100" workbookViewId="0">
      <selection activeCell="C15" sqref="C15:N15"/>
    </sheetView>
  </sheetViews>
  <sheetFormatPr baseColWidth="10" defaultColWidth="11.42578125" defaultRowHeight="18.75"/>
  <cols>
    <col min="1" max="1" width="11.42578125" style="9"/>
    <col min="2" max="2" width="4.5703125" style="9" customWidth="1"/>
    <col min="3" max="3" width="15.28515625" style="9" customWidth="1"/>
    <col min="4" max="4" width="18.42578125" style="9" customWidth="1"/>
    <col min="5" max="13" width="11.42578125" style="9"/>
    <col min="14" max="14" width="10.7109375" style="9" customWidth="1"/>
    <col min="15" max="16384" width="11.42578125" style="9"/>
  </cols>
  <sheetData>
    <row r="8" spans="2:15">
      <c r="B8" s="121" t="s">
        <v>0</v>
      </c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</row>
    <row r="9" spans="2:15">
      <c r="B9" s="130" t="s">
        <v>55</v>
      </c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</row>
    <row r="10" spans="2:15" ht="19.5">
      <c r="B10" s="123" t="s">
        <v>57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</row>
    <row r="11" spans="2:15" ht="23.25">
      <c r="B11" s="125" t="s">
        <v>261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</row>
    <row r="13" spans="2:15" ht="19.5">
      <c r="B13" s="132" t="s">
        <v>64</v>
      </c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</row>
    <row r="14" spans="2:15" s="10" customFormat="1" ht="46.5" customHeight="1">
      <c r="B14" s="123" t="s">
        <v>237</v>
      </c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</row>
    <row r="15" spans="2:15" ht="33" customHeight="1">
      <c r="B15" s="29"/>
      <c r="C15" s="136" t="s">
        <v>238</v>
      </c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30"/>
    </row>
    <row r="16" spans="2:15" ht="48" customHeight="1">
      <c r="B16" s="29"/>
      <c r="C16" s="137" t="s">
        <v>235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</row>
    <row r="17" spans="2:15" ht="21">
      <c r="C17" s="14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2:15">
      <c r="B18" s="120" t="s">
        <v>65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</row>
    <row r="19" spans="2:15">
      <c r="B19" s="16">
        <v>1</v>
      </c>
      <c r="C19" s="133" t="s">
        <v>241</v>
      </c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</row>
    <row r="20" spans="2:15">
      <c r="B20" s="16">
        <v>2</v>
      </c>
      <c r="C20" s="128" t="s">
        <v>242</v>
      </c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</row>
    <row r="21" spans="2:15">
      <c r="B21" s="28">
        <v>3</v>
      </c>
      <c r="C21" s="134" t="s">
        <v>239</v>
      </c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</row>
    <row r="22" spans="2:15">
      <c r="B22" s="31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</row>
    <row r="23" spans="2:15">
      <c r="B23" s="28"/>
      <c r="C23" s="135" t="s">
        <v>240</v>
      </c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</row>
    <row r="24" spans="2:1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</sheetData>
  <sheetProtection password="CC15" sheet="1" objects="1" scenarios="1" selectLockedCells="1"/>
  <customSheetViews>
    <customSheetView guid="{857CB3B9-618A-49FD-8D38-75EE2A4021B4}" scale="83" showPageBreaks="1" showGridLines="0" fitToPage="1" printArea="1" view="pageBreakPreview">
      <selection activeCell="O20" sqref="B2:O20"/>
      <pageMargins left="0.7" right="0.7" top="0.75" bottom="0.75" header="0.3" footer="0.3"/>
      <pageSetup scale="56" orientation="portrait" r:id="rId1"/>
    </customSheetView>
  </customSheetViews>
  <mergeCells count="14">
    <mergeCell ref="C19:O19"/>
    <mergeCell ref="C21:O21"/>
    <mergeCell ref="C23:O23"/>
    <mergeCell ref="B14:O14"/>
    <mergeCell ref="C15:N15"/>
    <mergeCell ref="B18:O18"/>
    <mergeCell ref="C20:O20"/>
    <mergeCell ref="C16:O16"/>
    <mergeCell ref="C22:O22"/>
    <mergeCell ref="B8:O8"/>
    <mergeCell ref="B9:O9"/>
    <mergeCell ref="B10:O10"/>
    <mergeCell ref="B11:O11"/>
    <mergeCell ref="B13:O13"/>
  </mergeCells>
  <pageMargins left="0.7" right="0.7" top="0.75" bottom="0.75" header="0.3" footer="0.3"/>
  <pageSetup scale="56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C4:I36"/>
  <sheetViews>
    <sheetView topLeftCell="A7" workbookViewId="0">
      <selection activeCell="E42" sqref="E42"/>
    </sheetView>
  </sheetViews>
  <sheetFormatPr baseColWidth="10" defaultRowHeight="12.75"/>
  <cols>
    <col min="3" max="3" width="21.140625" customWidth="1"/>
    <col min="9" max="9" width="14" customWidth="1"/>
  </cols>
  <sheetData>
    <row r="4" spans="3:9" ht="16.5">
      <c r="C4" s="3" t="s">
        <v>7</v>
      </c>
      <c r="E4" s="2" t="s">
        <v>8</v>
      </c>
      <c r="G4" s="2" t="s">
        <v>9</v>
      </c>
      <c r="I4" s="2" t="s">
        <v>3</v>
      </c>
    </row>
    <row r="5" spans="3:9" ht="16.5">
      <c r="C5" s="5" t="s">
        <v>22</v>
      </c>
      <c r="E5" s="4">
        <v>2010</v>
      </c>
      <c r="G5" s="2" t="s">
        <v>10</v>
      </c>
      <c r="I5" s="2" t="s">
        <v>4</v>
      </c>
    </row>
    <row r="6" spans="3:9" ht="16.5">
      <c r="C6" s="5" t="s">
        <v>23</v>
      </c>
      <c r="E6" s="4">
        <v>2011</v>
      </c>
      <c r="G6" s="2" t="s">
        <v>11</v>
      </c>
      <c r="I6" s="2" t="s">
        <v>5</v>
      </c>
    </row>
    <row r="7" spans="3:9" ht="16.5">
      <c r="C7" s="5" t="s">
        <v>24</v>
      </c>
      <c r="E7" s="4">
        <v>2012</v>
      </c>
      <c r="G7" s="2" t="s">
        <v>12</v>
      </c>
    </row>
    <row r="8" spans="3:9" ht="16.5">
      <c r="C8" s="5" t="s">
        <v>25</v>
      </c>
      <c r="E8" s="4">
        <v>2013</v>
      </c>
      <c r="G8" s="2" t="s">
        <v>13</v>
      </c>
    </row>
    <row r="9" spans="3:9" ht="16.5">
      <c r="C9" s="5" t="s">
        <v>26</v>
      </c>
      <c r="E9" s="4">
        <v>2014</v>
      </c>
      <c r="G9" s="2" t="s">
        <v>14</v>
      </c>
    </row>
    <row r="10" spans="3:9" ht="16.5">
      <c r="C10" s="5" t="s">
        <v>27</v>
      </c>
      <c r="E10" s="4">
        <v>2015</v>
      </c>
      <c r="G10" s="2" t="s">
        <v>15</v>
      </c>
    </row>
    <row r="11" spans="3:9" ht="16.5">
      <c r="C11" s="5" t="s">
        <v>28</v>
      </c>
      <c r="E11" s="4">
        <v>2016</v>
      </c>
      <c r="G11" s="2" t="s">
        <v>16</v>
      </c>
    </row>
    <row r="12" spans="3:9" ht="16.5">
      <c r="C12" s="5" t="s">
        <v>29</v>
      </c>
      <c r="E12" s="4">
        <v>2017</v>
      </c>
      <c r="G12" s="2" t="s">
        <v>17</v>
      </c>
    </row>
    <row r="13" spans="3:9" ht="16.5">
      <c r="C13" s="5" t="s">
        <v>30</v>
      </c>
      <c r="E13" s="4">
        <v>2018</v>
      </c>
      <c r="G13" s="2" t="s">
        <v>18</v>
      </c>
    </row>
    <row r="14" spans="3:9" ht="16.5">
      <c r="C14" s="5" t="s">
        <v>31</v>
      </c>
      <c r="G14" s="2" t="s">
        <v>19</v>
      </c>
    </row>
    <row r="15" spans="3:9" ht="16.5">
      <c r="C15" s="5" t="s">
        <v>32</v>
      </c>
      <c r="G15" s="2" t="s">
        <v>20</v>
      </c>
    </row>
    <row r="16" spans="3:9" ht="16.5">
      <c r="C16" s="5" t="s">
        <v>33</v>
      </c>
      <c r="G16" s="2" t="s">
        <v>21</v>
      </c>
    </row>
    <row r="17" spans="3:3" ht="16.5">
      <c r="C17" s="5" t="s">
        <v>34</v>
      </c>
    </row>
    <row r="18" spans="3:3" ht="16.5">
      <c r="C18" s="5" t="s">
        <v>35</v>
      </c>
    </row>
    <row r="19" spans="3:3" ht="16.5">
      <c r="C19" s="5" t="s">
        <v>36</v>
      </c>
    </row>
    <row r="20" spans="3:3" ht="16.5">
      <c r="C20" s="5" t="s">
        <v>37</v>
      </c>
    </row>
    <row r="21" spans="3:3" ht="16.5">
      <c r="C21" s="5" t="s">
        <v>38</v>
      </c>
    </row>
    <row r="22" spans="3:3" ht="16.5">
      <c r="C22" s="5" t="s">
        <v>39</v>
      </c>
    </row>
    <row r="23" spans="3:3" ht="16.5">
      <c r="C23" s="5" t="s">
        <v>40</v>
      </c>
    </row>
    <row r="24" spans="3:3" ht="16.5">
      <c r="C24" s="5" t="s">
        <v>41</v>
      </c>
    </row>
    <row r="25" spans="3:3" ht="16.5">
      <c r="C25" s="5" t="s">
        <v>42</v>
      </c>
    </row>
    <row r="26" spans="3:3" ht="16.5">
      <c r="C26" s="5" t="s">
        <v>43</v>
      </c>
    </row>
    <row r="27" spans="3:3" ht="16.5">
      <c r="C27" s="5" t="s">
        <v>44</v>
      </c>
    </row>
    <row r="28" spans="3:3" ht="16.5">
      <c r="C28" s="5" t="s">
        <v>45</v>
      </c>
    </row>
    <row r="29" spans="3:3" ht="16.5">
      <c r="C29" s="5" t="s">
        <v>46</v>
      </c>
    </row>
    <row r="30" spans="3:3" ht="16.5">
      <c r="C30" s="5" t="s">
        <v>47</v>
      </c>
    </row>
    <row r="31" spans="3:3" ht="16.5">
      <c r="C31" s="5" t="s">
        <v>48</v>
      </c>
    </row>
    <row r="32" spans="3:3" ht="16.5">
      <c r="C32" s="5" t="s">
        <v>49</v>
      </c>
    </row>
    <row r="33" spans="3:3" ht="16.5">
      <c r="C33" s="5" t="s">
        <v>50</v>
      </c>
    </row>
    <row r="34" spans="3:3" ht="16.5">
      <c r="C34" s="5" t="s">
        <v>51</v>
      </c>
    </row>
    <row r="35" spans="3:3" ht="16.5">
      <c r="C35" s="5" t="s">
        <v>52</v>
      </c>
    </row>
    <row r="36" spans="3:3" ht="16.5">
      <c r="C36" s="5" t="s">
        <v>53</v>
      </c>
    </row>
  </sheetData>
  <sheetProtection sheet="1" objects="1" scenarios="1"/>
  <customSheetViews>
    <customSheetView guid="{857CB3B9-618A-49FD-8D38-75EE2A4021B4}" state="hidden" topLeftCell="A7">
      <selection activeCell="E42" sqref="E4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C33"/>
  <sheetViews>
    <sheetView workbookViewId="0">
      <selection activeCell="C4" sqref="C4"/>
    </sheetView>
  </sheetViews>
  <sheetFormatPr baseColWidth="10" defaultRowHeight="12.75"/>
  <cols>
    <col min="1" max="1" width="26.85546875" customWidth="1"/>
    <col min="3" max="3" width="20.7109375" customWidth="1"/>
  </cols>
  <sheetData>
    <row r="1" spans="1:3">
      <c r="A1" s="22" t="s">
        <v>202</v>
      </c>
      <c r="B1" s="22" t="s">
        <v>9</v>
      </c>
      <c r="C1" t="s">
        <v>3</v>
      </c>
    </row>
    <row r="2" spans="1:3">
      <c r="A2" t="s">
        <v>203</v>
      </c>
      <c r="B2" s="22" t="s">
        <v>10</v>
      </c>
      <c r="C2" t="s">
        <v>4</v>
      </c>
    </row>
    <row r="3" spans="1:3">
      <c r="A3" t="s">
        <v>204</v>
      </c>
      <c r="B3" s="22" t="s">
        <v>11</v>
      </c>
      <c r="C3" t="s">
        <v>233</v>
      </c>
    </row>
    <row r="4" spans="1:3">
      <c r="A4" t="s">
        <v>205</v>
      </c>
      <c r="B4" s="22" t="s">
        <v>12</v>
      </c>
    </row>
    <row r="5" spans="1:3">
      <c r="A5" t="s">
        <v>206</v>
      </c>
      <c r="B5" s="22" t="s">
        <v>13</v>
      </c>
    </row>
    <row r="6" spans="1:3">
      <c r="A6" t="s">
        <v>207</v>
      </c>
      <c r="B6" s="22" t="s">
        <v>14</v>
      </c>
    </row>
    <row r="7" spans="1:3">
      <c r="A7" t="s">
        <v>208</v>
      </c>
      <c r="B7" s="22" t="s">
        <v>15</v>
      </c>
    </row>
    <row r="8" spans="1:3">
      <c r="A8" t="s">
        <v>209</v>
      </c>
      <c r="B8" s="22" t="s">
        <v>16</v>
      </c>
    </row>
    <row r="9" spans="1:3">
      <c r="A9" t="s">
        <v>210</v>
      </c>
      <c r="B9" s="22" t="s">
        <v>17</v>
      </c>
    </row>
    <row r="10" spans="1:3">
      <c r="A10" t="s">
        <v>211</v>
      </c>
      <c r="B10" s="22" t="s">
        <v>18</v>
      </c>
    </row>
    <row r="11" spans="1:3">
      <c r="A11" t="s">
        <v>212</v>
      </c>
      <c r="B11" s="22" t="s">
        <v>19</v>
      </c>
    </row>
    <row r="12" spans="1:3">
      <c r="A12" t="s">
        <v>213</v>
      </c>
      <c r="B12" s="22" t="s">
        <v>20</v>
      </c>
    </row>
    <row r="13" spans="1:3">
      <c r="A13" t="s">
        <v>214</v>
      </c>
      <c r="B13" s="22" t="s">
        <v>21</v>
      </c>
    </row>
    <row r="14" spans="1:3">
      <c r="A14" t="s">
        <v>71</v>
      </c>
      <c r="B14" s="22" t="s">
        <v>10</v>
      </c>
    </row>
    <row r="15" spans="1:3">
      <c r="A15" t="s">
        <v>215</v>
      </c>
      <c r="B15" s="22" t="s">
        <v>11</v>
      </c>
    </row>
    <row r="16" spans="1:3">
      <c r="A16" t="s">
        <v>216</v>
      </c>
      <c r="B16" s="22" t="s">
        <v>12</v>
      </c>
    </row>
    <row r="17" spans="1:2">
      <c r="A17" t="s">
        <v>217</v>
      </c>
      <c r="B17" s="22" t="s">
        <v>13</v>
      </c>
    </row>
    <row r="18" spans="1:2">
      <c r="A18" t="s">
        <v>6</v>
      </c>
      <c r="B18" s="22" t="s">
        <v>14</v>
      </c>
    </row>
    <row r="19" spans="1:2">
      <c r="A19" t="s">
        <v>218</v>
      </c>
      <c r="B19" s="22" t="s">
        <v>15</v>
      </c>
    </row>
    <row r="20" spans="1:2">
      <c r="A20" t="s">
        <v>219</v>
      </c>
      <c r="B20" s="22" t="s">
        <v>16</v>
      </c>
    </row>
    <row r="21" spans="1:2">
      <c r="A21" t="s">
        <v>220</v>
      </c>
      <c r="B21" s="22" t="s">
        <v>17</v>
      </c>
    </row>
    <row r="22" spans="1:2">
      <c r="A22" t="s">
        <v>221</v>
      </c>
      <c r="B22" s="22" t="s">
        <v>18</v>
      </c>
    </row>
    <row r="23" spans="1:2">
      <c r="A23" t="s">
        <v>222</v>
      </c>
      <c r="B23" s="22" t="s">
        <v>19</v>
      </c>
    </row>
    <row r="24" spans="1:2">
      <c r="A24" t="s">
        <v>223</v>
      </c>
      <c r="B24" s="22" t="s">
        <v>20</v>
      </c>
    </row>
    <row r="25" spans="1:2">
      <c r="A25" t="s">
        <v>224</v>
      </c>
      <c r="B25" s="22" t="s">
        <v>21</v>
      </c>
    </row>
    <row r="26" spans="1:2">
      <c r="A26" t="s">
        <v>225</v>
      </c>
    </row>
    <row r="27" spans="1:2">
      <c r="A27" t="s">
        <v>226</v>
      </c>
    </row>
    <row r="28" spans="1:2">
      <c r="A28" t="s">
        <v>227</v>
      </c>
    </row>
    <row r="29" spans="1:2">
      <c r="A29" t="s">
        <v>228</v>
      </c>
    </row>
    <row r="30" spans="1:2">
      <c r="A30" t="s">
        <v>229</v>
      </c>
    </row>
    <row r="31" spans="1:2">
      <c r="A31" t="s">
        <v>230</v>
      </c>
    </row>
    <row r="32" spans="1:2">
      <c r="A32" t="s">
        <v>231</v>
      </c>
    </row>
    <row r="33" spans="1:1">
      <c r="A33" t="s">
        <v>232</v>
      </c>
    </row>
  </sheetData>
  <customSheetViews>
    <customSheetView guid="{857CB3B9-618A-49FD-8D38-75EE2A4021B4}" state="hidden">
      <selection activeCell="C4" sqref="C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3:HT21"/>
  <sheetViews>
    <sheetView tabSelected="1" view="pageBreakPreview" topLeftCell="A7" zoomScaleNormal="100" zoomScaleSheetLayoutView="100" workbookViewId="0">
      <selection activeCell="C12" sqref="C12"/>
    </sheetView>
  </sheetViews>
  <sheetFormatPr baseColWidth="10" defaultColWidth="11.42578125" defaultRowHeight="12.75"/>
  <cols>
    <col min="1" max="1" width="23.28515625" style="37" customWidth="1"/>
    <col min="2" max="2" width="26.140625" style="37" customWidth="1"/>
    <col min="3" max="3" width="28.28515625" style="37" customWidth="1"/>
    <col min="4" max="4" width="23.28515625" style="37" customWidth="1"/>
    <col min="5" max="5" width="25.7109375" style="37" customWidth="1"/>
    <col min="6" max="6" width="26.85546875" style="37" customWidth="1"/>
    <col min="7" max="7" width="29.42578125" style="37" customWidth="1"/>
    <col min="8" max="16384" width="11.42578125" style="37"/>
  </cols>
  <sheetData>
    <row r="3" spans="1:228" s="38" customFormat="1" ht="69.75" customHeight="1">
      <c r="B3" s="39"/>
      <c r="C3" s="39"/>
    </row>
    <row r="4" spans="1:228" s="38" customFormat="1" ht="21.75" customHeight="1">
      <c r="B4" s="139" t="s">
        <v>428</v>
      </c>
      <c r="C4" s="139"/>
      <c r="D4" s="139"/>
    </row>
    <row r="5" spans="1:228" s="38" customFormat="1" ht="12.75" customHeight="1">
      <c r="B5" s="47" t="s">
        <v>248</v>
      </c>
      <c r="C5" s="47"/>
    </row>
    <row r="6" spans="1:228" s="17" customFormat="1" ht="18" customHeight="1">
      <c r="A6" s="40"/>
      <c r="B6" s="139" t="s">
        <v>0</v>
      </c>
      <c r="C6" s="139"/>
      <c r="D6" s="41"/>
      <c r="E6" s="41"/>
      <c r="F6" s="41"/>
      <c r="G6" s="1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</row>
    <row r="7" spans="1:228" s="17" customFormat="1">
      <c r="A7" s="40"/>
      <c r="B7" s="40"/>
      <c r="C7" s="40"/>
      <c r="D7" s="41"/>
      <c r="E7" s="41"/>
      <c r="F7" s="41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</row>
    <row r="8" spans="1:228" s="17" customFormat="1" ht="18">
      <c r="A8" s="140" t="s">
        <v>249</v>
      </c>
      <c r="B8" s="140"/>
      <c r="C8" s="140"/>
      <c r="D8" s="140"/>
      <c r="E8" s="99"/>
      <c r="F8" s="99"/>
      <c r="G8" s="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</row>
    <row r="9" spans="1:228" s="38" customFormat="1"/>
    <row r="10" spans="1:228" s="38" customFormat="1" ht="25.5">
      <c r="A10" s="42"/>
      <c r="B10" s="45" t="s">
        <v>243</v>
      </c>
      <c r="C10" s="102" t="s">
        <v>212</v>
      </c>
      <c r="D10" s="42"/>
      <c r="E10" s="99"/>
      <c r="F10" s="99"/>
    </row>
    <row r="11" spans="1:228" s="38" customFormat="1" ht="18">
      <c r="A11" s="42"/>
      <c r="B11" s="35" t="s">
        <v>244</v>
      </c>
      <c r="C11" s="36">
        <v>2026</v>
      </c>
      <c r="D11" s="42"/>
      <c r="E11" s="99"/>
      <c r="F11" s="99"/>
    </row>
    <row r="12" spans="1:228" s="38" customFormat="1" ht="18">
      <c r="A12" s="42"/>
      <c r="B12" s="35" t="s">
        <v>245</v>
      </c>
      <c r="C12" s="104" t="s">
        <v>16</v>
      </c>
      <c r="D12" s="42"/>
      <c r="E12" s="99"/>
      <c r="F12" s="99"/>
    </row>
    <row r="13" spans="1:228" s="38" customFormat="1" ht="18">
      <c r="A13" s="51"/>
      <c r="B13" s="50" t="s">
        <v>250</v>
      </c>
      <c r="C13" s="103">
        <f>A16+B16+C16+D16+E16+F16+G16</f>
        <v>89065</v>
      </c>
    </row>
    <row r="15" spans="1:228" ht="63.6" customHeight="1">
      <c r="A15" s="69" t="s">
        <v>256</v>
      </c>
      <c r="B15" s="69" t="s">
        <v>257</v>
      </c>
      <c r="C15" s="69" t="s">
        <v>258</v>
      </c>
      <c r="D15" s="69" t="s">
        <v>259</v>
      </c>
      <c r="E15" s="69" t="s">
        <v>420</v>
      </c>
      <c r="F15" s="69" t="s">
        <v>421</v>
      </c>
      <c r="G15" s="69" t="s">
        <v>260</v>
      </c>
    </row>
    <row r="16" spans="1:228" ht="16.5">
      <c r="A16" s="70">
        <f>SUM('C01'!D20:'C01'!D79,'C02'!D20:'C02'!D79,'C03'!D20:'C03'!D79,'C04'!D20:'C04'!D79)</f>
        <v>3333</v>
      </c>
      <c r="B16" s="70">
        <f>SUM('C01'!D80:'C01'!D122,'C02'!D80:'C02'!D122,'C03'!D80:'C03'!D122,'C04'!D80:'C04'!D122)</f>
        <v>987</v>
      </c>
      <c r="C16" s="70">
        <f>SUM('C01'!D123:'C01'!D263,'C02'!D123:'C02'!D263,'C03'!D123:'C03'!D263,'C04'!D123:'C04'!D263)</f>
        <v>10034</v>
      </c>
      <c r="D16" s="70">
        <f>SUM('C01'!D264:D273,'C02'!D264:D273,'C03'!D264:D273,'C04'!D264:D273)</f>
        <v>229</v>
      </c>
      <c r="E16" s="70">
        <f>SUM('C01'!D274:'C01'!D290,'C02'!D274:'C02'!D290,'C03'!D274:'C03'!D290,'C04'!D274:'C04'!D290)</f>
        <v>2904</v>
      </c>
      <c r="F16" s="70">
        <f>SUM('C01'!D291:'C01'!D293,'C02'!D291:'C02'!D293,'C03'!D291:'C03'!D293, 'C04'!D291:'C04'!D293)</f>
        <v>40</v>
      </c>
      <c r="G16" s="70">
        <f>SUM('C01'!D294:'C01'!D301,'C02'!D294:'C02'!D301,'C03'!D294:'C03'!D301, 'C04'!D294:'C04'!D301)</f>
        <v>71538</v>
      </c>
    </row>
    <row r="17" spans="1:7" ht="15">
      <c r="A17" s="69"/>
      <c r="B17" s="69"/>
      <c r="C17" s="69"/>
      <c r="D17" s="69"/>
      <c r="E17" s="69"/>
      <c r="F17" s="69"/>
      <c r="G17" s="69"/>
    </row>
    <row r="18" spans="1:7" ht="15">
      <c r="A18" s="71"/>
      <c r="B18" s="71"/>
      <c r="C18" s="71"/>
      <c r="D18" s="71"/>
      <c r="E18" s="101"/>
      <c r="F18" s="101"/>
      <c r="G18" s="72"/>
    </row>
    <row r="19" spans="1:7" s="48" customFormat="1" ht="38.25">
      <c r="A19" s="73" t="s">
        <v>251</v>
      </c>
      <c r="B19" s="73" t="s">
        <v>252</v>
      </c>
      <c r="C19" s="73" t="s">
        <v>253</v>
      </c>
      <c r="D19" s="73" t="s">
        <v>254</v>
      </c>
      <c r="E19" s="73" t="s">
        <v>422</v>
      </c>
      <c r="F19" s="73" t="s">
        <v>423</v>
      </c>
      <c r="G19" s="73" t="s">
        <v>255</v>
      </c>
    </row>
    <row r="20" spans="1:7" ht="30">
      <c r="A20" s="74">
        <f>IFERROR(A16/$C$13,0)</f>
        <v>3.7422107449615452E-2</v>
      </c>
      <c r="B20" s="74">
        <f>IFERROR(B16/$C$13,0)</f>
        <v>1.108179419525066E-2</v>
      </c>
      <c r="C20" s="74">
        <f t="shared" ref="C20:G20" si="0">IFERROR(C16/$C$13,0)</f>
        <v>0.11265929377420984</v>
      </c>
      <c r="D20" s="74">
        <f t="shared" si="0"/>
        <v>2.5711558973783191E-3</v>
      </c>
      <c r="E20" s="74">
        <f t="shared" si="0"/>
        <v>3.2605400550159994E-2</v>
      </c>
      <c r="F20" s="74">
        <f t="shared" si="0"/>
        <v>4.4911020041542694E-4</v>
      </c>
      <c r="G20" s="74">
        <f t="shared" si="0"/>
        <v>0.80321113793297028</v>
      </c>
    </row>
    <row r="21" spans="1:7" ht="15">
      <c r="A21" s="24"/>
      <c r="B21" s="24"/>
      <c r="C21" s="24"/>
      <c r="D21" s="24"/>
      <c r="E21" s="24"/>
      <c r="F21" s="24"/>
      <c r="G21" s="24"/>
    </row>
  </sheetData>
  <customSheetViews>
    <customSheetView guid="{857CB3B9-618A-49FD-8D38-75EE2A4021B4}" scale="140" showPageBreaks="1" printArea="1" view="pageBreakPreview" topLeftCell="A7">
      <selection activeCell="C29" sqref="C29"/>
      <pageMargins left="0.7" right="0.7" top="0.75" bottom="0.75" header="0.3" footer="0.3"/>
      <pageSetup scale="50" orientation="portrait" r:id="rId1"/>
    </customSheetView>
  </customSheetViews>
  <mergeCells count="3">
    <mergeCell ref="B6:C6"/>
    <mergeCell ref="A8:D8"/>
    <mergeCell ref="B4:D4"/>
  </mergeCells>
  <pageMargins left="0.7" right="0.7" top="0.75" bottom="0.75" header="0.3" footer="0.3"/>
  <pageSetup scale="5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Datos!$B$2:$B$25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pageSetUpPr fitToPage="1"/>
  </sheetPr>
  <dimension ref="B1:HR303"/>
  <sheetViews>
    <sheetView showGridLines="0" view="pageBreakPreview" topLeftCell="A270" zoomScaleNormal="100" zoomScaleSheetLayoutView="100" workbookViewId="0">
      <selection activeCell="D20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07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Julio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424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4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81</v>
      </c>
    </row>
    <row r="23" spans="2:7" ht="16.5">
      <c r="B23" s="75">
        <v>10104</v>
      </c>
      <c r="C23" s="76" t="s">
        <v>268</v>
      </c>
      <c r="D23" s="109">
        <v>86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299</v>
      </c>
    </row>
    <row r="27" spans="2:7" ht="16.5">
      <c r="B27" s="75">
        <v>10108</v>
      </c>
      <c r="C27" s="76" t="s">
        <v>272</v>
      </c>
      <c r="D27" s="109">
        <v>4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1</v>
      </c>
    </row>
    <row r="31" spans="2:7" ht="16.5">
      <c r="B31" s="75">
        <v>10112</v>
      </c>
      <c r="C31" s="76" t="s">
        <v>276</v>
      </c>
      <c r="D31" s="109">
        <v>3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38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84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10</v>
      </c>
    </row>
    <row r="44" spans="2:4" ht="16.5">
      <c r="B44" s="85">
        <v>10204</v>
      </c>
      <c r="C44" s="86" t="s">
        <v>289</v>
      </c>
      <c r="D44" s="108">
        <v>208</v>
      </c>
    </row>
    <row r="45" spans="2:4" ht="16.5">
      <c r="B45" s="75">
        <v>10205</v>
      </c>
      <c r="C45" s="76" t="s">
        <v>290</v>
      </c>
      <c r="D45" s="109">
        <v>2</v>
      </c>
    </row>
    <row r="46" spans="2:4" ht="16.5">
      <c r="B46" s="85">
        <v>10206</v>
      </c>
      <c r="C46" s="86" t="s">
        <v>291</v>
      </c>
      <c r="D46" s="108">
        <v>1</v>
      </c>
    </row>
    <row r="47" spans="2:4" ht="16.5">
      <c r="B47" s="75">
        <v>10207</v>
      </c>
      <c r="C47" s="76" t="s">
        <v>292</v>
      </c>
      <c r="D47" s="109">
        <v>14</v>
      </c>
    </row>
    <row r="48" spans="2:4" ht="16.5">
      <c r="B48" s="85">
        <v>10208</v>
      </c>
      <c r="C48" s="86" t="s">
        <v>293</v>
      </c>
      <c r="D48" s="108">
        <v>20</v>
      </c>
    </row>
    <row r="49" spans="2:4" ht="16.5">
      <c r="B49" s="75">
        <v>10209</v>
      </c>
      <c r="C49" s="76" t="s">
        <v>294</v>
      </c>
      <c r="D49" s="109">
        <v>1</v>
      </c>
    </row>
    <row r="50" spans="2:4" ht="16.5">
      <c r="B50" s="85">
        <v>10210</v>
      </c>
      <c r="C50" s="86" t="s">
        <v>295</v>
      </c>
      <c r="D50" s="108">
        <v>19</v>
      </c>
    </row>
    <row r="51" spans="2:4" ht="16.5">
      <c r="B51" s="75">
        <v>10211</v>
      </c>
      <c r="C51" s="76" t="s">
        <v>77</v>
      </c>
      <c r="D51" s="109">
        <v>2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11</v>
      </c>
    </row>
    <row r="60" spans="2:4" ht="16.5">
      <c r="B60" s="85">
        <v>10220</v>
      </c>
      <c r="C60" s="86" t="s">
        <v>304</v>
      </c>
      <c r="D60" s="108">
        <v>60</v>
      </c>
    </row>
    <row r="61" spans="2:4" ht="16.5">
      <c r="B61" s="75">
        <v>10301</v>
      </c>
      <c r="C61" s="76" t="s">
        <v>305</v>
      </c>
      <c r="D61" s="109">
        <v>11</v>
      </c>
    </row>
    <row r="62" spans="2:4" ht="16.5">
      <c r="B62" s="85">
        <v>10302</v>
      </c>
      <c r="C62" s="86" t="s">
        <v>306</v>
      </c>
      <c r="D62" s="108">
        <v>7</v>
      </c>
    </row>
    <row r="63" spans="2:4" ht="16.5">
      <c r="B63" s="75">
        <v>10303</v>
      </c>
      <c r="C63" s="76" t="s">
        <v>307</v>
      </c>
      <c r="D63" s="109">
        <v>15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126</v>
      </c>
    </row>
    <row r="66" spans="2:4" ht="16.5">
      <c r="B66" s="85">
        <v>10306</v>
      </c>
      <c r="C66" s="86" t="s">
        <v>310</v>
      </c>
      <c r="D66" s="108">
        <v>17</v>
      </c>
    </row>
    <row r="67" spans="2:4" ht="16.5">
      <c r="B67" s="75">
        <v>10307</v>
      </c>
      <c r="C67" s="76" t="s">
        <v>75</v>
      </c>
      <c r="D67" s="109">
        <v>101</v>
      </c>
    </row>
    <row r="68" spans="2:4" ht="16.5">
      <c r="B68" s="85">
        <v>10308</v>
      </c>
      <c r="C68" s="86" t="s">
        <v>311</v>
      </c>
      <c r="D68" s="108">
        <v>240</v>
      </c>
    </row>
    <row r="69" spans="2:4" ht="16.5">
      <c r="B69" s="75">
        <v>10309</v>
      </c>
      <c r="C69" s="76" t="s">
        <v>312</v>
      </c>
      <c r="D69" s="109">
        <v>43</v>
      </c>
    </row>
    <row r="70" spans="2:4" ht="16.5">
      <c r="B70" s="85">
        <v>10310</v>
      </c>
      <c r="C70" s="86" t="s">
        <v>313</v>
      </c>
      <c r="D70" s="108">
        <v>352</v>
      </c>
    </row>
    <row r="71" spans="2:4" ht="16.5">
      <c r="B71" s="75">
        <v>10311</v>
      </c>
      <c r="C71" s="76" t="s">
        <v>314</v>
      </c>
      <c r="D71" s="109">
        <v>50</v>
      </c>
    </row>
    <row r="72" spans="2:4" ht="16.5">
      <c r="B72" s="85">
        <v>10312</v>
      </c>
      <c r="C72" s="86" t="s">
        <v>315</v>
      </c>
      <c r="D72" s="108">
        <v>9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2</v>
      </c>
    </row>
    <row r="75" spans="2:4" ht="16.5">
      <c r="B75" s="75">
        <v>10315</v>
      </c>
      <c r="C75" s="76" t="s">
        <v>318</v>
      </c>
      <c r="D75" s="109">
        <v>16</v>
      </c>
    </row>
    <row r="76" spans="2:4" ht="16.5">
      <c r="B76" s="85">
        <v>10316</v>
      </c>
      <c r="C76" s="86" t="s">
        <v>319</v>
      </c>
      <c r="D76" s="108">
        <v>52</v>
      </c>
    </row>
    <row r="77" spans="2:4" ht="16.5">
      <c r="B77" s="75">
        <v>10317</v>
      </c>
      <c r="C77" s="76" t="s">
        <v>320</v>
      </c>
      <c r="D77" s="109">
        <v>142</v>
      </c>
    </row>
    <row r="78" spans="2:4" ht="16.5">
      <c r="B78" s="85">
        <v>10318</v>
      </c>
      <c r="C78" s="86" t="s">
        <v>321</v>
      </c>
      <c r="D78" s="108">
        <v>47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22</v>
      </c>
    </row>
    <row r="83" spans="2:4" ht="16.5">
      <c r="B83" s="77">
        <v>20104</v>
      </c>
      <c r="C83" s="78" t="s">
        <v>80</v>
      </c>
      <c r="D83" s="109">
        <v>16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2</v>
      </c>
    </row>
    <row r="87" spans="2:4" ht="16.5">
      <c r="B87" s="77">
        <v>20108</v>
      </c>
      <c r="C87" s="78" t="s">
        <v>325</v>
      </c>
      <c r="D87" s="109">
        <v>77</v>
      </c>
    </row>
    <row r="88" spans="2:4" ht="16.5">
      <c r="B88" s="87">
        <v>20109</v>
      </c>
      <c r="C88" s="88" t="s">
        <v>326</v>
      </c>
      <c r="D88" s="111">
        <v>3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10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1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12</v>
      </c>
    </row>
    <row r="95" spans="2:4" ht="16.5">
      <c r="B95" s="77">
        <v>20202</v>
      </c>
      <c r="C95" s="78" t="s">
        <v>85</v>
      </c>
      <c r="D95" s="109">
        <v>3</v>
      </c>
    </row>
    <row r="96" spans="2:4" ht="16.5">
      <c r="B96" s="87">
        <v>20203</v>
      </c>
      <c r="C96" s="88" t="s">
        <v>86</v>
      </c>
      <c r="D96" s="111">
        <v>161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27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22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17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11</v>
      </c>
    </row>
    <row r="111" spans="2:4" ht="16.5">
      <c r="B111" s="77">
        <v>20304</v>
      </c>
      <c r="C111" s="78" t="s">
        <v>335</v>
      </c>
      <c r="D111" s="109">
        <v>3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0</v>
      </c>
    </row>
    <row r="115" spans="2:4" ht="16.5">
      <c r="B115" s="77">
        <v>20308</v>
      </c>
      <c r="C115" s="78" t="s">
        <v>339</v>
      </c>
      <c r="D115" s="109">
        <v>0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0</v>
      </c>
    </row>
    <row r="118" spans="2:4" ht="16.5">
      <c r="B118" s="87">
        <v>20311</v>
      </c>
      <c r="C118" s="88" t="s">
        <v>342</v>
      </c>
      <c r="D118" s="111">
        <v>68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1</v>
      </c>
    </row>
    <row r="121" spans="2:4" ht="16.5">
      <c r="B121" s="77">
        <v>20403</v>
      </c>
      <c r="C121" s="78" t="s">
        <v>345</v>
      </c>
      <c r="D121" s="109">
        <v>32</v>
      </c>
    </row>
    <row r="122" spans="2:4" ht="16.5">
      <c r="B122" s="87">
        <v>20404</v>
      </c>
      <c r="C122" s="88" t="s">
        <v>346</v>
      </c>
      <c r="D122" s="111">
        <v>4</v>
      </c>
    </row>
    <row r="123" spans="2:4" ht="16.5">
      <c r="B123" s="81">
        <v>30101</v>
      </c>
      <c r="C123" s="82" t="s">
        <v>347</v>
      </c>
      <c r="D123" s="112">
        <v>99</v>
      </c>
    </row>
    <row r="124" spans="2:4" ht="16.5">
      <c r="B124" s="79">
        <v>30102</v>
      </c>
      <c r="C124" s="80" t="s">
        <v>96</v>
      </c>
      <c r="D124" s="109">
        <v>7</v>
      </c>
    </row>
    <row r="125" spans="2:4" ht="16.5">
      <c r="B125" s="81">
        <v>30103</v>
      </c>
      <c r="C125" s="82" t="s">
        <v>76</v>
      </c>
      <c r="D125" s="112">
        <v>100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38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60</v>
      </c>
    </row>
    <row r="130" spans="2:4" ht="16.5">
      <c r="B130" s="79">
        <v>30205</v>
      </c>
      <c r="C130" s="80" t="s">
        <v>349</v>
      </c>
      <c r="D130" s="109">
        <v>12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24</v>
      </c>
    </row>
    <row r="135" spans="2:4" ht="16.5">
      <c r="B135" s="81">
        <v>30303</v>
      </c>
      <c r="C135" s="82" t="s">
        <v>352</v>
      </c>
      <c r="D135" s="112">
        <v>1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87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43</v>
      </c>
    </row>
    <row r="140" spans="2:4" ht="16.5">
      <c r="B140" s="79">
        <v>30308</v>
      </c>
      <c r="C140" s="80" t="s">
        <v>353</v>
      </c>
      <c r="D140" s="109">
        <v>33</v>
      </c>
    </row>
    <row r="141" spans="2:4" ht="16.5">
      <c r="B141" s="81">
        <v>30309</v>
      </c>
      <c r="C141" s="82" t="s">
        <v>354</v>
      </c>
      <c r="D141" s="112">
        <v>461</v>
      </c>
    </row>
    <row r="142" spans="2:4" ht="16.5">
      <c r="B142" s="79">
        <v>30310</v>
      </c>
      <c r="C142" s="80" t="s">
        <v>355</v>
      </c>
      <c r="D142" s="109">
        <v>380</v>
      </c>
    </row>
    <row r="143" spans="2:4" ht="16.5">
      <c r="B143" s="81">
        <v>30401</v>
      </c>
      <c r="C143" s="82" t="s">
        <v>356</v>
      </c>
      <c r="D143" s="112">
        <v>292</v>
      </c>
    </row>
    <row r="144" spans="2:4" ht="16.5">
      <c r="B144" s="79">
        <v>30402</v>
      </c>
      <c r="C144" s="80" t="s">
        <v>357</v>
      </c>
      <c r="D144" s="109">
        <v>1</v>
      </c>
    </row>
    <row r="145" spans="2:4" ht="16.5">
      <c r="B145" s="81">
        <v>30403</v>
      </c>
      <c r="C145" s="82" t="s">
        <v>358</v>
      </c>
      <c r="D145" s="112">
        <v>20</v>
      </c>
    </row>
    <row r="146" spans="2:4" ht="16.5">
      <c r="B146" s="79">
        <v>30404</v>
      </c>
      <c r="C146" s="80" t="s">
        <v>106</v>
      </c>
      <c r="D146" s="109">
        <v>61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2</v>
      </c>
    </row>
    <row r="149" spans="2:4" ht="16.5">
      <c r="B149" s="81">
        <v>30407</v>
      </c>
      <c r="C149" s="82" t="s">
        <v>359</v>
      </c>
      <c r="D149" s="112">
        <v>2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1</v>
      </c>
    </row>
    <row r="153" spans="2:4" ht="16.5">
      <c r="B153" s="81">
        <v>30411</v>
      </c>
      <c r="C153" s="82" t="s">
        <v>361</v>
      </c>
      <c r="D153" s="112">
        <v>7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1</v>
      </c>
    </row>
    <row r="156" spans="2:4" ht="16.5">
      <c r="B156" s="79">
        <v>30414</v>
      </c>
      <c r="C156" s="80" t="s">
        <v>114</v>
      </c>
      <c r="D156" s="109">
        <v>66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5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1</v>
      </c>
    </row>
    <row r="161" spans="2:4" ht="16.5">
      <c r="B161" s="81">
        <v>30419</v>
      </c>
      <c r="C161" s="82" t="s">
        <v>119</v>
      </c>
      <c r="D161" s="112">
        <v>25</v>
      </c>
    </row>
    <row r="162" spans="2:4" ht="16.5">
      <c r="B162" s="79">
        <v>30420</v>
      </c>
      <c r="C162" s="80" t="s">
        <v>120</v>
      </c>
      <c r="D162" s="109">
        <v>52</v>
      </c>
    </row>
    <row r="163" spans="2:4" ht="16.5">
      <c r="B163" s="81">
        <v>30421</v>
      </c>
      <c r="C163" s="82" t="s">
        <v>121</v>
      </c>
      <c r="D163" s="112">
        <v>15</v>
      </c>
    </row>
    <row r="164" spans="2:4" ht="16.5">
      <c r="B164" s="79">
        <v>30422</v>
      </c>
      <c r="C164" s="80" t="s">
        <v>122</v>
      </c>
      <c r="D164" s="109">
        <v>17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1</v>
      </c>
    </row>
    <row r="168" spans="2:4" ht="16.5">
      <c r="B168" s="79">
        <v>30426</v>
      </c>
      <c r="C168" s="80" t="s">
        <v>126</v>
      </c>
      <c r="D168" s="109">
        <v>2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1</v>
      </c>
    </row>
    <row r="171" spans="2:4" ht="16.5">
      <c r="B171" s="81">
        <v>30429</v>
      </c>
      <c r="C171" s="82" t="s">
        <v>129</v>
      </c>
      <c r="D171" s="112">
        <v>1</v>
      </c>
    </row>
    <row r="172" spans="2:4" ht="16.5">
      <c r="B172" s="79">
        <v>30430</v>
      </c>
      <c r="C172" s="80" t="s">
        <v>130</v>
      </c>
      <c r="D172" s="109">
        <v>54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0</v>
      </c>
    </row>
    <row r="182" spans="2:4" ht="16.5">
      <c r="B182" s="79">
        <v>30440</v>
      </c>
      <c r="C182" s="80" t="s">
        <v>362</v>
      </c>
      <c r="D182" s="109">
        <v>6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2</v>
      </c>
    </row>
    <row r="188" spans="2:4" ht="16.5">
      <c r="B188" s="79">
        <v>30446</v>
      </c>
      <c r="C188" s="80" t="s">
        <v>368</v>
      </c>
      <c r="D188" s="109">
        <v>94</v>
      </c>
    </row>
    <row r="189" spans="2:4" ht="16.5">
      <c r="B189" s="81">
        <v>30501</v>
      </c>
      <c r="C189" s="82" t="s">
        <v>140</v>
      </c>
      <c r="D189" s="112">
        <v>4</v>
      </c>
    </row>
    <row r="190" spans="2:4" ht="16.5">
      <c r="B190" s="79">
        <v>30502</v>
      </c>
      <c r="C190" s="80" t="s">
        <v>141</v>
      </c>
      <c r="D190" s="109">
        <v>145</v>
      </c>
    </row>
    <row r="191" spans="2:4" ht="16.5">
      <c r="B191" s="81">
        <v>30503</v>
      </c>
      <c r="C191" s="82" t="s">
        <v>142</v>
      </c>
      <c r="D191" s="112">
        <v>1004</v>
      </c>
    </row>
    <row r="192" spans="2:4" ht="16.5">
      <c r="B192" s="79">
        <v>30504</v>
      </c>
      <c r="C192" s="80" t="s">
        <v>369</v>
      </c>
      <c r="D192" s="109">
        <v>114</v>
      </c>
    </row>
    <row r="193" spans="2:4" ht="16.5">
      <c r="B193" s="81">
        <v>30505</v>
      </c>
      <c r="C193" s="82" t="s">
        <v>370</v>
      </c>
      <c r="D193" s="112">
        <v>13</v>
      </c>
    </row>
    <row r="194" spans="2:4" ht="16.5">
      <c r="B194" s="79">
        <v>30601</v>
      </c>
      <c r="C194" s="80" t="s">
        <v>143</v>
      </c>
      <c r="D194" s="109">
        <v>49</v>
      </c>
    </row>
    <row r="195" spans="2:4" ht="16.5">
      <c r="B195" s="81">
        <v>30602</v>
      </c>
      <c r="C195" s="82" t="s">
        <v>144</v>
      </c>
      <c r="D195" s="112">
        <v>43</v>
      </c>
    </row>
    <row r="196" spans="2:4" ht="16.5">
      <c r="B196" s="79">
        <v>30603</v>
      </c>
      <c r="C196" s="80" t="s">
        <v>145</v>
      </c>
      <c r="D196" s="109">
        <v>4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21</v>
      </c>
    </row>
    <row r="200" spans="2:4" ht="16.5">
      <c r="B200" s="79">
        <v>30607</v>
      </c>
      <c r="C200" s="80" t="s">
        <v>147</v>
      </c>
      <c r="D200" s="109">
        <v>2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5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113</v>
      </c>
    </row>
    <row r="205" spans="2:4" ht="16.5">
      <c r="B205" s="81">
        <v>30701</v>
      </c>
      <c r="C205" s="82" t="s">
        <v>149</v>
      </c>
      <c r="D205" s="112">
        <v>7</v>
      </c>
    </row>
    <row r="206" spans="2:4" ht="16.5">
      <c r="B206" s="79">
        <v>30702</v>
      </c>
      <c r="C206" s="80" t="s">
        <v>150</v>
      </c>
      <c r="D206" s="109">
        <v>17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3</v>
      </c>
    </row>
    <row r="212" spans="2:4" ht="16.5">
      <c r="B212" s="79">
        <v>30708</v>
      </c>
      <c r="C212" s="80" t="s">
        <v>376</v>
      </c>
      <c r="D212" s="109">
        <v>2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69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5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56</v>
      </c>
    </row>
    <row r="229" spans="2:4" ht="16.5">
      <c r="B229" s="81">
        <v>30904</v>
      </c>
      <c r="C229" s="82" t="s">
        <v>184</v>
      </c>
      <c r="D229" s="112">
        <v>262</v>
      </c>
    </row>
    <row r="230" spans="2:4" ht="16.5">
      <c r="B230" s="79">
        <v>30905</v>
      </c>
      <c r="C230" s="80" t="s">
        <v>160</v>
      </c>
      <c r="D230" s="109">
        <v>105</v>
      </c>
    </row>
    <row r="231" spans="2:4" ht="16.5">
      <c r="B231" s="81">
        <v>30906</v>
      </c>
      <c r="C231" s="82" t="s">
        <v>161</v>
      </c>
      <c r="D231" s="112">
        <v>1</v>
      </c>
    </row>
    <row r="232" spans="2:4" ht="16.5">
      <c r="B232" s="79">
        <v>30907</v>
      </c>
      <c r="C232" s="80" t="s">
        <v>162</v>
      </c>
      <c r="D232" s="109">
        <v>739</v>
      </c>
    </row>
    <row r="233" spans="2:4" ht="16.5">
      <c r="B233" s="81">
        <v>30908</v>
      </c>
      <c r="C233" s="82" t="s">
        <v>163</v>
      </c>
      <c r="D233" s="112">
        <v>8</v>
      </c>
    </row>
    <row r="234" spans="2:4" ht="16.5">
      <c r="B234" s="79">
        <v>30909</v>
      </c>
      <c r="C234" s="80" t="s">
        <v>384</v>
      </c>
      <c r="D234" s="109">
        <v>105</v>
      </c>
    </row>
    <row r="235" spans="2:4" ht="16.5">
      <c r="B235" s="81">
        <v>31001</v>
      </c>
      <c r="C235" s="82" t="s">
        <v>165</v>
      </c>
      <c r="D235" s="112">
        <v>159</v>
      </c>
    </row>
    <row r="236" spans="2:4" ht="16.5">
      <c r="B236" s="79">
        <v>31002</v>
      </c>
      <c r="C236" s="80" t="s">
        <v>385</v>
      </c>
      <c r="D236" s="109">
        <v>2</v>
      </c>
    </row>
    <row r="237" spans="2:4" ht="16.5">
      <c r="B237" s="81">
        <v>31003</v>
      </c>
      <c r="C237" s="82" t="s">
        <v>166</v>
      </c>
      <c r="D237" s="112">
        <v>5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1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1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560</v>
      </c>
    </row>
    <row r="251" spans="2:4" ht="16.5">
      <c r="B251" s="81">
        <v>31102</v>
      </c>
      <c r="C251" s="82" t="s">
        <v>174</v>
      </c>
      <c r="D251" s="112">
        <v>55</v>
      </c>
    </row>
    <row r="252" spans="2:4" ht="16.5">
      <c r="B252" s="79">
        <v>31103</v>
      </c>
      <c r="C252" s="80" t="s">
        <v>176</v>
      </c>
      <c r="D252" s="113">
        <v>25</v>
      </c>
    </row>
    <row r="253" spans="2:4" ht="16.5">
      <c r="B253" s="81">
        <v>31104</v>
      </c>
      <c r="C253" s="82" t="s">
        <v>177</v>
      </c>
      <c r="D253" s="112">
        <v>67</v>
      </c>
    </row>
    <row r="254" spans="2:4" ht="16.5">
      <c r="B254" s="79">
        <v>31105</v>
      </c>
      <c r="C254" s="80" t="s">
        <v>178</v>
      </c>
      <c r="D254" s="113">
        <v>144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3</v>
      </c>
    </row>
    <row r="258" spans="2:4" ht="16.5">
      <c r="B258" s="79">
        <v>31109</v>
      </c>
      <c r="C258" s="80" t="s">
        <v>179</v>
      </c>
      <c r="D258" s="113">
        <v>2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241</v>
      </c>
    </row>
    <row r="262" spans="2:4" ht="16.5">
      <c r="B262" s="79">
        <v>31113</v>
      </c>
      <c r="C262" s="80" t="s">
        <v>182</v>
      </c>
      <c r="D262" s="113">
        <v>52</v>
      </c>
    </row>
    <row r="263" spans="2:4" ht="16.5">
      <c r="B263" s="81">
        <v>31114</v>
      </c>
      <c r="C263" s="82" t="s">
        <v>397</v>
      </c>
      <c r="D263" s="112">
        <v>120</v>
      </c>
    </row>
    <row r="264" spans="2:4" ht="16.5">
      <c r="B264" s="83">
        <v>40101</v>
      </c>
      <c r="C264" s="84" t="s">
        <v>188</v>
      </c>
      <c r="D264" s="114">
        <v>1</v>
      </c>
    </row>
    <row r="265" spans="2:4" ht="16.5">
      <c r="B265" s="79">
        <v>40102</v>
      </c>
      <c r="C265" s="80" t="s">
        <v>398</v>
      </c>
      <c r="D265" s="113">
        <v>11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60</v>
      </c>
    </row>
    <row r="268" spans="2:4" ht="16.5">
      <c r="B268" s="83">
        <v>40105</v>
      </c>
      <c r="C268" s="84" t="s">
        <v>192</v>
      </c>
      <c r="D268" s="114">
        <v>5</v>
      </c>
    </row>
    <row r="269" spans="2:4" ht="16.5">
      <c r="B269" s="79">
        <v>40106</v>
      </c>
      <c r="C269" s="80" t="s">
        <v>195</v>
      </c>
      <c r="D269" s="113">
        <v>23</v>
      </c>
    </row>
    <row r="270" spans="2:4" ht="16.5">
      <c r="B270" s="83">
        <v>40107</v>
      </c>
      <c r="C270" s="84" t="s">
        <v>197</v>
      </c>
      <c r="D270" s="114">
        <v>37</v>
      </c>
    </row>
    <row r="271" spans="2:4" ht="16.5">
      <c r="B271" s="79">
        <v>40108</v>
      </c>
      <c r="C271" s="80" t="s">
        <v>198</v>
      </c>
      <c r="D271" s="113">
        <v>3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16</v>
      </c>
    </row>
    <row r="276" spans="2:4" ht="16.5">
      <c r="B276" s="89">
        <v>50103</v>
      </c>
      <c r="C276" s="90" t="s">
        <v>401</v>
      </c>
      <c r="D276" s="115">
        <v>3</v>
      </c>
    </row>
    <row r="277" spans="2:4" ht="16.5">
      <c r="B277" s="79">
        <v>50104</v>
      </c>
      <c r="C277" s="80" t="s">
        <v>109</v>
      </c>
      <c r="D277" s="109">
        <v>2</v>
      </c>
    </row>
    <row r="278" spans="2:4" ht="16.5">
      <c r="B278" s="89">
        <v>50105</v>
      </c>
      <c r="C278" s="90" t="s">
        <v>183</v>
      </c>
      <c r="D278" s="115">
        <v>442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25</v>
      </c>
    </row>
    <row r="281" spans="2:4" ht="16.5">
      <c r="B281" s="79">
        <v>50108</v>
      </c>
      <c r="C281" s="80" t="s">
        <v>403</v>
      </c>
      <c r="D281" s="109">
        <v>29</v>
      </c>
    </row>
    <row r="282" spans="2:4" ht="16.5">
      <c r="B282" s="89">
        <v>50201</v>
      </c>
      <c r="C282" s="90" t="s">
        <v>404</v>
      </c>
      <c r="D282" s="115">
        <v>3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20</v>
      </c>
    </row>
    <row r="285" spans="2:4" ht="16.5">
      <c r="B285" s="79">
        <v>50301</v>
      </c>
      <c r="C285" s="80" t="s">
        <v>407</v>
      </c>
      <c r="D285" s="109">
        <v>1078</v>
      </c>
    </row>
    <row r="286" spans="2:4" ht="16.5">
      <c r="B286" s="89">
        <v>50302</v>
      </c>
      <c r="C286" s="90" t="s">
        <v>408</v>
      </c>
      <c r="D286" s="115">
        <v>9</v>
      </c>
    </row>
    <row r="287" spans="2:4" ht="16.5">
      <c r="B287" s="79">
        <v>50303</v>
      </c>
      <c r="C287" s="80" t="s">
        <v>186</v>
      </c>
      <c r="D287" s="109">
        <v>9</v>
      </c>
    </row>
    <row r="288" spans="2:4" ht="16.5">
      <c r="B288" s="89">
        <v>50304</v>
      </c>
      <c r="C288" s="90" t="s">
        <v>187</v>
      </c>
      <c r="D288" s="115">
        <v>29</v>
      </c>
    </row>
    <row r="289" spans="2:4" ht="16.5">
      <c r="B289" s="79">
        <v>50305</v>
      </c>
      <c r="C289" s="80" t="s">
        <v>409</v>
      </c>
      <c r="D289" s="109">
        <v>7</v>
      </c>
    </row>
    <row r="290" spans="2:4" ht="16.5">
      <c r="B290" s="89">
        <v>50306</v>
      </c>
      <c r="C290" s="90" t="s">
        <v>410</v>
      </c>
      <c r="D290" s="115">
        <v>10</v>
      </c>
    </row>
    <row r="291" spans="2:4" ht="16.5">
      <c r="B291" s="91">
        <v>60101</v>
      </c>
      <c r="C291" s="92" t="s">
        <v>411</v>
      </c>
      <c r="D291" s="116">
        <v>2</v>
      </c>
    </row>
    <row r="292" spans="2:4" ht="16.5">
      <c r="B292" s="79">
        <v>60102</v>
      </c>
      <c r="C292" s="80" t="s">
        <v>194</v>
      </c>
      <c r="D292" s="109">
        <v>0</v>
      </c>
    </row>
    <row r="293" spans="2:4" ht="16.5">
      <c r="B293" s="91">
        <v>60103</v>
      </c>
      <c r="C293" s="92" t="s">
        <v>412</v>
      </c>
      <c r="D293" s="116">
        <v>12</v>
      </c>
    </row>
    <row r="294" spans="2:4" ht="16.5">
      <c r="B294" s="93">
        <v>70101</v>
      </c>
      <c r="C294" s="94" t="s">
        <v>413</v>
      </c>
      <c r="D294" s="117">
        <v>2195</v>
      </c>
    </row>
    <row r="295" spans="2:4" ht="16.5">
      <c r="B295" s="79">
        <v>70102</v>
      </c>
      <c r="C295" s="80" t="s">
        <v>199</v>
      </c>
      <c r="D295" s="109">
        <v>1</v>
      </c>
    </row>
    <row r="296" spans="2:4" ht="16.5">
      <c r="B296" s="93">
        <v>70103</v>
      </c>
      <c r="C296" s="94" t="s">
        <v>200</v>
      </c>
      <c r="D296" s="117">
        <v>21</v>
      </c>
    </row>
    <row r="297" spans="2:4" ht="16.5">
      <c r="B297" s="79">
        <v>70104</v>
      </c>
      <c r="C297" s="80" t="s">
        <v>414</v>
      </c>
      <c r="D297" s="109">
        <v>25725</v>
      </c>
    </row>
    <row r="298" spans="2:4" ht="16.5">
      <c r="B298" s="93">
        <v>70105</v>
      </c>
      <c r="C298" s="94" t="s">
        <v>201</v>
      </c>
      <c r="D298" s="117">
        <v>78</v>
      </c>
    </row>
    <row r="299" spans="2:4" ht="16.5">
      <c r="B299" s="79">
        <v>70106</v>
      </c>
      <c r="C299" s="80" t="s">
        <v>415</v>
      </c>
      <c r="D299" s="109">
        <v>335</v>
      </c>
    </row>
    <row r="300" spans="2:4" ht="16.5">
      <c r="B300" s="93">
        <v>70107</v>
      </c>
      <c r="C300" s="94" t="s">
        <v>416</v>
      </c>
      <c r="D300" s="117">
        <v>534</v>
      </c>
    </row>
    <row r="301" spans="2:4" ht="17.25" thickBot="1">
      <c r="B301" s="95">
        <v>70108</v>
      </c>
      <c r="C301" s="96" t="s">
        <v>417</v>
      </c>
      <c r="D301" s="109">
        <v>14478</v>
      </c>
    </row>
    <row r="302" spans="2:4" ht="19.899999999999999" customHeight="1" thickBot="1">
      <c r="B302" s="97" t="s">
        <v>1</v>
      </c>
      <c r="C302" s="98"/>
      <c r="D302" s="100">
        <f>SUM(D20:D301)</f>
        <v>54280</v>
      </c>
    </row>
    <row r="303" spans="2:4">
      <c r="D303" s="68"/>
    </row>
  </sheetData>
  <protectedRanges>
    <protectedRange password="CC15" sqref="D20:D301" name="Rango1"/>
  </protectedRanges>
  <customSheetViews>
    <customSheetView guid="{857CB3B9-618A-49FD-8D38-75EE2A4021B4}" showPageBreaks="1" showGridLines="0" fitToPage="1" printArea="1" view="pageBreakPreview">
      <selection activeCell="B10" sqref="B10:D10"/>
      <rowBreaks count="1" manualBreakCount="1">
        <brk id="178" min="1" max="3" man="1"/>
      </rowBreaks>
      <pageMargins left="0.7" right="0.7" top="0.75" bottom="0.75" header="0.3" footer="0.3"/>
      <pageSetup scale="72" fitToHeight="0" orientation="portrait" r:id="rId1"/>
    </customSheetView>
  </customSheetViews>
  <mergeCells count="9">
    <mergeCell ref="B6:D6"/>
    <mergeCell ref="F8:J8"/>
    <mergeCell ref="B18:C18"/>
    <mergeCell ref="B7:D7"/>
    <mergeCell ref="B8:D8"/>
    <mergeCell ref="B9:D9"/>
    <mergeCell ref="B10:D10"/>
    <mergeCell ref="B17:C17"/>
    <mergeCell ref="B16:D16"/>
  </mergeCells>
  <pageMargins left="0.7" right="0.7" top="0.75" bottom="0.75" header="0.3" footer="0.3"/>
  <pageSetup scale="71" fitToHeight="0" orientation="portrait" r:id="rId2"/>
  <rowBreaks count="1" manualBreakCount="1">
    <brk id="178" min="1" max="3" man="1"/>
  </rowBreaks>
  <colBreaks count="1" manualBreakCount="1">
    <brk id="3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pageSetUpPr fitToPage="1"/>
  </sheetPr>
  <dimension ref="B1:HR303"/>
  <sheetViews>
    <sheetView showGridLines="0" view="pageBreakPreview" topLeftCell="A284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Julio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425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50</v>
      </c>
    </row>
    <row r="23" spans="2:7" ht="16.5">
      <c r="B23" s="75">
        <v>10104</v>
      </c>
      <c r="C23" s="76" t="s">
        <v>268</v>
      </c>
      <c r="D23" s="109">
        <v>26</v>
      </c>
    </row>
    <row r="24" spans="2:7" ht="16.5">
      <c r="B24" s="85">
        <v>10105</v>
      </c>
      <c r="C24" s="86" t="s">
        <v>269</v>
      </c>
      <c r="D24" s="108">
        <v>4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137</v>
      </c>
    </row>
    <row r="27" spans="2:7" ht="16.5">
      <c r="B27" s="75">
        <v>10108</v>
      </c>
      <c r="C27" s="76" t="s">
        <v>272</v>
      </c>
      <c r="D27" s="109">
        <v>1</v>
      </c>
    </row>
    <row r="28" spans="2:7" ht="16.5">
      <c r="B28" s="85">
        <v>10109</v>
      </c>
      <c r="C28" s="86" t="s">
        <v>273</v>
      </c>
      <c r="D28" s="108">
        <v>1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1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22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13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2</v>
      </c>
    </row>
    <row r="44" spans="2:4" ht="16.5">
      <c r="B44" s="85">
        <v>10204</v>
      </c>
      <c r="C44" s="86" t="s">
        <v>289</v>
      </c>
      <c r="D44" s="108">
        <v>98</v>
      </c>
    </row>
    <row r="45" spans="2:4" ht="16.5">
      <c r="B45" s="75">
        <v>10205</v>
      </c>
      <c r="C45" s="76" t="s">
        <v>290</v>
      </c>
      <c r="D45" s="109">
        <v>0</v>
      </c>
    </row>
    <row r="46" spans="2:4" ht="16.5">
      <c r="B46" s="85">
        <v>10206</v>
      </c>
      <c r="C46" s="86" t="s">
        <v>291</v>
      </c>
      <c r="D46" s="108">
        <v>2</v>
      </c>
    </row>
    <row r="47" spans="2:4" ht="16.5">
      <c r="B47" s="75">
        <v>10207</v>
      </c>
      <c r="C47" s="76" t="s">
        <v>292</v>
      </c>
      <c r="D47" s="109">
        <v>0</v>
      </c>
    </row>
    <row r="48" spans="2:4" ht="16.5">
      <c r="B48" s="85">
        <v>10208</v>
      </c>
      <c r="C48" s="86" t="s">
        <v>293</v>
      </c>
      <c r="D48" s="108">
        <v>4</v>
      </c>
    </row>
    <row r="49" spans="2:4" ht="16.5">
      <c r="B49" s="75">
        <v>10209</v>
      </c>
      <c r="C49" s="76" t="s">
        <v>294</v>
      </c>
      <c r="D49" s="109">
        <v>0</v>
      </c>
    </row>
    <row r="50" spans="2:4" ht="16.5">
      <c r="B50" s="85">
        <v>10210</v>
      </c>
      <c r="C50" s="86" t="s">
        <v>295</v>
      </c>
      <c r="D50" s="108">
        <v>7</v>
      </c>
    </row>
    <row r="51" spans="2:4" ht="16.5">
      <c r="B51" s="75">
        <v>10211</v>
      </c>
      <c r="C51" s="76" t="s">
        <v>77</v>
      </c>
      <c r="D51" s="109">
        <v>0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4</v>
      </c>
    </row>
    <row r="60" spans="2:4" ht="16.5">
      <c r="B60" s="85">
        <v>10220</v>
      </c>
      <c r="C60" s="86" t="s">
        <v>304</v>
      </c>
      <c r="D60" s="108">
        <v>7</v>
      </c>
    </row>
    <row r="61" spans="2:4" ht="16.5">
      <c r="B61" s="75">
        <v>10301</v>
      </c>
      <c r="C61" s="76" t="s">
        <v>305</v>
      </c>
      <c r="D61" s="109">
        <v>4</v>
      </c>
    </row>
    <row r="62" spans="2:4" ht="16.5">
      <c r="B62" s="85">
        <v>10302</v>
      </c>
      <c r="C62" s="86" t="s">
        <v>306</v>
      </c>
      <c r="D62" s="108">
        <v>5</v>
      </c>
    </row>
    <row r="63" spans="2:4" ht="16.5">
      <c r="B63" s="75">
        <v>10303</v>
      </c>
      <c r="C63" s="76" t="s">
        <v>307</v>
      </c>
      <c r="D63" s="109">
        <v>3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65</v>
      </c>
    </row>
    <row r="66" spans="2:4" ht="16.5">
      <c r="B66" s="85">
        <v>10306</v>
      </c>
      <c r="C66" s="86" t="s">
        <v>310</v>
      </c>
      <c r="D66" s="108">
        <v>2</v>
      </c>
    </row>
    <row r="67" spans="2:4" ht="16.5">
      <c r="B67" s="75">
        <v>10307</v>
      </c>
      <c r="C67" s="76" t="s">
        <v>75</v>
      </c>
      <c r="D67" s="109">
        <v>26</v>
      </c>
    </row>
    <row r="68" spans="2:4" ht="16.5">
      <c r="B68" s="85">
        <v>10308</v>
      </c>
      <c r="C68" s="86" t="s">
        <v>311</v>
      </c>
      <c r="D68" s="108">
        <v>153</v>
      </c>
    </row>
    <row r="69" spans="2:4" ht="16.5">
      <c r="B69" s="75">
        <v>10309</v>
      </c>
      <c r="C69" s="76" t="s">
        <v>312</v>
      </c>
      <c r="D69" s="109">
        <v>4</v>
      </c>
    </row>
    <row r="70" spans="2:4" ht="16.5">
      <c r="B70" s="85">
        <v>10310</v>
      </c>
      <c r="C70" s="86" t="s">
        <v>313</v>
      </c>
      <c r="D70" s="108">
        <v>162</v>
      </c>
    </row>
    <row r="71" spans="2:4" ht="16.5">
      <c r="B71" s="75">
        <v>10311</v>
      </c>
      <c r="C71" s="76" t="s">
        <v>314</v>
      </c>
      <c r="D71" s="109">
        <v>24</v>
      </c>
    </row>
    <row r="72" spans="2:4" ht="16.5">
      <c r="B72" s="85">
        <v>10312</v>
      </c>
      <c r="C72" s="86" t="s">
        <v>315</v>
      </c>
      <c r="D72" s="108">
        <v>19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0</v>
      </c>
    </row>
    <row r="75" spans="2:4" ht="16.5">
      <c r="B75" s="75">
        <v>10315</v>
      </c>
      <c r="C75" s="76" t="s">
        <v>318</v>
      </c>
      <c r="D75" s="109">
        <v>2</v>
      </c>
    </row>
    <row r="76" spans="2:4" ht="16.5">
      <c r="B76" s="85">
        <v>10316</v>
      </c>
      <c r="C76" s="86" t="s">
        <v>319</v>
      </c>
      <c r="D76" s="108">
        <v>56</v>
      </c>
    </row>
    <row r="77" spans="2:4" ht="16.5">
      <c r="B77" s="75">
        <v>10317</v>
      </c>
      <c r="C77" s="76" t="s">
        <v>320</v>
      </c>
      <c r="D77" s="109">
        <v>36</v>
      </c>
    </row>
    <row r="78" spans="2:4" ht="16.5">
      <c r="B78" s="85">
        <v>10318</v>
      </c>
      <c r="C78" s="86" t="s">
        <v>321</v>
      </c>
      <c r="D78" s="108">
        <v>8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31</v>
      </c>
    </row>
    <row r="83" spans="2:4" ht="16.5">
      <c r="B83" s="77">
        <v>20104</v>
      </c>
      <c r="C83" s="78" t="s">
        <v>80</v>
      </c>
      <c r="D83" s="109">
        <v>5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2</v>
      </c>
    </row>
    <row r="87" spans="2:4" ht="16.5">
      <c r="B87" s="77">
        <v>20108</v>
      </c>
      <c r="C87" s="78" t="s">
        <v>325</v>
      </c>
      <c r="D87" s="109">
        <v>25</v>
      </c>
    </row>
    <row r="88" spans="2:4" ht="16.5">
      <c r="B88" s="87">
        <v>20109</v>
      </c>
      <c r="C88" s="88" t="s">
        <v>326</v>
      </c>
      <c r="D88" s="111">
        <v>2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8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0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112</v>
      </c>
    </row>
    <row r="95" spans="2:4" ht="16.5">
      <c r="B95" s="77">
        <v>20202</v>
      </c>
      <c r="C95" s="78" t="s">
        <v>85</v>
      </c>
      <c r="D95" s="109">
        <v>4</v>
      </c>
    </row>
    <row r="96" spans="2:4" ht="16.5">
      <c r="B96" s="87">
        <v>20203</v>
      </c>
      <c r="C96" s="88" t="s">
        <v>86</v>
      </c>
      <c r="D96" s="111">
        <v>27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3</v>
      </c>
    </row>
    <row r="101" spans="2:4" ht="16.5">
      <c r="B101" s="77">
        <v>20208</v>
      </c>
      <c r="C101" s="78" t="s">
        <v>91</v>
      </c>
      <c r="D101" s="109">
        <v>16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14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29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14</v>
      </c>
    </row>
    <row r="111" spans="2:4" ht="16.5">
      <c r="B111" s="77">
        <v>20304</v>
      </c>
      <c r="C111" s="78" t="s">
        <v>335</v>
      </c>
      <c r="D111" s="109">
        <v>1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0</v>
      </c>
    </row>
    <row r="115" spans="2:4" ht="16.5">
      <c r="B115" s="77">
        <v>20308</v>
      </c>
      <c r="C115" s="78" t="s">
        <v>339</v>
      </c>
      <c r="D115" s="109">
        <v>13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0</v>
      </c>
    </row>
    <row r="118" spans="2:4" ht="16.5">
      <c r="B118" s="87">
        <v>20311</v>
      </c>
      <c r="C118" s="88" t="s">
        <v>342</v>
      </c>
      <c r="D118" s="111">
        <v>127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1</v>
      </c>
    </row>
    <row r="121" spans="2:4" ht="16.5">
      <c r="B121" s="77">
        <v>20403</v>
      </c>
      <c r="C121" s="78" t="s">
        <v>345</v>
      </c>
      <c r="D121" s="109">
        <v>17</v>
      </c>
    </row>
    <row r="122" spans="2:4" ht="16.5">
      <c r="B122" s="87">
        <v>20404</v>
      </c>
      <c r="C122" s="88" t="s">
        <v>346</v>
      </c>
      <c r="D122" s="111">
        <v>5</v>
      </c>
    </row>
    <row r="123" spans="2:4" ht="16.5">
      <c r="B123" s="81">
        <v>30101</v>
      </c>
      <c r="C123" s="82" t="s">
        <v>347</v>
      </c>
      <c r="D123" s="112">
        <v>26</v>
      </c>
    </row>
    <row r="124" spans="2:4" ht="16.5">
      <c r="B124" s="79">
        <v>30102</v>
      </c>
      <c r="C124" s="80" t="s">
        <v>96</v>
      </c>
      <c r="D124" s="109">
        <v>0</v>
      </c>
    </row>
    <row r="125" spans="2:4" ht="16.5">
      <c r="B125" s="81">
        <v>30103</v>
      </c>
      <c r="C125" s="82" t="s">
        <v>76</v>
      </c>
      <c r="D125" s="112">
        <v>41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9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16</v>
      </c>
    </row>
    <row r="130" spans="2:4" ht="16.5">
      <c r="B130" s="79">
        <v>30205</v>
      </c>
      <c r="C130" s="80" t="s">
        <v>349</v>
      </c>
      <c r="D130" s="109">
        <v>17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7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41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22</v>
      </c>
    </row>
    <row r="140" spans="2:4" ht="16.5">
      <c r="B140" s="79">
        <v>30308</v>
      </c>
      <c r="C140" s="80" t="s">
        <v>353</v>
      </c>
      <c r="D140" s="109">
        <v>32</v>
      </c>
    </row>
    <row r="141" spans="2:4" ht="16.5">
      <c r="B141" s="81">
        <v>30309</v>
      </c>
      <c r="C141" s="82" t="s">
        <v>354</v>
      </c>
      <c r="D141" s="112">
        <v>153</v>
      </c>
    </row>
    <row r="142" spans="2:4" ht="16.5">
      <c r="B142" s="79">
        <v>30310</v>
      </c>
      <c r="C142" s="80" t="s">
        <v>355</v>
      </c>
      <c r="D142" s="109">
        <v>214</v>
      </c>
    </row>
    <row r="143" spans="2:4" ht="16.5">
      <c r="B143" s="81">
        <v>30401</v>
      </c>
      <c r="C143" s="82" t="s">
        <v>356</v>
      </c>
      <c r="D143" s="112">
        <v>434</v>
      </c>
    </row>
    <row r="144" spans="2:4" ht="16.5">
      <c r="B144" s="79">
        <v>30402</v>
      </c>
      <c r="C144" s="80" t="s">
        <v>357</v>
      </c>
      <c r="D144" s="109">
        <v>26</v>
      </c>
    </row>
    <row r="145" spans="2:4" ht="16.5">
      <c r="B145" s="81">
        <v>30403</v>
      </c>
      <c r="C145" s="82" t="s">
        <v>358</v>
      </c>
      <c r="D145" s="112">
        <v>5</v>
      </c>
    </row>
    <row r="146" spans="2:4" ht="16.5">
      <c r="B146" s="79">
        <v>30404</v>
      </c>
      <c r="C146" s="80" t="s">
        <v>106</v>
      </c>
      <c r="D146" s="109">
        <v>22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0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3</v>
      </c>
    </row>
    <row r="154" spans="2:4" ht="16.5">
      <c r="B154" s="79">
        <v>30412</v>
      </c>
      <c r="C154" s="80" t="s">
        <v>112</v>
      </c>
      <c r="D154" s="109">
        <v>1</v>
      </c>
    </row>
    <row r="155" spans="2:4" ht="16.5">
      <c r="B155" s="81">
        <v>30413</v>
      </c>
      <c r="C155" s="82" t="s">
        <v>113</v>
      </c>
      <c r="D155" s="112">
        <v>1</v>
      </c>
    </row>
    <row r="156" spans="2:4" ht="16.5">
      <c r="B156" s="79">
        <v>30414</v>
      </c>
      <c r="C156" s="80" t="s">
        <v>114</v>
      </c>
      <c r="D156" s="109">
        <v>31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2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5</v>
      </c>
    </row>
    <row r="161" spans="2:4" ht="16.5">
      <c r="B161" s="81">
        <v>30419</v>
      </c>
      <c r="C161" s="82" t="s">
        <v>119</v>
      </c>
      <c r="D161" s="112">
        <v>2</v>
      </c>
    </row>
    <row r="162" spans="2:4" ht="16.5">
      <c r="B162" s="79">
        <v>30420</v>
      </c>
      <c r="C162" s="80" t="s">
        <v>120</v>
      </c>
      <c r="D162" s="109">
        <v>25</v>
      </c>
    </row>
    <row r="163" spans="2:4" ht="16.5">
      <c r="B163" s="81">
        <v>30421</v>
      </c>
      <c r="C163" s="82" t="s">
        <v>121</v>
      </c>
      <c r="D163" s="112">
        <v>7</v>
      </c>
    </row>
    <row r="164" spans="2:4" ht="16.5">
      <c r="B164" s="79">
        <v>30422</v>
      </c>
      <c r="C164" s="80" t="s">
        <v>122</v>
      </c>
      <c r="D164" s="109">
        <v>2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1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5</v>
      </c>
    </row>
    <row r="172" spans="2:4" ht="16.5">
      <c r="B172" s="79">
        <v>30430</v>
      </c>
      <c r="C172" s="80" t="s">
        <v>130</v>
      </c>
      <c r="D172" s="109">
        <v>19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1</v>
      </c>
    </row>
    <row r="182" spans="2:4" ht="16.5">
      <c r="B182" s="79">
        <v>30440</v>
      </c>
      <c r="C182" s="80" t="s">
        <v>362</v>
      </c>
      <c r="D182" s="109">
        <v>6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65</v>
      </c>
    </row>
    <row r="189" spans="2:4" ht="16.5">
      <c r="B189" s="81">
        <v>30501</v>
      </c>
      <c r="C189" s="82" t="s">
        <v>140</v>
      </c>
      <c r="D189" s="112">
        <v>3</v>
      </c>
    </row>
    <row r="190" spans="2:4" ht="16.5">
      <c r="B190" s="79">
        <v>30502</v>
      </c>
      <c r="C190" s="80" t="s">
        <v>141</v>
      </c>
      <c r="D190" s="109">
        <v>164</v>
      </c>
    </row>
    <row r="191" spans="2:4" ht="16.5">
      <c r="B191" s="81">
        <v>30503</v>
      </c>
      <c r="C191" s="82" t="s">
        <v>142</v>
      </c>
      <c r="D191" s="112">
        <v>538</v>
      </c>
    </row>
    <row r="192" spans="2:4" ht="16.5">
      <c r="B192" s="79">
        <v>30504</v>
      </c>
      <c r="C192" s="80" t="s">
        <v>369</v>
      </c>
      <c r="D192" s="109">
        <v>86</v>
      </c>
    </row>
    <row r="193" spans="2:4" ht="16.5">
      <c r="B193" s="81">
        <v>30505</v>
      </c>
      <c r="C193" s="82" t="s">
        <v>370</v>
      </c>
      <c r="D193" s="112">
        <v>18</v>
      </c>
    </row>
    <row r="194" spans="2:4" ht="16.5">
      <c r="B194" s="79">
        <v>30601</v>
      </c>
      <c r="C194" s="80" t="s">
        <v>143</v>
      </c>
      <c r="D194" s="109">
        <v>19</v>
      </c>
    </row>
    <row r="195" spans="2:4" ht="16.5">
      <c r="B195" s="81">
        <v>30602</v>
      </c>
      <c r="C195" s="82" t="s">
        <v>144</v>
      </c>
      <c r="D195" s="112">
        <v>8</v>
      </c>
    </row>
    <row r="196" spans="2:4" ht="16.5">
      <c r="B196" s="79">
        <v>30603</v>
      </c>
      <c r="C196" s="80" t="s">
        <v>145</v>
      </c>
      <c r="D196" s="109">
        <v>0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3</v>
      </c>
    </row>
    <row r="200" spans="2:4" ht="16.5">
      <c r="B200" s="79">
        <v>30607</v>
      </c>
      <c r="C200" s="80" t="s">
        <v>147</v>
      </c>
      <c r="D200" s="109">
        <v>0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4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38</v>
      </c>
    </row>
    <row r="205" spans="2:4" ht="16.5">
      <c r="B205" s="81">
        <v>30701</v>
      </c>
      <c r="C205" s="82" t="s">
        <v>149</v>
      </c>
      <c r="D205" s="112">
        <v>2</v>
      </c>
    </row>
    <row r="206" spans="2:4" ht="16.5">
      <c r="B206" s="79">
        <v>30702</v>
      </c>
      <c r="C206" s="80" t="s">
        <v>150</v>
      </c>
      <c r="D206" s="109">
        <v>5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1</v>
      </c>
    </row>
    <row r="212" spans="2:4" ht="16.5">
      <c r="B212" s="79">
        <v>30708</v>
      </c>
      <c r="C212" s="80" t="s">
        <v>376</v>
      </c>
      <c r="D212" s="109">
        <v>0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1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8</v>
      </c>
    </row>
    <row r="229" spans="2:4" ht="16.5">
      <c r="B229" s="81">
        <v>30904</v>
      </c>
      <c r="C229" s="82" t="s">
        <v>184</v>
      </c>
      <c r="D229" s="112">
        <v>105</v>
      </c>
    </row>
    <row r="230" spans="2:4" ht="16.5">
      <c r="B230" s="79">
        <v>30905</v>
      </c>
      <c r="C230" s="80" t="s">
        <v>160</v>
      </c>
      <c r="D230" s="109">
        <v>24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326</v>
      </c>
    </row>
    <row r="233" spans="2:4" ht="16.5">
      <c r="B233" s="81">
        <v>30908</v>
      </c>
      <c r="C233" s="82" t="s">
        <v>163</v>
      </c>
      <c r="D233" s="112">
        <v>4</v>
      </c>
    </row>
    <row r="234" spans="2:4" ht="16.5">
      <c r="B234" s="79">
        <v>30909</v>
      </c>
      <c r="C234" s="80" t="s">
        <v>384</v>
      </c>
      <c r="D234" s="109">
        <v>36</v>
      </c>
    </row>
    <row r="235" spans="2:4" ht="16.5">
      <c r="B235" s="81">
        <v>31001</v>
      </c>
      <c r="C235" s="82" t="s">
        <v>165</v>
      </c>
      <c r="D235" s="112">
        <v>65</v>
      </c>
    </row>
    <row r="236" spans="2:4" ht="16.5">
      <c r="B236" s="79">
        <v>31002</v>
      </c>
      <c r="C236" s="80" t="s">
        <v>385</v>
      </c>
      <c r="D236" s="109">
        <v>2</v>
      </c>
    </row>
    <row r="237" spans="2:4" ht="16.5">
      <c r="B237" s="81">
        <v>31003</v>
      </c>
      <c r="C237" s="82" t="s">
        <v>166</v>
      </c>
      <c r="D237" s="112">
        <v>5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5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6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125</v>
      </c>
    </row>
    <row r="251" spans="2:4" ht="16.5">
      <c r="B251" s="81">
        <v>31102</v>
      </c>
      <c r="C251" s="82" t="s">
        <v>174</v>
      </c>
      <c r="D251" s="112">
        <v>64</v>
      </c>
    </row>
    <row r="252" spans="2:4" ht="16.5">
      <c r="B252" s="79">
        <v>31103</v>
      </c>
      <c r="C252" s="80" t="s">
        <v>176</v>
      </c>
      <c r="D252" s="113">
        <v>2</v>
      </c>
    </row>
    <row r="253" spans="2:4" ht="16.5">
      <c r="B253" s="81">
        <v>31104</v>
      </c>
      <c r="C253" s="82" t="s">
        <v>177</v>
      </c>
      <c r="D253" s="112">
        <v>4</v>
      </c>
    </row>
    <row r="254" spans="2:4" ht="16.5">
      <c r="B254" s="79">
        <v>31105</v>
      </c>
      <c r="C254" s="80" t="s">
        <v>178</v>
      </c>
      <c r="D254" s="113">
        <v>38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0</v>
      </c>
    </row>
    <row r="258" spans="2:4" ht="16.5">
      <c r="B258" s="79">
        <v>31109</v>
      </c>
      <c r="C258" s="80" t="s">
        <v>179</v>
      </c>
      <c r="D258" s="113">
        <v>0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78</v>
      </c>
    </row>
    <row r="262" spans="2:4" ht="16.5">
      <c r="B262" s="79">
        <v>31113</v>
      </c>
      <c r="C262" s="80" t="s">
        <v>182</v>
      </c>
      <c r="D262" s="113">
        <v>20</v>
      </c>
    </row>
    <row r="263" spans="2:4" ht="16.5">
      <c r="B263" s="81">
        <v>31114</v>
      </c>
      <c r="C263" s="82" t="s">
        <v>397</v>
      </c>
      <c r="D263" s="112">
        <v>115</v>
      </c>
    </row>
    <row r="264" spans="2:4" ht="16.5">
      <c r="B264" s="83">
        <v>40101</v>
      </c>
      <c r="C264" s="84" t="s">
        <v>188</v>
      </c>
      <c r="D264" s="114">
        <v>0</v>
      </c>
    </row>
    <row r="265" spans="2:4" ht="16.5">
      <c r="B265" s="79">
        <v>40102</v>
      </c>
      <c r="C265" s="80" t="s">
        <v>398</v>
      </c>
      <c r="D265" s="113">
        <v>3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18</v>
      </c>
    </row>
    <row r="268" spans="2:4" ht="16.5">
      <c r="B268" s="83">
        <v>40105</v>
      </c>
      <c r="C268" s="84" t="s">
        <v>192</v>
      </c>
      <c r="D268" s="114">
        <v>1</v>
      </c>
    </row>
    <row r="269" spans="2:4" ht="16.5">
      <c r="B269" s="79">
        <v>40106</v>
      </c>
      <c r="C269" s="80" t="s">
        <v>195</v>
      </c>
      <c r="D269" s="113">
        <v>19</v>
      </c>
    </row>
    <row r="270" spans="2:4" ht="16.5">
      <c r="B270" s="83">
        <v>40107</v>
      </c>
      <c r="C270" s="84" t="s">
        <v>197</v>
      </c>
      <c r="D270" s="114">
        <v>33</v>
      </c>
    </row>
    <row r="271" spans="2:4" ht="16.5">
      <c r="B271" s="79">
        <v>40108</v>
      </c>
      <c r="C271" s="80" t="s">
        <v>198</v>
      </c>
      <c r="D271" s="113">
        <v>0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4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11</v>
      </c>
    </row>
    <row r="276" spans="2:4" ht="16.5">
      <c r="B276" s="89">
        <v>50103</v>
      </c>
      <c r="C276" s="90" t="s">
        <v>401</v>
      </c>
      <c r="D276" s="115">
        <v>2</v>
      </c>
    </row>
    <row r="277" spans="2:4" ht="16.5">
      <c r="B277" s="79">
        <v>50104</v>
      </c>
      <c r="C277" s="80" t="s">
        <v>109</v>
      </c>
      <c r="D277" s="109">
        <v>2</v>
      </c>
    </row>
    <row r="278" spans="2:4" ht="16.5">
      <c r="B278" s="89">
        <v>50105</v>
      </c>
      <c r="C278" s="90" t="s">
        <v>183</v>
      </c>
      <c r="D278" s="115">
        <v>109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34</v>
      </c>
    </row>
    <row r="281" spans="2:4" ht="16.5">
      <c r="B281" s="79">
        <v>50108</v>
      </c>
      <c r="C281" s="80" t="s">
        <v>403</v>
      </c>
      <c r="D281" s="109">
        <v>13</v>
      </c>
    </row>
    <row r="282" spans="2:4" ht="16.5">
      <c r="B282" s="89">
        <v>50201</v>
      </c>
      <c r="C282" s="90" t="s">
        <v>404</v>
      </c>
      <c r="D282" s="115">
        <v>1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6</v>
      </c>
    </row>
    <row r="285" spans="2:4" ht="16.5">
      <c r="B285" s="79">
        <v>50301</v>
      </c>
      <c r="C285" s="80" t="s">
        <v>407</v>
      </c>
      <c r="D285" s="109">
        <v>872</v>
      </c>
    </row>
    <row r="286" spans="2:4" ht="16.5">
      <c r="B286" s="89">
        <v>50302</v>
      </c>
      <c r="C286" s="90" t="s">
        <v>408</v>
      </c>
      <c r="D286" s="115">
        <v>3</v>
      </c>
    </row>
    <row r="287" spans="2:4" ht="16.5">
      <c r="B287" s="79">
        <v>50303</v>
      </c>
      <c r="C287" s="80" t="s">
        <v>186</v>
      </c>
      <c r="D287" s="109">
        <v>7</v>
      </c>
    </row>
    <row r="288" spans="2:4" ht="16.5">
      <c r="B288" s="89">
        <v>50304</v>
      </c>
      <c r="C288" s="90" t="s">
        <v>187</v>
      </c>
      <c r="D288" s="115">
        <v>7</v>
      </c>
    </row>
    <row r="289" spans="2:4" ht="16.5">
      <c r="B289" s="79">
        <v>50305</v>
      </c>
      <c r="C289" s="80" t="s">
        <v>409</v>
      </c>
      <c r="D289" s="109">
        <v>9</v>
      </c>
    </row>
    <row r="290" spans="2:4" ht="16.5">
      <c r="B290" s="89">
        <v>50306</v>
      </c>
      <c r="C290" s="90" t="s">
        <v>410</v>
      </c>
      <c r="D290" s="115">
        <v>22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7</v>
      </c>
    </row>
    <row r="293" spans="2:4" ht="16.5">
      <c r="B293" s="91">
        <v>60103</v>
      </c>
      <c r="C293" s="92" t="s">
        <v>412</v>
      </c>
      <c r="D293" s="116">
        <v>12</v>
      </c>
    </row>
    <row r="294" spans="2:4" ht="16.5">
      <c r="B294" s="93">
        <v>70101</v>
      </c>
      <c r="C294" s="94" t="s">
        <v>413</v>
      </c>
      <c r="D294" s="117">
        <v>4137</v>
      </c>
    </row>
    <row r="295" spans="2:4" ht="16.5">
      <c r="B295" s="79">
        <v>70102</v>
      </c>
      <c r="C295" s="80" t="s">
        <v>199</v>
      </c>
      <c r="D295" s="109">
        <v>1</v>
      </c>
    </row>
    <row r="296" spans="2:4" ht="16.5">
      <c r="B296" s="93">
        <v>70103</v>
      </c>
      <c r="C296" s="94" t="s">
        <v>200</v>
      </c>
      <c r="D296" s="117">
        <v>0</v>
      </c>
    </row>
    <row r="297" spans="2:4" ht="16.5">
      <c r="B297" s="79">
        <v>70104</v>
      </c>
      <c r="C297" s="80" t="s">
        <v>414</v>
      </c>
      <c r="D297" s="109">
        <v>6207</v>
      </c>
    </row>
    <row r="298" spans="2:4" ht="16.5">
      <c r="B298" s="93">
        <v>70105</v>
      </c>
      <c r="C298" s="94" t="s">
        <v>201</v>
      </c>
      <c r="D298" s="117">
        <v>369</v>
      </c>
    </row>
    <row r="299" spans="2:4" ht="16.5">
      <c r="B299" s="79">
        <v>70106</v>
      </c>
      <c r="C299" s="80" t="s">
        <v>415</v>
      </c>
      <c r="D299" s="109">
        <v>140</v>
      </c>
    </row>
    <row r="300" spans="2:4" ht="16.5">
      <c r="B300" s="93">
        <v>70107</v>
      </c>
      <c r="C300" s="94" t="s">
        <v>416</v>
      </c>
      <c r="D300" s="117">
        <v>1163</v>
      </c>
    </row>
    <row r="301" spans="2:4" ht="17.25" thickBot="1">
      <c r="B301" s="95">
        <v>70108</v>
      </c>
      <c r="C301" s="96" t="s">
        <v>417</v>
      </c>
      <c r="D301" s="109">
        <v>10758</v>
      </c>
    </row>
    <row r="302" spans="2:4" ht="19.899999999999999" customHeight="1" thickBot="1">
      <c r="B302" s="97" t="s">
        <v>1</v>
      </c>
      <c r="C302" s="98"/>
      <c r="D302" s="100">
        <f>SUM(D20:D301)</f>
        <v>28537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B1:HR303"/>
  <sheetViews>
    <sheetView showGridLines="0" view="pageBreakPreview" topLeftCell="A288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Julio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426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11</v>
      </c>
    </row>
    <row r="23" spans="2:7" ht="16.5">
      <c r="B23" s="75">
        <v>10104</v>
      </c>
      <c r="C23" s="76" t="s">
        <v>268</v>
      </c>
      <c r="D23" s="109">
        <v>0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32</v>
      </c>
    </row>
    <row r="27" spans="2:7" ht="16.5">
      <c r="B27" s="75">
        <v>10108</v>
      </c>
      <c r="C27" s="76" t="s">
        <v>272</v>
      </c>
      <c r="D27" s="109">
        <v>0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0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3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7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0</v>
      </c>
    </row>
    <row r="44" spans="2:4" ht="16.5">
      <c r="B44" s="85">
        <v>10204</v>
      </c>
      <c r="C44" s="86" t="s">
        <v>289</v>
      </c>
      <c r="D44" s="108">
        <v>23</v>
      </c>
    </row>
    <row r="45" spans="2:4" ht="16.5">
      <c r="B45" s="75">
        <v>10205</v>
      </c>
      <c r="C45" s="76" t="s">
        <v>290</v>
      </c>
      <c r="D45" s="109">
        <v>1</v>
      </c>
    </row>
    <row r="46" spans="2:4" ht="16.5">
      <c r="B46" s="85">
        <v>10206</v>
      </c>
      <c r="C46" s="86" t="s">
        <v>291</v>
      </c>
      <c r="D46" s="108">
        <v>1</v>
      </c>
    </row>
    <row r="47" spans="2:4" ht="16.5">
      <c r="B47" s="75">
        <v>10207</v>
      </c>
      <c r="C47" s="76" t="s">
        <v>292</v>
      </c>
      <c r="D47" s="109">
        <v>0</v>
      </c>
    </row>
    <row r="48" spans="2:4" ht="16.5">
      <c r="B48" s="85">
        <v>10208</v>
      </c>
      <c r="C48" s="86" t="s">
        <v>293</v>
      </c>
      <c r="D48" s="108">
        <v>2</v>
      </c>
    </row>
    <row r="49" spans="2:4" ht="16.5">
      <c r="B49" s="75">
        <v>10209</v>
      </c>
      <c r="C49" s="76" t="s">
        <v>294</v>
      </c>
      <c r="D49" s="109">
        <v>0</v>
      </c>
    </row>
    <row r="50" spans="2:4" ht="16.5">
      <c r="B50" s="85">
        <v>10210</v>
      </c>
      <c r="C50" s="86" t="s">
        <v>295</v>
      </c>
      <c r="D50" s="108">
        <v>2</v>
      </c>
    </row>
    <row r="51" spans="2:4" ht="16.5">
      <c r="B51" s="75">
        <v>10211</v>
      </c>
      <c r="C51" s="76" t="s">
        <v>77</v>
      </c>
      <c r="D51" s="109">
        <v>0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0</v>
      </c>
    </row>
    <row r="60" spans="2:4" ht="16.5">
      <c r="B60" s="85">
        <v>10220</v>
      </c>
      <c r="C60" s="86" t="s">
        <v>304</v>
      </c>
      <c r="D60" s="108">
        <v>1</v>
      </c>
    </row>
    <row r="61" spans="2:4" ht="16.5">
      <c r="B61" s="75">
        <v>10301</v>
      </c>
      <c r="C61" s="76" t="s">
        <v>305</v>
      </c>
      <c r="D61" s="109">
        <v>0</v>
      </c>
    </row>
    <row r="62" spans="2:4" ht="16.5">
      <c r="B62" s="85">
        <v>10302</v>
      </c>
      <c r="C62" s="86" t="s">
        <v>306</v>
      </c>
      <c r="D62" s="108">
        <v>0</v>
      </c>
    </row>
    <row r="63" spans="2:4" ht="16.5">
      <c r="B63" s="75">
        <v>10303</v>
      </c>
      <c r="C63" s="76" t="s">
        <v>307</v>
      </c>
      <c r="D63" s="109">
        <v>4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7</v>
      </c>
    </row>
    <row r="66" spans="2:4" ht="16.5">
      <c r="B66" s="85">
        <v>10306</v>
      </c>
      <c r="C66" s="86" t="s">
        <v>310</v>
      </c>
      <c r="D66" s="108">
        <v>0</v>
      </c>
    </row>
    <row r="67" spans="2:4" ht="16.5">
      <c r="B67" s="75">
        <v>10307</v>
      </c>
      <c r="C67" s="76" t="s">
        <v>75</v>
      </c>
      <c r="D67" s="109">
        <v>11</v>
      </c>
    </row>
    <row r="68" spans="2:4" ht="16.5">
      <c r="B68" s="85">
        <v>10308</v>
      </c>
      <c r="C68" s="86" t="s">
        <v>311</v>
      </c>
      <c r="D68" s="108">
        <v>14</v>
      </c>
    </row>
    <row r="69" spans="2:4" ht="16.5">
      <c r="B69" s="75">
        <v>10309</v>
      </c>
      <c r="C69" s="76" t="s">
        <v>312</v>
      </c>
      <c r="D69" s="109">
        <v>2</v>
      </c>
    </row>
    <row r="70" spans="2:4" ht="16.5">
      <c r="B70" s="85">
        <v>10310</v>
      </c>
      <c r="C70" s="86" t="s">
        <v>313</v>
      </c>
      <c r="D70" s="108">
        <v>48</v>
      </c>
    </row>
    <row r="71" spans="2:4" ht="16.5">
      <c r="B71" s="75">
        <v>10311</v>
      </c>
      <c r="C71" s="76" t="s">
        <v>314</v>
      </c>
      <c r="D71" s="109">
        <v>6</v>
      </c>
    </row>
    <row r="72" spans="2:4" ht="16.5">
      <c r="B72" s="85">
        <v>10312</v>
      </c>
      <c r="C72" s="86" t="s">
        <v>315</v>
      </c>
      <c r="D72" s="108">
        <v>3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2</v>
      </c>
    </row>
    <row r="75" spans="2:4" ht="16.5">
      <c r="B75" s="75">
        <v>10315</v>
      </c>
      <c r="C75" s="76" t="s">
        <v>318</v>
      </c>
      <c r="D75" s="109">
        <v>0</v>
      </c>
    </row>
    <row r="76" spans="2:4" ht="16.5">
      <c r="B76" s="85">
        <v>10316</v>
      </c>
      <c r="C76" s="86" t="s">
        <v>319</v>
      </c>
      <c r="D76" s="108">
        <v>6</v>
      </c>
    </row>
    <row r="77" spans="2:4" ht="16.5">
      <c r="B77" s="75">
        <v>10317</v>
      </c>
      <c r="C77" s="76" t="s">
        <v>320</v>
      </c>
      <c r="D77" s="109">
        <v>19</v>
      </c>
    </row>
    <row r="78" spans="2:4" ht="16.5">
      <c r="B78" s="85">
        <v>10318</v>
      </c>
      <c r="C78" s="86" t="s">
        <v>321</v>
      </c>
      <c r="D78" s="108">
        <v>2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6</v>
      </c>
    </row>
    <row r="83" spans="2:4" ht="16.5">
      <c r="B83" s="77">
        <v>20104</v>
      </c>
      <c r="C83" s="78" t="s">
        <v>80</v>
      </c>
      <c r="D83" s="109">
        <v>4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0</v>
      </c>
    </row>
    <row r="87" spans="2:4" ht="16.5">
      <c r="B87" s="77">
        <v>20108</v>
      </c>
      <c r="C87" s="78" t="s">
        <v>325</v>
      </c>
      <c r="D87" s="109">
        <v>4</v>
      </c>
    </row>
    <row r="88" spans="2:4" ht="16.5">
      <c r="B88" s="87">
        <v>20109</v>
      </c>
      <c r="C88" s="88" t="s">
        <v>326</v>
      </c>
      <c r="D88" s="111">
        <v>0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2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0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0</v>
      </c>
    </row>
    <row r="95" spans="2:4" ht="16.5">
      <c r="B95" s="77">
        <v>20202</v>
      </c>
      <c r="C95" s="78" t="s">
        <v>85</v>
      </c>
      <c r="D95" s="109">
        <v>0</v>
      </c>
    </row>
    <row r="96" spans="2:4" ht="16.5">
      <c r="B96" s="87">
        <v>20203</v>
      </c>
      <c r="C96" s="88" t="s">
        <v>86</v>
      </c>
      <c r="D96" s="111">
        <v>2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7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2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3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2</v>
      </c>
    </row>
    <row r="111" spans="2:4" ht="16.5">
      <c r="B111" s="77">
        <v>20304</v>
      </c>
      <c r="C111" s="78" t="s">
        <v>335</v>
      </c>
      <c r="D111" s="109">
        <v>0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0</v>
      </c>
    </row>
    <row r="115" spans="2:4" ht="16.5">
      <c r="B115" s="77">
        <v>20308</v>
      </c>
      <c r="C115" s="78" t="s">
        <v>339</v>
      </c>
      <c r="D115" s="109">
        <v>0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0</v>
      </c>
    </row>
    <row r="118" spans="2:4" ht="16.5">
      <c r="B118" s="87">
        <v>20311</v>
      </c>
      <c r="C118" s="88" t="s">
        <v>342</v>
      </c>
      <c r="D118" s="111">
        <v>2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0</v>
      </c>
    </row>
    <row r="121" spans="2:4" ht="16.5">
      <c r="B121" s="77">
        <v>20403</v>
      </c>
      <c r="C121" s="78" t="s">
        <v>345</v>
      </c>
      <c r="D121" s="109">
        <v>1</v>
      </c>
    </row>
    <row r="122" spans="2:4" ht="16.5">
      <c r="B122" s="87">
        <v>20404</v>
      </c>
      <c r="C122" s="88" t="s">
        <v>346</v>
      </c>
      <c r="D122" s="111">
        <v>4</v>
      </c>
    </row>
    <row r="123" spans="2:4" ht="16.5">
      <c r="B123" s="81">
        <v>30101</v>
      </c>
      <c r="C123" s="82" t="s">
        <v>347</v>
      </c>
      <c r="D123" s="112">
        <v>2</v>
      </c>
    </row>
    <row r="124" spans="2:4" ht="16.5">
      <c r="B124" s="79">
        <v>30102</v>
      </c>
      <c r="C124" s="80" t="s">
        <v>96</v>
      </c>
      <c r="D124" s="109">
        <v>0</v>
      </c>
    </row>
    <row r="125" spans="2:4" ht="16.5">
      <c r="B125" s="81">
        <v>30103</v>
      </c>
      <c r="C125" s="82" t="s">
        <v>76</v>
      </c>
      <c r="D125" s="112">
        <v>12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0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2</v>
      </c>
    </row>
    <row r="130" spans="2:4" ht="16.5">
      <c r="B130" s="79">
        <v>30205</v>
      </c>
      <c r="C130" s="80" t="s">
        <v>349</v>
      </c>
      <c r="D130" s="109">
        <v>0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0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21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0</v>
      </c>
    </row>
    <row r="140" spans="2:4" ht="16.5">
      <c r="B140" s="79">
        <v>30308</v>
      </c>
      <c r="C140" s="80" t="s">
        <v>353</v>
      </c>
      <c r="D140" s="109">
        <v>2</v>
      </c>
    </row>
    <row r="141" spans="2:4" ht="16.5">
      <c r="B141" s="81">
        <v>30309</v>
      </c>
      <c r="C141" s="82" t="s">
        <v>354</v>
      </c>
      <c r="D141" s="112">
        <v>30</v>
      </c>
    </row>
    <row r="142" spans="2:4" ht="16.5">
      <c r="B142" s="79">
        <v>30310</v>
      </c>
      <c r="C142" s="80" t="s">
        <v>355</v>
      </c>
      <c r="D142" s="109">
        <v>20</v>
      </c>
    </row>
    <row r="143" spans="2:4" ht="16.5">
      <c r="B143" s="81">
        <v>30401</v>
      </c>
      <c r="C143" s="82" t="s">
        <v>356</v>
      </c>
      <c r="D143" s="112">
        <v>113</v>
      </c>
    </row>
    <row r="144" spans="2:4" ht="16.5">
      <c r="B144" s="79">
        <v>30402</v>
      </c>
      <c r="C144" s="80" t="s">
        <v>357</v>
      </c>
      <c r="D144" s="109">
        <v>0</v>
      </c>
    </row>
    <row r="145" spans="2:4" ht="16.5">
      <c r="B145" s="81">
        <v>30403</v>
      </c>
      <c r="C145" s="82" t="s">
        <v>358</v>
      </c>
      <c r="D145" s="112">
        <v>0</v>
      </c>
    </row>
    <row r="146" spans="2:4" ht="16.5">
      <c r="B146" s="79">
        <v>30404</v>
      </c>
      <c r="C146" s="80" t="s">
        <v>106</v>
      </c>
      <c r="D146" s="109">
        <v>0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6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0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0</v>
      </c>
    </row>
    <row r="156" spans="2:4" ht="16.5">
      <c r="B156" s="79">
        <v>30414</v>
      </c>
      <c r="C156" s="80" t="s">
        <v>114</v>
      </c>
      <c r="D156" s="109">
        <v>5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1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0</v>
      </c>
    </row>
    <row r="161" spans="2:4" ht="16.5">
      <c r="B161" s="81">
        <v>30419</v>
      </c>
      <c r="C161" s="82" t="s">
        <v>119</v>
      </c>
      <c r="D161" s="112">
        <v>3</v>
      </c>
    </row>
    <row r="162" spans="2:4" ht="16.5">
      <c r="B162" s="79">
        <v>30420</v>
      </c>
      <c r="C162" s="80" t="s">
        <v>120</v>
      </c>
      <c r="D162" s="109">
        <v>1</v>
      </c>
    </row>
    <row r="163" spans="2:4" ht="16.5">
      <c r="B163" s="81">
        <v>30421</v>
      </c>
      <c r="C163" s="82" t="s">
        <v>121</v>
      </c>
      <c r="D163" s="112">
        <v>0</v>
      </c>
    </row>
    <row r="164" spans="2:4" ht="16.5">
      <c r="B164" s="79">
        <v>30422</v>
      </c>
      <c r="C164" s="80" t="s">
        <v>122</v>
      </c>
      <c r="D164" s="109">
        <v>2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0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1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0</v>
      </c>
    </row>
    <row r="172" spans="2:4" ht="16.5">
      <c r="B172" s="79">
        <v>30430</v>
      </c>
      <c r="C172" s="80" t="s">
        <v>130</v>
      </c>
      <c r="D172" s="109">
        <v>3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0</v>
      </c>
    </row>
    <row r="182" spans="2:4" ht="16.5">
      <c r="B182" s="79">
        <v>30440</v>
      </c>
      <c r="C182" s="80" t="s">
        <v>362</v>
      </c>
      <c r="D182" s="109">
        <v>0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0</v>
      </c>
    </row>
    <row r="189" spans="2:4" ht="16.5">
      <c r="B189" s="81">
        <v>30501</v>
      </c>
      <c r="C189" s="82" t="s">
        <v>140</v>
      </c>
      <c r="D189" s="112">
        <v>0</v>
      </c>
    </row>
    <row r="190" spans="2:4" ht="16.5">
      <c r="B190" s="79">
        <v>30502</v>
      </c>
      <c r="C190" s="80" t="s">
        <v>141</v>
      </c>
      <c r="D190" s="109">
        <v>5</v>
      </c>
    </row>
    <row r="191" spans="2:4" ht="16.5">
      <c r="B191" s="81">
        <v>30503</v>
      </c>
      <c r="C191" s="82" t="s">
        <v>142</v>
      </c>
      <c r="D191" s="112">
        <v>80</v>
      </c>
    </row>
    <row r="192" spans="2:4" ht="16.5">
      <c r="B192" s="79">
        <v>30504</v>
      </c>
      <c r="C192" s="80" t="s">
        <v>369</v>
      </c>
      <c r="D192" s="109">
        <v>6</v>
      </c>
    </row>
    <row r="193" spans="2:4" ht="16.5">
      <c r="B193" s="81">
        <v>30505</v>
      </c>
      <c r="C193" s="82" t="s">
        <v>370</v>
      </c>
      <c r="D193" s="112">
        <v>3</v>
      </c>
    </row>
    <row r="194" spans="2:4" ht="16.5">
      <c r="B194" s="79">
        <v>30601</v>
      </c>
      <c r="C194" s="80" t="s">
        <v>143</v>
      </c>
      <c r="D194" s="109">
        <v>4</v>
      </c>
    </row>
    <row r="195" spans="2:4" ht="16.5">
      <c r="B195" s="81">
        <v>30602</v>
      </c>
      <c r="C195" s="82" t="s">
        <v>144</v>
      </c>
      <c r="D195" s="112">
        <v>7</v>
      </c>
    </row>
    <row r="196" spans="2:4" ht="16.5">
      <c r="B196" s="79">
        <v>30603</v>
      </c>
      <c r="C196" s="80" t="s">
        <v>145</v>
      </c>
      <c r="D196" s="109">
        <v>0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0</v>
      </c>
    </row>
    <row r="200" spans="2:4" ht="16.5">
      <c r="B200" s="79">
        <v>30607</v>
      </c>
      <c r="C200" s="80" t="s">
        <v>147</v>
      </c>
      <c r="D200" s="109">
        <v>1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0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10</v>
      </c>
    </row>
    <row r="205" spans="2:4" ht="16.5">
      <c r="B205" s="81">
        <v>30701</v>
      </c>
      <c r="C205" s="82" t="s">
        <v>149</v>
      </c>
      <c r="D205" s="112">
        <v>0</v>
      </c>
    </row>
    <row r="206" spans="2:4" ht="16.5">
      <c r="B206" s="79">
        <v>30702</v>
      </c>
      <c r="C206" s="80" t="s">
        <v>150</v>
      </c>
      <c r="D206" s="109">
        <v>2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0</v>
      </c>
    </row>
    <row r="212" spans="2:4" ht="16.5">
      <c r="B212" s="79">
        <v>30708</v>
      </c>
      <c r="C212" s="80" t="s">
        <v>376</v>
      </c>
      <c r="D212" s="109">
        <v>0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0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2</v>
      </c>
    </row>
    <row r="229" spans="2:4" ht="16.5">
      <c r="B229" s="81">
        <v>30904</v>
      </c>
      <c r="C229" s="82" t="s">
        <v>184</v>
      </c>
      <c r="D229" s="112">
        <v>1</v>
      </c>
    </row>
    <row r="230" spans="2:4" ht="16.5">
      <c r="B230" s="79">
        <v>30905</v>
      </c>
      <c r="C230" s="80" t="s">
        <v>160</v>
      </c>
      <c r="D230" s="109">
        <v>6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24</v>
      </c>
    </row>
    <row r="233" spans="2:4" ht="16.5">
      <c r="B233" s="81">
        <v>30908</v>
      </c>
      <c r="C233" s="82" t="s">
        <v>163</v>
      </c>
      <c r="D233" s="112">
        <v>1</v>
      </c>
    </row>
    <row r="234" spans="2:4" ht="16.5">
      <c r="B234" s="79">
        <v>30909</v>
      </c>
      <c r="C234" s="80" t="s">
        <v>384</v>
      </c>
      <c r="D234" s="109">
        <v>2</v>
      </c>
    </row>
    <row r="235" spans="2:4" ht="16.5">
      <c r="B235" s="81">
        <v>31001</v>
      </c>
      <c r="C235" s="82" t="s">
        <v>165</v>
      </c>
      <c r="D235" s="112">
        <v>8</v>
      </c>
    </row>
    <row r="236" spans="2:4" ht="16.5">
      <c r="B236" s="79">
        <v>31002</v>
      </c>
      <c r="C236" s="80" t="s">
        <v>385</v>
      </c>
      <c r="D236" s="109">
        <v>4</v>
      </c>
    </row>
    <row r="237" spans="2:4" ht="16.5">
      <c r="B237" s="81">
        <v>31003</v>
      </c>
      <c r="C237" s="82" t="s">
        <v>166</v>
      </c>
      <c r="D237" s="112">
        <v>0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0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34</v>
      </c>
    </row>
    <row r="251" spans="2:4" ht="16.5">
      <c r="B251" s="81">
        <v>31102</v>
      </c>
      <c r="C251" s="82" t="s">
        <v>174</v>
      </c>
      <c r="D251" s="112">
        <v>2</v>
      </c>
    </row>
    <row r="252" spans="2:4" ht="16.5">
      <c r="B252" s="79">
        <v>31103</v>
      </c>
      <c r="C252" s="80" t="s">
        <v>176</v>
      </c>
      <c r="D252" s="113">
        <v>4</v>
      </c>
    </row>
    <row r="253" spans="2:4" ht="16.5">
      <c r="B253" s="81">
        <v>31104</v>
      </c>
      <c r="C253" s="82" t="s">
        <v>177</v>
      </c>
      <c r="D253" s="112">
        <v>3</v>
      </c>
    </row>
    <row r="254" spans="2:4" ht="16.5">
      <c r="B254" s="79">
        <v>31105</v>
      </c>
      <c r="C254" s="80" t="s">
        <v>178</v>
      </c>
      <c r="D254" s="113">
        <v>3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0</v>
      </c>
    </row>
    <row r="258" spans="2:4" ht="16.5">
      <c r="B258" s="79">
        <v>31109</v>
      </c>
      <c r="C258" s="80" t="s">
        <v>179</v>
      </c>
      <c r="D258" s="113">
        <v>0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17</v>
      </c>
    </row>
    <row r="262" spans="2:4" ht="16.5">
      <c r="B262" s="79">
        <v>31113</v>
      </c>
      <c r="C262" s="80" t="s">
        <v>182</v>
      </c>
      <c r="D262" s="113">
        <v>0</v>
      </c>
    </row>
    <row r="263" spans="2:4" ht="16.5">
      <c r="B263" s="81">
        <v>31114</v>
      </c>
      <c r="C263" s="82" t="s">
        <v>397</v>
      </c>
      <c r="D263" s="112">
        <v>11</v>
      </c>
    </row>
    <row r="264" spans="2:4" ht="16.5">
      <c r="B264" s="83">
        <v>40101</v>
      </c>
      <c r="C264" s="84" t="s">
        <v>188</v>
      </c>
      <c r="D264" s="114">
        <v>0</v>
      </c>
    </row>
    <row r="265" spans="2:4" ht="16.5">
      <c r="B265" s="79">
        <v>40102</v>
      </c>
      <c r="C265" s="80" t="s">
        <v>398</v>
      </c>
      <c r="D265" s="113">
        <v>0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1</v>
      </c>
    </row>
    <row r="268" spans="2:4" ht="16.5">
      <c r="B268" s="83">
        <v>40105</v>
      </c>
      <c r="C268" s="84" t="s">
        <v>192</v>
      </c>
      <c r="D268" s="114">
        <v>0</v>
      </c>
    </row>
    <row r="269" spans="2:4" ht="16.5">
      <c r="B269" s="79">
        <v>40106</v>
      </c>
      <c r="C269" s="80" t="s">
        <v>195</v>
      </c>
      <c r="D269" s="113">
        <v>0</v>
      </c>
    </row>
    <row r="270" spans="2:4" ht="16.5">
      <c r="B270" s="83">
        <v>40107</v>
      </c>
      <c r="C270" s="84" t="s">
        <v>197</v>
      </c>
      <c r="D270" s="114">
        <v>9</v>
      </c>
    </row>
    <row r="271" spans="2:4" ht="16.5">
      <c r="B271" s="79">
        <v>40108</v>
      </c>
      <c r="C271" s="80" t="s">
        <v>198</v>
      </c>
      <c r="D271" s="113">
        <v>0</v>
      </c>
    </row>
    <row r="272" spans="2:4" ht="16.5">
      <c r="B272" s="83">
        <v>40109</v>
      </c>
      <c r="C272" s="84" t="s">
        <v>78</v>
      </c>
      <c r="D272" s="114">
        <v>1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1</v>
      </c>
    </row>
    <row r="276" spans="2:4" ht="16.5">
      <c r="B276" s="89">
        <v>50103</v>
      </c>
      <c r="C276" s="90" t="s">
        <v>401</v>
      </c>
      <c r="D276" s="115">
        <v>0</v>
      </c>
    </row>
    <row r="277" spans="2:4" ht="16.5">
      <c r="B277" s="79">
        <v>50104</v>
      </c>
      <c r="C277" s="80" t="s">
        <v>109</v>
      </c>
      <c r="D277" s="109">
        <v>3</v>
      </c>
    </row>
    <row r="278" spans="2:4" ht="16.5">
      <c r="B278" s="89">
        <v>50105</v>
      </c>
      <c r="C278" s="90" t="s">
        <v>183</v>
      </c>
      <c r="D278" s="115">
        <v>16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1</v>
      </c>
    </row>
    <row r="281" spans="2:4" ht="16.5">
      <c r="B281" s="79">
        <v>50108</v>
      </c>
      <c r="C281" s="80" t="s">
        <v>403</v>
      </c>
      <c r="D281" s="109">
        <v>2</v>
      </c>
    </row>
    <row r="282" spans="2:4" ht="16.5">
      <c r="B282" s="89">
        <v>50201</v>
      </c>
      <c r="C282" s="90" t="s">
        <v>404</v>
      </c>
      <c r="D282" s="115">
        <v>0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0</v>
      </c>
    </row>
    <row r="285" spans="2:4" ht="16.5">
      <c r="B285" s="79">
        <v>50301</v>
      </c>
      <c r="C285" s="80" t="s">
        <v>407</v>
      </c>
      <c r="D285" s="109">
        <v>96</v>
      </c>
    </row>
    <row r="286" spans="2:4" ht="16.5">
      <c r="B286" s="89">
        <v>50302</v>
      </c>
      <c r="C286" s="90" t="s">
        <v>408</v>
      </c>
      <c r="D286" s="115">
        <v>0</v>
      </c>
    </row>
    <row r="287" spans="2:4" ht="16.5">
      <c r="B287" s="79">
        <v>50303</v>
      </c>
      <c r="C287" s="80" t="s">
        <v>186</v>
      </c>
      <c r="D287" s="109">
        <v>4</v>
      </c>
    </row>
    <row r="288" spans="2:4" ht="16.5">
      <c r="B288" s="89">
        <v>50304</v>
      </c>
      <c r="C288" s="90" t="s">
        <v>187</v>
      </c>
      <c r="D288" s="115">
        <v>0</v>
      </c>
    </row>
    <row r="289" spans="2:4" ht="16.5">
      <c r="B289" s="79">
        <v>50305</v>
      </c>
      <c r="C289" s="80" t="s">
        <v>409</v>
      </c>
      <c r="D289" s="109">
        <v>0</v>
      </c>
    </row>
    <row r="290" spans="2:4" ht="16.5">
      <c r="B290" s="89">
        <v>50306</v>
      </c>
      <c r="C290" s="90" t="s">
        <v>410</v>
      </c>
      <c r="D290" s="115">
        <v>1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2</v>
      </c>
    </row>
    <row r="293" spans="2:4" ht="16.5">
      <c r="B293" s="91">
        <v>60103</v>
      </c>
      <c r="C293" s="92" t="s">
        <v>412</v>
      </c>
      <c r="D293" s="116">
        <v>5</v>
      </c>
    </row>
    <row r="294" spans="2:4" ht="16.5">
      <c r="B294" s="93">
        <v>70101</v>
      </c>
      <c r="C294" s="94" t="s">
        <v>413</v>
      </c>
      <c r="D294" s="117">
        <v>1245</v>
      </c>
    </row>
    <row r="295" spans="2:4" ht="16.5">
      <c r="B295" s="79">
        <v>70102</v>
      </c>
      <c r="C295" s="80" t="s">
        <v>199</v>
      </c>
      <c r="D295" s="109">
        <v>0</v>
      </c>
    </row>
    <row r="296" spans="2:4" ht="16.5">
      <c r="B296" s="93">
        <v>70103</v>
      </c>
      <c r="C296" s="94" t="s">
        <v>200</v>
      </c>
      <c r="D296" s="117">
        <v>2</v>
      </c>
    </row>
    <row r="297" spans="2:4" ht="16.5">
      <c r="B297" s="79">
        <v>70104</v>
      </c>
      <c r="C297" s="80" t="s">
        <v>414</v>
      </c>
      <c r="D297" s="109">
        <v>1732</v>
      </c>
    </row>
    <row r="298" spans="2:4" ht="16.5">
      <c r="B298" s="93">
        <v>70105</v>
      </c>
      <c r="C298" s="94" t="s">
        <v>201</v>
      </c>
      <c r="D298" s="117">
        <v>10</v>
      </c>
    </row>
    <row r="299" spans="2:4" ht="16.5">
      <c r="B299" s="79">
        <v>70106</v>
      </c>
      <c r="C299" s="80" t="s">
        <v>415</v>
      </c>
      <c r="D299" s="109">
        <v>54</v>
      </c>
    </row>
    <row r="300" spans="2:4" ht="16.5">
      <c r="B300" s="93">
        <v>70107</v>
      </c>
      <c r="C300" s="94" t="s">
        <v>416</v>
      </c>
      <c r="D300" s="117">
        <v>384</v>
      </c>
    </row>
    <row r="301" spans="2:4" ht="17.25" thickBot="1">
      <c r="B301" s="95">
        <v>70108</v>
      </c>
      <c r="C301" s="96" t="s">
        <v>417</v>
      </c>
      <c r="D301" s="109">
        <v>1969</v>
      </c>
    </row>
    <row r="302" spans="2:4" ht="19.899999999999999" customHeight="1" thickBot="1">
      <c r="B302" s="97" t="s">
        <v>1</v>
      </c>
      <c r="C302" s="98"/>
      <c r="D302" s="100">
        <f>SUM(D20:D301)</f>
        <v>6248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B1:HR303"/>
  <sheetViews>
    <sheetView showGridLines="0" view="pageBreakPreview" topLeftCell="B279" zoomScaleNormal="100" zoomScaleSheetLayoutView="100" workbookViewId="0">
      <selection activeCell="D282" sqref="D282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Julio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427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0</v>
      </c>
    </row>
    <row r="23" spans="2:7" ht="16.5">
      <c r="B23" s="75">
        <v>10104</v>
      </c>
      <c r="C23" s="76" t="s">
        <v>268</v>
      </c>
      <c r="D23" s="109">
        <v>0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0</v>
      </c>
    </row>
    <row r="27" spans="2:7" ht="16.5">
      <c r="B27" s="75">
        <v>10108</v>
      </c>
      <c r="C27" s="76" t="s">
        <v>272</v>
      </c>
      <c r="D27" s="109">
        <v>0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0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0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0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0</v>
      </c>
    </row>
    <row r="44" spans="2:4" ht="16.5">
      <c r="B44" s="85">
        <v>10204</v>
      </c>
      <c r="C44" s="86" t="s">
        <v>289</v>
      </c>
      <c r="D44" s="108">
        <v>0</v>
      </c>
    </row>
    <row r="45" spans="2:4" ht="16.5">
      <c r="B45" s="75">
        <v>10205</v>
      </c>
      <c r="C45" s="76" t="s">
        <v>290</v>
      </c>
      <c r="D45" s="109">
        <v>0</v>
      </c>
    </row>
    <row r="46" spans="2:4" ht="16.5">
      <c r="B46" s="85">
        <v>10206</v>
      </c>
      <c r="C46" s="86" t="s">
        <v>291</v>
      </c>
      <c r="D46" s="108">
        <v>0</v>
      </c>
    </row>
    <row r="47" spans="2:4" ht="16.5">
      <c r="B47" s="75">
        <v>10207</v>
      </c>
      <c r="C47" s="76" t="s">
        <v>292</v>
      </c>
      <c r="D47" s="109">
        <v>0</v>
      </c>
    </row>
    <row r="48" spans="2:4" ht="16.5">
      <c r="B48" s="85">
        <v>10208</v>
      </c>
      <c r="C48" s="86" t="s">
        <v>293</v>
      </c>
      <c r="D48" s="108">
        <v>0</v>
      </c>
    </row>
    <row r="49" spans="2:4" ht="16.5">
      <c r="B49" s="75">
        <v>10209</v>
      </c>
      <c r="C49" s="76" t="s">
        <v>294</v>
      </c>
      <c r="D49" s="109">
        <v>0</v>
      </c>
    </row>
    <row r="50" spans="2:4" ht="16.5">
      <c r="B50" s="85">
        <v>10210</v>
      </c>
      <c r="C50" s="86" t="s">
        <v>295</v>
      </c>
      <c r="D50" s="108">
        <v>0</v>
      </c>
    </row>
    <row r="51" spans="2:4" ht="16.5">
      <c r="B51" s="75">
        <v>10211</v>
      </c>
      <c r="C51" s="76" t="s">
        <v>77</v>
      </c>
      <c r="D51" s="109">
        <v>0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0</v>
      </c>
    </row>
    <row r="60" spans="2:4" ht="16.5">
      <c r="B60" s="85">
        <v>10220</v>
      </c>
      <c r="C60" s="86" t="s">
        <v>304</v>
      </c>
      <c r="D60" s="108">
        <v>0</v>
      </c>
    </row>
    <row r="61" spans="2:4" ht="16.5">
      <c r="B61" s="75">
        <v>10301</v>
      </c>
      <c r="C61" s="76" t="s">
        <v>305</v>
      </c>
      <c r="D61" s="109">
        <v>0</v>
      </c>
    </row>
    <row r="62" spans="2:4" ht="16.5">
      <c r="B62" s="85">
        <v>10302</v>
      </c>
      <c r="C62" s="86" t="s">
        <v>306</v>
      </c>
      <c r="D62" s="108">
        <v>0</v>
      </c>
    </row>
    <row r="63" spans="2:4" ht="16.5">
      <c r="B63" s="75">
        <v>10303</v>
      </c>
      <c r="C63" s="76" t="s">
        <v>307</v>
      </c>
      <c r="D63" s="109">
        <v>0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0</v>
      </c>
    </row>
    <row r="66" spans="2:4" ht="16.5">
      <c r="B66" s="85">
        <v>10306</v>
      </c>
      <c r="C66" s="86" t="s">
        <v>310</v>
      </c>
      <c r="D66" s="108">
        <v>0</v>
      </c>
    </row>
    <row r="67" spans="2:4" ht="16.5">
      <c r="B67" s="75">
        <v>10307</v>
      </c>
      <c r="C67" s="76" t="s">
        <v>75</v>
      </c>
      <c r="D67" s="109">
        <v>0</v>
      </c>
    </row>
    <row r="68" spans="2:4" ht="16.5">
      <c r="B68" s="85">
        <v>10308</v>
      </c>
      <c r="C68" s="86" t="s">
        <v>311</v>
      </c>
      <c r="D68" s="108">
        <v>0</v>
      </c>
    </row>
    <row r="69" spans="2:4" ht="16.5">
      <c r="B69" s="75">
        <v>10309</v>
      </c>
      <c r="C69" s="76" t="s">
        <v>312</v>
      </c>
      <c r="D69" s="109">
        <v>0</v>
      </c>
    </row>
    <row r="70" spans="2:4" ht="16.5">
      <c r="B70" s="85">
        <v>10310</v>
      </c>
      <c r="C70" s="86" t="s">
        <v>313</v>
      </c>
      <c r="D70" s="108">
        <v>0</v>
      </c>
    </row>
    <row r="71" spans="2:4" ht="16.5">
      <c r="B71" s="75">
        <v>10311</v>
      </c>
      <c r="C71" s="76" t="s">
        <v>314</v>
      </c>
      <c r="D71" s="109">
        <v>0</v>
      </c>
    </row>
    <row r="72" spans="2:4" ht="16.5">
      <c r="B72" s="85">
        <v>10312</v>
      </c>
      <c r="C72" s="86" t="s">
        <v>315</v>
      </c>
      <c r="D72" s="108">
        <v>0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0</v>
      </c>
    </row>
    <row r="75" spans="2:4" ht="16.5">
      <c r="B75" s="75">
        <v>10315</v>
      </c>
      <c r="C75" s="76" t="s">
        <v>318</v>
      </c>
      <c r="D75" s="109">
        <v>0</v>
      </c>
    </row>
    <row r="76" spans="2:4" ht="16.5">
      <c r="B76" s="85">
        <v>10316</v>
      </c>
      <c r="C76" s="86" t="s">
        <v>319</v>
      </c>
      <c r="D76" s="108">
        <v>0</v>
      </c>
    </row>
    <row r="77" spans="2:4" ht="16.5">
      <c r="B77" s="75">
        <v>10317</v>
      </c>
      <c r="C77" s="76" t="s">
        <v>320</v>
      </c>
      <c r="D77" s="109">
        <v>0</v>
      </c>
    </row>
    <row r="78" spans="2:4" ht="16.5">
      <c r="B78" s="85">
        <v>10318</v>
      </c>
      <c r="C78" s="86" t="s">
        <v>321</v>
      </c>
      <c r="D78" s="108">
        <v>0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0</v>
      </c>
    </row>
    <row r="83" spans="2:4" ht="16.5">
      <c r="B83" s="77">
        <v>20104</v>
      </c>
      <c r="C83" s="78" t="s">
        <v>80</v>
      </c>
      <c r="D83" s="109">
        <v>0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0</v>
      </c>
    </row>
    <row r="87" spans="2:4" ht="16.5">
      <c r="B87" s="77">
        <v>20108</v>
      </c>
      <c r="C87" s="78" t="s">
        <v>325</v>
      </c>
      <c r="D87" s="109">
        <v>0</v>
      </c>
    </row>
    <row r="88" spans="2:4" ht="16.5">
      <c r="B88" s="87">
        <v>20109</v>
      </c>
      <c r="C88" s="88" t="s">
        <v>326</v>
      </c>
      <c r="D88" s="111">
        <v>0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0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0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0</v>
      </c>
    </row>
    <row r="95" spans="2:4" ht="16.5">
      <c r="B95" s="77">
        <v>20202</v>
      </c>
      <c r="C95" s="78" t="s">
        <v>85</v>
      </c>
      <c r="D95" s="109">
        <v>0</v>
      </c>
    </row>
    <row r="96" spans="2:4" ht="16.5">
      <c r="B96" s="87">
        <v>20203</v>
      </c>
      <c r="C96" s="88" t="s">
        <v>86</v>
      </c>
      <c r="D96" s="111">
        <v>0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0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0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0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0</v>
      </c>
    </row>
    <row r="111" spans="2:4" ht="16.5">
      <c r="B111" s="77">
        <v>20304</v>
      </c>
      <c r="C111" s="78" t="s">
        <v>335</v>
      </c>
      <c r="D111" s="109">
        <v>0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0</v>
      </c>
    </row>
    <row r="115" spans="2:4" ht="16.5">
      <c r="B115" s="77">
        <v>20308</v>
      </c>
      <c r="C115" s="78" t="s">
        <v>339</v>
      </c>
      <c r="D115" s="109">
        <v>0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0</v>
      </c>
    </row>
    <row r="118" spans="2:4" ht="16.5">
      <c r="B118" s="87">
        <v>20311</v>
      </c>
      <c r="C118" s="88" t="s">
        <v>342</v>
      </c>
      <c r="D118" s="111">
        <v>0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0</v>
      </c>
    </row>
    <row r="121" spans="2:4" ht="16.5">
      <c r="B121" s="77">
        <v>20403</v>
      </c>
      <c r="C121" s="78" t="s">
        <v>345</v>
      </c>
      <c r="D121" s="109">
        <v>0</v>
      </c>
    </row>
    <row r="122" spans="2:4" ht="16.5">
      <c r="B122" s="87">
        <v>20404</v>
      </c>
      <c r="C122" s="88" t="s">
        <v>346</v>
      </c>
      <c r="D122" s="111">
        <v>0</v>
      </c>
    </row>
    <row r="123" spans="2:4" ht="16.5">
      <c r="B123" s="81">
        <v>30101</v>
      </c>
      <c r="C123" s="82" t="s">
        <v>347</v>
      </c>
      <c r="D123" s="112">
        <v>0</v>
      </c>
    </row>
    <row r="124" spans="2:4" ht="16.5">
      <c r="B124" s="79">
        <v>30102</v>
      </c>
      <c r="C124" s="80" t="s">
        <v>96</v>
      </c>
      <c r="D124" s="109">
        <v>0</v>
      </c>
    </row>
    <row r="125" spans="2:4" ht="16.5">
      <c r="B125" s="81">
        <v>30103</v>
      </c>
      <c r="C125" s="82" t="s">
        <v>76</v>
      </c>
      <c r="D125" s="112">
        <v>0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0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0</v>
      </c>
    </row>
    <row r="130" spans="2:4" ht="16.5">
      <c r="B130" s="79">
        <v>30205</v>
      </c>
      <c r="C130" s="80" t="s">
        <v>349</v>
      </c>
      <c r="D130" s="109">
        <v>0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0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0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0</v>
      </c>
    </row>
    <row r="140" spans="2:4" ht="16.5">
      <c r="B140" s="79">
        <v>30308</v>
      </c>
      <c r="C140" s="80" t="s">
        <v>353</v>
      </c>
      <c r="D140" s="109">
        <v>0</v>
      </c>
    </row>
    <row r="141" spans="2:4" ht="16.5">
      <c r="B141" s="81">
        <v>30309</v>
      </c>
      <c r="C141" s="82" t="s">
        <v>354</v>
      </c>
      <c r="D141" s="112">
        <v>0</v>
      </c>
    </row>
    <row r="142" spans="2:4" ht="16.5">
      <c r="B142" s="79">
        <v>30310</v>
      </c>
      <c r="C142" s="80" t="s">
        <v>355</v>
      </c>
      <c r="D142" s="109">
        <v>0</v>
      </c>
    </row>
    <row r="143" spans="2:4" ht="16.5">
      <c r="B143" s="81">
        <v>30401</v>
      </c>
      <c r="C143" s="82" t="s">
        <v>356</v>
      </c>
      <c r="D143" s="112">
        <v>0</v>
      </c>
    </row>
    <row r="144" spans="2:4" ht="16.5">
      <c r="B144" s="79">
        <v>30402</v>
      </c>
      <c r="C144" s="80" t="s">
        <v>357</v>
      </c>
      <c r="D144" s="109">
        <v>0</v>
      </c>
    </row>
    <row r="145" spans="2:4" ht="16.5">
      <c r="B145" s="81">
        <v>30403</v>
      </c>
      <c r="C145" s="82" t="s">
        <v>358</v>
      </c>
      <c r="D145" s="112">
        <v>0</v>
      </c>
    </row>
    <row r="146" spans="2:4" ht="16.5">
      <c r="B146" s="79">
        <v>30404</v>
      </c>
      <c r="C146" s="80" t="s">
        <v>106</v>
      </c>
      <c r="D146" s="109">
        <v>0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0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0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0</v>
      </c>
    </row>
    <row r="156" spans="2:4" ht="16.5">
      <c r="B156" s="79">
        <v>30414</v>
      </c>
      <c r="C156" s="80" t="s">
        <v>114</v>
      </c>
      <c r="D156" s="109">
        <v>0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0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0</v>
      </c>
    </row>
    <row r="161" spans="2:4" ht="16.5">
      <c r="B161" s="81">
        <v>30419</v>
      </c>
      <c r="C161" s="82" t="s">
        <v>119</v>
      </c>
      <c r="D161" s="112">
        <v>0</v>
      </c>
    </row>
    <row r="162" spans="2:4" ht="16.5">
      <c r="B162" s="79">
        <v>30420</v>
      </c>
      <c r="C162" s="80" t="s">
        <v>120</v>
      </c>
      <c r="D162" s="109">
        <v>0</v>
      </c>
    </row>
    <row r="163" spans="2:4" ht="16.5">
      <c r="B163" s="81">
        <v>30421</v>
      </c>
      <c r="C163" s="82" t="s">
        <v>121</v>
      </c>
      <c r="D163" s="112">
        <v>0</v>
      </c>
    </row>
    <row r="164" spans="2:4" ht="16.5">
      <c r="B164" s="79">
        <v>30422</v>
      </c>
      <c r="C164" s="80" t="s">
        <v>122</v>
      </c>
      <c r="D164" s="109">
        <v>0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0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0</v>
      </c>
    </row>
    <row r="172" spans="2:4" ht="16.5">
      <c r="B172" s="79">
        <v>30430</v>
      </c>
      <c r="C172" s="80" t="s">
        <v>130</v>
      </c>
      <c r="D172" s="109">
        <v>0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0</v>
      </c>
    </row>
    <row r="182" spans="2:4" ht="16.5">
      <c r="B182" s="79">
        <v>30440</v>
      </c>
      <c r="C182" s="80" t="s">
        <v>362</v>
      </c>
      <c r="D182" s="109">
        <v>0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0</v>
      </c>
    </row>
    <row r="189" spans="2:4" ht="16.5">
      <c r="B189" s="81">
        <v>30501</v>
      </c>
      <c r="C189" s="82" t="s">
        <v>140</v>
      </c>
      <c r="D189" s="112">
        <v>0</v>
      </c>
    </row>
    <row r="190" spans="2:4" ht="16.5">
      <c r="B190" s="79">
        <v>30502</v>
      </c>
      <c r="C190" s="80" t="s">
        <v>141</v>
      </c>
      <c r="D190" s="109">
        <v>0</v>
      </c>
    </row>
    <row r="191" spans="2:4" ht="16.5">
      <c r="B191" s="81">
        <v>30503</v>
      </c>
      <c r="C191" s="82" t="s">
        <v>142</v>
      </c>
      <c r="D191" s="112">
        <v>0</v>
      </c>
    </row>
    <row r="192" spans="2:4" ht="16.5">
      <c r="B192" s="79">
        <v>30504</v>
      </c>
      <c r="C192" s="80" t="s">
        <v>369</v>
      </c>
      <c r="D192" s="109">
        <v>0</v>
      </c>
    </row>
    <row r="193" spans="2:4" ht="16.5">
      <c r="B193" s="81">
        <v>30505</v>
      </c>
      <c r="C193" s="82" t="s">
        <v>370</v>
      </c>
      <c r="D193" s="112">
        <v>0</v>
      </c>
    </row>
    <row r="194" spans="2:4" ht="16.5">
      <c r="B194" s="79">
        <v>30601</v>
      </c>
      <c r="C194" s="80" t="s">
        <v>143</v>
      </c>
      <c r="D194" s="109">
        <v>0</v>
      </c>
    </row>
    <row r="195" spans="2:4" ht="16.5">
      <c r="B195" s="81">
        <v>30602</v>
      </c>
      <c r="C195" s="82" t="s">
        <v>144</v>
      </c>
      <c r="D195" s="112">
        <v>0</v>
      </c>
    </row>
    <row r="196" spans="2:4" ht="16.5">
      <c r="B196" s="79">
        <v>30603</v>
      </c>
      <c r="C196" s="80" t="s">
        <v>145</v>
      </c>
      <c r="D196" s="109">
        <v>0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0</v>
      </c>
    </row>
    <row r="200" spans="2:4" ht="16.5">
      <c r="B200" s="79">
        <v>30607</v>
      </c>
      <c r="C200" s="80" t="s">
        <v>147</v>
      </c>
      <c r="D200" s="109">
        <v>0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0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0</v>
      </c>
    </row>
    <row r="205" spans="2:4" ht="16.5">
      <c r="B205" s="81">
        <v>30701</v>
      </c>
      <c r="C205" s="82" t="s">
        <v>149</v>
      </c>
      <c r="D205" s="112">
        <v>0</v>
      </c>
    </row>
    <row r="206" spans="2:4" ht="16.5">
      <c r="B206" s="79">
        <v>30702</v>
      </c>
      <c r="C206" s="80" t="s">
        <v>150</v>
      </c>
      <c r="D206" s="109">
        <v>0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0</v>
      </c>
    </row>
    <row r="212" spans="2:4" ht="16.5">
      <c r="B212" s="79">
        <v>30708</v>
      </c>
      <c r="C212" s="80" t="s">
        <v>376</v>
      </c>
      <c r="D212" s="109">
        <v>0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0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0</v>
      </c>
    </row>
    <row r="229" spans="2:4" ht="16.5">
      <c r="B229" s="81">
        <v>30904</v>
      </c>
      <c r="C229" s="82" t="s">
        <v>184</v>
      </c>
      <c r="D229" s="112">
        <v>0</v>
      </c>
    </row>
    <row r="230" spans="2:4" ht="16.5">
      <c r="B230" s="79">
        <v>30905</v>
      </c>
      <c r="C230" s="80" t="s">
        <v>160</v>
      </c>
      <c r="D230" s="109">
        <v>0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0</v>
      </c>
    </row>
    <row r="233" spans="2:4" ht="16.5">
      <c r="B233" s="81">
        <v>30908</v>
      </c>
      <c r="C233" s="82" t="s">
        <v>163</v>
      </c>
      <c r="D233" s="112">
        <v>0</v>
      </c>
    </row>
    <row r="234" spans="2:4" ht="16.5">
      <c r="B234" s="79">
        <v>30909</v>
      </c>
      <c r="C234" s="80" t="s">
        <v>384</v>
      </c>
      <c r="D234" s="109">
        <v>0</v>
      </c>
    </row>
    <row r="235" spans="2:4" ht="16.5">
      <c r="B235" s="81">
        <v>31001</v>
      </c>
      <c r="C235" s="82" t="s">
        <v>165</v>
      </c>
      <c r="D235" s="112">
        <v>0</v>
      </c>
    </row>
    <row r="236" spans="2:4" ht="16.5">
      <c r="B236" s="79">
        <v>31002</v>
      </c>
      <c r="C236" s="80" t="s">
        <v>385</v>
      </c>
      <c r="D236" s="109">
        <v>0</v>
      </c>
    </row>
    <row r="237" spans="2:4" ht="16.5">
      <c r="B237" s="81">
        <v>31003</v>
      </c>
      <c r="C237" s="82" t="s">
        <v>166</v>
      </c>
      <c r="D237" s="112">
        <v>0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0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0</v>
      </c>
    </row>
    <row r="251" spans="2:4" ht="16.5">
      <c r="B251" s="81">
        <v>31102</v>
      </c>
      <c r="C251" s="82" t="s">
        <v>174</v>
      </c>
      <c r="D251" s="112">
        <v>0</v>
      </c>
    </row>
    <row r="252" spans="2:4" ht="16.5">
      <c r="B252" s="79">
        <v>31103</v>
      </c>
      <c r="C252" s="80" t="s">
        <v>176</v>
      </c>
      <c r="D252" s="113">
        <v>0</v>
      </c>
    </row>
    <row r="253" spans="2:4" ht="16.5">
      <c r="B253" s="81">
        <v>31104</v>
      </c>
      <c r="C253" s="82" t="s">
        <v>177</v>
      </c>
      <c r="D253" s="112">
        <v>0</v>
      </c>
    </row>
    <row r="254" spans="2:4" ht="16.5">
      <c r="B254" s="79">
        <v>31105</v>
      </c>
      <c r="C254" s="80" t="s">
        <v>178</v>
      </c>
      <c r="D254" s="113">
        <v>0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0</v>
      </c>
    </row>
    <row r="258" spans="2:4" ht="16.5">
      <c r="B258" s="79">
        <v>31109</v>
      </c>
      <c r="C258" s="80" t="s">
        <v>179</v>
      </c>
      <c r="D258" s="113">
        <v>0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0</v>
      </c>
    </row>
    <row r="262" spans="2:4" ht="16.5">
      <c r="B262" s="79">
        <v>31113</v>
      </c>
      <c r="C262" s="80" t="s">
        <v>182</v>
      </c>
      <c r="D262" s="113">
        <v>0</v>
      </c>
    </row>
    <row r="263" spans="2:4" ht="16.5">
      <c r="B263" s="81">
        <v>31114</v>
      </c>
      <c r="C263" s="82" t="s">
        <v>397</v>
      </c>
      <c r="D263" s="112">
        <v>0</v>
      </c>
    </row>
    <row r="264" spans="2:4" ht="16.5">
      <c r="B264" s="83">
        <v>40101</v>
      </c>
      <c r="C264" s="84" t="s">
        <v>188</v>
      </c>
      <c r="D264" s="114">
        <v>0</v>
      </c>
    </row>
    <row r="265" spans="2:4" ht="16.5">
      <c r="B265" s="79">
        <v>40102</v>
      </c>
      <c r="C265" s="80" t="s">
        <v>398</v>
      </c>
      <c r="D265" s="113">
        <v>0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0</v>
      </c>
    </row>
    <row r="268" spans="2:4" ht="16.5">
      <c r="B268" s="83">
        <v>40105</v>
      </c>
      <c r="C268" s="84" t="s">
        <v>192</v>
      </c>
      <c r="D268" s="114">
        <v>0</v>
      </c>
    </row>
    <row r="269" spans="2:4" ht="16.5">
      <c r="B269" s="79">
        <v>40106</v>
      </c>
      <c r="C269" s="80" t="s">
        <v>195</v>
      </c>
      <c r="D269" s="113">
        <v>0</v>
      </c>
    </row>
    <row r="270" spans="2:4" ht="16.5">
      <c r="B270" s="83">
        <v>40107</v>
      </c>
      <c r="C270" s="84" t="s">
        <v>197</v>
      </c>
      <c r="D270" s="114">
        <v>0</v>
      </c>
    </row>
    <row r="271" spans="2:4" ht="16.5">
      <c r="B271" s="79">
        <v>40108</v>
      </c>
      <c r="C271" s="80" t="s">
        <v>198</v>
      </c>
      <c r="D271" s="113">
        <v>0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0</v>
      </c>
    </row>
    <row r="276" spans="2:4" ht="16.5">
      <c r="B276" s="89">
        <v>50103</v>
      </c>
      <c r="C276" s="90" t="s">
        <v>401</v>
      </c>
      <c r="D276" s="115">
        <v>0</v>
      </c>
    </row>
    <row r="277" spans="2:4" ht="16.5">
      <c r="B277" s="79">
        <v>50104</v>
      </c>
      <c r="C277" s="80" t="s">
        <v>109</v>
      </c>
      <c r="D277" s="109">
        <v>0</v>
      </c>
    </row>
    <row r="278" spans="2:4" ht="16.5">
      <c r="B278" s="89">
        <v>50105</v>
      </c>
      <c r="C278" s="90" t="s">
        <v>183</v>
      </c>
      <c r="D278" s="115">
        <v>0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0</v>
      </c>
    </row>
    <row r="281" spans="2:4" ht="16.5">
      <c r="B281" s="79">
        <v>50108</v>
      </c>
      <c r="C281" s="80" t="s">
        <v>403</v>
      </c>
      <c r="D281" s="109">
        <v>0</v>
      </c>
    </row>
    <row r="282" spans="2:4" ht="16.5">
      <c r="B282" s="89">
        <v>50201</v>
      </c>
      <c r="C282" s="90" t="s">
        <v>404</v>
      </c>
      <c r="D282" s="115">
        <v>0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0</v>
      </c>
    </row>
    <row r="285" spans="2:4" ht="16.5">
      <c r="B285" s="79">
        <v>50301</v>
      </c>
      <c r="C285" s="80" t="s">
        <v>407</v>
      </c>
      <c r="D285" s="109">
        <v>0</v>
      </c>
    </row>
    <row r="286" spans="2:4" ht="16.5">
      <c r="B286" s="89">
        <v>50302</v>
      </c>
      <c r="C286" s="90" t="s">
        <v>408</v>
      </c>
      <c r="D286" s="115">
        <v>0</v>
      </c>
    </row>
    <row r="287" spans="2:4" ht="16.5">
      <c r="B287" s="79">
        <v>50303</v>
      </c>
      <c r="C287" s="80" t="s">
        <v>186</v>
      </c>
      <c r="D287" s="109">
        <v>0</v>
      </c>
    </row>
    <row r="288" spans="2:4" ht="16.5">
      <c r="B288" s="89">
        <v>50304</v>
      </c>
      <c r="C288" s="90" t="s">
        <v>187</v>
      </c>
      <c r="D288" s="115">
        <v>0</v>
      </c>
    </row>
    <row r="289" spans="2:4" ht="16.5">
      <c r="B289" s="79">
        <v>50305</v>
      </c>
      <c r="C289" s="80" t="s">
        <v>409</v>
      </c>
      <c r="D289" s="109">
        <v>0</v>
      </c>
    </row>
    <row r="290" spans="2:4" ht="16.5">
      <c r="B290" s="89">
        <v>50306</v>
      </c>
      <c r="C290" s="90" t="s">
        <v>410</v>
      </c>
      <c r="D290" s="115">
        <v>0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0</v>
      </c>
    </row>
    <row r="293" spans="2:4" ht="16.5">
      <c r="B293" s="91">
        <v>60103</v>
      </c>
      <c r="C293" s="92" t="s">
        <v>412</v>
      </c>
      <c r="D293" s="116">
        <v>0</v>
      </c>
    </row>
    <row r="294" spans="2:4" ht="16.5">
      <c r="B294" s="93">
        <v>70101</v>
      </c>
      <c r="C294" s="94" t="s">
        <v>413</v>
      </c>
      <c r="D294" s="117">
        <v>0</v>
      </c>
    </row>
    <row r="295" spans="2:4" ht="16.5">
      <c r="B295" s="79">
        <v>70102</v>
      </c>
      <c r="C295" s="80" t="s">
        <v>199</v>
      </c>
      <c r="D295" s="109">
        <v>0</v>
      </c>
    </row>
    <row r="296" spans="2:4" ht="16.5">
      <c r="B296" s="93">
        <v>70103</v>
      </c>
      <c r="C296" s="94" t="s">
        <v>200</v>
      </c>
      <c r="D296" s="117">
        <v>0</v>
      </c>
    </row>
    <row r="297" spans="2:4" ht="16.5">
      <c r="B297" s="79">
        <v>70104</v>
      </c>
      <c r="C297" s="80" t="s">
        <v>414</v>
      </c>
      <c r="D297" s="109">
        <v>0</v>
      </c>
    </row>
    <row r="298" spans="2:4" ht="16.5">
      <c r="B298" s="93">
        <v>70105</v>
      </c>
      <c r="C298" s="94" t="s">
        <v>201</v>
      </c>
      <c r="D298" s="117">
        <v>0</v>
      </c>
    </row>
    <row r="299" spans="2:4" ht="16.5">
      <c r="B299" s="79">
        <v>70106</v>
      </c>
      <c r="C299" s="80" t="s">
        <v>415</v>
      </c>
      <c r="D299" s="109">
        <v>0</v>
      </c>
    </row>
    <row r="300" spans="2:4" ht="16.5">
      <c r="B300" s="93">
        <v>70107</v>
      </c>
      <c r="C300" s="94" t="s">
        <v>416</v>
      </c>
      <c r="D300" s="117">
        <v>0</v>
      </c>
    </row>
    <row r="301" spans="2:4" ht="17.25" thickBot="1">
      <c r="B301" s="95">
        <v>70108</v>
      </c>
      <c r="C301" s="96" t="s">
        <v>417</v>
      </c>
      <c r="D301" s="109">
        <v>0</v>
      </c>
    </row>
    <row r="302" spans="2:4" ht="19.899999999999999" customHeight="1" thickBot="1">
      <c r="B302" s="97" t="s">
        <v>1</v>
      </c>
      <c r="C302" s="98"/>
      <c r="D302" s="100">
        <f>SUM(D20:D301)</f>
        <v>0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PORTADA</vt:lpstr>
      <vt:lpstr>PRESENTACIÓN</vt:lpstr>
      <vt:lpstr>INSTRUCCIONES</vt:lpstr>
      <vt:lpstr>Lista</vt:lpstr>
      <vt:lpstr>Datos</vt:lpstr>
      <vt:lpstr>RESUMEN</vt:lpstr>
      <vt:lpstr>C01</vt:lpstr>
      <vt:lpstr>C02</vt:lpstr>
      <vt:lpstr>C03</vt:lpstr>
      <vt:lpstr>C04</vt:lpstr>
      <vt:lpstr>'C01'!Área_de_impresión</vt:lpstr>
      <vt:lpstr>'C02'!Área_de_impresión</vt:lpstr>
      <vt:lpstr>'C03'!Área_de_impresión</vt:lpstr>
      <vt:lpstr>'C04'!Área_de_impresión</vt:lpstr>
      <vt:lpstr>INSTRUCCIONES!Área_de_impresión</vt:lpstr>
      <vt:lpstr>PORTADA!Área_de_impresión</vt:lpstr>
      <vt:lpstr>PRESENTACIÓN!Área_de_impresión</vt:lpstr>
      <vt:lpstr>RESUMEN!Área_de_impresión</vt:lpstr>
    </vt:vector>
  </TitlesOfParts>
  <Company>Sistema Nacional de Seguridad Pública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Agustín Avilés</dc:creator>
  <cp:lastModifiedBy>usuario_final</cp:lastModifiedBy>
  <cp:lastPrinted>2015-12-19T01:31:18Z</cp:lastPrinted>
  <dcterms:created xsi:type="dcterms:W3CDTF">1999-03-11T18:07:10Z</dcterms:created>
  <dcterms:modified xsi:type="dcterms:W3CDTF">2026-08-03T17:19:11Z</dcterms:modified>
</cp:coreProperties>
</file>