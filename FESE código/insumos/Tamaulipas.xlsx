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ESTADISTICA\ESTADISTICA 2026\FESE 911 TAMAULIPAS 2026\"/>
    </mc:Choice>
  </mc:AlternateContent>
  <xr:revisionPtr revIDLastSave="0" documentId="13_ncr:1_{351B852C-2E36-49C6-AACB-9E9B45125B43}" xr6:coauthVersionLast="47" xr6:coauthVersionMax="47" xr10:uidLastSave="{00000000-0000-0000-0000-000000000000}"/>
  <workbookProtection workbookPassword="CC15" lockStructure="1"/>
  <bookViews>
    <workbookView xWindow="2868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2">INSTRUCCIONES!$B$2:$O$24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12" l="1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302" i="4"/>
  <c r="D14" i="4"/>
  <c r="D13" i="4"/>
  <c r="D12" i="4"/>
  <c r="G16" i="7"/>
  <c r="F16" i="7"/>
  <c r="E16" i="7"/>
  <c r="D16" i="7"/>
  <c r="C16" i="7"/>
  <c r="B16" i="7"/>
  <c r="A16" i="7"/>
  <c r="C13" i="7" l="1"/>
  <c r="F20" i="7" s="1"/>
  <c r="D20" i="7" l="1"/>
  <c r="G20" i="7"/>
  <c r="C20" i="7"/>
  <c r="B20" i="7"/>
  <c r="A20" i="7"/>
  <c r="E20" i="7"/>
</calcChain>
</file>

<file path=xl/sharedStrings.xml><?xml version="1.0" encoding="utf-8"?>
<sst xmlns="http://schemas.openxmlformats.org/spreadsheetml/2006/main" count="1956" uniqueCount="432">
  <si>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</si>
  <si>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</si>
  <si>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</si>
  <si>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</si>
  <si>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</si>
  <si>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</si>
  <si>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</si>
  <si>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</si>
  <si>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</si>
  <si>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</si>
  <si>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</si>
  <si>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</si>
  <si>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</si>
  <si>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</si>
  <si>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</si>
  <si>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</si>
  <si>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</si>
  <si>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</si>
  <si>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</si>
  <si>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</si>
  <si>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</si>
  <si>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</si>
  <si>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</si>
  <si>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</si>
  <si>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</si>
  <si>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</si>
  <si>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</si>
  <si>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</si>
  <si>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</si>
  <si>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</si>
  <si>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</si>
  <si>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</si>
  <si>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</si>
  <si>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</si>
  <si>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</si>
  <si>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</si>
  <si>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</si>
  <si>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</si>
  <si>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</si>
  <si>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</si>
  <si>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</si>
  <si>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</si>
  <si>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</si>
  <si>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</si>
  <si>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</si>
  <si>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</si>
  <si>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</si>
  <si>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</si>
  <si>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</si>
  <si>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</si>
  <si>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</si>
  <si>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</si>
  <si>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</si>
  <si>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</si>
  <si>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</si>
  <si>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</si>
  <si>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</si>
  <si>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</si>
  <si>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</si>
  <si>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</si>
  <si>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</si>
  <si>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</si>
  <si>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</si>
  <si>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</si>
  <si>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</si>
  <si>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</si>
  <si>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</si>
  <si>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</si>
  <si>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</si>
  <si>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</si>
  <si>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</si>
  <si>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</si>
  <si>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</si>
  <si>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</si>
  <si>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</si>
  <si>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</si>
  <si>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</si>
  <si>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</si>
  <si>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</si>
  <si>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</si>
  <si>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</si>
  <si>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</si>
  <si>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</si>
  <si>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</si>
  <si>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</si>
  <si>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</si>
  <si>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</si>
  <si>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</si>
  <si>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</si>
  <si>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</si>
  <si>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</si>
  <si>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</si>
  <si>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</si>
  <si>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</si>
  <si>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</si>
  <si>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</si>
  <si>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</si>
  <si>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</si>
  <si>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</si>
  <si>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</si>
  <si>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</si>
  <si>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</si>
  <si>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</si>
  <si>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</si>
  <si>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</si>
  <si>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</si>
  <si>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</si>
  <si>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</si>
  <si>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</si>
  <si>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</si>
  <si>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</si>
  <si>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</si>
  <si>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</si>
  <si>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</si>
  <si>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</si>
  <si>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</si>
  <si>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</si>
  <si>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</si>
  <si>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</si>
  <si>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</si>
  <si>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</si>
  <si>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</si>
  <si>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</si>
  <si>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</si>
  <si>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</si>
  <si>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</si>
  <si>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</si>
  <si>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</si>
  <si>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</si>
  <si>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</si>
  <si>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</si>
  <si>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</si>
  <si>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</si>
  <si>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</si>
  <si>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</si>
  <si>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</si>
  <si>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</si>
  <si>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</si>
  <si>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</si>
  <si>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</si>
  <si>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</si>
  <si>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</si>
  <si>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</si>
  <si>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</si>
  <si>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</si>
  <si>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</si>
  <si>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</si>
  <si>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</si>
  <si>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</si>
  <si>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</si>
  <si>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</si>
  <si>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</si>
  <si>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</si>
  <si>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</si>
  <si>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</si>
  <si>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</si>
  <si>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</si>
  <si>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</si>
  <si>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</si>
  <si>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</si>
  <si>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</si>
  <si>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</si>
  <si>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</si>
  <si>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</si>
  <si>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</si>
  <si>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</si>
  <si>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</si>
  <si>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</si>
  <si>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</si>
  <si>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</si>
  <si>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</si>
  <si>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</si>
  <si>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</si>
  <si>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</si>
  <si>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</si>
  <si>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</si>
  <si>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</si>
  <si>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</si>
  <si>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</si>
  <si>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</si>
  <si>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</si>
  <si>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</si>
  <si>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</si>
  <si>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</si>
  <si>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</si>
  <si>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</si>
  <si>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</si>
  <si>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</si>
  <si>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</si>
  <si>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</si>
  <si>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</si>
  <si>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</si>
  <si>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</si>
  <si>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</si>
  <si>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</si>
  <si>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</si>
  <si>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</si>
  <si>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</si>
  <si>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</si>
  <si>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</si>
  <si>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</si>
  <si>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</si>
  <si>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</si>
  <si>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</si>
  <si>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</si>
  <si>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</si>
  <si>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</si>
  <si>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</si>
  <si>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</si>
  <si>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</si>
  <si>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</si>
  <si>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</si>
  <si>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</si>
  <si>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</si>
  <si>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</si>
  <si>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</si>
  <si>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</si>
  <si>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</si>
  <si>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</si>
  <si>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</si>
  <si>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</si>
  <si>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</si>
  <si>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</si>
  <si>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</si>
  <si>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</si>
  <si>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</si>
  <si>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</si>
  <si>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</si>
  <si>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</si>
  <si>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</si>
  <si>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</si>
  <si>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</si>
  <si>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</si>
  <si>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</si>
  <si>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</si>
  <si>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</si>
  <si>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</si>
  <si>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</si>
  <si>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</si>
  <si>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</si>
  <si>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</si>
  <si>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</si>
  <si>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</si>
  <si>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</si>
  <si>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</si>
  <si>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</si>
  <si>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</si>
  <si>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</si>
  <si>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</si>
  <si>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</si>
  <si>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</si>
  <si>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</si>
  <si>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</si>
  <si>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</si>
  <si>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</si>
  <si>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</si>
  <si>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</si>
  <si>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</si>
  <si>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</si>
  <si>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</si>
  <si>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</si>
  <si>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</si>
  <si>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</si>
  <si>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</si>
  <si>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</si>
  <si>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</si>
  <si>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</si>
  <si>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</si>
  <si>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</si>
  <si>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</si>
  <si>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</si>
  <si>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</si>
  <si>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</si>
  <si>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</si>
  <si>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</si>
  <si>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</si>
  <si>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</si>
  <si>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</si>
  <si>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</si>
  <si>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</si>
  <si>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</si>
  <si>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</si>
  <si>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</si>
  <si>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</si>
  <si>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</si>
  <si>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</si>
  <si>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</si>
  <si>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</si>
  <si>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</si>
  <si>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</si>
  <si>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</si>
  <si>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</si>
  <si>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</si>
  <si>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</si>
  <si>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</si>
  <si>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</si>
  <si>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</si>
  <si>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</si>
  <si>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</si>
  <si>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</si>
  <si>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</si>
  <si>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</si>
  <si>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</si>
  <si>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</si>
  <si>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</si>
  <si>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</si>
  <si>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</si>
  <si>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</si>
  <si>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</si>
  <si>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</si>
  <si>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</si>
  <si>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</si>
  <si>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</si>
  <si>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</si>
  <si>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</si>
  <si>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</si>
  <si>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</si>
  <si>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</si>
  <si>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</si>
  <si>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</si>
  <si>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</si>
  <si>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</si>
  <si>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</si>
  <si>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</si>
  <si>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</si>
  <si>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</si>
  <si>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</si>
  <si>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</si>
  <si>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</si>
  <si>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</si>
  <si>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</si>
  <si>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</si>
  <si>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</si>
  <si>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</si>
  <si>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</si>
  <si>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</si>
  <si>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</si>
  <si>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</si>
  <si>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</si>
  <si>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</si>
  <si>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</si>
  <si>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</si>
  <si>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</si>
  <si>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</si>
  <si>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</si>
  <si>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</si>
  <si>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</si>
  <si>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</si>
  <si>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</si>
  <si>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</si>
  <si>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</si>
  <si>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</si>
  <si>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</si>
  <si>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</si>
  <si>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</si>
  <si>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</si>
  <si>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</si>
  <si>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</si>
  <si>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</si>
  <si>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</si>
  <si>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</si>
  <si>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</si>
  <si>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</si>
  <si>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</si>
  <si>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</si>
  <si>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</si>
  <si>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</si>
  <si>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</si>
  <si>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</si>
  <si>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</si>
  <si>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</si>
  <si>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</si>
  <si>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</si>
  <si>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</si>
  <si>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</si>
  <si>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</si>
  <si>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</si>
  <si>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</si>
  <si>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</si>
  <si>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</si>
  <si>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</si>
  <si>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</si>
  <si>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</si>
  <si>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</si>
  <si>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</si>
  <si>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</si>
  <si>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</si>
  <si>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</si>
  <si>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</si>
  <si>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</si>
  <si>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</si>
  <si>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</si>
  <si>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</si>
  <si>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</si>
  <si>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</si>
  <si>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</si>
  <si>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</si>
  <si>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</si>
  <si>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</si>
  <si>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</si>
  <si>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</si>
  <si>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</si>
  <si>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</si>
  <si>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</si>
  <si>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</si>
  <si>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</si>
  <si>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</si>
  <si>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</si>
  <si>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</si>
  <si>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</si>
  <si>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</si>
  <si>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</si>
  <si>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</si>
  <si>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</si>
  <si>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</si>
  <si>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</si>
  <si>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</si>
  <si>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</si>
  <si>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</si>
  <si>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</si>
  <si>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</si>
  <si>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</si>
  <si>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</si>
  <si>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Victoria</t>
  </si>
  <si>
    <t>Nuevo Laredo</t>
  </si>
  <si>
    <t>Matamoros</t>
  </si>
  <si>
    <t>Reynosa</t>
  </si>
  <si>
    <t>ALMATAM</t>
  </si>
  <si>
    <t>Mante</t>
  </si>
  <si>
    <t>SECRETARÍA DE SEGURIDAD Y PROTECCIÓN CIUDADANA</t>
  </si>
  <si>
    <t>SECRETARÍA DE SEGURUIDAD Y PROTECCIÓN CIUDADANA</t>
  </si>
  <si>
    <t>REPORTE ESTADÍSTICO MENSUAL DEL NÚMERO DE LLAMADAS GENERADAS
 EN EL SERVICIO DE ATENCIÓN DE LLAMADAS DE EMERGENCIA 9-1-1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</si>
</sst>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5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37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3" fillId="0" borderId="0" xfId="2" applyFont="1"/>
    <xf numFmtId="0" fontId="14" fillId="0" borderId="0" xfId="2" applyFont="1" applyAlignment="1">
      <alignment horizontal="right"/>
    </xf>
    <xf numFmtId="0" fontId="16" fillId="0" borderId="0" xfId="6" applyFont="1" applyAlignment="1">
      <alignment vertical="top"/>
    </xf>
    <xf numFmtId="0" fontId="17" fillId="0" borderId="0" xfId="6" applyFont="1" applyAlignment="1">
      <alignment vertical="top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center" vertical="top" wrapText="1"/>
    </xf>
    <xf numFmtId="0" fontId="21" fillId="0" borderId="0" xfId="6" applyFont="1" applyAlignment="1">
      <alignment horizontal="left" vertical="top" wrapText="1"/>
    </xf>
    <xf numFmtId="0" fontId="20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8" fillId="4" borderId="0" xfId="6" applyFont="1" applyFill="1" applyAlignment="1">
      <alignment vertical="top"/>
    </xf>
    <xf numFmtId="165" fontId="7" fillId="0" borderId="0" xfId="1" applyNumberFormat="1" applyFont="1" applyBorder="1" applyAlignment="1">
      <alignment horizontal="center"/>
    </xf>
    <xf numFmtId="0" fontId="8" fillId="0" borderId="0" xfId="0" applyFont="1"/>
    <xf numFmtId="0" fontId="25" fillId="5" borderId="1" xfId="8" applyFont="1" applyFill="1" applyBorder="1" applyAlignment="1">
      <alignment horizontal="center" wrapText="1"/>
    </xf>
    <xf numFmtId="165" fontId="23" fillId="2" borderId="0" xfId="1" applyNumberFormat="1" applyFont="1" applyFill="1" applyBorder="1" applyAlignment="1">
      <alignment horizontal="center"/>
    </xf>
    <xf numFmtId="165" fontId="26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8" fillId="6" borderId="0" xfId="6" applyFont="1" applyFill="1" applyAlignment="1">
      <alignment vertical="top"/>
    </xf>
    <xf numFmtId="0" fontId="33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3" fillId="2" borderId="0" xfId="8" applyFont="1" applyFill="1" applyAlignment="1">
      <alignment horizontal="right" wrapText="1" indent="1"/>
    </xf>
    <xf numFmtId="166" fontId="23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2" fillId="2" borderId="0" xfId="0" applyFont="1" applyFill="1"/>
    <xf numFmtId="0" fontId="8" fillId="2" borderId="0" xfId="8" applyFill="1"/>
    <xf numFmtId="165" fontId="24" fillId="2" borderId="0" xfId="1" applyNumberFormat="1" applyFont="1" applyFill="1" applyBorder="1" applyAlignment="1"/>
    <xf numFmtId="0" fontId="38" fillId="2" borderId="0" xfId="7" applyFont="1" applyFill="1" applyAlignment="1" applyProtection="1">
      <alignment horizontal="center" vertical="top" wrapText="1"/>
      <protection hidden="1"/>
    </xf>
    <xf numFmtId="46" fontId="41" fillId="2" borderId="0" xfId="0" applyNumberFormat="1" applyFont="1" applyFill="1" applyAlignment="1">
      <alignment horizontal="center" vertical="center" wrapText="1"/>
    </xf>
    <xf numFmtId="21" fontId="41" fillId="2" borderId="0" xfId="0" applyNumberFormat="1" applyFont="1" applyFill="1" applyAlignment="1">
      <alignment horizontal="center" vertical="center" wrapText="1"/>
    </xf>
    <xf numFmtId="0" fontId="24" fillId="2" borderId="0" xfId="8" applyFont="1" applyFill="1" applyAlignment="1">
      <alignment horizontal="right" wrapText="1" indent="1"/>
    </xf>
    <xf numFmtId="0" fontId="23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4" fillId="0" borderId="0" xfId="2" applyFont="1" applyAlignment="1">
      <alignment horizontal="right"/>
    </xf>
    <xf numFmtId="0" fontId="40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3" fillId="2" borderId="0" xfId="1" applyNumberFormat="1" applyFont="1" applyFill="1" applyBorder="1" applyAlignment="1" applyProtection="1">
      <alignment horizontal="center"/>
    </xf>
    <xf numFmtId="166" fontId="23" fillId="2" borderId="0" xfId="1" applyNumberFormat="1" applyFont="1" applyFill="1" applyBorder="1" applyAlignment="1" applyProtection="1">
      <alignment horizontal="center"/>
    </xf>
    <xf numFmtId="0" fontId="27" fillId="0" borderId="1" xfId="8" applyFont="1" applyBorder="1" applyAlignment="1">
      <alignment horizontal="left" wrapText="1" indent="3"/>
    </xf>
    <xf numFmtId="0" fontId="25" fillId="5" borderId="6" xfId="8" applyFont="1" applyFill="1" applyBorder="1" applyAlignment="1">
      <alignment horizontal="center" wrapText="1"/>
    </xf>
    <xf numFmtId="0" fontId="25" fillId="5" borderId="9" xfId="8" applyFont="1" applyFill="1" applyBorder="1" applyAlignment="1">
      <alignment horizontal="left" wrapText="1" indent="6"/>
    </xf>
    <xf numFmtId="0" fontId="25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5" fillId="2" borderId="1" xfId="8" applyFont="1" applyFill="1" applyBorder="1" applyAlignment="1">
      <alignment horizontal="center" wrapText="1"/>
    </xf>
    <xf numFmtId="0" fontId="43" fillId="6" borderId="1" xfId="8" applyFont="1" applyFill="1" applyBorder="1" applyAlignment="1">
      <alignment horizontal="center" wrapText="1"/>
    </xf>
    <xf numFmtId="9" fontId="41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3" xfId="8" applyFont="1" applyFill="1" applyBorder="1" applyAlignment="1" applyProtection="1">
      <alignment horizontal="center" vertical="center"/>
      <protection locked="0"/>
    </xf>
    <xf numFmtId="0" fontId="10" fillId="8" borderId="15" xfId="8" applyFont="1" applyFill="1" applyBorder="1" applyAlignment="1">
      <alignment horizontal="center" vertical="center"/>
    </xf>
    <xf numFmtId="0" fontId="10" fillId="8" borderId="16" xfId="8" applyFont="1" applyFill="1" applyBorder="1" applyAlignment="1">
      <alignment horizontal="left" vertical="center" indent="1"/>
    </xf>
    <xf numFmtId="0" fontId="10" fillId="8" borderId="17" xfId="8" applyFont="1" applyFill="1" applyBorder="1" applyAlignment="1">
      <alignment horizontal="center" vertical="center"/>
    </xf>
    <xf numFmtId="0" fontId="10" fillId="8" borderId="18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 applyProtection="1">
      <alignment horizontal="center" vertical="center"/>
      <protection locked="0"/>
    </xf>
    <xf numFmtId="0" fontId="47" fillId="11" borderId="17" xfId="8" applyFont="1" applyFill="1" applyBorder="1" applyAlignment="1">
      <alignment horizontal="center" vertical="center"/>
    </xf>
    <xf numFmtId="0" fontId="47" fillId="11" borderId="18" xfId="8" applyFont="1" applyFill="1" applyBorder="1" applyAlignment="1">
      <alignment horizontal="left" vertical="center" indent="1"/>
    </xf>
    <xf numFmtId="0" fontId="47" fillId="11" borderId="13" xfId="8" applyFont="1" applyFill="1" applyBorder="1" applyAlignment="1" applyProtection="1">
      <alignment horizontal="center" vertical="center"/>
      <protection locked="0"/>
    </xf>
    <xf numFmtId="0" fontId="47" fillId="12" borderId="17" xfId="8" applyFont="1" applyFill="1" applyBorder="1" applyAlignment="1">
      <alignment horizontal="center" vertical="center"/>
    </xf>
    <xf numFmtId="0" fontId="47" fillId="12" borderId="18" xfId="8" applyFont="1" applyFill="1" applyBorder="1" applyAlignment="1">
      <alignment horizontal="left" vertical="center" indent="1"/>
    </xf>
    <xf numFmtId="0" fontId="47" fillId="12" borderId="13" xfId="8" applyFont="1" applyFill="1" applyBorder="1" applyAlignment="1" applyProtection="1">
      <alignment horizontal="center" vertical="center"/>
      <protection locked="0"/>
    </xf>
    <xf numFmtId="0" fontId="47" fillId="9" borderId="11" xfId="8" applyFont="1" applyFill="1" applyBorder="1" applyAlignment="1">
      <alignment horizontal="center" vertical="center"/>
    </xf>
    <xf numFmtId="0" fontId="47" fillId="9" borderId="12" xfId="8" applyFont="1" applyFill="1" applyBorder="1" applyAlignment="1">
      <alignment horizontal="left" vertical="center" indent="1"/>
    </xf>
    <xf numFmtId="0" fontId="47" fillId="9" borderId="13" xfId="8" applyFont="1" applyFill="1" applyBorder="1" applyAlignment="1" applyProtection="1">
      <alignment horizontal="center" vertical="center"/>
      <protection locked="0"/>
    </xf>
    <xf numFmtId="167" fontId="47" fillId="10" borderId="15" xfId="8" applyNumberFormat="1" applyFont="1" applyFill="1" applyBorder="1" applyAlignment="1">
      <alignment horizontal="center" vertical="top"/>
    </xf>
    <xf numFmtId="0" fontId="47" fillId="10" borderId="16" xfId="8" applyFont="1" applyFill="1" applyBorder="1" applyAlignment="1">
      <alignment horizontal="left" vertical="top" indent="1"/>
    </xf>
    <xf numFmtId="0" fontId="47" fillId="10" borderId="13" xfId="8" applyFont="1" applyFill="1" applyBorder="1" applyAlignment="1" applyProtection="1">
      <alignment horizontal="center"/>
      <protection locked="0"/>
    </xf>
    <xf numFmtId="0" fontId="47" fillId="13" borderId="17" xfId="8" applyFont="1" applyFill="1" applyBorder="1" applyAlignment="1">
      <alignment horizontal="center" vertical="center"/>
    </xf>
    <xf numFmtId="0" fontId="47" fillId="13" borderId="18" xfId="8" applyFont="1" applyFill="1" applyBorder="1" applyAlignment="1">
      <alignment horizontal="left" vertical="center" indent="1"/>
    </xf>
    <xf numFmtId="0" fontId="47" fillId="13" borderId="13" xfId="8" applyFont="1" applyFill="1" applyBorder="1" applyAlignment="1" applyProtection="1">
      <alignment horizontal="center" vertical="center"/>
      <protection locked="0"/>
    </xf>
    <xf numFmtId="0" fontId="47" fillId="14" borderId="17" xfId="8" applyFont="1" applyFill="1" applyBorder="1" applyAlignment="1">
      <alignment horizontal="center" vertical="center"/>
    </xf>
    <xf numFmtId="0" fontId="47" fillId="14" borderId="18" xfId="8" applyFont="1" applyFill="1" applyBorder="1" applyAlignment="1">
      <alignment horizontal="left" vertical="center" indent="1"/>
    </xf>
    <xf numFmtId="0" fontId="47" fillId="14" borderId="13" xfId="8" applyFont="1" applyFill="1" applyBorder="1" applyAlignment="1" applyProtection="1">
      <alignment horizontal="center" vertical="center"/>
      <protection locked="0"/>
    </xf>
    <xf numFmtId="0" fontId="47" fillId="15" borderId="17" xfId="8" applyFont="1" applyFill="1" applyBorder="1" applyAlignment="1">
      <alignment horizontal="center" vertical="center"/>
    </xf>
    <xf numFmtId="0" fontId="47" fillId="15" borderId="18" xfId="8" applyFont="1" applyFill="1" applyBorder="1" applyAlignment="1">
      <alignment horizontal="left" vertical="center" indent="1"/>
    </xf>
    <xf numFmtId="0" fontId="47" fillId="15" borderId="13" xfId="8" applyFont="1" applyFill="1" applyBorder="1" applyAlignment="1" applyProtection="1">
      <alignment horizontal="center" vertical="center"/>
      <protection locked="0"/>
    </xf>
    <xf numFmtId="0" fontId="10" fillId="8" borderId="19" xfId="8" applyFont="1" applyFill="1" applyBorder="1" applyAlignment="1">
      <alignment horizontal="center" vertical="center"/>
    </xf>
    <xf numFmtId="0" fontId="10" fillId="8" borderId="20" xfId="8" applyFont="1" applyFill="1" applyBorder="1" applyAlignment="1">
      <alignment horizontal="left" vertical="center" indent="1"/>
    </xf>
    <xf numFmtId="0" fontId="10" fillId="8" borderId="21" xfId="8" applyFont="1" applyFill="1" applyBorder="1" applyAlignment="1" applyProtection="1">
      <alignment horizontal="center" vertical="center"/>
      <protection locked="0"/>
    </xf>
    <xf numFmtId="0" fontId="25" fillId="5" borderId="22" xfId="8" applyFont="1" applyFill="1" applyBorder="1" applyAlignment="1">
      <alignment horizontal="center" wrapText="1"/>
    </xf>
    <xf numFmtId="0" fontId="25" fillId="5" borderId="23" xfId="8" applyFont="1" applyFill="1" applyBorder="1" applyAlignment="1">
      <alignment horizontal="left" wrapText="1"/>
    </xf>
    <xf numFmtId="0" fontId="25" fillId="5" borderId="23" xfId="8" applyFont="1" applyFill="1" applyBorder="1" applyAlignment="1">
      <alignment horizontal="center" wrapText="1"/>
    </xf>
    <xf numFmtId="0" fontId="25" fillId="2" borderId="0" xfId="8" applyFont="1" applyFill="1" applyAlignment="1">
      <alignment horizontal="center" wrapText="1"/>
    </xf>
    <xf numFmtId="165" fontId="23" fillId="2" borderId="1" xfId="1" applyNumberFormat="1" applyFont="1" applyFill="1" applyBorder="1" applyAlignment="1">
      <alignment horizontal="center" vertical="center"/>
    </xf>
    <xf numFmtId="3" fontId="46" fillId="2" borderId="0" xfId="7" applyNumberFormat="1" applyFont="1" applyFill="1" applyAlignment="1" applyProtection="1">
      <alignment horizontal="center" vertical="center" wrapText="1"/>
      <protection hidden="1"/>
    </xf>
    <xf numFmtId="0" fontId="48" fillId="2" borderId="14" xfId="8" applyFont="1" applyFill="1" applyBorder="1" applyAlignment="1" applyProtection="1">
      <alignment horizontal="center" vertical="center"/>
      <protection locked="0"/>
    </xf>
    <xf numFmtId="3" fontId="47" fillId="15" borderId="13" xfId="8" applyNumberFormat="1" applyFont="1" applyFill="1" applyBorder="1" applyAlignment="1" applyProtection="1">
      <alignment horizontal="center" vertical="center"/>
      <protection locked="0"/>
    </xf>
    <xf numFmtId="3" fontId="10" fillId="8" borderId="13" xfId="8" applyNumberFormat="1" applyFont="1" applyFill="1" applyBorder="1" applyAlignment="1" applyProtection="1">
      <alignment horizontal="center" vertical="center"/>
      <protection locked="0"/>
    </xf>
    <xf numFmtId="3" fontId="10" fillId="8" borderId="21" xfId="8" applyNumberFormat="1" applyFont="1" applyFill="1" applyBorder="1" applyAlignment="1" applyProtection="1">
      <alignment horizontal="center" vertical="center"/>
      <protection locked="0"/>
    </xf>
    <xf numFmtId="3" fontId="10" fillId="8" borderId="14" xfId="8" applyNumberFormat="1" applyFont="1" applyFill="1" applyBorder="1" applyAlignment="1" applyProtection="1">
      <alignment horizontal="center" vertical="center"/>
      <protection locked="0"/>
    </xf>
    <xf numFmtId="165" fontId="8" fillId="2" borderId="0" xfId="1" applyNumberFormat="1" applyFont="1" applyFill="1" applyBorder="1" applyAlignment="1">
      <alignment horizontal="center"/>
    </xf>
    <xf numFmtId="0" fontId="38" fillId="2" borderId="0" xfId="7" applyFont="1" applyFill="1" applyAlignment="1" applyProtection="1">
      <alignment horizontal="center" vertical="top" wrapText="1"/>
      <protection hidden="1"/>
    </xf>
    <xf numFmtId="0" fontId="12" fillId="0" borderId="0" xfId="2" applyFont="1" applyAlignment="1">
      <alignment horizontal="center"/>
    </xf>
    <xf numFmtId="0" fontId="30" fillId="0" borderId="0" xfId="2" applyFont="1" applyAlignment="1">
      <alignment horizontal="center" vertical="center" wrapText="1"/>
    </xf>
    <xf numFmtId="0" fontId="28" fillId="0" borderId="0" xfId="2" applyFont="1" applyAlignment="1">
      <alignment horizontal="center"/>
    </xf>
    <xf numFmtId="0" fontId="18" fillId="4" borderId="0" xfId="6" applyFont="1" applyFill="1" applyAlignment="1">
      <alignment horizontal="center" vertical="top" wrapText="1"/>
    </xf>
    <xf numFmtId="0" fontId="16" fillId="0" borderId="0" xfId="6" applyFont="1" applyAlignment="1">
      <alignment horizontal="left" vertical="top" wrapText="1"/>
    </xf>
    <xf numFmtId="0" fontId="18" fillId="4" borderId="0" xfId="6" applyFont="1" applyFill="1" applyAlignment="1">
      <alignment horizontal="center" vertical="top"/>
    </xf>
    <xf numFmtId="0" fontId="16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2" fillId="0" borderId="0" xfId="7" applyFont="1" applyAlignment="1" applyProtection="1">
      <alignment horizontal="center" vertical="top" wrapText="1"/>
      <protection hidden="1"/>
    </xf>
    <xf numFmtId="0" fontId="17" fillId="0" borderId="0" xfId="6" applyFont="1" applyAlignment="1">
      <alignment horizontal="center" vertical="top" wrapText="1"/>
    </xf>
    <xf numFmtId="0" fontId="35" fillId="0" borderId="0" xfId="7" applyFont="1" applyAlignment="1">
      <alignment horizontal="center" vertical="top" wrapText="1"/>
    </xf>
    <xf numFmtId="0" fontId="37" fillId="0" borderId="0" xfId="6" applyFont="1" applyAlignment="1">
      <alignment horizontal="center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left" vertical="top"/>
    </xf>
    <xf numFmtId="0" fontId="22" fillId="0" borderId="0" xfId="6" applyFont="1" applyAlignment="1">
      <alignment horizontal="left" vertical="top" wrapText="1"/>
    </xf>
    <xf numFmtId="0" fontId="36" fillId="0" borderId="0" xfId="6" applyFont="1" applyAlignment="1">
      <alignment horizontal="left" vertical="top" wrapText="1"/>
    </xf>
    <xf numFmtId="0" fontId="33" fillId="6" borderId="0" xfId="6" applyFont="1" applyFill="1" applyAlignment="1">
      <alignment horizontal="left" vertical="top"/>
    </xf>
    <xf numFmtId="0" fontId="33" fillId="6" borderId="0" xfId="6" applyFont="1" applyFill="1" applyAlignment="1">
      <alignment horizontal="left" vertical="top" wrapText="1"/>
    </xf>
    <xf numFmtId="0" fontId="2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35" fillId="0" borderId="0" xfId="6" applyFont="1" applyAlignment="1">
      <alignment horizontal="center" vertical="top" wrapText="1"/>
    </xf>
    <xf numFmtId="0" fontId="19" fillId="0" borderId="0" xfId="6" applyFont="1" applyAlignment="1">
      <alignment horizontal="center" vertical="top"/>
    </xf>
    <xf numFmtId="0" fontId="31" fillId="7" borderId="0" xfId="0" applyFont="1" applyFill="1" applyAlignment="1">
      <alignment horizontal="center" vertical="center" wrapText="1"/>
    </xf>
    <xf numFmtId="0" fontId="8" fillId="0" borderId="0" xfId="8" applyAlignment="1">
      <alignment horizontal="center"/>
    </xf>
    <xf numFmtId="0" fontId="27" fillId="0" borderId="3" xfId="8" applyFont="1" applyBorder="1" applyAlignment="1">
      <alignment horizontal="right" wrapText="1" indent="2"/>
    </xf>
    <xf numFmtId="0" fontId="27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4" fillId="0" borderId="0" xfId="1" applyNumberFormat="1" applyFont="1" applyBorder="1" applyAlignment="1" applyProtection="1">
      <alignment horizontal="center"/>
    </xf>
    <xf numFmtId="165" fontId="39" fillId="0" borderId="0" xfId="1" applyNumberFormat="1" applyFont="1" applyBorder="1" applyAlignment="1" applyProtection="1">
      <alignment horizontal="center"/>
    </xf>
    <xf numFmtId="0" fontId="27" fillId="0" borderId="5" xfId="8" applyFont="1" applyBorder="1" applyAlignment="1">
      <alignment horizontal="right" wrapText="1" indent="2"/>
    </xf>
    <xf numFmtId="0" fontId="27" fillId="0" borderId="7" xfId="8" applyFont="1" applyBorder="1" applyAlignment="1">
      <alignment horizontal="right" wrapText="1" indent="2"/>
    </xf>
    <xf numFmtId="0" fontId="25" fillId="5" borderId="5" xfId="8" applyFont="1" applyFill="1" applyBorder="1" applyAlignment="1">
      <alignment horizontal="center" wrapText="1"/>
    </xf>
    <xf numFmtId="0" fontId="25" fillId="5" borderId="4" xfId="8" applyFont="1" applyFill="1" applyBorder="1" applyAlignment="1">
      <alignment horizontal="center" wrapText="1"/>
    </xf>
    <xf numFmtId="0" fontId="25" fillId="5" borderId="7" xfId="8" applyFont="1" applyFill="1" applyBorder="1" applyAlignment="1">
      <alignment horizontal="center" wrapText="1"/>
    </xf>
  </cellXfs>
  <cellStyles count="13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00000000-0005-0000-0000-000009000000}"/>
    <cellStyle name="Normal 9" xfId="12" xr:uid="{00000000-0005-0000-0000-00000A000000}"/>
    <cellStyle name="Normal_Zac ene 6 del 2000" xfId="7" xr:uid="{00000000-0005-0000-0000-00000B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</xdr:row>
      <xdr:rowOff>45720</xdr:rowOff>
    </xdr:from>
    <xdr:to>
      <xdr:col>10</xdr:col>
      <xdr:colOff>363793</xdr:colOff>
      <xdr:row>6</xdr:row>
      <xdr:rowOff>104775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" y="22860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423333</xdr:colOff>
      <xdr:row>1</xdr:row>
      <xdr:rowOff>211667</xdr:rowOff>
    </xdr:from>
    <xdr:to>
      <xdr:col>13</xdr:col>
      <xdr:colOff>136886</xdr:colOff>
      <xdr:row>4</xdr:row>
      <xdr:rowOff>499322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440267"/>
          <a:ext cx="7587553" cy="973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514120</xdr:colOff>
      <xdr:row>1</xdr:row>
      <xdr:rowOff>27542</xdr:rowOff>
    </xdr:from>
    <xdr:to>
      <xdr:col>12</xdr:col>
      <xdr:colOff>591842</xdr:colOff>
      <xdr:row>5</xdr:row>
      <xdr:rowOff>82925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2409" y="257060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731520</xdr:colOff>
      <xdr:row>0</xdr:row>
      <xdr:rowOff>60960</xdr:rowOff>
    </xdr:from>
    <xdr:to>
      <xdr:col>4</xdr:col>
      <xdr:colOff>1384873</xdr:colOff>
      <xdr:row>2</xdr:row>
      <xdr:rowOff>699135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609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2413573</xdr:colOff>
      <xdr:row>4</xdr:row>
      <xdr:rowOff>249555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2413573</xdr:colOff>
      <xdr:row>5</xdr:row>
      <xdr:rowOff>36195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33528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</xdr:colOff>
      <xdr:row>0</xdr:row>
      <xdr:rowOff>152400</xdr:rowOff>
    </xdr:from>
    <xdr:to>
      <xdr:col>3</xdr:col>
      <xdr:colOff>2474533</xdr:colOff>
      <xdr:row>4</xdr:row>
      <xdr:rowOff>234315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15240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0</xdr:row>
      <xdr:rowOff>114300</xdr:rowOff>
    </xdr:from>
    <xdr:to>
      <xdr:col>3</xdr:col>
      <xdr:colOff>2611693</xdr:colOff>
      <xdr:row>4</xdr:row>
      <xdr:rowOff>196215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" y="11430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220980</xdr:colOff>
      <xdr:row>0</xdr:row>
      <xdr:rowOff>0</xdr:rowOff>
    </xdr:from>
    <xdr:to>
      <xdr:col>3</xdr:col>
      <xdr:colOff>2634553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99060</xdr:rowOff>
    </xdr:from>
    <xdr:to>
      <xdr:col>3</xdr:col>
      <xdr:colOff>2604073</xdr:colOff>
      <xdr:row>4</xdr:row>
      <xdr:rowOff>180975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9906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Normal="70" zoomScaleSheetLayoutView="100" zoomScalePageLayoutView="82" workbookViewId="0">
      <selection activeCell="N45" sqref="N45"/>
    </sheetView>
  </sheetViews>
  <sheetFormatPr baseColWidth="10" defaultColWidth="11.42578125" defaultRowHeight="15" x14ac:dyDescent="0.2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 x14ac:dyDescent="0.25">
      <c r="B2" s="45" t="s">
        <v>62</v>
      </c>
    </row>
    <row r="8" spans="2:11" ht="26.25" x14ac:dyDescent="0.4">
      <c r="B8" s="103"/>
      <c r="C8" s="103"/>
      <c r="D8" s="103"/>
      <c r="E8" s="103"/>
      <c r="F8" s="103"/>
      <c r="G8" s="103"/>
      <c r="H8" s="103"/>
      <c r="I8" s="103"/>
      <c r="J8" s="103"/>
      <c r="K8" s="103"/>
    </row>
    <row r="9" spans="2:11" ht="26.25" x14ac:dyDescent="0.4">
      <c r="B9" s="103"/>
      <c r="C9" s="103"/>
      <c r="D9" s="103"/>
      <c r="E9" s="103"/>
      <c r="F9" s="103"/>
      <c r="G9" s="103"/>
      <c r="H9" s="103"/>
      <c r="I9" s="103"/>
      <c r="J9" s="103"/>
      <c r="K9" s="103"/>
    </row>
    <row r="10" spans="2:11" ht="92.25" x14ac:dyDescent="1.35">
      <c r="F10" s="105"/>
      <c r="G10" s="105"/>
    </row>
    <row r="14" spans="2:11" x14ac:dyDescent="0.25">
      <c r="B14" s="104" t="s">
        <v>261</v>
      </c>
      <c r="C14" s="104"/>
      <c r="D14" s="104"/>
      <c r="E14" s="104"/>
      <c r="F14" s="104"/>
      <c r="G14" s="104"/>
      <c r="H14" s="104"/>
      <c r="I14" s="104"/>
      <c r="J14" s="104"/>
      <c r="K14" s="104"/>
    </row>
    <row r="15" spans="2:11" x14ac:dyDescent="0.25">
      <c r="B15" s="104"/>
      <c r="C15" s="104"/>
      <c r="D15" s="104"/>
      <c r="E15" s="104"/>
      <c r="F15" s="104"/>
      <c r="G15" s="104"/>
      <c r="H15" s="104"/>
      <c r="I15" s="104"/>
      <c r="J15" s="104"/>
      <c r="K15" s="104"/>
    </row>
    <row r="16" spans="2:11" ht="15" customHeight="1" x14ac:dyDescent="0.25">
      <c r="B16" s="104"/>
      <c r="C16" s="104"/>
      <c r="D16" s="104"/>
      <c r="E16" s="104"/>
      <c r="F16" s="104"/>
      <c r="G16" s="104"/>
      <c r="H16" s="104"/>
      <c r="I16" s="104"/>
      <c r="J16" s="104"/>
      <c r="K16" s="104"/>
    </row>
    <row r="17" spans="2:11" ht="15" customHeight="1" x14ac:dyDescent="0.25">
      <c r="B17" s="104"/>
      <c r="C17" s="104"/>
      <c r="D17" s="104"/>
      <c r="E17" s="104"/>
      <c r="F17" s="104"/>
      <c r="G17" s="104"/>
      <c r="H17" s="104"/>
      <c r="I17" s="104"/>
      <c r="J17" s="104"/>
      <c r="K17" s="104"/>
    </row>
    <row r="18" spans="2:11" ht="15" customHeight="1" x14ac:dyDescent="0.25">
      <c r="B18" s="104"/>
      <c r="C18" s="104"/>
      <c r="D18" s="104"/>
      <c r="E18" s="104"/>
      <c r="F18" s="104"/>
      <c r="G18" s="104"/>
      <c r="H18" s="104"/>
      <c r="I18" s="104"/>
      <c r="J18" s="104"/>
      <c r="K18" s="104"/>
    </row>
    <row r="19" spans="2:11" ht="15" customHeight="1" x14ac:dyDescent="0.25">
      <c r="B19" s="104"/>
      <c r="C19" s="104"/>
      <c r="D19" s="104"/>
      <c r="E19" s="104"/>
      <c r="F19" s="104"/>
      <c r="G19" s="104"/>
      <c r="H19" s="104"/>
      <c r="I19" s="104"/>
      <c r="J19" s="104"/>
      <c r="K19" s="104"/>
    </row>
    <row r="20" spans="2:11" ht="15" customHeight="1" x14ac:dyDescent="0.25">
      <c r="B20" s="104"/>
      <c r="C20" s="104"/>
      <c r="D20" s="104"/>
      <c r="E20" s="104"/>
      <c r="F20" s="104"/>
      <c r="G20" s="104"/>
      <c r="H20" s="104"/>
      <c r="I20" s="104"/>
      <c r="J20" s="104"/>
      <c r="K20" s="104"/>
    </row>
    <row r="21" spans="2:11" ht="15" customHeight="1" x14ac:dyDescent="0.25">
      <c r="B21" s="104"/>
      <c r="C21" s="104"/>
      <c r="D21" s="104"/>
      <c r="E21" s="104"/>
      <c r="F21" s="104"/>
      <c r="G21" s="104"/>
      <c r="H21" s="104"/>
      <c r="I21" s="104"/>
      <c r="J21" s="104"/>
      <c r="K21" s="104"/>
    </row>
    <row r="22" spans="2:11" ht="15" customHeight="1" x14ac:dyDescent="0.25">
      <c r="B22" s="104"/>
      <c r="C22" s="104"/>
      <c r="D22" s="104"/>
      <c r="E22" s="104"/>
      <c r="F22" s="104"/>
      <c r="G22" s="104"/>
      <c r="H22" s="104"/>
      <c r="I22" s="104"/>
      <c r="J22" s="104"/>
      <c r="K22" s="104"/>
    </row>
    <row r="23" spans="2:11" ht="15" customHeight="1" x14ac:dyDescent="0.25">
      <c r="B23" s="104"/>
      <c r="C23" s="104"/>
      <c r="D23" s="104"/>
      <c r="E23" s="104"/>
      <c r="F23" s="104"/>
      <c r="G23" s="104"/>
      <c r="H23" s="104"/>
      <c r="I23" s="104"/>
      <c r="J23" s="104"/>
      <c r="K23" s="104"/>
    </row>
    <row r="24" spans="2:11" ht="15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  <c r="K24" s="104"/>
    </row>
    <row r="25" spans="2:11" ht="15" customHeight="1" x14ac:dyDescent="0.25">
      <c r="B25" s="104"/>
      <c r="C25" s="104"/>
      <c r="D25" s="104"/>
      <c r="E25" s="104"/>
      <c r="F25" s="104"/>
      <c r="G25" s="104"/>
      <c r="H25" s="104"/>
      <c r="I25" s="104"/>
      <c r="J25" s="104"/>
      <c r="K25" s="104"/>
    </row>
    <row r="26" spans="2:11" ht="15" customHeight="1" x14ac:dyDescent="0.25">
      <c r="B26" s="104"/>
      <c r="C26" s="104"/>
      <c r="D26" s="104"/>
      <c r="E26" s="104"/>
      <c r="F26" s="104"/>
      <c r="G26" s="104"/>
      <c r="H26" s="104"/>
      <c r="I26" s="104"/>
      <c r="J26" s="104"/>
      <c r="K26" s="104"/>
    </row>
    <row r="27" spans="2:11" ht="15" customHeight="1" x14ac:dyDescent="0.25"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2:11" ht="15" customHeight="1" x14ac:dyDescent="0.25">
      <c r="B28" s="104"/>
      <c r="C28" s="104"/>
      <c r="D28" s="104"/>
      <c r="E28" s="104"/>
      <c r="F28" s="104"/>
      <c r="G28" s="104"/>
      <c r="H28" s="104"/>
      <c r="I28" s="104"/>
      <c r="J28" s="104"/>
      <c r="K28" s="104"/>
    </row>
    <row r="29" spans="2:11" ht="15" customHeight="1" x14ac:dyDescent="0.25">
      <c r="B29" s="104"/>
      <c r="C29" s="104"/>
      <c r="D29" s="104"/>
      <c r="E29" s="104"/>
      <c r="F29" s="104"/>
      <c r="G29" s="104"/>
      <c r="H29" s="104"/>
      <c r="I29" s="104"/>
      <c r="J29" s="104"/>
      <c r="K29" s="104"/>
    </row>
    <row r="30" spans="2:11" ht="15" customHeight="1" x14ac:dyDescent="0.25">
      <c r="B30" s="104"/>
      <c r="C30" s="104"/>
      <c r="D30" s="104"/>
      <c r="E30" s="104"/>
      <c r="F30" s="104"/>
      <c r="G30" s="104"/>
      <c r="H30" s="104"/>
      <c r="I30" s="104"/>
      <c r="J30" s="104"/>
      <c r="K30" s="104"/>
    </row>
    <row r="31" spans="2:11" ht="15" customHeight="1" x14ac:dyDescent="0.25">
      <c r="B31" s="104"/>
      <c r="C31" s="104"/>
      <c r="D31" s="104"/>
      <c r="E31" s="104"/>
      <c r="F31" s="104"/>
      <c r="G31" s="104"/>
      <c r="H31" s="104"/>
      <c r="I31" s="104"/>
      <c r="J31" s="104"/>
      <c r="K31" s="104"/>
    </row>
    <row r="32" spans="2:11" ht="15" customHeight="1" x14ac:dyDescent="0.25">
      <c r="B32" s="104"/>
      <c r="C32" s="104"/>
      <c r="D32" s="104"/>
      <c r="E32" s="104"/>
      <c r="F32" s="104"/>
      <c r="G32" s="104"/>
      <c r="H32" s="104"/>
      <c r="I32" s="104"/>
      <c r="J32" s="104"/>
      <c r="K32" s="104"/>
    </row>
    <row r="33" spans="9:11" ht="15" customHeight="1" x14ac:dyDescent="0.25"/>
    <row r="40" spans="9:11" ht="23.25" x14ac:dyDescent="0.35">
      <c r="I40" s="7"/>
      <c r="J40" s="7"/>
      <c r="K40" s="8" t="s">
        <v>54</v>
      </c>
    </row>
    <row r="41" spans="9:11" ht="23.25" x14ac:dyDescent="0.35">
      <c r="K41" s="8" t="s">
        <v>69</v>
      </c>
    </row>
    <row r="43" spans="9:11" ht="26.25" x14ac:dyDescent="0.4">
      <c r="K43" s="43">
        <v>2023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5:AD53"/>
  <sheetViews>
    <sheetView showGridLines="0" view="pageBreakPreview" topLeftCell="A37" zoomScale="90" zoomScaleNormal="80" zoomScaleSheetLayoutView="90" workbookViewId="0">
      <selection activeCell="B7" sqref="B7:O7"/>
    </sheetView>
  </sheetViews>
  <sheetFormatPr baseColWidth="10" defaultColWidth="11.42578125" defaultRowHeight="18.75" x14ac:dyDescent="0.2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5" spans="2:30" s="10" customFormat="1" ht="60.75" customHeight="1" x14ac:dyDescent="0.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7" spans="2:30" x14ac:dyDescent="0.2">
      <c r="B7" s="109" t="s">
        <v>0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</row>
    <row r="8" spans="2:30" x14ac:dyDescent="0.2">
      <c r="B8" s="110" t="s">
        <v>55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</row>
    <row r="9" spans="2:30" ht="15" customHeight="1" x14ac:dyDescent="0.2">
      <c r="B9" s="111" t="s">
        <v>233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</row>
    <row r="10" spans="2:30" ht="23.25" x14ac:dyDescent="0.2">
      <c r="B10" s="113" t="s">
        <v>260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 spans="2:30" ht="15" customHeight="1" x14ac:dyDescent="0.2"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</row>
    <row r="12" spans="2:30" ht="15" customHeight="1" x14ac:dyDescent="0.2">
      <c r="B12" s="108" t="s">
        <v>56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</row>
    <row r="13" spans="2:30" ht="18.75" customHeight="1" x14ac:dyDescent="0.2">
      <c r="B13" s="107" t="s">
        <v>65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</row>
    <row r="14" spans="2:30" ht="18.75" customHeight="1" x14ac:dyDescent="0.2"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</row>
    <row r="15" spans="2:30" x14ac:dyDescent="0.2"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 x14ac:dyDescent="0.2">
      <c r="B17" s="106" t="s">
        <v>57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 x14ac:dyDescent="0.2">
      <c r="B18" s="107" t="s">
        <v>66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 x14ac:dyDescent="0.2"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ht="18.75" customHeight="1" x14ac:dyDescent="0.2"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 x14ac:dyDescent="0.2"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 x14ac:dyDescent="0.2"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x14ac:dyDescent="0.2">
      <c r="B24" s="106" t="s">
        <v>58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x14ac:dyDescent="0.2">
      <c r="B25" s="107" t="s">
        <v>235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x14ac:dyDescent="0.2"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 x14ac:dyDescent="0.2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 x14ac:dyDescent="0.2"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 x14ac:dyDescent="0.2"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 x14ac:dyDescent="0.2"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 x14ac:dyDescent="0.2"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 x14ac:dyDescent="0.2"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 x14ac:dyDescent="0.2"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x14ac:dyDescent="0.2"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 x14ac:dyDescent="0.2"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ht="18.75" customHeight="1" x14ac:dyDescent="0.2"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 x14ac:dyDescent="0.2"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 x14ac:dyDescent="0.2"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x14ac:dyDescent="0.2">
      <c r="B39" s="106" t="s">
        <v>59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x14ac:dyDescent="0.2">
      <c r="B40" s="107" t="s">
        <v>262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 x14ac:dyDescent="0.2"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 x14ac:dyDescent="0.2"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 x14ac:dyDescent="0.2"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x14ac:dyDescent="0.2"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78.75" customHeight="1" x14ac:dyDescent="0.2">
      <c r="B45" s="106" t="s">
        <v>60</v>
      </c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x14ac:dyDescent="0.2">
      <c r="B46" s="107" t="s">
        <v>68</v>
      </c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 x14ac:dyDescent="0.2"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</row>
    <row r="48" spans="2:30" ht="54.75" customHeight="1" x14ac:dyDescent="0.2"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</row>
    <row r="49" spans="2:15" x14ac:dyDescent="0.2"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</row>
    <row r="50" spans="2:15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2:15" x14ac:dyDescent="0.2">
      <c r="B51" s="106" t="s">
        <v>61</v>
      </c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</row>
    <row r="52" spans="2:15" x14ac:dyDescent="0.2">
      <c r="B52" s="107" t="s">
        <v>67</v>
      </c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</row>
    <row r="53" spans="2:15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7:O7"/>
    <mergeCell ref="B8:O8"/>
    <mergeCell ref="B9:O9"/>
    <mergeCell ref="B10:O10"/>
    <mergeCell ref="Q9:AD14"/>
    <mergeCell ref="B17:O17"/>
    <mergeCell ref="B13:O15"/>
    <mergeCell ref="B40:O44"/>
    <mergeCell ref="B12:O12"/>
    <mergeCell ref="B52:O52"/>
    <mergeCell ref="B18:O22"/>
    <mergeCell ref="B25:O38"/>
    <mergeCell ref="B46:O49"/>
    <mergeCell ref="B45:O45"/>
    <mergeCell ref="B51:O51"/>
    <mergeCell ref="B39:O39"/>
    <mergeCell ref="B24:O2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="83" zoomScaleNormal="70" zoomScaleSheetLayoutView="83" workbookViewId="0">
      <selection activeCell="M11" sqref="M11"/>
    </sheetView>
  </sheetViews>
  <sheetFormatPr baseColWidth="10" defaultColWidth="11.42578125" defaultRowHeight="18.75" x14ac:dyDescent="0.2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 x14ac:dyDescent="0.2">
      <c r="B7" s="109" t="s">
        <v>0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</row>
    <row r="8" spans="2:15" x14ac:dyDescent="0.2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15" s="10" customFormat="1" ht="46.5" customHeight="1" x14ac:dyDescent="0.2">
      <c r="B9" s="111" t="s">
        <v>431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</row>
    <row r="10" spans="2:15" ht="33" customHeight="1" x14ac:dyDescent="0.2">
      <c r="B10" s="113" t="s">
        <v>260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</row>
    <row r="11" spans="2:15" ht="48" customHeight="1" x14ac:dyDescent="0.2"/>
    <row r="12" spans="2:15" ht="19.5" x14ac:dyDescent="0.2">
      <c r="B12" s="124" t="s">
        <v>63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15" ht="19.5" x14ac:dyDescent="0.2">
      <c r="B13" s="111" t="s">
        <v>236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</row>
    <row r="14" spans="2:15" ht="23.25" x14ac:dyDescent="0.2">
      <c r="B14" s="26"/>
      <c r="C14" s="119" t="s">
        <v>237</v>
      </c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27"/>
    </row>
    <row r="15" spans="2:15" ht="23.25" x14ac:dyDescent="0.2">
      <c r="B15" s="26"/>
      <c r="C15" s="120" t="s">
        <v>234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</row>
    <row r="16" spans="2:15" ht="21" x14ac:dyDescent="0.2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 x14ac:dyDescent="0.2">
      <c r="B17" s="108" t="s">
        <v>64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</row>
    <row r="18" spans="2:15" x14ac:dyDescent="0.2">
      <c r="B18" s="16">
        <v>1</v>
      </c>
      <c r="C18" s="116" t="s">
        <v>240</v>
      </c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</row>
    <row r="19" spans="2:15" x14ac:dyDescent="0.2">
      <c r="B19" s="16">
        <v>2</v>
      </c>
      <c r="C19" s="107" t="s">
        <v>241</v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</row>
    <row r="20" spans="2:15" x14ac:dyDescent="0.2">
      <c r="B20" s="16">
        <v>3</v>
      </c>
      <c r="C20" s="117" t="s">
        <v>238</v>
      </c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</row>
    <row r="21" spans="2:15" x14ac:dyDescent="0.2">
      <c r="B21" s="16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</row>
    <row r="22" spans="2:15" x14ac:dyDescent="0.2">
      <c r="B22" s="16"/>
      <c r="C22" s="118" t="s">
        <v>239</v>
      </c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</row>
    <row r="23" spans="2:15" x14ac:dyDescent="0.2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 x14ac:dyDescent="0.2"/>
  <cols>
    <col min="3" max="3" width="21.140625" customWidth="1"/>
    <col min="9" max="9" width="14" customWidth="1"/>
  </cols>
  <sheetData>
    <row r="4" spans="3:9" ht="16.5" x14ac:dyDescent="0.3">
      <c r="C4" s="3" t="s">
        <v>7</v>
      </c>
      <c r="E4" s="2" t="s">
        <v>8</v>
      </c>
      <c r="G4" s="2" t="s">
        <v>9</v>
      </c>
      <c r="I4" s="2" t="s">
        <v>3</v>
      </c>
    </row>
    <row r="5" spans="3:9" ht="16.5" x14ac:dyDescent="0.2">
      <c r="C5" s="5" t="s">
        <v>22</v>
      </c>
      <c r="E5" s="4">
        <v>2010</v>
      </c>
      <c r="G5" s="2" t="s">
        <v>10</v>
      </c>
      <c r="I5" s="2" t="s">
        <v>4</v>
      </c>
    </row>
    <row r="6" spans="3:9" ht="16.5" x14ac:dyDescent="0.2">
      <c r="C6" s="5" t="s">
        <v>23</v>
      </c>
      <c r="E6" s="4">
        <v>2011</v>
      </c>
      <c r="G6" s="2" t="s">
        <v>11</v>
      </c>
      <c r="I6" s="2" t="s">
        <v>5</v>
      </c>
    </row>
    <row r="7" spans="3:9" ht="16.5" x14ac:dyDescent="0.2">
      <c r="C7" s="5" t="s">
        <v>24</v>
      </c>
      <c r="E7" s="4">
        <v>2012</v>
      </c>
      <c r="G7" s="2" t="s">
        <v>12</v>
      </c>
    </row>
    <row r="8" spans="3:9" ht="16.5" x14ac:dyDescent="0.2">
      <c r="C8" s="5" t="s">
        <v>25</v>
      </c>
      <c r="E8" s="4">
        <v>2013</v>
      </c>
      <c r="G8" s="2" t="s">
        <v>13</v>
      </c>
    </row>
    <row r="9" spans="3:9" ht="16.5" x14ac:dyDescent="0.2">
      <c r="C9" s="5" t="s">
        <v>26</v>
      </c>
      <c r="E9" s="4">
        <v>2014</v>
      </c>
      <c r="G9" s="2" t="s">
        <v>14</v>
      </c>
    </row>
    <row r="10" spans="3:9" ht="16.5" x14ac:dyDescent="0.2">
      <c r="C10" s="5" t="s">
        <v>27</v>
      </c>
      <c r="E10" s="4">
        <v>2015</v>
      </c>
      <c r="G10" s="2" t="s">
        <v>15</v>
      </c>
    </row>
    <row r="11" spans="3:9" ht="16.5" x14ac:dyDescent="0.2">
      <c r="C11" s="5" t="s">
        <v>28</v>
      </c>
      <c r="E11" s="4">
        <v>2016</v>
      </c>
      <c r="G11" s="2" t="s">
        <v>16</v>
      </c>
    </row>
    <row r="12" spans="3:9" ht="16.5" x14ac:dyDescent="0.2">
      <c r="C12" s="5" t="s">
        <v>29</v>
      </c>
      <c r="E12" s="4">
        <v>2017</v>
      </c>
      <c r="G12" s="2" t="s">
        <v>17</v>
      </c>
    </row>
    <row r="13" spans="3:9" ht="16.5" x14ac:dyDescent="0.2">
      <c r="C13" s="5" t="s">
        <v>30</v>
      </c>
      <c r="E13" s="4">
        <v>2018</v>
      </c>
      <c r="G13" s="2" t="s">
        <v>18</v>
      </c>
    </row>
    <row r="14" spans="3:9" ht="16.5" x14ac:dyDescent="0.2">
      <c r="C14" s="5" t="s">
        <v>31</v>
      </c>
      <c r="G14" s="2" t="s">
        <v>19</v>
      </c>
    </row>
    <row r="15" spans="3:9" ht="16.5" x14ac:dyDescent="0.2">
      <c r="C15" s="5" t="s">
        <v>32</v>
      </c>
      <c r="G15" s="2" t="s">
        <v>20</v>
      </c>
    </row>
    <row r="16" spans="3:9" ht="16.5" x14ac:dyDescent="0.2">
      <c r="C16" s="5" t="s">
        <v>33</v>
      </c>
      <c r="G16" s="2" t="s">
        <v>21</v>
      </c>
    </row>
    <row r="17" spans="3:3" ht="16.5" x14ac:dyDescent="0.2">
      <c r="C17" s="5" t="s">
        <v>34</v>
      </c>
    </row>
    <row r="18" spans="3:3" ht="16.5" x14ac:dyDescent="0.2">
      <c r="C18" s="5" t="s">
        <v>35</v>
      </c>
    </row>
    <row r="19" spans="3:3" ht="16.5" x14ac:dyDescent="0.2">
      <c r="C19" s="5" t="s">
        <v>36</v>
      </c>
    </row>
    <row r="20" spans="3:3" ht="16.5" x14ac:dyDescent="0.2">
      <c r="C20" s="5" t="s">
        <v>37</v>
      </c>
    </row>
    <row r="21" spans="3:3" ht="16.5" x14ac:dyDescent="0.2">
      <c r="C21" s="5" t="s">
        <v>38</v>
      </c>
    </row>
    <row r="22" spans="3:3" ht="16.5" x14ac:dyDescent="0.2">
      <c r="C22" s="5" t="s">
        <v>39</v>
      </c>
    </row>
    <row r="23" spans="3:3" ht="16.5" x14ac:dyDescent="0.2">
      <c r="C23" s="5" t="s">
        <v>40</v>
      </c>
    </row>
    <row r="24" spans="3:3" ht="16.5" x14ac:dyDescent="0.2">
      <c r="C24" s="5" t="s">
        <v>41</v>
      </c>
    </row>
    <row r="25" spans="3:3" ht="16.5" x14ac:dyDescent="0.2">
      <c r="C25" s="5" t="s">
        <v>42</v>
      </c>
    </row>
    <row r="26" spans="3:3" ht="16.5" x14ac:dyDescent="0.2">
      <c r="C26" s="5" t="s">
        <v>43</v>
      </c>
    </row>
    <row r="27" spans="3:3" ht="16.5" x14ac:dyDescent="0.2">
      <c r="C27" s="5" t="s">
        <v>44</v>
      </c>
    </row>
    <row r="28" spans="3:3" ht="16.5" x14ac:dyDescent="0.2">
      <c r="C28" s="5" t="s">
        <v>45</v>
      </c>
    </row>
    <row r="29" spans="3:3" ht="16.5" x14ac:dyDescent="0.2">
      <c r="C29" s="5" t="s">
        <v>46</v>
      </c>
    </row>
    <row r="30" spans="3:3" ht="16.5" x14ac:dyDescent="0.2">
      <c r="C30" s="5" t="s">
        <v>47</v>
      </c>
    </row>
    <row r="31" spans="3:3" ht="16.5" x14ac:dyDescent="0.2">
      <c r="C31" s="5" t="s">
        <v>48</v>
      </c>
    </row>
    <row r="32" spans="3:3" ht="16.5" x14ac:dyDescent="0.2">
      <c r="C32" s="5" t="s">
        <v>49</v>
      </c>
    </row>
    <row r="33" spans="3:3" ht="16.5" x14ac:dyDescent="0.2">
      <c r="C33" s="5" t="s">
        <v>50</v>
      </c>
    </row>
    <row r="34" spans="3:3" ht="16.5" x14ac:dyDescent="0.2">
      <c r="C34" s="5" t="s">
        <v>51</v>
      </c>
    </row>
    <row r="35" spans="3:3" ht="16.5" x14ac:dyDescent="0.2">
      <c r="C35" s="5" t="s">
        <v>52</v>
      </c>
    </row>
    <row r="36" spans="3:3" ht="16.5" x14ac:dyDescent="0.2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 x14ac:dyDescent="0.2"/>
  <cols>
    <col min="1" max="1" width="26.85546875" customWidth="1"/>
    <col min="3" max="3" width="20.7109375" customWidth="1"/>
  </cols>
  <sheetData>
    <row r="1" spans="1:3" x14ac:dyDescent="0.2">
      <c r="A1" s="21" t="s">
        <v>201</v>
      </c>
      <c r="B1" s="21" t="s">
        <v>9</v>
      </c>
      <c r="C1" t="s">
        <v>3</v>
      </c>
    </row>
    <row r="2" spans="1:3" x14ac:dyDescent="0.2">
      <c r="A2" t="s">
        <v>202</v>
      </c>
      <c r="B2" s="21" t="s">
        <v>10</v>
      </c>
      <c r="C2" t="s">
        <v>4</v>
      </c>
    </row>
    <row r="3" spans="1:3" x14ac:dyDescent="0.2">
      <c r="A3" t="s">
        <v>203</v>
      </c>
      <c r="B3" s="21" t="s">
        <v>11</v>
      </c>
      <c r="C3" t="s">
        <v>232</v>
      </c>
    </row>
    <row r="4" spans="1:3" x14ac:dyDescent="0.2">
      <c r="A4" t="s">
        <v>204</v>
      </c>
      <c r="B4" s="21" t="s">
        <v>12</v>
      </c>
    </row>
    <row r="5" spans="1:3" x14ac:dyDescent="0.2">
      <c r="A5" t="s">
        <v>205</v>
      </c>
      <c r="B5" s="21" t="s">
        <v>13</v>
      </c>
    </row>
    <row r="6" spans="1:3" x14ac:dyDescent="0.2">
      <c r="A6" t="s">
        <v>206</v>
      </c>
      <c r="B6" s="21" t="s">
        <v>14</v>
      </c>
    </row>
    <row r="7" spans="1:3" x14ac:dyDescent="0.2">
      <c r="A7" t="s">
        <v>207</v>
      </c>
      <c r="B7" s="21" t="s">
        <v>15</v>
      </c>
    </row>
    <row r="8" spans="1:3" x14ac:dyDescent="0.2">
      <c r="A8" t="s">
        <v>208</v>
      </c>
      <c r="B8" s="21" t="s">
        <v>16</v>
      </c>
    </row>
    <row r="9" spans="1:3" x14ac:dyDescent="0.2">
      <c r="A9" t="s">
        <v>209</v>
      </c>
      <c r="B9" s="21" t="s">
        <v>17</v>
      </c>
    </row>
    <row r="10" spans="1:3" x14ac:dyDescent="0.2">
      <c r="A10" t="s">
        <v>210</v>
      </c>
      <c r="B10" s="21" t="s">
        <v>18</v>
      </c>
    </row>
    <row r="11" spans="1:3" x14ac:dyDescent="0.2">
      <c r="A11" t="s">
        <v>211</v>
      </c>
      <c r="B11" s="21" t="s">
        <v>19</v>
      </c>
    </row>
    <row r="12" spans="1:3" x14ac:dyDescent="0.2">
      <c r="A12" t="s">
        <v>212</v>
      </c>
      <c r="B12" s="21" t="s">
        <v>20</v>
      </c>
    </row>
    <row r="13" spans="1:3" x14ac:dyDescent="0.2">
      <c r="A13" t="s">
        <v>213</v>
      </c>
      <c r="B13" s="21" t="s">
        <v>21</v>
      </c>
    </row>
    <row r="14" spans="1:3" x14ac:dyDescent="0.2">
      <c r="A14" t="s">
        <v>70</v>
      </c>
      <c r="B14" s="21" t="s">
        <v>10</v>
      </c>
    </row>
    <row r="15" spans="1:3" x14ac:dyDescent="0.2">
      <c r="A15" t="s">
        <v>214</v>
      </c>
      <c r="B15" s="21" t="s">
        <v>11</v>
      </c>
    </row>
    <row r="16" spans="1:3" x14ac:dyDescent="0.2">
      <c r="A16" t="s">
        <v>215</v>
      </c>
      <c r="B16" s="21" t="s">
        <v>12</v>
      </c>
    </row>
    <row r="17" spans="1:2" x14ac:dyDescent="0.2">
      <c r="A17" t="s">
        <v>216</v>
      </c>
      <c r="B17" s="21" t="s">
        <v>13</v>
      </c>
    </row>
    <row r="18" spans="1:2" x14ac:dyDescent="0.2">
      <c r="A18" t="s">
        <v>6</v>
      </c>
      <c r="B18" s="21" t="s">
        <v>14</v>
      </c>
    </row>
    <row r="19" spans="1:2" x14ac:dyDescent="0.2">
      <c r="A19" t="s">
        <v>217</v>
      </c>
      <c r="B19" s="21" t="s">
        <v>15</v>
      </c>
    </row>
    <row r="20" spans="1:2" x14ac:dyDescent="0.2">
      <c r="A20" t="s">
        <v>218</v>
      </c>
      <c r="B20" s="21" t="s">
        <v>16</v>
      </c>
    </row>
    <row r="21" spans="1:2" x14ac:dyDescent="0.2">
      <c r="A21" t="s">
        <v>219</v>
      </c>
      <c r="B21" s="21" t="s">
        <v>17</v>
      </c>
    </row>
    <row r="22" spans="1:2" x14ac:dyDescent="0.2">
      <c r="A22" t="s">
        <v>220</v>
      </c>
      <c r="B22" s="21" t="s">
        <v>18</v>
      </c>
    </row>
    <row r="23" spans="1:2" x14ac:dyDescent="0.2">
      <c r="A23" t="s">
        <v>221</v>
      </c>
      <c r="B23" s="21" t="s">
        <v>19</v>
      </c>
    </row>
    <row r="24" spans="1:2" x14ac:dyDescent="0.2">
      <c r="A24" t="s">
        <v>222</v>
      </c>
      <c r="B24" s="21" t="s">
        <v>20</v>
      </c>
    </row>
    <row r="25" spans="1:2" x14ac:dyDescent="0.2">
      <c r="A25" t="s">
        <v>223</v>
      </c>
      <c r="B25" s="21" t="s">
        <v>21</v>
      </c>
    </row>
    <row r="26" spans="1:2" x14ac:dyDescent="0.2">
      <c r="A26" t="s">
        <v>224</v>
      </c>
    </row>
    <row r="27" spans="1:2" x14ac:dyDescent="0.2">
      <c r="A27" t="s">
        <v>225</v>
      </c>
    </row>
    <row r="28" spans="1:2" x14ac:dyDescent="0.2">
      <c r="A28" t="s">
        <v>226</v>
      </c>
    </row>
    <row r="29" spans="1:2" x14ac:dyDescent="0.2">
      <c r="A29" t="s">
        <v>227</v>
      </c>
    </row>
    <row r="30" spans="1:2" x14ac:dyDescent="0.2">
      <c r="A30" t="s">
        <v>228</v>
      </c>
    </row>
    <row r="31" spans="1:2" x14ac:dyDescent="0.2">
      <c r="A31" t="s">
        <v>229</v>
      </c>
    </row>
    <row r="32" spans="1:2" x14ac:dyDescent="0.2">
      <c r="A32" t="s">
        <v>230</v>
      </c>
    </row>
    <row r="33" spans="1:1" x14ac:dyDescent="0.2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I15" sqref="I15"/>
    </sheetView>
  </sheetViews>
  <sheetFormatPr baseColWidth="10" defaultColWidth="11.42578125" defaultRowHeight="12.75" x14ac:dyDescent="0.2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 x14ac:dyDescent="1.35">
      <c r="B3" s="33"/>
      <c r="C3" s="33"/>
    </row>
    <row r="4" spans="1:228" ht="21.75" customHeight="1" x14ac:dyDescent="0.2">
      <c r="B4" s="101" t="s">
        <v>429</v>
      </c>
      <c r="C4" s="101"/>
    </row>
    <row r="5" spans="1:228" ht="12.75" customHeight="1" x14ac:dyDescent="0.2">
      <c r="B5" s="41" t="s">
        <v>247</v>
      </c>
      <c r="C5" s="41"/>
    </row>
    <row r="6" spans="1:228" s="17" customFormat="1" ht="18" customHeight="1" x14ac:dyDescent="0.3">
      <c r="A6" s="34"/>
      <c r="B6" s="101" t="s">
        <v>0</v>
      </c>
      <c r="C6" s="101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x14ac:dyDescent="0.2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 x14ac:dyDescent="0.3">
      <c r="A8" s="102" t="s">
        <v>248</v>
      </c>
      <c r="B8" s="102"/>
      <c r="C8" s="102"/>
      <c r="D8" s="102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 x14ac:dyDescent="0.2">
      <c r="A10" s="36"/>
      <c r="B10" s="39" t="s">
        <v>242</v>
      </c>
      <c r="C10" s="94" t="s">
        <v>227</v>
      </c>
      <c r="D10" s="36"/>
      <c r="E10" s="36"/>
      <c r="F10" s="36"/>
    </row>
    <row r="11" spans="1:228" ht="18" x14ac:dyDescent="0.25">
      <c r="A11" s="36"/>
      <c r="B11" s="30" t="s">
        <v>243</v>
      </c>
      <c r="C11" s="31">
        <v>2026</v>
      </c>
      <c r="D11" s="36"/>
      <c r="E11" s="36"/>
      <c r="F11" s="36"/>
    </row>
    <row r="12" spans="1:228" ht="18" x14ac:dyDescent="0.25">
      <c r="A12" s="36"/>
      <c r="B12" s="30" t="s">
        <v>244</v>
      </c>
      <c r="C12" s="96" t="s">
        <v>16</v>
      </c>
      <c r="D12" s="36"/>
      <c r="E12" s="36"/>
      <c r="F12" s="36"/>
    </row>
    <row r="13" spans="1:228" ht="18" x14ac:dyDescent="0.25">
      <c r="A13" s="36"/>
      <c r="B13" s="30" t="s">
        <v>249</v>
      </c>
      <c r="C13" s="95">
        <f>A16+B16+C16+D16+E16+F16+G16</f>
        <v>136847</v>
      </c>
    </row>
    <row r="15" spans="1:228" ht="63.6" customHeight="1" x14ac:dyDescent="0.25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 x14ac:dyDescent="0.2">
      <c r="A16" s="54">
        <f>SUM('C01'!D20:'C01'!D79,'C02'!D20:'C02'!D79,'C03'!D20:'C03'!D79,'C04'!D20:'C04'!D79,'C05'!D20:'C05'!D79,'C06'!D20:'C06'!D79)</f>
        <v>3833</v>
      </c>
      <c r="B16" s="54">
        <f>SUM('C01'!D80:'C01'!D122,'C02'!D80:'C02'!D122,'C03'!D80:'C03'!D122,'C04'!D80:'C04'!D122,'C05'!D80:'C05'!D122,'C06'!D80:'C06'!D122)</f>
        <v>2101</v>
      </c>
      <c r="C16" s="54">
        <f>SUM('C01'!D123:'C01'!D263,'C02'!D123:'C02'!D263,'C03'!D123:'C03'!D263,'C04'!D123:'C04'!D263,'C05'!D123:'C05'!D263,'C06'!D123:'C06'!D263)</f>
        <v>15246</v>
      </c>
      <c r="D16" s="54">
        <f>SUM('C01'!D264:'C01'!D273,'C02'!D264:'C02'!D273,'C03'!D264:'C03'!D273,'C04'!D264:'C04'!D273,'C05'!D264:'C05'!D273,'C06'!D264:'C06'!D273)</f>
        <v>723</v>
      </c>
      <c r="E16" s="54">
        <f>SUM('C01'!D274:'C01'!D290,'C02'!D274:'C02'!D290,'C03'!D274:'C03'!D290,'C04'!D274:'C04'!D290,'C05'!D274:'C05'!D290,'C06'!D274:'C06'!D290)</f>
        <v>3114</v>
      </c>
      <c r="F16" s="54">
        <f>SUM('C01'!D291:'C01'!D293,'C02'!D291:'C02'!D293,'C03'!D291:'C03'!D293,'C04'!D291:'C04'!D293,'C05'!D291:'C05'!D293,'C06'!D291:'C06'!D293)</f>
        <v>54</v>
      </c>
      <c r="G16" s="54">
        <f>SUM('C01'!D294:'C01'!D301,'C02'!D294:'C02'!D301,'C03'!D294:'C03'!D301,'C04'!D294:'C04'!D301,'C05'!D294:'C05'!D301,'C06'!D294:'C06'!D301)</f>
        <v>111776</v>
      </c>
    </row>
    <row r="17" spans="1:7" ht="15" x14ac:dyDescent="0.25">
      <c r="A17" s="22"/>
      <c r="B17" s="22"/>
      <c r="C17" s="22"/>
      <c r="D17" s="22"/>
      <c r="E17" s="22"/>
      <c r="F17" s="22"/>
      <c r="G17" s="22"/>
    </row>
    <row r="18" spans="1:7" ht="15" x14ac:dyDescent="0.25">
      <c r="A18" s="55"/>
      <c r="B18" s="55"/>
      <c r="C18" s="55"/>
      <c r="D18" s="55"/>
      <c r="E18" s="93"/>
      <c r="F18" s="93"/>
    </row>
    <row r="19" spans="1:7" s="42" customFormat="1" ht="38.25" x14ac:dyDescent="0.2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 x14ac:dyDescent="0.2">
      <c r="A20" s="57">
        <f t="shared" ref="A20:G20" si="0">IFERROR(A16/$C$13,0)</f>
        <v>2.8009382741309638E-2</v>
      </c>
      <c r="B20" s="57">
        <f t="shared" si="0"/>
        <v>1.535291237659576E-2</v>
      </c>
      <c r="C20" s="57">
        <f t="shared" si="0"/>
        <v>0.11140909190555877</v>
      </c>
      <c r="D20" s="57">
        <f>IFERROR(D16/$C$13,0)</f>
        <v>5.2832725598661277E-3</v>
      </c>
      <c r="E20" s="57">
        <f t="shared" si="0"/>
        <v>2.2755339905149545E-2</v>
      </c>
      <c r="F20" s="57">
        <f t="shared" si="0"/>
        <v>3.9460127003149501E-4</v>
      </c>
      <c r="G20" s="57">
        <f t="shared" si="0"/>
        <v>0.8167953992414887</v>
      </c>
    </row>
    <row r="21" spans="1:7" ht="15" x14ac:dyDescent="0.2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423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86</v>
      </c>
    </row>
    <row r="23" spans="2:7" ht="16.5" x14ac:dyDescent="0.2">
      <c r="B23" s="58">
        <v>10104</v>
      </c>
      <c r="C23" s="59" t="s">
        <v>267</v>
      </c>
      <c r="D23" s="65">
        <v>130</v>
      </c>
    </row>
    <row r="24" spans="2:7" ht="16.5" x14ac:dyDescent="0.2">
      <c r="B24" s="72">
        <v>10105</v>
      </c>
      <c r="C24" s="73" t="s">
        <v>268</v>
      </c>
      <c r="D24" s="74">
        <v>1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4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3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1</v>
      </c>
    </row>
    <row r="31" spans="2:7" ht="16.5" x14ac:dyDescent="0.2">
      <c r="B31" s="58">
        <v>10112</v>
      </c>
      <c r="C31" s="59" t="s">
        <v>275</v>
      </c>
      <c r="D31" s="65">
        <v>8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13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0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1</v>
      </c>
    </row>
    <row r="44" spans="2:4" ht="16.5" x14ac:dyDescent="0.2">
      <c r="B44" s="72">
        <v>10204</v>
      </c>
      <c r="C44" s="73" t="s">
        <v>288</v>
      </c>
      <c r="D44" s="74">
        <v>58</v>
      </c>
    </row>
    <row r="45" spans="2:4" ht="16.5" x14ac:dyDescent="0.2">
      <c r="B45" s="58">
        <v>10205</v>
      </c>
      <c r="C45" s="59" t="s">
        <v>289</v>
      </c>
      <c r="D45" s="65">
        <v>2</v>
      </c>
    </row>
    <row r="46" spans="2:4" ht="16.5" x14ac:dyDescent="0.2">
      <c r="B46" s="72">
        <v>10206</v>
      </c>
      <c r="C46" s="73" t="s">
        <v>290</v>
      </c>
      <c r="D46" s="74">
        <v>7</v>
      </c>
    </row>
    <row r="47" spans="2:4" ht="16.5" x14ac:dyDescent="0.2">
      <c r="B47" s="58">
        <v>10207</v>
      </c>
      <c r="C47" s="59" t="s">
        <v>291</v>
      </c>
      <c r="D47" s="65">
        <v>11</v>
      </c>
    </row>
    <row r="48" spans="2:4" ht="16.5" x14ac:dyDescent="0.2">
      <c r="B48" s="72">
        <v>10208</v>
      </c>
      <c r="C48" s="73" t="s">
        <v>292</v>
      </c>
      <c r="D48" s="74">
        <v>4</v>
      </c>
    </row>
    <row r="49" spans="2:4" ht="16.5" x14ac:dyDescent="0.2">
      <c r="B49" s="58">
        <v>10209</v>
      </c>
      <c r="C49" s="59" t="s">
        <v>293</v>
      </c>
      <c r="D49" s="65">
        <v>2</v>
      </c>
    </row>
    <row r="50" spans="2:4" ht="16.5" x14ac:dyDescent="0.2">
      <c r="B50" s="72">
        <v>10210</v>
      </c>
      <c r="C50" s="73" t="s">
        <v>294</v>
      </c>
      <c r="D50" s="74">
        <v>7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1</v>
      </c>
    </row>
    <row r="53" spans="2:4" ht="16.5" x14ac:dyDescent="0.2">
      <c r="B53" s="58">
        <v>10213</v>
      </c>
      <c r="C53" s="59" t="s">
        <v>296</v>
      </c>
      <c r="D53" s="65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22</v>
      </c>
    </row>
    <row r="61" spans="2:4" ht="16.5" x14ac:dyDescent="0.2">
      <c r="B61" s="58">
        <v>10301</v>
      </c>
      <c r="C61" s="59" t="s">
        <v>304</v>
      </c>
      <c r="D61" s="65">
        <v>1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3</v>
      </c>
    </row>
    <row r="64" spans="2:4" ht="16.5" x14ac:dyDescent="0.2">
      <c r="B64" s="72">
        <v>10304</v>
      </c>
      <c r="C64" s="73" t="s">
        <v>307</v>
      </c>
      <c r="D64" s="74">
        <v>1</v>
      </c>
    </row>
    <row r="65" spans="2:4" ht="16.5" x14ac:dyDescent="0.2">
      <c r="B65" s="58">
        <v>10305</v>
      </c>
      <c r="C65" s="59" t="s">
        <v>308</v>
      </c>
      <c r="D65" s="65">
        <v>20</v>
      </c>
    </row>
    <row r="66" spans="2:4" ht="16.5" x14ac:dyDescent="0.2">
      <c r="B66" s="72">
        <v>10306</v>
      </c>
      <c r="C66" s="73" t="s">
        <v>309</v>
      </c>
      <c r="D66" s="74">
        <v>2</v>
      </c>
    </row>
    <row r="67" spans="2:4" ht="16.5" x14ac:dyDescent="0.2">
      <c r="B67" s="58">
        <v>10307</v>
      </c>
      <c r="C67" s="59" t="s">
        <v>74</v>
      </c>
      <c r="D67" s="65">
        <v>36</v>
      </c>
    </row>
    <row r="68" spans="2:4" ht="16.5" x14ac:dyDescent="0.2">
      <c r="B68" s="72">
        <v>10308</v>
      </c>
      <c r="C68" s="73" t="s">
        <v>310</v>
      </c>
      <c r="D68" s="74">
        <v>51</v>
      </c>
    </row>
    <row r="69" spans="2:4" ht="16.5" x14ac:dyDescent="0.2">
      <c r="B69" s="58">
        <v>10309</v>
      </c>
      <c r="C69" s="59" t="s">
        <v>311</v>
      </c>
      <c r="D69" s="65">
        <v>6</v>
      </c>
    </row>
    <row r="70" spans="2:4" ht="16.5" x14ac:dyDescent="0.2">
      <c r="B70" s="72">
        <v>10310</v>
      </c>
      <c r="C70" s="73" t="s">
        <v>312</v>
      </c>
      <c r="D70" s="74">
        <v>177</v>
      </c>
    </row>
    <row r="71" spans="2:4" ht="16.5" x14ac:dyDescent="0.2">
      <c r="B71" s="58">
        <v>10311</v>
      </c>
      <c r="C71" s="59" t="s">
        <v>313</v>
      </c>
      <c r="D71" s="65">
        <v>5</v>
      </c>
    </row>
    <row r="72" spans="2:4" ht="16.5" x14ac:dyDescent="0.2">
      <c r="B72" s="72">
        <v>10312</v>
      </c>
      <c r="C72" s="73" t="s">
        <v>314</v>
      </c>
      <c r="D72" s="74">
        <v>5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6</v>
      </c>
    </row>
    <row r="75" spans="2:4" ht="16.5" x14ac:dyDescent="0.2">
      <c r="B75" s="58">
        <v>10315</v>
      </c>
      <c r="C75" s="59" t="s">
        <v>317</v>
      </c>
      <c r="D75" s="65">
        <v>9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31</v>
      </c>
    </row>
    <row r="78" spans="2:4" ht="16.5" x14ac:dyDescent="0.2">
      <c r="B78" s="72">
        <v>10318</v>
      </c>
      <c r="C78" s="73" t="s">
        <v>320</v>
      </c>
      <c r="D78" s="74">
        <v>24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54</v>
      </c>
    </row>
    <row r="83" spans="2:4" ht="16.5" x14ac:dyDescent="0.2">
      <c r="B83" s="61">
        <v>20104</v>
      </c>
      <c r="C83" s="62" t="s">
        <v>79</v>
      </c>
      <c r="D83" s="60">
        <v>8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2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19</v>
      </c>
    </row>
    <row r="90" spans="2:4" ht="16.5" x14ac:dyDescent="0.3">
      <c r="B90" s="75">
        <v>20111</v>
      </c>
      <c r="C90" s="76" t="s">
        <v>327</v>
      </c>
      <c r="D90" s="77">
        <v>8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1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35</v>
      </c>
    </row>
    <row r="95" spans="2:4" ht="16.5" x14ac:dyDescent="0.2">
      <c r="B95" s="61">
        <v>20202</v>
      </c>
      <c r="C95" s="62" t="s">
        <v>84</v>
      </c>
      <c r="D95" s="60">
        <v>1</v>
      </c>
    </row>
    <row r="96" spans="2:4" ht="16.5" x14ac:dyDescent="0.3">
      <c r="B96" s="75">
        <v>20203</v>
      </c>
      <c r="C96" s="76" t="s">
        <v>85</v>
      </c>
      <c r="D96" s="77">
        <v>106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23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17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16</v>
      </c>
    </row>
    <row r="111" spans="2:4" ht="16.5" x14ac:dyDescent="0.2">
      <c r="B111" s="61">
        <v>20304</v>
      </c>
      <c r="C111" s="62" t="s">
        <v>334</v>
      </c>
      <c r="D111" s="60">
        <v>3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1</v>
      </c>
    </row>
    <row r="115" spans="2:4" ht="16.5" x14ac:dyDescent="0.2">
      <c r="B115" s="61">
        <v>20308</v>
      </c>
      <c r="C115" s="62" t="s">
        <v>338</v>
      </c>
      <c r="D115" s="60">
        <v>4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304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12</v>
      </c>
    </row>
    <row r="122" spans="2:4" ht="16.5" x14ac:dyDescent="0.3">
      <c r="B122" s="75">
        <v>20404</v>
      </c>
      <c r="C122" s="76" t="s">
        <v>345</v>
      </c>
      <c r="D122" s="77">
        <v>7</v>
      </c>
    </row>
    <row r="123" spans="2:4" ht="16.5" x14ac:dyDescent="0.2">
      <c r="B123" s="66">
        <v>30101</v>
      </c>
      <c r="C123" s="67" t="s">
        <v>346</v>
      </c>
      <c r="D123" s="68">
        <v>57</v>
      </c>
    </row>
    <row r="124" spans="2:4" ht="16.5" x14ac:dyDescent="0.2">
      <c r="B124" s="63">
        <v>30102</v>
      </c>
      <c r="C124" s="64" t="s">
        <v>95</v>
      </c>
      <c r="D124" s="60">
        <v>11</v>
      </c>
    </row>
    <row r="125" spans="2:4" ht="16.5" x14ac:dyDescent="0.2">
      <c r="B125" s="66">
        <v>30103</v>
      </c>
      <c r="C125" s="67" t="s">
        <v>75</v>
      </c>
      <c r="D125" s="68">
        <v>50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36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44</v>
      </c>
    </row>
    <row r="130" spans="2:4" ht="16.5" x14ac:dyDescent="0.2">
      <c r="B130" s="63">
        <v>30205</v>
      </c>
      <c r="C130" s="64" t="s">
        <v>348</v>
      </c>
      <c r="D130" s="60">
        <v>2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3</v>
      </c>
    </row>
    <row r="135" spans="2:4" ht="16.5" x14ac:dyDescent="0.2">
      <c r="B135" s="66">
        <v>30303</v>
      </c>
      <c r="C135" s="67" t="s">
        <v>351</v>
      </c>
      <c r="D135" s="68">
        <v>2</v>
      </c>
    </row>
    <row r="136" spans="2:4" ht="16.5" x14ac:dyDescent="0.2">
      <c r="B136" s="63">
        <v>30304</v>
      </c>
      <c r="C136" s="64" t="s">
        <v>101</v>
      </c>
      <c r="D136" s="60">
        <v>1</v>
      </c>
    </row>
    <row r="137" spans="2:4" ht="16.5" x14ac:dyDescent="0.2">
      <c r="B137" s="66">
        <v>30305</v>
      </c>
      <c r="C137" s="67" t="s">
        <v>102</v>
      </c>
      <c r="D137" s="68">
        <v>42</v>
      </c>
    </row>
    <row r="138" spans="2:4" ht="16.5" x14ac:dyDescent="0.2">
      <c r="B138" s="63">
        <v>30306</v>
      </c>
      <c r="C138" s="64" t="s">
        <v>103</v>
      </c>
      <c r="D138" s="60">
        <v>3</v>
      </c>
    </row>
    <row r="139" spans="2:4" ht="16.5" x14ac:dyDescent="0.2">
      <c r="B139" s="66">
        <v>30307</v>
      </c>
      <c r="C139" s="67" t="s">
        <v>104</v>
      </c>
      <c r="D139" s="68">
        <v>93</v>
      </c>
    </row>
    <row r="140" spans="2:4" ht="16.5" x14ac:dyDescent="0.2">
      <c r="B140" s="63">
        <v>30308</v>
      </c>
      <c r="C140" s="64" t="s">
        <v>352</v>
      </c>
      <c r="D140" s="60">
        <v>354</v>
      </c>
    </row>
    <row r="141" spans="2:4" ht="16.5" x14ac:dyDescent="0.2">
      <c r="B141" s="66">
        <v>30309</v>
      </c>
      <c r="C141" s="67" t="s">
        <v>353</v>
      </c>
      <c r="D141" s="68">
        <v>296</v>
      </c>
    </row>
    <row r="142" spans="2:4" ht="16.5" x14ac:dyDescent="0.2">
      <c r="B142" s="63">
        <v>30310</v>
      </c>
      <c r="C142" s="64" t="s">
        <v>354</v>
      </c>
      <c r="D142" s="60">
        <v>237</v>
      </c>
    </row>
    <row r="143" spans="2:4" ht="16.5" x14ac:dyDescent="0.2">
      <c r="B143" s="66">
        <v>30401</v>
      </c>
      <c r="C143" s="67" t="s">
        <v>355</v>
      </c>
      <c r="D143" s="68">
        <v>161</v>
      </c>
    </row>
    <row r="144" spans="2:4" ht="16.5" x14ac:dyDescent="0.2">
      <c r="B144" s="63">
        <v>30402</v>
      </c>
      <c r="C144" s="64" t="s">
        <v>356</v>
      </c>
      <c r="D144" s="60">
        <v>3</v>
      </c>
    </row>
    <row r="145" spans="2:4" ht="16.5" x14ac:dyDescent="0.2">
      <c r="B145" s="66">
        <v>30403</v>
      </c>
      <c r="C145" s="67" t="s">
        <v>357</v>
      </c>
      <c r="D145" s="68">
        <v>3</v>
      </c>
    </row>
    <row r="146" spans="2:4" ht="16.5" x14ac:dyDescent="0.2">
      <c r="B146" s="63">
        <v>30404</v>
      </c>
      <c r="C146" s="64" t="s">
        <v>105</v>
      </c>
      <c r="D146" s="60">
        <v>42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1</v>
      </c>
    </row>
    <row r="149" spans="2:4" ht="16.5" x14ac:dyDescent="0.2">
      <c r="B149" s="66">
        <v>30407</v>
      </c>
      <c r="C149" s="67" t="s">
        <v>358</v>
      </c>
      <c r="D149" s="68">
        <v>2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2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36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4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5</v>
      </c>
    </row>
    <row r="162" spans="2:4" ht="16.5" x14ac:dyDescent="0.2">
      <c r="B162" s="63">
        <v>30420</v>
      </c>
      <c r="C162" s="64" t="s">
        <v>119</v>
      </c>
      <c r="D162" s="60">
        <v>20</v>
      </c>
    </row>
    <row r="163" spans="2:4" ht="16.5" x14ac:dyDescent="0.2">
      <c r="B163" s="66">
        <v>30421</v>
      </c>
      <c r="C163" s="67" t="s">
        <v>120</v>
      </c>
      <c r="D163" s="68">
        <v>5</v>
      </c>
    </row>
    <row r="164" spans="2:4" ht="16.5" x14ac:dyDescent="0.2">
      <c r="B164" s="63">
        <v>30422</v>
      </c>
      <c r="C164" s="64" t="s">
        <v>121</v>
      </c>
      <c r="D164" s="60">
        <v>11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3</v>
      </c>
    </row>
    <row r="172" spans="2:4" ht="16.5" x14ac:dyDescent="0.2">
      <c r="B172" s="63">
        <v>30430</v>
      </c>
      <c r="C172" s="64" t="s">
        <v>129</v>
      </c>
      <c r="D172" s="60">
        <v>23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1</v>
      </c>
    </row>
    <row r="187" spans="2:4" ht="16.5" x14ac:dyDescent="0.2">
      <c r="B187" s="66">
        <v>30445</v>
      </c>
      <c r="C187" s="67" t="s">
        <v>366</v>
      </c>
      <c r="D187" s="68">
        <v>2</v>
      </c>
    </row>
    <row r="188" spans="2:4" ht="16.5" x14ac:dyDescent="0.2">
      <c r="B188" s="63">
        <v>30446</v>
      </c>
      <c r="C188" s="64" t="s">
        <v>367</v>
      </c>
      <c r="D188" s="60">
        <v>38</v>
      </c>
    </row>
    <row r="189" spans="2:4" ht="16.5" x14ac:dyDescent="0.2">
      <c r="B189" s="66">
        <v>30501</v>
      </c>
      <c r="C189" s="67" t="s">
        <v>139</v>
      </c>
      <c r="D189" s="68">
        <v>6</v>
      </c>
    </row>
    <row r="190" spans="2:4" ht="16.5" x14ac:dyDescent="0.2">
      <c r="B190" s="63">
        <v>30502</v>
      </c>
      <c r="C190" s="64" t="s">
        <v>140</v>
      </c>
      <c r="D190" s="60">
        <v>199</v>
      </c>
    </row>
    <row r="191" spans="2:4" ht="16.5" x14ac:dyDescent="0.2">
      <c r="B191" s="66">
        <v>30503</v>
      </c>
      <c r="C191" s="67" t="s">
        <v>141</v>
      </c>
      <c r="D191" s="68">
        <v>146</v>
      </c>
    </row>
    <row r="192" spans="2:4" ht="16.5" x14ac:dyDescent="0.2">
      <c r="B192" s="63">
        <v>30504</v>
      </c>
      <c r="C192" s="64" t="s">
        <v>368</v>
      </c>
      <c r="D192" s="60">
        <v>107</v>
      </c>
    </row>
    <row r="193" spans="2:4" ht="16.5" x14ac:dyDescent="0.2">
      <c r="B193" s="66">
        <v>30505</v>
      </c>
      <c r="C193" s="67" t="s">
        <v>369</v>
      </c>
      <c r="D193" s="68">
        <v>20</v>
      </c>
    </row>
    <row r="194" spans="2:4" ht="16.5" x14ac:dyDescent="0.2">
      <c r="B194" s="63">
        <v>30601</v>
      </c>
      <c r="C194" s="64" t="s">
        <v>142</v>
      </c>
      <c r="D194" s="60">
        <v>14</v>
      </c>
    </row>
    <row r="195" spans="2:4" ht="16.5" x14ac:dyDescent="0.2">
      <c r="B195" s="66">
        <v>30602</v>
      </c>
      <c r="C195" s="67" t="s">
        <v>143</v>
      </c>
      <c r="D195" s="68">
        <v>21</v>
      </c>
    </row>
    <row r="196" spans="2:4" ht="16.5" x14ac:dyDescent="0.2">
      <c r="B196" s="63">
        <v>30603</v>
      </c>
      <c r="C196" s="64" t="s">
        <v>144</v>
      </c>
      <c r="D196" s="60">
        <v>5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34</v>
      </c>
    </row>
    <row r="200" spans="2:4" ht="16.5" x14ac:dyDescent="0.2">
      <c r="B200" s="63">
        <v>30607</v>
      </c>
      <c r="C200" s="64" t="s">
        <v>146</v>
      </c>
      <c r="D200" s="60">
        <v>3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13</v>
      </c>
    </row>
    <row r="203" spans="2:4" ht="16.5" x14ac:dyDescent="0.2">
      <c r="B203" s="66">
        <v>30610</v>
      </c>
      <c r="C203" s="67" t="s">
        <v>373</v>
      </c>
      <c r="D203" s="68">
        <v>3</v>
      </c>
    </row>
    <row r="204" spans="2:4" ht="16.5" x14ac:dyDescent="0.2">
      <c r="B204" s="63">
        <v>30611</v>
      </c>
      <c r="C204" s="64" t="s">
        <v>374</v>
      </c>
      <c r="D204" s="60">
        <v>13</v>
      </c>
    </row>
    <row r="205" spans="2:4" ht="16.5" x14ac:dyDescent="0.2">
      <c r="B205" s="66">
        <v>30701</v>
      </c>
      <c r="C205" s="67" t="s">
        <v>148</v>
      </c>
      <c r="D205" s="68">
        <v>3</v>
      </c>
    </row>
    <row r="206" spans="2:4" ht="16.5" x14ac:dyDescent="0.2">
      <c r="B206" s="63">
        <v>30702</v>
      </c>
      <c r="C206" s="64" t="s">
        <v>149</v>
      </c>
      <c r="D206" s="60">
        <v>12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2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1</v>
      </c>
    </row>
    <row r="212" spans="2:4" ht="16.5" x14ac:dyDescent="0.2">
      <c r="B212" s="63">
        <v>30708</v>
      </c>
      <c r="C212" s="64" t="s">
        <v>375</v>
      </c>
      <c r="D212" s="60">
        <v>2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1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67</v>
      </c>
    </row>
    <row r="229" spans="2:4" ht="16.5" x14ac:dyDescent="0.2">
      <c r="B229" s="66">
        <v>30904</v>
      </c>
      <c r="C229" s="67" t="s">
        <v>183</v>
      </c>
      <c r="D229" s="68">
        <v>236</v>
      </c>
    </row>
    <row r="230" spans="2:4" ht="16.5" x14ac:dyDescent="0.2">
      <c r="B230" s="63">
        <v>30905</v>
      </c>
      <c r="C230" s="64" t="s">
        <v>159</v>
      </c>
      <c r="D230" s="60">
        <v>7</v>
      </c>
    </row>
    <row r="231" spans="2:4" ht="16.5" x14ac:dyDescent="0.2">
      <c r="B231" s="66">
        <v>30906</v>
      </c>
      <c r="C231" s="67" t="s">
        <v>160</v>
      </c>
      <c r="D231" s="68">
        <v>1</v>
      </c>
    </row>
    <row r="232" spans="2:4" ht="16.5" x14ac:dyDescent="0.2">
      <c r="B232" s="63">
        <v>30907</v>
      </c>
      <c r="C232" s="64" t="s">
        <v>161</v>
      </c>
      <c r="D232" s="60">
        <v>352</v>
      </c>
    </row>
    <row r="233" spans="2:4" ht="16.5" x14ac:dyDescent="0.2">
      <c r="B233" s="66">
        <v>30908</v>
      </c>
      <c r="C233" s="67" t="s">
        <v>162</v>
      </c>
      <c r="D233" s="68">
        <v>5</v>
      </c>
    </row>
    <row r="234" spans="2:4" ht="16.5" x14ac:dyDescent="0.2">
      <c r="B234" s="63">
        <v>30909</v>
      </c>
      <c r="C234" s="64" t="s">
        <v>383</v>
      </c>
      <c r="D234" s="60">
        <v>13</v>
      </c>
    </row>
    <row r="235" spans="2:4" ht="16.5" x14ac:dyDescent="0.2">
      <c r="B235" s="66">
        <v>31001</v>
      </c>
      <c r="C235" s="67" t="s">
        <v>164</v>
      </c>
      <c r="D235" s="68">
        <v>85</v>
      </c>
    </row>
    <row r="236" spans="2:4" ht="16.5" x14ac:dyDescent="0.2">
      <c r="B236" s="63">
        <v>31002</v>
      </c>
      <c r="C236" s="64" t="s">
        <v>384</v>
      </c>
      <c r="D236" s="60">
        <v>29</v>
      </c>
    </row>
    <row r="237" spans="2:4" ht="16.5" x14ac:dyDescent="0.2">
      <c r="B237" s="66">
        <v>31003</v>
      </c>
      <c r="C237" s="67" t="s">
        <v>165</v>
      </c>
      <c r="D237" s="68">
        <v>5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3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236</v>
      </c>
    </row>
    <row r="251" spans="2:4" ht="16.5" x14ac:dyDescent="0.2">
      <c r="B251" s="66">
        <v>31102</v>
      </c>
      <c r="C251" s="67" t="s">
        <v>173</v>
      </c>
      <c r="D251" s="68">
        <v>70</v>
      </c>
    </row>
    <row r="252" spans="2:4" ht="16.5" x14ac:dyDescent="0.2">
      <c r="B252" s="63">
        <v>31103</v>
      </c>
      <c r="C252" s="64" t="s">
        <v>175</v>
      </c>
      <c r="D252" s="60">
        <v>21</v>
      </c>
    </row>
    <row r="253" spans="2:4" ht="16.5" x14ac:dyDescent="0.2">
      <c r="B253" s="66">
        <v>31104</v>
      </c>
      <c r="C253" s="67" t="s">
        <v>176</v>
      </c>
      <c r="D253" s="68">
        <v>13</v>
      </c>
    </row>
    <row r="254" spans="2:4" ht="16.5" x14ac:dyDescent="0.2">
      <c r="B254" s="63">
        <v>31105</v>
      </c>
      <c r="C254" s="64" t="s">
        <v>177</v>
      </c>
      <c r="D254" s="60">
        <v>23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41</v>
      </c>
    </row>
    <row r="262" spans="2:4" ht="16.5" x14ac:dyDescent="0.2">
      <c r="B262" s="63">
        <v>31113</v>
      </c>
      <c r="C262" s="64" t="s">
        <v>181</v>
      </c>
      <c r="D262" s="60">
        <v>19</v>
      </c>
    </row>
    <row r="263" spans="2:4" ht="16.5" x14ac:dyDescent="0.2">
      <c r="B263" s="66">
        <v>31114</v>
      </c>
      <c r="C263" s="67" t="s">
        <v>396</v>
      </c>
      <c r="D263" s="68">
        <v>122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12</v>
      </c>
    </row>
    <row r="266" spans="2:4" ht="16.5" x14ac:dyDescent="0.2">
      <c r="B266" s="69">
        <v>40103</v>
      </c>
      <c r="C266" s="70" t="s">
        <v>188</v>
      </c>
      <c r="D266" s="71">
        <v>1</v>
      </c>
    </row>
    <row r="267" spans="2:4" ht="16.5" x14ac:dyDescent="0.2">
      <c r="B267" s="63">
        <v>40104</v>
      </c>
      <c r="C267" s="64" t="s">
        <v>189</v>
      </c>
      <c r="D267" s="60">
        <v>6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31</v>
      </c>
    </row>
    <row r="270" spans="2:4" ht="16.5" x14ac:dyDescent="0.2">
      <c r="B270" s="69">
        <v>40107</v>
      </c>
      <c r="C270" s="70" t="s">
        <v>196</v>
      </c>
      <c r="D270" s="71">
        <v>44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2</v>
      </c>
    </row>
    <row r="273" spans="2:4" ht="16.5" x14ac:dyDescent="0.2">
      <c r="B273" s="63">
        <v>40110</v>
      </c>
      <c r="C273" s="64" t="s">
        <v>190</v>
      </c>
      <c r="D273" s="60">
        <v>1</v>
      </c>
    </row>
    <row r="274" spans="2:4" ht="16.5" x14ac:dyDescent="0.2">
      <c r="B274" s="78">
        <v>50101</v>
      </c>
      <c r="C274" s="79" t="s">
        <v>398</v>
      </c>
      <c r="D274" s="80">
        <v>1</v>
      </c>
    </row>
    <row r="275" spans="2:4" ht="16.5" x14ac:dyDescent="0.2">
      <c r="B275" s="63">
        <v>50102</v>
      </c>
      <c r="C275" s="64" t="s">
        <v>399</v>
      </c>
      <c r="D275" s="60">
        <v>16</v>
      </c>
    </row>
    <row r="276" spans="2:4" ht="16.5" x14ac:dyDescent="0.2">
      <c r="B276" s="78">
        <v>50103</v>
      </c>
      <c r="C276" s="79" t="s">
        <v>400</v>
      </c>
      <c r="D276" s="80">
        <v>1</v>
      </c>
    </row>
    <row r="277" spans="2:4" ht="16.5" x14ac:dyDescent="0.2">
      <c r="B277" s="63">
        <v>50104</v>
      </c>
      <c r="C277" s="64" t="s">
        <v>108</v>
      </c>
      <c r="D277" s="60">
        <v>2</v>
      </c>
    </row>
    <row r="278" spans="2:4" ht="16.5" x14ac:dyDescent="0.2">
      <c r="B278" s="78">
        <v>50105</v>
      </c>
      <c r="C278" s="79" t="s">
        <v>182</v>
      </c>
      <c r="D278" s="80">
        <v>142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42</v>
      </c>
    </row>
    <row r="281" spans="2:4" ht="16.5" x14ac:dyDescent="0.2">
      <c r="B281" s="63">
        <v>50108</v>
      </c>
      <c r="C281" s="64" t="s">
        <v>402</v>
      </c>
      <c r="D281" s="60">
        <v>12</v>
      </c>
    </row>
    <row r="282" spans="2:4" ht="16.5" x14ac:dyDescent="0.2">
      <c r="B282" s="78">
        <v>50201</v>
      </c>
      <c r="C282" s="79" t="s">
        <v>403</v>
      </c>
      <c r="D282" s="80">
        <v>1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11</v>
      </c>
    </row>
    <row r="285" spans="2:4" ht="16.5" x14ac:dyDescent="0.2">
      <c r="B285" s="63">
        <v>50301</v>
      </c>
      <c r="C285" s="64" t="s">
        <v>406</v>
      </c>
      <c r="D285" s="60">
        <v>274</v>
      </c>
    </row>
    <row r="286" spans="2:4" ht="16.5" x14ac:dyDescent="0.2">
      <c r="B286" s="78">
        <v>50302</v>
      </c>
      <c r="C286" s="79" t="s">
        <v>407</v>
      </c>
      <c r="D286" s="80">
        <v>2</v>
      </c>
    </row>
    <row r="287" spans="2:4" ht="16.5" x14ac:dyDescent="0.2">
      <c r="B287" s="63">
        <v>50303</v>
      </c>
      <c r="C287" s="64" t="s">
        <v>185</v>
      </c>
      <c r="D287" s="60">
        <v>20</v>
      </c>
    </row>
    <row r="288" spans="2:4" ht="16.5" x14ac:dyDescent="0.2">
      <c r="B288" s="78">
        <v>50304</v>
      </c>
      <c r="C288" s="79" t="s">
        <v>186</v>
      </c>
      <c r="D288" s="80">
        <v>2</v>
      </c>
    </row>
    <row r="289" spans="2:4" ht="16.5" x14ac:dyDescent="0.2">
      <c r="B289" s="63">
        <v>50305</v>
      </c>
      <c r="C289" s="64" t="s">
        <v>408</v>
      </c>
      <c r="D289" s="60">
        <v>35</v>
      </c>
    </row>
    <row r="290" spans="2:4" ht="16.5" x14ac:dyDescent="0.2">
      <c r="B290" s="78">
        <v>50306</v>
      </c>
      <c r="C290" s="79" t="s">
        <v>409</v>
      </c>
      <c r="D290" s="80">
        <v>14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2</v>
      </c>
    </row>
    <row r="293" spans="2:4" ht="16.5" x14ac:dyDescent="0.2">
      <c r="B293" s="81">
        <v>60103</v>
      </c>
      <c r="C293" s="82" t="s">
        <v>411</v>
      </c>
      <c r="D293" s="83">
        <v>21</v>
      </c>
    </row>
    <row r="294" spans="2:4" ht="16.5" x14ac:dyDescent="0.2">
      <c r="B294" s="84">
        <v>70101</v>
      </c>
      <c r="C294" s="85" t="s">
        <v>412</v>
      </c>
      <c r="D294" s="86">
        <v>264</v>
      </c>
    </row>
    <row r="295" spans="2:4" ht="16.5" x14ac:dyDescent="0.2">
      <c r="B295" s="63">
        <v>70102</v>
      </c>
      <c r="C295" s="64" t="s">
        <v>198</v>
      </c>
      <c r="D295" s="60">
        <v>10</v>
      </c>
    </row>
    <row r="296" spans="2:4" ht="16.5" x14ac:dyDescent="0.2">
      <c r="B296" s="84">
        <v>70103</v>
      </c>
      <c r="C296" s="85" t="s">
        <v>199</v>
      </c>
      <c r="D296" s="97">
        <v>162</v>
      </c>
    </row>
    <row r="297" spans="2:4" ht="16.5" x14ac:dyDescent="0.2">
      <c r="B297" s="63">
        <v>70104</v>
      </c>
      <c r="C297" s="64" t="s">
        <v>413</v>
      </c>
      <c r="D297" s="98">
        <v>9701</v>
      </c>
    </row>
    <row r="298" spans="2:4" ht="16.5" x14ac:dyDescent="0.2">
      <c r="B298" s="84">
        <v>70105</v>
      </c>
      <c r="C298" s="85" t="s">
        <v>200</v>
      </c>
      <c r="D298" s="86">
        <v>2278</v>
      </c>
    </row>
    <row r="299" spans="2:4" ht="16.5" x14ac:dyDescent="0.2">
      <c r="B299" s="63">
        <v>70106</v>
      </c>
      <c r="C299" s="64" t="s">
        <v>414</v>
      </c>
      <c r="D299" s="60">
        <v>70</v>
      </c>
    </row>
    <row r="300" spans="2:4" ht="16.5" x14ac:dyDescent="0.2">
      <c r="B300" s="84">
        <v>70107</v>
      </c>
      <c r="C300" s="85" t="s">
        <v>415</v>
      </c>
      <c r="D300" s="86">
        <v>891</v>
      </c>
    </row>
    <row r="301" spans="2:4" ht="17.25" thickBot="1" x14ac:dyDescent="0.25">
      <c r="B301" s="87">
        <v>70108</v>
      </c>
      <c r="C301" s="88" t="s">
        <v>416</v>
      </c>
      <c r="D301" s="99">
        <v>2718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21694</v>
      </c>
    </row>
  </sheetData>
  <sheetProtection algorithmName="SHA-512" hashValue="owS8Gn4V1zC93mU5AQZ+BYo0MU76dxERLj/6ter9drQZ786sVEWqCIVHSHJi4pu4s+t9TpHWI3lYpXLHJx6TwQ==" saltValue="BWflUfMzwIoXJevzZnfz1w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424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25</v>
      </c>
    </row>
    <row r="23" spans="2:7" ht="16.5" x14ac:dyDescent="0.2">
      <c r="B23" s="58">
        <v>10104</v>
      </c>
      <c r="C23" s="59" t="s">
        <v>267</v>
      </c>
      <c r="D23" s="65">
        <v>76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0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4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7</v>
      </c>
    </row>
    <row r="41" spans="2:4" ht="16.5" x14ac:dyDescent="0.2">
      <c r="B41" s="58">
        <v>10201</v>
      </c>
      <c r="C41" s="59" t="s">
        <v>285</v>
      </c>
      <c r="D41" s="65">
        <v>2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1</v>
      </c>
    </row>
    <row r="44" spans="2:4" ht="16.5" x14ac:dyDescent="0.2">
      <c r="B44" s="72">
        <v>10204</v>
      </c>
      <c r="C44" s="73" t="s">
        <v>288</v>
      </c>
      <c r="D44" s="74">
        <v>52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3</v>
      </c>
    </row>
    <row r="47" spans="2:4" ht="16.5" x14ac:dyDescent="0.2">
      <c r="B47" s="58">
        <v>10207</v>
      </c>
      <c r="C47" s="59" t="s">
        <v>291</v>
      </c>
      <c r="D47" s="65">
        <v>6</v>
      </c>
    </row>
    <row r="48" spans="2:4" ht="16.5" x14ac:dyDescent="0.2">
      <c r="B48" s="72">
        <v>10208</v>
      </c>
      <c r="C48" s="73" t="s">
        <v>292</v>
      </c>
      <c r="D48" s="74">
        <v>1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4</v>
      </c>
    </row>
    <row r="51" spans="2:4" ht="16.5" x14ac:dyDescent="0.2">
      <c r="B51" s="58">
        <v>10211</v>
      </c>
      <c r="C51" s="59" t="s">
        <v>76</v>
      </c>
      <c r="D51" s="65">
        <v>1</v>
      </c>
    </row>
    <row r="52" spans="2:4" ht="16.5" x14ac:dyDescent="0.2">
      <c r="B52" s="72">
        <v>10212</v>
      </c>
      <c r="C52" s="73" t="s">
        <v>295</v>
      </c>
      <c r="D52" s="74">
        <v>3</v>
      </c>
    </row>
    <row r="53" spans="2:4" ht="16.5" x14ac:dyDescent="0.2">
      <c r="B53" s="58">
        <v>10213</v>
      </c>
      <c r="C53" s="59" t="s">
        <v>296</v>
      </c>
      <c r="D53" s="65">
        <v>0</v>
      </c>
    </row>
    <row r="54" spans="2:4" ht="16.5" x14ac:dyDescent="0.2">
      <c r="B54" s="72">
        <v>10214</v>
      </c>
      <c r="C54" s="73" t="s">
        <v>297</v>
      </c>
      <c r="D54" s="74">
        <v>1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1</v>
      </c>
    </row>
    <row r="61" spans="2:4" ht="16.5" x14ac:dyDescent="0.2">
      <c r="B61" s="58">
        <v>10301</v>
      </c>
      <c r="C61" s="59" t="s">
        <v>304</v>
      </c>
      <c r="D61" s="65">
        <v>2</v>
      </c>
    </row>
    <row r="62" spans="2:4" ht="16.5" x14ac:dyDescent="0.2">
      <c r="B62" s="72">
        <v>10302</v>
      </c>
      <c r="C62" s="73" t="s">
        <v>305</v>
      </c>
      <c r="D62" s="74">
        <v>1</v>
      </c>
    </row>
    <row r="63" spans="2:4" ht="16.5" x14ac:dyDescent="0.2">
      <c r="B63" s="58">
        <v>10303</v>
      </c>
      <c r="C63" s="59" t="s">
        <v>306</v>
      </c>
      <c r="D63" s="65">
        <v>1</v>
      </c>
    </row>
    <row r="64" spans="2:4" ht="16.5" x14ac:dyDescent="0.2">
      <c r="B64" s="72">
        <v>10304</v>
      </c>
      <c r="C64" s="73" t="s">
        <v>307</v>
      </c>
      <c r="D64" s="74">
        <v>3</v>
      </c>
    </row>
    <row r="65" spans="2:4" ht="16.5" x14ac:dyDescent="0.2">
      <c r="B65" s="58">
        <v>10305</v>
      </c>
      <c r="C65" s="59" t="s">
        <v>308</v>
      </c>
      <c r="D65" s="65">
        <v>20</v>
      </c>
    </row>
    <row r="66" spans="2:4" ht="16.5" x14ac:dyDescent="0.2">
      <c r="B66" s="72">
        <v>10306</v>
      </c>
      <c r="C66" s="73" t="s">
        <v>309</v>
      </c>
      <c r="D66" s="74">
        <v>1</v>
      </c>
    </row>
    <row r="67" spans="2:4" ht="16.5" x14ac:dyDescent="0.2">
      <c r="B67" s="58">
        <v>10307</v>
      </c>
      <c r="C67" s="59" t="s">
        <v>74</v>
      </c>
      <c r="D67" s="65">
        <v>29</v>
      </c>
    </row>
    <row r="68" spans="2:4" ht="16.5" x14ac:dyDescent="0.2">
      <c r="B68" s="72">
        <v>10308</v>
      </c>
      <c r="C68" s="73" t="s">
        <v>310</v>
      </c>
      <c r="D68" s="74">
        <v>8</v>
      </c>
    </row>
    <row r="69" spans="2:4" ht="16.5" x14ac:dyDescent="0.2">
      <c r="B69" s="58">
        <v>10309</v>
      </c>
      <c r="C69" s="59" t="s">
        <v>311</v>
      </c>
      <c r="D69" s="65">
        <v>0</v>
      </c>
    </row>
    <row r="70" spans="2:4" ht="16.5" x14ac:dyDescent="0.2">
      <c r="B70" s="72">
        <v>10310</v>
      </c>
      <c r="C70" s="73" t="s">
        <v>312</v>
      </c>
      <c r="D70" s="74">
        <v>170</v>
      </c>
    </row>
    <row r="71" spans="2:4" ht="16.5" x14ac:dyDescent="0.2">
      <c r="B71" s="58">
        <v>10311</v>
      </c>
      <c r="C71" s="59" t="s">
        <v>313</v>
      </c>
      <c r="D71" s="65">
        <v>1</v>
      </c>
    </row>
    <row r="72" spans="2:4" ht="16.5" x14ac:dyDescent="0.2">
      <c r="B72" s="72">
        <v>10312</v>
      </c>
      <c r="C72" s="73" t="s">
        <v>314</v>
      </c>
      <c r="D72" s="74">
        <v>4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2</v>
      </c>
    </row>
    <row r="75" spans="2:4" ht="16.5" x14ac:dyDescent="0.2">
      <c r="B75" s="58">
        <v>10315</v>
      </c>
      <c r="C75" s="59" t="s">
        <v>317</v>
      </c>
      <c r="D75" s="65">
        <v>1</v>
      </c>
    </row>
    <row r="76" spans="2:4" ht="16.5" x14ac:dyDescent="0.2">
      <c r="B76" s="72">
        <v>10316</v>
      </c>
      <c r="C76" s="73" t="s">
        <v>318</v>
      </c>
      <c r="D76" s="74">
        <v>2</v>
      </c>
    </row>
    <row r="77" spans="2:4" ht="16.5" x14ac:dyDescent="0.2">
      <c r="B77" s="58">
        <v>10317</v>
      </c>
      <c r="C77" s="59" t="s">
        <v>319</v>
      </c>
      <c r="D77" s="65">
        <v>69</v>
      </c>
    </row>
    <row r="78" spans="2:4" ht="16.5" x14ac:dyDescent="0.2">
      <c r="B78" s="72">
        <v>10318</v>
      </c>
      <c r="C78" s="73" t="s">
        <v>320</v>
      </c>
      <c r="D78" s="74">
        <v>9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12</v>
      </c>
    </row>
    <row r="83" spans="2:4" ht="16.5" x14ac:dyDescent="0.2">
      <c r="B83" s="61">
        <v>20104</v>
      </c>
      <c r="C83" s="62" t="s">
        <v>79</v>
      </c>
      <c r="D83" s="60">
        <v>9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2</v>
      </c>
    </row>
    <row r="88" spans="2:4" ht="16.5" x14ac:dyDescent="0.3">
      <c r="B88" s="75">
        <v>20109</v>
      </c>
      <c r="C88" s="76" t="s">
        <v>325</v>
      </c>
      <c r="D88" s="77">
        <v>3</v>
      </c>
    </row>
    <row r="89" spans="2:4" ht="16.5" x14ac:dyDescent="0.2">
      <c r="B89" s="61">
        <v>20110</v>
      </c>
      <c r="C89" s="62" t="s">
        <v>326</v>
      </c>
      <c r="D89" s="60">
        <v>27</v>
      </c>
    </row>
    <row r="90" spans="2:4" ht="16.5" x14ac:dyDescent="0.3">
      <c r="B90" s="75">
        <v>20111</v>
      </c>
      <c r="C90" s="76" t="s">
        <v>327</v>
      </c>
      <c r="D90" s="77">
        <v>3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1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0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2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22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10</v>
      </c>
    </row>
    <row r="111" spans="2:4" ht="16.5" x14ac:dyDescent="0.2">
      <c r="B111" s="61">
        <v>20304</v>
      </c>
      <c r="C111" s="62" t="s">
        <v>334</v>
      </c>
      <c r="D111" s="60">
        <v>1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6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87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7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5</v>
      </c>
    </row>
    <row r="124" spans="2:4" ht="16.5" x14ac:dyDescent="0.2">
      <c r="B124" s="63">
        <v>30102</v>
      </c>
      <c r="C124" s="64" t="s">
        <v>95</v>
      </c>
      <c r="D124" s="60">
        <v>0</v>
      </c>
    </row>
    <row r="125" spans="2:4" ht="16.5" x14ac:dyDescent="0.2">
      <c r="B125" s="66">
        <v>30103</v>
      </c>
      <c r="C125" s="67" t="s">
        <v>75</v>
      </c>
      <c r="D125" s="68">
        <v>40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0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4</v>
      </c>
    </row>
    <row r="130" spans="2:4" ht="16.5" x14ac:dyDescent="0.2">
      <c r="B130" s="63">
        <v>30205</v>
      </c>
      <c r="C130" s="64" t="s">
        <v>348</v>
      </c>
      <c r="D130" s="60">
        <v>3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0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9</v>
      </c>
    </row>
    <row r="140" spans="2:4" ht="16.5" x14ac:dyDescent="0.2">
      <c r="B140" s="63">
        <v>30308</v>
      </c>
      <c r="C140" s="64" t="s">
        <v>352</v>
      </c>
      <c r="D140" s="60">
        <v>13</v>
      </c>
    </row>
    <row r="141" spans="2:4" ht="16.5" x14ac:dyDescent="0.2">
      <c r="B141" s="66">
        <v>30309</v>
      </c>
      <c r="C141" s="67" t="s">
        <v>353</v>
      </c>
      <c r="D141" s="68">
        <v>162</v>
      </c>
    </row>
    <row r="142" spans="2:4" ht="16.5" x14ac:dyDescent="0.2">
      <c r="B142" s="63">
        <v>30310</v>
      </c>
      <c r="C142" s="64" t="s">
        <v>354</v>
      </c>
      <c r="D142" s="60">
        <v>78</v>
      </c>
    </row>
    <row r="143" spans="2:4" ht="16.5" x14ac:dyDescent="0.2">
      <c r="B143" s="66">
        <v>30401</v>
      </c>
      <c r="C143" s="67" t="s">
        <v>355</v>
      </c>
      <c r="D143" s="68">
        <v>206</v>
      </c>
    </row>
    <row r="144" spans="2:4" ht="16.5" x14ac:dyDescent="0.2">
      <c r="B144" s="63">
        <v>30402</v>
      </c>
      <c r="C144" s="64" t="s">
        <v>356</v>
      </c>
      <c r="D144" s="60">
        <v>23</v>
      </c>
    </row>
    <row r="145" spans="2:4" ht="16.5" x14ac:dyDescent="0.2">
      <c r="B145" s="66">
        <v>30403</v>
      </c>
      <c r="C145" s="67" t="s">
        <v>357</v>
      </c>
      <c r="D145" s="68">
        <v>0</v>
      </c>
    </row>
    <row r="146" spans="2:4" ht="16.5" x14ac:dyDescent="0.2">
      <c r="B146" s="63">
        <v>30404</v>
      </c>
      <c r="C146" s="64" t="s">
        <v>105</v>
      </c>
      <c r="D146" s="60">
        <v>5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0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3</v>
      </c>
    </row>
    <row r="162" spans="2:4" ht="16.5" x14ac:dyDescent="0.2">
      <c r="B162" s="63">
        <v>30420</v>
      </c>
      <c r="C162" s="64" t="s">
        <v>119</v>
      </c>
      <c r="D162" s="60">
        <v>2</v>
      </c>
    </row>
    <row r="163" spans="2:4" ht="16.5" x14ac:dyDescent="0.2">
      <c r="B163" s="66">
        <v>30421</v>
      </c>
      <c r="C163" s="67" t="s">
        <v>120</v>
      </c>
      <c r="D163" s="68">
        <v>0</v>
      </c>
    </row>
    <row r="164" spans="2:4" ht="16.5" x14ac:dyDescent="0.2">
      <c r="B164" s="63">
        <v>30422</v>
      </c>
      <c r="C164" s="64" t="s">
        <v>121</v>
      </c>
      <c r="D164" s="60">
        <v>0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1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3</v>
      </c>
    </row>
    <row r="189" spans="2:4" ht="16.5" x14ac:dyDescent="0.2">
      <c r="B189" s="66">
        <v>30501</v>
      </c>
      <c r="C189" s="67" t="s">
        <v>139</v>
      </c>
      <c r="D189" s="68">
        <v>5</v>
      </c>
    </row>
    <row r="190" spans="2:4" ht="16.5" x14ac:dyDescent="0.2">
      <c r="B190" s="63">
        <v>30502</v>
      </c>
      <c r="C190" s="64" t="s">
        <v>140</v>
      </c>
      <c r="D190" s="60">
        <v>90</v>
      </c>
    </row>
    <row r="191" spans="2:4" ht="16.5" x14ac:dyDescent="0.2">
      <c r="B191" s="66">
        <v>30503</v>
      </c>
      <c r="C191" s="67" t="s">
        <v>141</v>
      </c>
      <c r="D191" s="68">
        <v>69</v>
      </c>
    </row>
    <row r="192" spans="2:4" ht="16.5" x14ac:dyDescent="0.2">
      <c r="B192" s="63">
        <v>30504</v>
      </c>
      <c r="C192" s="64" t="s">
        <v>368</v>
      </c>
      <c r="D192" s="60">
        <v>10</v>
      </c>
    </row>
    <row r="193" spans="2:4" ht="16.5" x14ac:dyDescent="0.2">
      <c r="B193" s="66">
        <v>30505</v>
      </c>
      <c r="C193" s="67" t="s">
        <v>369</v>
      </c>
      <c r="D193" s="68">
        <v>3</v>
      </c>
    </row>
    <row r="194" spans="2:4" ht="16.5" x14ac:dyDescent="0.2">
      <c r="B194" s="63">
        <v>30601</v>
      </c>
      <c r="C194" s="64" t="s">
        <v>142</v>
      </c>
      <c r="D194" s="60">
        <v>1</v>
      </c>
    </row>
    <row r="195" spans="2:4" ht="16.5" x14ac:dyDescent="0.2">
      <c r="B195" s="66">
        <v>30602</v>
      </c>
      <c r="C195" s="67" t="s">
        <v>143</v>
      </c>
      <c r="D195" s="68">
        <v>7</v>
      </c>
    </row>
    <row r="196" spans="2:4" ht="16.5" x14ac:dyDescent="0.2">
      <c r="B196" s="63">
        <v>30603</v>
      </c>
      <c r="C196" s="64" t="s">
        <v>144</v>
      </c>
      <c r="D196" s="60">
        <v>0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1</v>
      </c>
    </row>
    <row r="200" spans="2:4" ht="16.5" x14ac:dyDescent="0.2">
      <c r="B200" s="63">
        <v>30607</v>
      </c>
      <c r="C200" s="64" t="s">
        <v>146</v>
      </c>
      <c r="D200" s="60">
        <v>0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0</v>
      </c>
    </row>
    <row r="205" spans="2:4" ht="16.5" x14ac:dyDescent="0.2">
      <c r="B205" s="66">
        <v>30701</v>
      </c>
      <c r="C205" s="67" t="s">
        <v>148</v>
      </c>
      <c r="D205" s="68">
        <v>1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1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1</v>
      </c>
    </row>
    <row r="229" spans="2:4" ht="16.5" x14ac:dyDescent="0.2">
      <c r="B229" s="66">
        <v>30904</v>
      </c>
      <c r="C229" s="67" t="s">
        <v>183</v>
      </c>
      <c r="D229" s="68">
        <v>8</v>
      </c>
    </row>
    <row r="230" spans="2:4" ht="16.5" x14ac:dyDescent="0.2">
      <c r="B230" s="63">
        <v>30905</v>
      </c>
      <c r="C230" s="64" t="s">
        <v>159</v>
      </c>
      <c r="D230" s="60">
        <v>6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67</v>
      </c>
    </row>
    <row r="233" spans="2:4" ht="16.5" x14ac:dyDescent="0.2">
      <c r="B233" s="66">
        <v>30908</v>
      </c>
      <c r="C233" s="67" t="s">
        <v>162</v>
      </c>
      <c r="D233" s="68">
        <v>3</v>
      </c>
    </row>
    <row r="234" spans="2:4" ht="16.5" x14ac:dyDescent="0.2">
      <c r="B234" s="63">
        <v>30909</v>
      </c>
      <c r="C234" s="64" t="s">
        <v>383</v>
      </c>
      <c r="D234" s="60">
        <v>10</v>
      </c>
    </row>
    <row r="235" spans="2:4" ht="16.5" x14ac:dyDescent="0.2">
      <c r="B235" s="66">
        <v>31001</v>
      </c>
      <c r="C235" s="67" t="s">
        <v>164</v>
      </c>
      <c r="D235" s="68">
        <v>9</v>
      </c>
    </row>
    <row r="236" spans="2:4" ht="16.5" x14ac:dyDescent="0.2">
      <c r="B236" s="63">
        <v>31002</v>
      </c>
      <c r="C236" s="64" t="s">
        <v>384</v>
      </c>
      <c r="D236" s="60">
        <v>3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23</v>
      </c>
    </row>
    <row r="251" spans="2:4" ht="16.5" x14ac:dyDescent="0.2">
      <c r="B251" s="66">
        <v>31102</v>
      </c>
      <c r="C251" s="67" t="s">
        <v>173</v>
      </c>
      <c r="D251" s="68">
        <v>2</v>
      </c>
    </row>
    <row r="252" spans="2:4" ht="16.5" x14ac:dyDescent="0.2">
      <c r="B252" s="63">
        <v>31103</v>
      </c>
      <c r="C252" s="64" t="s">
        <v>175</v>
      </c>
      <c r="D252" s="60">
        <v>2</v>
      </c>
    </row>
    <row r="253" spans="2:4" ht="16.5" x14ac:dyDescent="0.2">
      <c r="B253" s="66">
        <v>31104</v>
      </c>
      <c r="C253" s="67" t="s">
        <v>176</v>
      </c>
      <c r="D253" s="68">
        <v>2</v>
      </c>
    </row>
    <row r="254" spans="2:4" ht="16.5" x14ac:dyDescent="0.2">
      <c r="B254" s="63">
        <v>31105</v>
      </c>
      <c r="C254" s="64" t="s">
        <v>177</v>
      </c>
      <c r="D254" s="60">
        <v>2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8</v>
      </c>
    </row>
    <row r="262" spans="2:4" ht="16.5" x14ac:dyDescent="0.2">
      <c r="B262" s="63">
        <v>31113</v>
      </c>
      <c r="C262" s="64" t="s">
        <v>181</v>
      </c>
      <c r="D262" s="60">
        <v>6</v>
      </c>
    </row>
    <row r="263" spans="2:4" ht="16.5" x14ac:dyDescent="0.2">
      <c r="B263" s="66">
        <v>31114</v>
      </c>
      <c r="C263" s="67" t="s">
        <v>396</v>
      </c>
      <c r="D263" s="68">
        <v>22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4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3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22</v>
      </c>
    </row>
    <row r="270" spans="2:4" ht="16.5" x14ac:dyDescent="0.2">
      <c r="B270" s="69">
        <v>40107</v>
      </c>
      <c r="C270" s="70" t="s">
        <v>196</v>
      </c>
      <c r="D270" s="71">
        <v>60</v>
      </c>
    </row>
    <row r="271" spans="2:4" ht="16.5" x14ac:dyDescent="0.2">
      <c r="B271" s="63">
        <v>40108</v>
      </c>
      <c r="C271" s="64" t="s">
        <v>197</v>
      </c>
      <c r="D271" s="60">
        <v>1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2</v>
      </c>
    </row>
    <row r="274" spans="2:4" ht="16.5" x14ac:dyDescent="0.2">
      <c r="B274" s="78">
        <v>50101</v>
      </c>
      <c r="C274" s="79" t="s">
        <v>398</v>
      </c>
      <c r="D274" s="80">
        <v>0</v>
      </c>
    </row>
    <row r="275" spans="2:4" ht="16.5" x14ac:dyDescent="0.2">
      <c r="B275" s="63">
        <v>50102</v>
      </c>
      <c r="C275" s="64" t="s">
        <v>399</v>
      </c>
      <c r="D275" s="60">
        <v>3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56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4</v>
      </c>
    </row>
    <row r="281" spans="2:4" ht="16.5" x14ac:dyDescent="0.2">
      <c r="B281" s="63">
        <v>50108</v>
      </c>
      <c r="C281" s="64" t="s">
        <v>402</v>
      </c>
      <c r="D281" s="60">
        <v>3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1</v>
      </c>
    </row>
    <row r="285" spans="2:4" ht="16.5" x14ac:dyDescent="0.2">
      <c r="B285" s="63">
        <v>50301</v>
      </c>
      <c r="C285" s="64" t="s">
        <v>406</v>
      </c>
      <c r="D285" s="60">
        <v>189</v>
      </c>
    </row>
    <row r="286" spans="2:4" ht="16.5" x14ac:dyDescent="0.2">
      <c r="B286" s="78">
        <v>50302</v>
      </c>
      <c r="C286" s="79" t="s">
        <v>407</v>
      </c>
      <c r="D286" s="80">
        <v>11</v>
      </c>
    </row>
    <row r="287" spans="2:4" ht="16.5" x14ac:dyDescent="0.2">
      <c r="B287" s="63">
        <v>50303</v>
      </c>
      <c r="C287" s="64" t="s">
        <v>185</v>
      </c>
      <c r="D287" s="60">
        <v>2</v>
      </c>
    </row>
    <row r="288" spans="2:4" ht="16.5" x14ac:dyDescent="0.2">
      <c r="B288" s="78">
        <v>50304</v>
      </c>
      <c r="C288" s="79" t="s">
        <v>186</v>
      </c>
      <c r="D288" s="80">
        <v>9</v>
      </c>
    </row>
    <row r="289" spans="2:4" ht="16.5" x14ac:dyDescent="0.2">
      <c r="B289" s="63">
        <v>50305</v>
      </c>
      <c r="C289" s="64" t="s">
        <v>408</v>
      </c>
      <c r="D289" s="60">
        <v>3</v>
      </c>
    </row>
    <row r="290" spans="2:4" ht="16.5" x14ac:dyDescent="0.2">
      <c r="B290" s="78">
        <v>50306</v>
      </c>
      <c r="C290" s="79" t="s">
        <v>409</v>
      </c>
      <c r="D290" s="80">
        <v>1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1</v>
      </c>
    </row>
    <row r="293" spans="2:4" ht="16.5" x14ac:dyDescent="0.2">
      <c r="B293" s="81">
        <v>60103</v>
      </c>
      <c r="C293" s="82" t="s">
        <v>411</v>
      </c>
      <c r="D293" s="83">
        <v>0</v>
      </c>
    </row>
    <row r="294" spans="2:4" ht="16.5" x14ac:dyDescent="0.2">
      <c r="B294" s="84">
        <v>70101</v>
      </c>
      <c r="C294" s="85" t="s">
        <v>412</v>
      </c>
      <c r="D294" s="97">
        <v>331</v>
      </c>
    </row>
    <row r="295" spans="2:4" ht="16.5" x14ac:dyDescent="0.2">
      <c r="B295" s="63">
        <v>70102</v>
      </c>
      <c r="C295" s="64" t="s">
        <v>198</v>
      </c>
      <c r="D295" s="60">
        <v>0</v>
      </c>
    </row>
    <row r="296" spans="2:4" ht="16.5" x14ac:dyDescent="0.2">
      <c r="B296" s="84">
        <v>70103</v>
      </c>
      <c r="C296" s="85" t="s">
        <v>199</v>
      </c>
      <c r="D296" s="86">
        <v>61</v>
      </c>
    </row>
    <row r="297" spans="2:4" ht="16.5" x14ac:dyDescent="0.2">
      <c r="B297" s="63">
        <v>70104</v>
      </c>
      <c r="C297" s="64" t="s">
        <v>413</v>
      </c>
      <c r="D297" s="98">
        <v>6815</v>
      </c>
    </row>
    <row r="298" spans="2:4" ht="16.5" x14ac:dyDescent="0.2">
      <c r="B298" s="84">
        <v>70105</v>
      </c>
      <c r="C298" s="85" t="s">
        <v>200</v>
      </c>
      <c r="D298" s="86">
        <v>394</v>
      </c>
    </row>
    <row r="299" spans="2:4" ht="16.5" x14ac:dyDescent="0.2">
      <c r="B299" s="63">
        <v>70106</v>
      </c>
      <c r="C299" s="64" t="s">
        <v>414</v>
      </c>
      <c r="D299" s="60">
        <v>159</v>
      </c>
    </row>
    <row r="300" spans="2:4" ht="16.5" x14ac:dyDescent="0.2">
      <c r="B300" s="84">
        <v>70107</v>
      </c>
      <c r="C300" s="85" t="s">
        <v>415</v>
      </c>
      <c r="D300" s="97">
        <v>1472</v>
      </c>
    </row>
    <row r="301" spans="2:4" ht="17.25" thickBot="1" x14ac:dyDescent="0.25">
      <c r="B301" s="87">
        <v>70108</v>
      </c>
      <c r="C301" s="88" t="s">
        <v>416</v>
      </c>
      <c r="D301" s="99">
        <v>1443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12672</v>
      </c>
    </row>
  </sheetData>
  <sheetProtection algorithmName="SHA-512" hashValue="Kuc9KUQTy2X+IqHy9JwdbVeiPAzWJdTYTzKgHmakj5hCOQBL/V8Grm1dkUp7TNN5iOV9fuBYjH/k/1CqfSf6nA==" saltValue="LXINPuIrGkekhlUE9lVyu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4" sqref="D14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425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0</v>
      </c>
    </row>
    <row r="23" spans="2:7" ht="16.5" x14ac:dyDescent="0.2">
      <c r="B23" s="58">
        <v>10104</v>
      </c>
      <c r="C23" s="59" t="s">
        <v>267</v>
      </c>
      <c r="D23" s="65">
        <v>0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0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0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0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0</v>
      </c>
    </row>
    <row r="44" spans="2:4" ht="16.5" x14ac:dyDescent="0.2">
      <c r="B44" s="72">
        <v>10204</v>
      </c>
      <c r="C44" s="73" t="s">
        <v>288</v>
      </c>
      <c r="D44" s="74">
        <v>0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0</v>
      </c>
    </row>
    <row r="47" spans="2:4" ht="16.5" x14ac:dyDescent="0.2">
      <c r="B47" s="58">
        <v>10207</v>
      </c>
      <c r="C47" s="59" t="s">
        <v>291</v>
      </c>
      <c r="D47" s="65">
        <v>0</v>
      </c>
    </row>
    <row r="48" spans="2:4" ht="16.5" x14ac:dyDescent="0.2">
      <c r="B48" s="72">
        <v>10208</v>
      </c>
      <c r="C48" s="73" t="s">
        <v>292</v>
      </c>
      <c r="D48" s="74">
        <v>0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0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0</v>
      </c>
    </row>
    <row r="53" spans="2:4" ht="16.5" x14ac:dyDescent="0.2">
      <c r="B53" s="58">
        <v>10213</v>
      </c>
      <c r="C53" s="59" t="s">
        <v>296</v>
      </c>
      <c r="D53" s="65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0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0</v>
      </c>
    </row>
    <row r="64" spans="2:4" ht="16.5" x14ac:dyDescent="0.2">
      <c r="B64" s="72">
        <v>10304</v>
      </c>
      <c r="C64" s="73" t="s">
        <v>307</v>
      </c>
      <c r="D64" s="74">
        <v>0</v>
      </c>
    </row>
    <row r="65" spans="2:4" ht="16.5" x14ac:dyDescent="0.2">
      <c r="B65" s="58">
        <v>10305</v>
      </c>
      <c r="C65" s="59" t="s">
        <v>308</v>
      </c>
      <c r="D65" s="65">
        <v>0</v>
      </c>
    </row>
    <row r="66" spans="2:4" ht="16.5" x14ac:dyDescent="0.2">
      <c r="B66" s="72">
        <v>10306</v>
      </c>
      <c r="C66" s="73" t="s">
        <v>309</v>
      </c>
      <c r="D66" s="74">
        <v>0</v>
      </c>
    </row>
    <row r="67" spans="2:4" ht="16.5" x14ac:dyDescent="0.2">
      <c r="B67" s="58">
        <v>10307</v>
      </c>
      <c r="C67" s="59" t="s">
        <v>74</v>
      </c>
      <c r="D67" s="65">
        <v>0</v>
      </c>
    </row>
    <row r="68" spans="2:4" ht="16.5" x14ac:dyDescent="0.2">
      <c r="B68" s="72">
        <v>10308</v>
      </c>
      <c r="C68" s="73" t="s">
        <v>310</v>
      </c>
      <c r="D68" s="74">
        <v>0</v>
      </c>
    </row>
    <row r="69" spans="2:4" ht="16.5" x14ac:dyDescent="0.2">
      <c r="B69" s="58">
        <v>10309</v>
      </c>
      <c r="C69" s="59" t="s">
        <v>311</v>
      </c>
      <c r="D69" s="65">
        <v>0</v>
      </c>
    </row>
    <row r="70" spans="2:4" ht="16.5" x14ac:dyDescent="0.2">
      <c r="B70" s="72">
        <v>10310</v>
      </c>
      <c r="C70" s="73" t="s">
        <v>312</v>
      </c>
      <c r="D70" s="74">
        <v>0</v>
      </c>
    </row>
    <row r="71" spans="2:4" ht="16.5" x14ac:dyDescent="0.2">
      <c r="B71" s="58">
        <v>10311</v>
      </c>
      <c r="C71" s="59" t="s">
        <v>313</v>
      </c>
      <c r="D71" s="65">
        <v>0</v>
      </c>
    </row>
    <row r="72" spans="2:4" ht="16.5" x14ac:dyDescent="0.2">
      <c r="B72" s="72">
        <v>10312</v>
      </c>
      <c r="C72" s="73" t="s">
        <v>314</v>
      </c>
      <c r="D72" s="74">
        <v>0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0</v>
      </c>
    </row>
    <row r="75" spans="2:4" ht="16.5" x14ac:dyDescent="0.2">
      <c r="B75" s="58">
        <v>10315</v>
      </c>
      <c r="C75" s="59" t="s">
        <v>317</v>
      </c>
      <c r="D75" s="65">
        <v>0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0</v>
      </c>
    </row>
    <row r="78" spans="2:4" ht="16.5" x14ac:dyDescent="0.2">
      <c r="B78" s="72">
        <v>10318</v>
      </c>
      <c r="C78" s="73" t="s">
        <v>320</v>
      </c>
      <c r="D78" s="74">
        <v>0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0</v>
      </c>
    </row>
    <row r="83" spans="2:4" ht="16.5" x14ac:dyDescent="0.2">
      <c r="B83" s="61">
        <v>20104</v>
      </c>
      <c r="C83" s="62" t="s">
        <v>79</v>
      </c>
      <c r="D83" s="60">
        <v>0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0</v>
      </c>
    </row>
    <row r="90" spans="2:4" ht="16.5" x14ac:dyDescent="0.3">
      <c r="B90" s="75">
        <v>20111</v>
      </c>
      <c r="C90" s="76" t="s">
        <v>327</v>
      </c>
      <c r="D90" s="77">
        <v>0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0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0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0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0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0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0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0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0</v>
      </c>
    </row>
    <row r="124" spans="2:4" ht="16.5" x14ac:dyDescent="0.2">
      <c r="B124" s="63">
        <v>30102</v>
      </c>
      <c r="C124" s="64" t="s">
        <v>95</v>
      </c>
      <c r="D124" s="60">
        <v>0</v>
      </c>
    </row>
    <row r="125" spans="2:4" ht="16.5" x14ac:dyDescent="0.2">
      <c r="B125" s="66">
        <v>30103</v>
      </c>
      <c r="C125" s="67" t="s">
        <v>75</v>
      </c>
      <c r="D125" s="68">
        <v>0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0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0</v>
      </c>
    </row>
    <row r="130" spans="2:4" ht="16.5" x14ac:dyDescent="0.2">
      <c r="B130" s="63">
        <v>30205</v>
      </c>
      <c r="C130" s="64" t="s">
        <v>348</v>
      </c>
      <c r="D130" s="60">
        <v>0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0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0</v>
      </c>
    </row>
    <row r="140" spans="2:4" ht="16.5" x14ac:dyDescent="0.2">
      <c r="B140" s="63">
        <v>30308</v>
      </c>
      <c r="C140" s="64" t="s">
        <v>352</v>
      </c>
      <c r="D140" s="60">
        <v>0</v>
      </c>
    </row>
    <row r="141" spans="2:4" ht="16.5" x14ac:dyDescent="0.2">
      <c r="B141" s="66">
        <v>30309</v>
      </c>
      <c r="C141" s="67" t="s">
        <v>353</v>
      </c>
      <c r="D141" s="68">
        <v>0</v>
      </c>
    </row>
    <row r="142" spans="2:4" ht="16.5" x14ac:dyDescent="0.2">
      <c r="B142" s="63">
        <v>30310</v>
      </c>
      <c r="C142" s="64" t="s">
        <v>354</v>
      </c>
      <c r="D142" s="60">
        <v>0</v>
      </c>
    </row>
    <row r="143" spans="2:4" ht="16.5" x14ac:dyDescent="0.2">
      <c r="B143" s="66">
        <v>30401</v>
      </c>
      <c r="C143" s="67" t="s">
        <v>355</v>
      </c>
      <c r="D143" s="68">
        <v>0</v>
      </c>
    </row>
    <row r="144" spans="2:4" ht="16.5" x14ac:dyDescent="0.2">
      <c r="B144" s="63">
        <v>30402</v>
      </c>
      <c r="C144" s="64" t="s">
        <v>356</v>
      </c>
      <c r="D144" s="60">
        <v>0</v>
      </c>
    </row>
    <row r="145" spans="2:4" ht="16.5" x14ac:dyDescent="0.2">
      <c r="B145" s="66">
        <v>30403</v>
      </c>
      <c r="C145" s="67" t="s">
        <v>357</v>
      </c>
      <c r="D145" s="68">
        <v>0</v>
      </c>
    </row>
    <row r="146" spans="2:4" ht="16.5" x14ac:dyDescent="0.2">
      <c r="B146" s="63">
        <v>30404</v>
      </c>
      <c r="C146" s="64" t="s">
        <v>105</v>
      </c>
      <c r="D146" s="60">
        <v>0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0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0</v>
      </c>
    </row>
    <row r="162" spans="2:4" ht="16.5" x14ac:dyDescent="0.2">
      <c r="B162" s="63">
        <v>30420</v>
      </c>
      <c r="C162" s="64" t="s">
        <v>119</v>
      </c>
      <c r="D162" s="60">
        <v>0</v>
      </c>
    </row>
    <row r="163" spans="2:4" ht="16.5" x14ac:dyDescent="0.2">
      <c r="B163" s="66">
        <v>30421</v>
      </c>
      <c r="C163" s="67" t="s">
        <v>120</v>
      </c>
      <c r="D163" s="68">
        <v>0</v>
      </c>
    </row>
    <row r="164" spans="2:4" ht="16.5" x14ac:dyDescent="0.2">
      <c r="B164" s="63">
        <v>30422</v>
      </c>
      <c r="C164" s="64" t="s">
        <v>121</v>
      </c>
      <c r="D164" s="60">
        <v>0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0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0</v>
      </c>
    </row>
    <row r="189" spans="2:4" ht="16.5" x14ac:dyDescent="0.2">
      <c r="B189" s="66">
        <v>30501</v>
      </c>
      <c r="C189" s="67" t="s">
        <v>139</v>
      </c>
      <c r="D189" s="68">
        <v>0</v>
      </c>
    </row>
    <row r="190" spans="2:4" ht="16.5" x14ac:dyDescent="0.2">
      <c r="B190" s="63">
        <v>30502</v>
      </c>
      <c r="C190" s="64" t="s">
        <v>140</v>
      </c>
      <c r="D190" s="60">
        <v>0</v>
      </c>
    </row>
    <row r="191" spans="2:4" ht="16.5" x14ac:dyDescent="0.2">
      <c r="B191" s="66">
        <v>30503</v>
      </c>
      <c r="C191" s="67" t="s">
        <v>141</v>
      </c>
      <c r="D191" s="68">
        <v>0</v>
      </c>
    </row>
    <row r="192" spans="2:4" ht="16.5" x14ac:dyDescent="0.2">
      <c r="B192" s="63">
        <v>30504</v>
      </c>
      <c r="C192" s="64" t="s">
        <v>368</v>
      </c>
      <c r="D192" s="60">
        <v>0</v>
      </c>
    </row>
    <row r="193" spans="2:4" ht="16.5" x14ac:dyDescent="0.2">
      <c r="B193" s="66">
        <v>30505</v>
      </c>
      <c r="C193" s="67" t="s">
        <v>369</v>
      </c>
      <c r="D193" s="68">
        <v>0</v>
      </c>
    </row>
    <row r="194" spans="2:4" ht="16.5" x14ac:dyDescent="0.2">
      <c r="B194" s="63">
        <v>30601</v>
      </c>
      <c r="C194" s="64" t="s">
        <v>142</v>
      </c>
      <c r="D194" s="60">
        <v>0</v>
      </c>
    </row>
    <row r="195" spans="2:4" ht="16.5" x14ac:dyDescent="0.2">
      <c r="B195" s="66">
        <v>30602</v>
      </c>
      <c r="C195" s="67" t="s">
        <v>143</v>
      </c>
      <c r="D195" s="68">
        <v>0</v>
      </c>
    </row>
    <row r="196" spans="2:4" ht="16.5" x14ac:dyDescent="0.2">
      <c r="B196" s="63">
        <v>30603</v>
      </c>
      <c r="C196" s="64" t="s">
        <v>144</v>
      </c>
      <c r="D196" s="60">
        <v>0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0</v>
      </c>
    </row>
    <row r="200" spans="2:4" ht="16.5" x14ac:dyDescent="0.2">
      <c r="B200" s="63">
        <v>30607</v>
      </c>
      <c r="C200" s="64" t="s">
        <v>146</v>
      </c>
      <c r="D200" s="60">
        <v>0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0</v>
      </c>
    </row>
    <row r="205" spans="2:4" ht="16.5" x14ac:dyDescent="0.2">
      <c r="B205" s="66">
        <v>30701</v>
      </c>
      <c r="C205" s="67" t="s">
        <v>148</v>
      </c>
      <c r="D205" s="68">
        <v>0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0</v>
      </c>
    </row>
    <row r="229" spans="2:4" ht="16.5" x14ac:dyDescent="0.2">
      <c r="B229" s="66">
        <v>30904</v>
      </c>
      <c r="C229" s="67" t="s">
        <v>183</v>
      </c>
      <c r="D229" s="68">
        <v>0</v>
      </c>
    </row>
    <row r="230" spans="2:4" ht="16.5" x14ac:dyDescent="0.2">
      <c r="B230" s="63">
        <v>30905</v>
      </c>
      <c r="C230" s="64" t="s">
        <v>159</v>
      </c>
      <c r="D230" s="60">
        <v>0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0</v>
      </c>
    </row>
    <row r="233" spans="2:4" ht="16.5" x14ac:dyDescent="0.2">
      <c r="B233" s="66">
        <v>30908</v>
      </c>
      <c r="C233" s="67" t="s">
        <v>162</v>
      </c>
      <c r="D233" s="68">
        <v>0</v>
      </c>
    </row>
    <row r="234" spans="2:4" ht="16.5" x14ac:dyDescent="0.2">
      <c r="B234" s="63">
        <v>30909</v>
      </c>
      <c r="C234" s="64" t="s">
        <v>383</v>
      </c>
      <c r="D234" s="60">
        <v>0</v>
      </c>
    </row>
    <row r="235" spans="2:4" ht="16.5" x14ac:dyDescent="0.2">
      <c r="B235" s="66">
        <v>31001</v>
      </c>
      <c r="C235" s="67" t="s">
        <v>164</v>
      </c>
      <c r="D235" s="68">
        <v>0</v>
      </c>
    </row>
    <row r="236" spans="2:4" ht="16.5" x14ac:dyDescent="0.2">
      <c r="B236" s="63">
        <v>31002</v>
      </c>
      <c r="C236" s="64" t="s">
        <v>384</v>
      </c>
      <c r="D236" s="60">
        <v>0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0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0</v>
      </c>
    </row>
    <row r="251" spans="2:4" ht="16.5" x14ac:dyDescent="0.2">
      <c r="B251" s="66">
        <v>31102</v>
      </c>
      <c r="C251" s="67" t="s">
        <v>173</v>
      </c>
      <c r="D251" s="68">
        <v>0</v>
      </c>
    </row>
    <row r="252" spans="2:4" ht="16.5" x14ac:dyDescent="0.2">
      <c r="B252" s="63">
        <v>31103</v>
      </c>
      <c r="C252" s="64" t="s">
        <v>175</v>
      </c>
      <c r="D252" s="60">
        <v>0</v>
      </c>
    </row>
    <row r="253" spans="2:4" ht="16.5" x14ac:dyDescent="0.2">
      <c r="B253" s="66">
        <v>31104</v>
      </c>
      <c r="C253" s="67" t="s">
        <v>176</v>
      </c>
      <c r="D253" s="68">
        <v>0</v>
      </c>
    </row>
    <row r="254" spans="2:4" ht="16.5" x14ac:dyDescent="0.2">
      <c r="B254" s="63">
        <v>31105</v>
      </c>
      <c r="C254" s="64" t="s">
        <v>177</v>
      </c>
      <c r="D254" s="60">
        <v>0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0</v>
      </c>
    </row>
    <row r="262" spans="2:4" ht="16.5" x14ac:dyDescent="0.2">
      <c r="B262" s="63">
        <v>31113</v>
      </c>
      <c r="C262" s="64" t="s">
        <v>181</v>
      </c>
      <c r="D262" s="60">
        <v>0</v>
      </c>
    </row>
    <row r="263" spans="2:4" ht="16.5" x14ac:dyDescent="0.2">
      <c r="B263" s="66">
        <v>31114</v>
      </c>
      <c r="C263" s="67" t="s">
        <v>396</v>
      </c>
      <c r="D263" s="68">
        <v>0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0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0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0</v>
      </c>
    </row>
    <row r="270" spans="2:4" ht="16.5" x14ac:dyDescent="0.2">
      <c r="B270" s="69">
        <v>40107</v>
      </c>
      <c r="C270" s="70" t="s">
        <v>196</v>
      </c>
      <c r="D270" s="71">
        <v>0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0</v>
      </c>
    </row>
    <row r="274" spans="2:4" ht="16.5" x14ac:dyDescent="0.2">
      <c r="B274" s="78">
        <v>50101</v>
      </c>
      <c r="C274" s="79" t="s">
        <v>398</v>
      </c>
      <c r="D274" s="80">
        <v>0</v>
      </c>
    </row>
    <row r="275" spans="2:4" ht="16.5" x14ac:dyDescent="0.2">
      <c r="B275" s="63">
        <v>50102</v>
      </c>
      <c r="C275" s="64" t="s">
        <v>399</v>
      </c>
      <c r="D275" s="60">
        <v>0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0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0</v>
      </c>
    </row>
    <row r="281" spans="2:4" ht="16.5" x14ac:dyDescent="0.2">
      <c r="B281" s="63">
        <v>50108</v>
      </c>
      <c r="C281" s="64" t="s">
        <v>402</v>
      </c>
      <c r="D281" s="60">
        <v>0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0</v>
      </c>
    </row>
    <row r="285" spans="2:4" ht="16.5" x14ac:dyDescent="0.2">
      <c r="B285" s="63">
        <v>50301</v>
      </c>
      <c r="C285" s="64" t="s">
        <v>406</v>
      </c>
      <c r="D285" s="60">
        <v>0</v>
      </c>
    </row>
    <row r="286" spans="2:4" ht="16.5" x14ac:dyDescent="0.2">
      <c r="B286" s="78">
        <v>50302</v>
      </c>
      <c r="C286" s="79" t="s">
        <v>407</v>
      </c>
      <c r="D286" s="80">
        <v>0</v>
      </c>
    </row>
    <row r="287" spans="2:4" ht="16.5" x14ac:dyDescent="0.2">
      <c r="B287" s="63">
        <v>50303</v>
      </c>
      <c r="C287" s="64" t="s">
        <v>185</v>
      </c>
      <c r="D287" s="60">
        <v>0</v>
      </c>
    </row>
    <row r="288" spans="2:4" ht="16.5" x14ac:dyDescent="0.2">
      <c r="B288" s="78">
        <v>50304</v>
      </c>
      <c r="C288" s="79" t="s">
        <v>186</v>
      </c>
      <c r="D288" s="80">
        <v>0</v>
      </c>
    </row>
    <row r="289" spans="2:4" ht="16.5" x14ac:dyDescent="0.2">
      <c r="B289" s="63">
        <v>50305</v>
      </c>
      <c r="C289" s="64" t="s">
        <v>408</v>
      </c>
      <c r="D289" s="60">
        <v>0</v>
      </c>
    </row>
    <row r="290" spans="2:4" ht="16.5" x14ac:dyDescent="0.2">
      <c r="B290" s="78">
        <v>50306</v>
      </c>
      <c r="C290" s="79" t="s">
        <v>409</v>
      </c>
      <c r="D290" s="80">
        <v>0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0</v>
      </c>
    </row>
    <row r="293" spans="2:4" ht="16.5" x14ac:dyDescent="0.2">
      <c r="B293" s="81">
        <v>60103</v>
      </c>
      <c r="C293" s="82" t="s">
        <v>411</v>
      </c>
      <c r="D293" s="83">
        <v>0</v>
      </c>
    </row>
    <row r="294" spans="2:4" ht="16.5" x14ac:dyDescent="0.2">
      <c r="B294" s="84">
        <v>70101</v>
      </c>
      <c r="C294" s="85" t="s">
        <v>412</v>
      </c>
      <c r="D294" s="86">
        <v>0</v>
      </c>
    </row>
    <row r="295" spans="2:4" ht="16.5" x14ac:dyDescent="0.2">
      <c r="B295" s="63">
        <v>70102</v>
      </c>
      <c r="C295" s="64" t="s">
        <v>198</v>
      </c>
      <c r="D295" s="60">
        <v>0</v>
      </c>
    </row>
    <row r="296" spans="2:4" ht="16.5" x14ac:dyDescent="0.2">
      <c r="B296" s="84">
        <v>70103</v>
      </c>
      <c r="C296" s="85" t="s">
        <v>199</v>
      </c>
      <c r="D296" s="86">
        <v>0</v>
      </c>
    </row>
    <row r="297" spans="2:4" ht="16.5" x14ac:dyDescent="0.2">
      <c r="B297" s="63">
        <v>70104</v>
      </c>
      <c r="C297" s="64" t="s">
        <v>413</v>
      </c>
      <c r="D297" s="60">
        <v>0</v>
      </c>
    </row>
    <row r="298" spans="2:4" ht="16.5" x14ac:dyDescent="0.2">
      <c r="B298" s="84">
        <v>70105</v>
      </c>
      <c r="C298" s="85" t="s">
        <v>200</v>
      </c>
      <c r="D298" s="86">
        <v>0</v>
      </c>
    </row>
    <row r="299" spans="2:4" ht="16.5" x14ac:dyDescent="0.2">
      <c r="B299" s="63">
        <v>70106</v>
      </c>
      <c r="C299" s="64" t="s">
        <v>414</v>
      </c>
      <c r="D299" s="60">
        <v>0</v>
      </c>
    </row>
    <row r="300" spans="2:4" ht="16.5" x14ac:dyDescent="0.2">
      <c r="B300" s="84">
        <v>70107</v>
      </c>
      <c r="C300" s="85" t="s">
        <v>415</v>
      </c>
      <c r="D300" s="86">
        <v>0</v>
      </c>
    </row>
    <row r="301" spans="2:4" ht="17.25" thickBot="1" x14ac:dyDescent="0.25">
      <c r="B301" s="87">
        <v>70108</v>
      </c>
      <c r="C301" s="88" t="s">
        <v>416</v>
      </c>
      <c r="D301" s="89">
        <v>0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0</v>
      </c>
    </row>
  </sheetData>
  <sheetProtection algorithmName="SHA-512" hashValue="cmS1TKW1uJw0RrKhK8uMyhLacVBPrukY0mLHkP7UATknihiRAyjDHq5O2A+r4ByV6mvP0BvLW7looahKMxDSFg==" saltValue="6Hf+WMieAjRn8JVq3w4ZP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426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52</v>
      </c>
    </row>
    <row r="23" spans="2:7" ht="16.5" x14ac:dyDescent="0.2">
      <c r="B23" s="58">
        <v>10104</v>
      </c>
      <c r="C23" s="59" t="s">
        <v>267</v>
      </c>
      <c r="D23" s="65">
        <v>24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203</v>
      </c>
    </row>
    <row r="27" spans="2:7" ht="16.5" x14ac:dyDescent="0.2">
      <c r="B27" s="58">
        <v>10108</v>
      </c>
      <c r="C27" s="59" t="s">
        <v>271</v>
      </c>
      <c r="D27" s="65">
        <v>6</v>
      </c>
    </row>
    <row r="28" spans="2:7" ht="16.5" x14ac:dyDescent="0.2">
      <c r="B28" s="72">
        <v>10109</v>
      </c>
      <c r="C28" s="73" t="s">
        <v>272</v>
      </c>
      <c r="D28" s="74">
        <v>1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2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34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15</v>
      </c>
    </row>
    <row r="41" spans="2:4" ht="16.5" x14ac:dyDescent="0.2">
      <c r="B41" s="58">
        <v>10201</v>
      </c>
      <c r="C41" s="59" t="s">
        <v>285</v>
      </c>
      <c r="D41" s="65">
        <v>3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7</v>
      </c>
    </row>
    <row r="44" spans="2:4" ht="16.5" x14ac:dyDescent="0.2">
      <c r="B44" s="72">
        <v>10204</v>
      </c>
      <c r="C44" s="73" t="s">
        <v>288</v>
      </c>
      <c r="D44" s="74">
        <v>143</v>
      </c>
    </row>
    <row r="45" spans="2:4" ht="16.5" x14ac:dyDescent="0.2">
      <c r="B45" s="58">
        <v>10205</v>
      </c>
      <c r="C45" s="59" t="s">
        <v>289</v>
      </c>
      <c r="D45" s="65">
        <v>3</v>
      </c>
    </row>
    <row r="46" spans="2:4" ht="16.5" x14ac:dyDescent="0.2">
      <c r="B46" s="72">
        <v>10206</v>
      </c>
      <c r="C46" s="73" t="s">
        <v>290</v>
      </c>
      <c r="D46" s="74">
        <v>1</v>
      </c>
    </row>
    <row r="47" spans="2:4" ht="16.5" x14ac:dyDescent="0.2">
      <c r="B47" s="58">
        <v>10207</v>
      </c>
      <c r="C47" s="59" t="s">
        <v>291</v>
      </c>
      <c r="D47" s="65">
        <v>10</v>
      </c>
    </row>
    <row r="48" spans="2:4" ht="16.5" x14ac:dyDescent="0.2">
      <c r="B48" s="72">
        <v>10208</v>
      </c>
      <c r="C48" s="73" t="s">
        <v>292</v>
      </c>
      <c r="D48" s="74">
        <v>17</v>
      </c>
    </row>
    <row r="49" spans="2:4" ht="16.5" x14ac:dyDescent="0.2">
      <c r="B49" s="58">
        <v>10209</v>
      </c>
      <c r="C49" s="59" t="s">
        <v>293</v>
      </c>
      <c r="D49" s="65">
        <v>6</v>
      </c>
    </row>
    <row r="50" spans="2:4" ht="16.5" x14ac:dyDescent="0.2">
      <c r="B50" s="72">
        <v>10210</v>
      </c>
      <c r="C50" s="73" t="s">
        <v>294</v>
      </c>
      <c r="D50" s="74">
        <v>13</v>
      </c>
    </row>
    <row r="51" spans="2:4" ht="16.5" x14ac:dyDescent="0.2">
      <c r="B51" s="58">
        <v>10211</v>
      </c>
      <c r="C51" s="59" t="s">
        <v>76</v>
      </c>
      <c r="D51" s="65">
        <v>2</v>
      </c>
    </row>
    <row r="52" spans="2:4" ht="16.5" x14ac:dyDescent="0.2">
      <c r="B52" s="72">
        <v>10212</v>
      </c>
      <c r="C52" s="73" t="s">
        <v>295</v>
      </c>
      <c r="D52" s="74">
        <v>19</v>
      </c>
    </row>
    <row r="53" spans="2:4" ht="16.5" x14ac:dyDescent="0.2">
      <c r="B53" s="58">
        <v>10213</v>
      </c>
      <c r="C53" s="59" t="s">
        <v>296</v>
      </c>
      <c r="D53" s="65">
        <v>1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6</v>
      </c>
    </row>
    <row r="60" spans="2:4" ht="16.5" x14ac:dyDescent="0.2">
      <c r="B60" s="72">
        <v>10220</v>
      </c>
      <c r="C60" s="73" t="s">
        <v>303</v>
      </c>
      <c r="D60" s="74">
        <v>15</v>
      </c>
    </row>
    <row r="61" spans="2:4" ht="16.5" x14ac:dyDescent="0.2">
      <c r="B61" s="58">
        <v>10301</v>
      </c>
      <c r="C61" s="59" t="s">
        <v>304</v>
      </c>
      <c r="D61" s="65">
        <v>7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14</v>
      </c>
    </row>
    <row r="64" spans="2:4" ht="16.5" x14ac:dyDescent="0.2">
      <c r="B64" s="72">
        <v>10304</v>
      </c>
      <c r="C64" s="73" t="s">
        <v>307</v>
      </c>
      <c r="D64" s="74">
        <v>4</v>
      </c>
    </row>
    <row r="65" spans="2:4" ht="16.5" x14ac:dyDescent="0.2">
      <c r="B65" s="58">
        <v>10305</v>
      </c>
      <c r="C65" s="59" t="s">
        <v>308</v>
      </c>
      <c r="D65" s="65">
        <v>50</v>
      </c>
    </row>
    <row r="66" spans="2:4" ht="16.5" x14ac:dyDescent="0.2">
      <c r="B66" s="72">
        <v>10306</v>
      </c>
      <c r="C66" s="73" t="s">
        <v>309</v>
      </c>
      <c r="D66" s="74">
        <v>3</v>
      </c>
    </row>
    <row r="67" spans="2:4" ht="16.5" x14ac:dyDescent="0.2">
      <c r="B67" s="58">
        <v>10307</v>
      </c>
      <c r="C67" s="59" t="s">
        <v>74</v>
      </c>
      <c r="D67" s="65">
        <v>72</v>
      </c>
    </row>
    <row r="68" spans="2:4" ht="16.5" x14ac:dyDescent="0.2">
      <c r="B68" s="72">
        <v>10308</v>
      </c>
      <c r="C68" s="73" t="s">
        <v>310</v>
      </c>
      <c r="D68" s="74">
        <v>97</v>
      </c>
    </row>
    <row r="69" spans="2:4" ht="16.5" x14ac:dyDescent="0.2">
      <c r="B69" s="58">
        <v>10309</v>
      </c>
      <c r="C69" s="59" t="s">
        <v>311</v>
      </c>
      <c r="D69" s="65">
        <v>8</v>
      </c>
    </row>
    <row r="70" spans="2:4" ht="16.5" x14ac:dyDescent="0.2">
      <c r="B70" s="72">
        <v>10310</v>
      </c>
      <c r="C70" s="73" t="s">
        <v>312</v>
      </c>
      <c r="D70" s="74">
        <v>333</v>
      </c>
    </row>
    <row r="71" spans="2:4" ht="16.5" x14ac:dyDescent="0.2">
      <c r="B71" s="58">
        <v>10311</v>
      </c>
      <c r="C71" s="59" t="s">
        <v>313</v>
      </c>
      <c r="D71" s="65">
        <v>7</v>
      </c>
    </row>
    <row r="72" spans="2:4" ht="16.5" x14ac:dyDescent="0.2">
      <c r="B72" s="72">
        <v>10312</v>
      </c>
      <c r="C72" s="73" t="s">
        <v>314</v>
      </c>
      <c r="D72" s="74">
        <v>6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9</v>
      </c>
    </row>
    <row r="75" spans="2:4" ht="16.5" x14ac:dyDescent="0.2">
      <c r="B75" s="58">
        <v>10315</v>
      </c>
      <c r="C75" s="59" t="s">
        <v>317</v>
      </c>
      <c r="D75" s="65">
        <v>7</v>
      </c>
    </row>
    <row r="76" spans="2:4" ht="16.5" x14ac:dyDescent="0.2">
      <c r="B76" s="72">
        <v>10316</v>
      </c>
      <c r="C76" s="73" t="s">
        <v>318</v>
      </c>
      <c r="D76" s="74">
        <v>3</v>
      </c>
    </row>
    <row r="77" spans="2:4" ht="16.5" x14ac:dyDescent="0.2">
      <c r="B77" s="58">
        <v>10317</v>
      </c>
      <c r="C77" s="59" t="s">
        <v>319</v>
      </c>
      <c r="D77" s="65">
        <v>108</v>
      </c>
    </row>
    <row r="78" spans="2:4" ht="16.5" x14ac:dyDescent="0.2">
      <c r="B78" s="72">
        <v>10318</v>
      </c>
      <c r="C78" s="73" t="s">
        <v>320</v>
      </c>
      <c r="D78" s="74">
        <v>37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35</v>
      </c>
    </row>
    <row r="83" spans="2:4" ht="16.5" x14ac:dyDescent="0.2">
      <c r="B83" s="61">
        <v>20104</v>
      </c>
      <c r="C83" s="62" t="s">
        <v>79</v>
      </c>
      <c r="D83" s="60">
        <v>23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1</v>
      </c>
    </row>
    <row r="87" spans="2:4" ht="16.5" x14ac:dyDescent="0.2">
      <c r="B87" s="61">
        <v>20108</v>
      </c>
      <c r="C87" s="62" t="s">
        <v>324</v>
      </c>
      <c r="D87" s="60">
        <v>10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69</v>
      </c>
    </row>
    <row r="90" spans="2:4" ht="16.5" x14ac:dyDescent="0.3">
      <c r="B90" s="75">
        <v>20111</v>
      </c>
      <c r="C90" s="76" t="s">
        <v>327</v>
      </c>
      <c r="D90" s="77">
        <v>9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3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83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127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2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4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56</v>
      </c>
    </row>
    <row r="109" spans="2:4" ht="16.5" x14ac:dyDescent="0.2">
      <c r="B109" s="61">
        <v>20302</v>
      </c>
      <c r="C109" s="62" t="s">
        <v>332</v>
      </c>
      <c r="D109" s="60">
        <v>1</v>
      </c>
    </row>
    <row r="110" spans="2:4" ht="16.5" x14ac:dyDescent="0.3">
      <c r="B110" s="75">
        <v>20303</v>
      </c>
      <c r="C110" s="76" t="s">
        <v>333</v>
      </c>
      <c r="D110" s="77">
        <v>32</v>
      </c>
    </row>
    <row r="111" spans="2:4" ht="16.5" x14ac:dyDescent="0.2">
      <c r="B111" s="61">
        <v>20304</v>
      </c>
      <c r="C111" s="62" t="s">
        <v>334</v>
      </c>
      <c r="D111" s="60">
        <v>13</v>
      </c>
    </row>
    <row r="112" spans="2:4" ht="16.5" x14ac:dyDescent="0.3">
      <c r="B112" s="75">
        <v>20305</v>
      </c>
      <c r="C112" s="76" t="s">
        <v>335</v>
      </c>
      <c r="D112" s="77">
        <v>4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341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1</v>
      </c>
    </row>
    <row r="121" spans="2:4" ht="16.5" x14ac:dyDescent="0.2">
      <c r="B121" s="61">
        <v>20403</v>
      </c>
      <c r="C121" s="62" t="s">
        <v>344</v>
      </c>
      <c r="D121" s="60">
        <v>20</v>
      </c>
    </row>
    <row r="122" spans="2:4" ht="16.5" x14ac:dyDescent="0.3">
      <c r="B122" s="75">
        <v>20404</v>
      </c>
      <c r="C122" s="76" t="s">
        <v>345</v>
      </c>
      <c r="D122" s="77">
        <v>4</v>
      </c>
    </row>
    <row r="123" spans="2:4" ht="16.5" x14ac:dyDescent="0.2">
      <c r="B123" s="66">
        <v>30101</v>
      </c>
      <c r="C123" s="67" t="s">
        <v>346</v>
      </c>
      <c r="D123" s="68">
        <v>98</v>
      </c>
    </row>
    <row r="124" spans="2:4" ht="16.5" x14ac:dyDescent="0.2">
      <c r="B124" s="63">
        <v>30102</v>
      </c>
      <c r="C124" s="64" t="s">
        <v>95</v>
      </c>
      <c r="D124" s="60">
        <v>55</v>
      </c>
    </row>
    <row r="125" spans="2:4" ht="16.5" x14ac:dyDescent="0.2">
      <c r="B125" s="66">
        <v>30103</v>
      </c>
      <c r="C125" s="67" t="s">
        <v>75</v>
      </c>
      <c r="D125" s="68">
        <v>128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26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116</v>
      </c>
    </row>
    <row r="130" spans="2:4" ht="16.5" x14ac:dyDescent="0.2">
      <c r="B130" s="63">
        <v>30205</v>
      </c>
      <c r="C130" s="64" t="s">
        <v>348</v>
      </c>
      <c r="D130" s="60">
        <v>7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1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9</v>
      </c>
    </row>
    <row r="135" spans="2:4" ht="16.5" x14ac:dyDescent="0.2">
      <c r="B135" s="66">
        <v>30303</v>
      </c>
      <c r="C135" s="67" t="s">
        <v>351</v>
      </c>
      <c r="D135" s="68">
        <v>2</v>
      </c>
    </row>
    <row r="136" spans="2:4" ht="16.5" x14ac:dyDescent="0.2">
      <c r="B136" s="63">
        <v>30304</v>
      </c>
      <c r="C136" s="64" t="s">
        <v>101</v>
      </c>
      <c r="D136" s="60">
        <v>1</v>
      </c>
    </row>
    <row r="137" spans="2:4" ht="16.5" x14ac:dyDescent="0.2">
      <c r="B137" s="66">
        <v>30305</v>
      </c>
      <c r="C137" s="67" t="s">
        <v>102</v>
      </c>
      <c r="D137" s="68">
        <v>63</v>
      </c>
    </row>
    <row r="138" spans="2:4" ht="16.5" x14ac:dyDescent="0.2">
      <c r="B138" s="63">
        <v>30306</v>
      </c>
      <c r="C138" s="64" t="s">
        <v>103</v>
      </c>
      <c r="D138" s="60">
        <v>11</v>
      </c>
    </row>
    <row r="139" spans="2:4" ht="16.5" x14ac:dyDescent="0.2">
      <c r="B139" s="66">
        <v>30307</v>
      </c>
      <c r="C139" s="67" t="s">
        <v>104</v>
      </c>
      <c r="D139" s="68">
        <v>104</v>
      </c>
    </row>
    <row r="140" spans="2:4" ht="16.5" x14ac:dyDescent="0.2">
      <c r="B140" s="63">
        <v>30308</v>
      </c>
      <c r="C140" s="64" t="s">
        <v>352</v>
      </c>
      <c r="D140" s="60">
        <v>90</v>
      </c>
    </row>
    <row r="141" spans="2:4" ht="16.5" x14ac:dyDescent="0.2">
      <c r="B141" s="66">
        <v>30309</v>
      </c>
      <c r="C141" s="67" t="s">
        <v>353</v>
      </c>
      <c r="D141" s="68">
        <v>809</v>
      </c>
    </row>
    <row r="142" spans="2:4" ht="16.5" x14ac:dyDescent="0.2">
      <c r="B142" s="63">
        <v>30310</v>
      </c>
      <c r="C142" s="64" t="s">
        <v>354</v>
      </c>
      <c r="D142" s="60">
        <v>340</v>
      </c>
    </row>
    <row r="143" spans="2:4" ht="16.5" x14ac:dyDescent="0.2">
      <c r="B143" s="66">
        <v>30401</v>
      </c>
      <c r="C143" s="67" t="s">
        <v>355</v>
      </c>
      <c r="D143" s="68">
        <v>503</v>
      </c>
    </row>
    <row r="144" spans="2:4" ht="16.5" x14ac:dyDescent="0.2">
      <c r="B144" s="63">
        <v>30402</v>
      </c>
      <c r="C144" s="64" t="s">
        <v>356</v>
      </c>
      <c r="D144" s="60">
        <v>21</v>
      </c>
    </row>
    <row r="145" spans="2:4" ht="16.5" x14ac:dyDescent="0.2">
      <c r="B145" s="66">
        <v>30403</v>
      </c>
      <c r="C145" s="67" t="s">
        <v>357</v>
      </c>
      <c r="D145" s="68">
        <v>14</v>
      </c>
    </row>
    <row r="146" spans="2:4" ht="16.5" x14ac:dyDescent="0.2">
      <c r="B146" s="63">
        <v>30404</v>
      </c>
      <c r="C146" s="64" t="s">
        <v>105</v>
      </c>
      <c r="D146" s="60">
        <v>21</v>
      </c>
    </row>
    <row r="147" spans="2:4" ht="16.5" x14ac:dyDescent="0.2">
      <c r="B147" s="66">
        <v>30405</v>
      </c>
      <c r="C147" s="67" t="s">
        <v>106</v>
      </c>
      <c r="D147" s="68">
        <v>3</v>
      </c>
    </row>
    <row r="148" spans="2:4" ht="16.5" x14ac:dyDescent="0.2">
      <c r="B148" s="63">
        <v>30406</v>
      </c>
      <c r="C148" s="64" t="s">
        <v>107</v>
      </c>
      <c r="D148" s="60">
        <v>5</v>
      </c>
    </row>
    <row r="149" spans="2:4" ht="16.5" x14ac:dyDescent="0.2">
      <c r="B149" s="66">
        <v>30407</v>
      </c>
      <c r="C149" s="67" t="s">
        <v>358</v>
      </c>
      <c r="D149" s="68">
        <v>3</v>
      </c>
    </row>
    <row r="150" spans="2:4" ht="16.5" x14ac:dyDescent="0.2">
      <c r="B150" s="63">
        <v>30408</v>
      </c>
      <c r="C150" s="64" t="s">
        <v>359</v>
      </c>
      <c r="D150" s="60">
        <v>4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1</v>
      </c>
    </row>
    <row r="154" spans="2:4" ht="16.5" x14ac:dyDescent="0.2">
      <c r="B154" s="63">
        <v>30412</v>
      </c>
      <c r="C154" s="64" t="s">
        <v>111</v>
      </c>
      <c r="D154" s="60">
        <v>2</v>
      </c>
    </row>
    <row r="155" spans="2:4" ht="16.5" x14ac:dyDescent="0.2">
      <c r="B155" s="66">
        <v>30413</v>
      </c>
      <c r="C155" s="67" t="s">
        <v>112</v>
      </c>
      <c r="D155" s="68">
        <v>1</v>
      </c>
    </row>
    <row r="156" spans="2:4" ht="16.5" x14ac:dyDescent="0.2">
      <c r="B156" s="63">
        <v>30414</v>
      </c>
      <c r="C156" s="64" t="s">
        <v>113</v>
      </c>
      <c r="D156" s="60">
        <v>44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3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16</v>
      </c>
    </row>
    <row r="161" spans="2:4" ht="16.5" x14ac:dyDescent="0.2">
      <c r="B161" s="66">
        <v>30419</v>
      </c>
      <c r="C161" s="67" t="s">
        <v>118</v>
      </c>
      <c r="D161" s="68">
        <v>74</v>
      </c>
    </row>
    <row r="162" spans="2:4" ht="16.5" x14ac:dyDescent="0.2">
      <c r="B162" s="63">
        <v>30420</v>
      </c>
      <c r="C162" s="64" t="s">
        <v>119</v>
      </c>
      <c r="D162" s="60">
        <v>36</v>
      </c>
    </row>
    <row r="163" spans="2:4" ht="16.5" x14ac:dyDescent="0.2">
      <c r="B163" s="66">
        <v>30421</v>
      </c>
      <c r="C163" s="67" t="s">
        <v>120</v>
      </c>
      <c r="D163" s="68">
        <v>13</v>
      </c>
    </row>
    <row r="164" spans="2:4" ht="16.5" x14ac:dyDescent="0.2">
      <c r="B164" s="63">
        <v>30422</v>
      </c>
      <c r="C164" s="64" t="s">
        <v>121</v>
      </c>
      <c r="D164" s="60">
        <v>14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1</v>
      </c>
    </row>
    <row r="170" spans="2:4" ht="16.5" x14ac:dyDescent="0.2">
      <c r="B170" s="63">
        <v>30428</v>
      </c>
      <c r="C170" s="64" t="s">
        <v>127</v>
      </c>
      <c r="D170" s="60">
        <v>1</v>
      </c>
    </row>
    <row r="171" spans="2:4" ht="16.5" x14ac:dyDescent="0.2">
      <c r="B171" s="66">
        <v>30429</v>
      </c>
      <c r="C171" s="67" t="s">
        <v>128</v>
      </c>
      <c r="D171" s="68">
        <v>24</v>
      </c>
    </row>
    <row r="172" spans="2:4" ht="16.5" x14ac:dyDescent="0.2">
      <c r="B172" s="63">
        <v>30430</v>
      </c>
      <c r="C172" s="64" t="s">
        <v>129</v>
      </c>
      <c r="D172" s="60">
        <v>57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5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59</v>
      </c>
    </row>
    <row r="189" spans="2:4" ht="16.5" x14ac:dyDescent="0.2">
      <c r="B189" s="66">
        <v>30501</v>
      </c>
      <c r="C189" s="67" t="s">
        <v>139</v>
      </c>
      <c r="D189" s="68">
        <v>15</v>
      </c>
    </row>
    <row r="190" spans="2:4" ht="16.5" x14ac:dyDescent="0.2">
      <c r="B190" s="63">
        <v>30502</v>
      </c>
      <c r="C190" s="64" t="s">
        <v>140</v>
      </c>
      <c r="D190" s="60">
        <v>356</v>
      </c>
    </row>
    <row r="191" spans="2:4" ht="16.5" x14ac:dyDescent="0.2">
      <c r="B191" s="66">
        <v>30503</v>
      </c>
      <c r="C191" s="67" t="s">
        <v>141</v>
      </c>
      <c r="D191" s="68">
        <v>676</v>
      </c>
    </row>
    <row r="192" spans="2:4" ht="16.5" x14ac:dyDescent="0.2">
      <c r="B192" s="63">
        <v>30504</v>
      </c>
      <c r="C192" s="64" t="s">
        <v>368</v>
      </c>
      <c r="D192" s="60">
        <v>103</v>
      </c>
    </row>
    <row r="193" spans="2:4" ht="16.5" x14ac:dyDescent="0.2">
      <c r="B193" s="66">
        <v>30505</v>
      </c>
      <c r="C193" s="67" t="s">
        <v>369</v>
      </c>
      <c r="D193" s="68">
        <v>49</v>
      </c>
    </row>
    <row r="194" spans="2:4" ht="16.5" x14ac:dyDescent="0.2">
      <c r="B194" s="63">
        <v>30601</v>
      </c>
      <c r="C194" s="64" t="s">
        <v>142</v>
      </c>
      <c r="D194" s="60">
        <v>16</v>
      </c>
    </row>
    <row r="195" spans="2:4" ht="16.5" x14ac:dyDescent="0.2">
      <c r="B195" s="66">
        <v>30602</v>
      </c>
      <c r="C195" s="67" t="s">
        <v>143</v>
      </c>
      <c r="D195" s="68">
        <v>51</v>
      </c>
    </row>
    <row r="196" spans="2:4" ht="16.5" x14ac:dyDescent="0.2">
      <c r="B196" s="63">
        <v>30603</v>
      </c>
      <c r="C196" s="64" t="s">
        <v>144</v>
      </c>
      <c r="D196" s="60">
        <v>21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7</v>
      </c>
    </row>
    <row r="200" spans="2:4" ht="16.5" x14ac:dyDescent="0.2">
      <c r="B200" s="63">
        <v>30607</v>
      </c>
      <c r="C200" s="64" t="s">
        <v>146</v>
      </c>
      <c r="D200" s="60">
        <v>1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10</v>
      </c>
    </row>
    <row r="203" spans="2:4" ht="16.5" x14ac:dyDescent="0.2">
      <c r="B203" s="66">
        <v>30610</v>
      </c>
      <c r="C203" s="67" t="s">
        <v>373</v>
      </c>
      <c r="D203" s="68">
        <v>1</v>
      </c>
    </row>
    <row r="204" spans="2:4" ht="16.5" x14ac:dyDescent="0.2">
      <c r="B204" s="63">
        <v>30611</v>
      </c>
      <c r="C204" s="64" t="s">
        <v>374</v>
      </c>
      <c r="D204" s="60">
        <v>1</v>
      </c>
    </row>
    <row r="205" spans="2:4" ht="16.5" x14ac:dyDescent="0.2">
      <c r="B205" s="66">
        <v>30701</v>
      </c>
      <c r="C205" s="67" t="s">
        <v>148</v>
      </c>
      <c r="D205" s="68">
        <v>9</v>
      </c>
    </row>
    <row r="206" spans="2:4" ht="16.5" x14ac:dyDescent="0.2">
      <c r="B206" s="63">
        <v>30702</v>
      </c>
      <c r="C206" s="64" t="s">
        <v>149</v>
      </c>
      <c r="D206" s="60">
        <v>5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1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3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212</v>
      </c>
    </row>
    <row r="229" spans="2:4" ht="16.5" x14ac:dyDescent="0.2">
      <c r="B229" s="66">
        <v>30904</v>
      </c>
      <c r="C229" s="67" t="s">
        <v>183</v>
      </c>
      <c r="D229" s="68">
        <v>103</v>
      </c>
    </row>
    <row r="230" spans="2:4" ht="16.5" x14ac:dyDescent="0.2">
      <c r="B230" s="63">
        <v>30905</v>
      </c>
      <c r="C230" s="64" t="s">
        <v>159</v>
      </c>
      <c r="D230" s="60">
        <v>20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626</v>
      </c>
    </row>
    <row r="233" spans="2:4" ht="16.5" x14ac:dyDescent="0.2">
      <c r="B233" s="66">
        <v>30908</v>
      </c>
      <c r="C233" s="67" t="s">
        <v>162</v>
      </c>
      <c r="D233" s="68">
        <v>7</v>
      </c>
    </row>
    <row r="234" spans="2:4" ht="16.5" x14ac:dyDescent="0.2">
      <c r="B234" s="63">
        <v>30909</v>
      </c>
      <c r="C234" s="64" t="s">
        <v>383</v>
      </c>
      <c r="D234" s="60">
        <v>62</v>
      </c>
    </row>
    <row r="235" spans="2:4" ht="16.5" x14ac:dyDescent="0.2">
      <c r="B235" s="66">
        <v>31001</v>
      </c>
      <c r="C235" s="67" t="s">
        <v>164</v>
      </c>
      <c r="D235" s="68">
        <v>119</v>
      </c>
    </row>
    <row r="236" spans="2:4" ht="16.5" x14ac:dyDescent="0.2">
      <c r="B236" s="63">
        <v>31002</v>
      </c>
      <c r="C236" s="64" t="s">
        <v>384</v>
      </c>
      <c r="D236" s="60">
        <v>46</v>
      </c>
    </row>
    <row r="237" spans="2:4" ht="16.5" x14ac:dyDescent="0.2">
      <c r="B237" s="66">
        <v>31003</v>
      </c>
      <c r="C237" s="67" t="s">
        <v>165</v>
      </c>
      <c r="D237" s="68">
        <v>4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16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2</v>
      </c>
    </row>
    <row r="250" spans="2:4" ht="16.5" x14ac:dyDescent="0.2">
      <c r="B250" s="63">
        <v>31101</v>
      </c>
      <c r="C250" s="64" t="s">
        <v>172</v>
      </c>
      <c r="D250" s="60">
        <v>182</v>
      </c>
    </row>
    <row r="251" spans="2:4" ht="16.5" x14ac:dyDescent="0.2">
      <c r="B251" s="66">
        <v>31102</v>
      </c>
      <c r="C251" s="67" t="s">
        <v>173</v>
      </c>
      <c r="D251" s="68">
        <v>25</v>
      </c>
    </row>
    <row r="252" spans="2:4" ht="16.5" x14ac:dyDescent="0.2">
      <c r="B252" s="63">
        <v>31103</v>
      </c>
      <c r="C252" s="64" t="s">
        <v>175</v>
      </c>
      <c r="D252" s="60">
        <v>19</v>
      </c>
    </row>
    <row r="253" spans="2:4" ht="16.5" x14ac:dyDescent="0.2">
      <c r="B253" s="66">
        <v>31104</v>
      </c>
      <c r="C253" s="67" t="s">
        <v>176</v>
      </c>
      <c r="D253" s="68">
        <v>28</v>
      </c>
    </row>
    <row r="254" spans="2:4" ht="16.5" x14ac:dyDescent="0.2">
      <c r="B254" s="63">
        <v>31105</v>
      </c>
      <c r="C254" s="64" t="s">
        <v>177</v>
      </c>
      <c r="D254" s="60">
        <v>26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3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64</v>
      </c>
    </row>
    <row r="262" spans="2:4" ht="16.5" x14ac:dyDescent="0.2">
      <c r="B262" s="63">
        <v>31113</v>
      </c>
      <c r="C262" s="64" t="s">
        <v>181</v>
      </c>
      <c r="D262" s="60">
        <v>28</v>
      </c>
    </row>
    <row r="263" spans="2:4" ht="16.5" x14ac:dyDescent="0.2">
      <c r="B263" s="66">
        <v>31114</v>
      </c>
      <c r="C263" s="67" t="s">
        <v>396</v>
      </c>
      <c r="D263" s="68">
        <v>101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27</v>
      </c>
    </row>
    <row r="266" spans="2:4" ht="16.5" x14ac:dyDescent="0.2">
      <c r="B266" s="69">
        <v>40103</v>
      </c>
      <c r="C266" s="70" t="s">
        <v>188</v>
      </c>
      <c r="D266" s="71">
        <v>2</v>
      </c>
    </row>
    <row r="267" spans="2:4" ht="16.5" x14ac:dyDescent="0.2">
      <c r="B267" s="63">
        <v>40104</v>
      </c>
      <c r="C267" s="64" t="s">
        <v>189</v>
      </c>
      <c r="D267" s="60">
        <v>46</v>
      </c>
    </row>
    <row r="268" spans="2:4" ht="16.5" x14ac:dyDescent="0.2">
      <c r="B268" s="69">
        <v>40105</v>
      </c>
      <c r="C268" s="70" t="s">
        <v>191</v>
      </c>
      <c r="D268" s="71">
        <v>2</v>
      </c>
    </row>
    <row r="269" spans="2:4" ht="16.5" x14ac:dyDescent="0.2">
      <c r="B269" s="63">
        <v>40106</v>
      </c>
      <c r="C269" s="64" t="s">
        <v>194</v>
      </c>
      <c r="D269" s="60">
        <v>86</v>
      </c>
    </row>
    <row r="270" spans="2:4" ht="16.5" x14ac:dyDescent="0.2">
      <c r="B270" s="69">
        <v>40107</v>
      </c>
      <c r="C270" s="70" t="s">
        <v>196</v>
      </c>
      <c r="D270" s="71">
        <v>145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5</v>
      </c>
    </row>
    <row r="274" spans="2:4" ht="16.5" x14ac:dyDescent="0.2">
      <c r="B274" s="78">
        <v>50101</v>
      </c>
      <c r="C274" s="79" t="s">
        <v>398</v>
      </c>
      <c r="D274" s="80">
        <v>2</v>
      </c>
    </row>
    <row r="275" spans="2:4" ht="16.5" x14ac:dyDescent="0.2">
      <c r="B275" s="63">
        <v>50102</v>
      </c>
      <c r="C275" s="64" t="s">
        <v>399</v>
      </c>
      <c r="D275" s="60">
        <v>38</v>
      </c>
    </row>
    <row r="276" spans="2:4" ht="16.5" x14ac:dyDescent="0.2">
      <c r="B276" s="78">
        <v>50103</v>
      </c>
      <c r="C276" s="79" t="s">
        <v>400</v>
      </c>
      <c r="D276" s="80">
        <v>5</v>
      </c>
    </row>
    <row r="277" spans="2:4" ht="16.5" x14ac:dyDescent="0.2">
      <c r="B277" s="63">
        <v>50104</v>
      </c>
      <c r="C277" s="64" t="s">
        <v>108</v>
      </c>
      <c r="D277" s="60">
        <v>8</v>
      </c>
    </row>
    <row r="278" spans="2:4" ht="16.5" x14ac:dyDescent="0.2">
      <c r="B278" s="78">
        <v>50105</v>
      </c>
      <c r="C278" s="79" t="s">
        <v>182</v>
      </c>
      <c r="D278" s="80">
        <v>431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72</v>
      </c>
    </row>
    <row r="281" spans="2:4" ht="16.5" x14ac:dyDescent="0.2">
      <c r="B281" s="63">
        <v>50108</v>
      </c>
      <c r="C281" s="64" t="s">
        <v>402</v>
      </c>
      <c r="D281" s="60">
        <v>14</v>
      </c>
    </row>
    <row r="282" spans="2:4" ht="16.5" x14ac:dyDescent="0.2">
      <c r="B282" s="78">
        <v>50201</v>
      </c>
      <c r="C282" s="79" t="s">
        <v>403</v>
      </c>
      <c r="D282" s="80">
        <v>19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27</v>
      </c>
    </row>
    <row r="285" spans="2:4" ht="16.5" x14ac:dyDescent="0.2">
      <c r="B285" s="63">
        <v>50301</v>
      </c>
      <c r="C285" s="64" t="s">
        <v>406</v>
      </c>
      <c r="D285" s="60">
        <v>295</v>
      </c>
    </row>
    <row r="286" spans="2:4" ht="16.5" x14ac:dyDescent="0.2">
      <c r="B286" s="78">
        <v>50302</v>
      </c>
      <c r="C286" s="79" t="s">
        <v>407</v>
      </c>
      <c r="D286" s="80">
        <v>45</v>
      </c>
    </row>
    <row r="287" spans="2:4" ht="16.5" x14ac:dyDescent="0.2">
      <c r="B287" s="63">
        <v>50303</v>
      </c>
      <c r="C287" s="64" t="s">
        <v>185</v>
      </c>
      <c r="D287" s="60">
        <v>17</v>
      </c>
    </row>
    <row r="288" spans="2:4" ht="16.5" x14ac:dyDescent="0.2">
      <c r="B288" s="78">
        <v>50304</v>
      </c>
      <c r="C288" s="79" t="s">
        <v>186</v>
      </c>
      <c r="D288" s="80">
        <v>12</v>
      </c>
    </row>
    <row r="289" spans="2:4" ht="16.5" x14ac:dyDescent="0.2">
      <c r="B289" s="63">
        <v>50305</v>
      </c>
      <c r="C289" s="64" t="s">
        <v>408</v>
      </c>
      <c r="D289" s="60">
        <v>151</v>
      </c>
    </row>
    <row r="290" spans="2:4" ht="16.5" x14ac:dyDescent="0.2">
      <c r="B290" s="78">
        <v>50306</v>
      </c>
      <c r="C290" s="79" t="s">
        <v>409</v>
      </c>
      <c r="D290" s="80">
        <v>29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8</v>
      </c>
    </row>
    <row r="293" spans="2:4" ht="16.5" x14ac:dyDescent="0.2">
      <c r="B293" s="81">
        <v>60103</v>
      </c>
      <c r="C293" s="82" t="s">
        <v>411</v>
      </c>
      <c r="D293" s="83">
        <v>7</v>
      </c>
    </row>
    <row r="294" spans="2:4" ht="16.5" x14ac:dyDescent="0.2">
      <c r="B294" s="84">
        <v>70101</v>
      </c>
      <c r="C294" s="85" t="s">
        <v>412</v>
      </c>
      <c r="D294" s="97">
        <v>2236</v>
      </c>
    </row>
    <row r="295" spans="2:4" ht="16.5" x14ac:dyDescent="0.2">
      <c r="B295" s="63">
        <v>70102</v>
      </c>
      <c r="C295" s="64" t="s">
        <v>198</v>
      </c>
      <c r="D295" s="60">
        <v>159</v>
      </c>
    </row>
    <row r="296" spans="2:4" ht="16.5" x14ac:dyDescent="0.2">
      <c r="B296" s="84">
        <v>70103</v>
      </c>
      <c r="C296" s="85" t="s">
        <v>199</v>
      </c>
      <c r="D296" s="97">
        <v>293</v>
      </c>
    </row>
    <row r="297" spans="2:4" ht="16.5" x14ac:dyDescent="0.2">
      <c r="B297" s="63">
        <v>70104</v>
      </c>
      <c r="C297" s="64" t="s">
        <v>413</v>
      </c>
      <c r="D297" s="98">
        <v>43409</v>
      </c>
    </row>
    <row r="298" spans="2:4" ht="16.5" x14ac:dyDescent="0.2">
      <c r="B298" s="84">
        <v>70105</v>
      </c>
      <c r="C298" s="85" t="s">
        <v>200</v>
      </c>
      <c r="D298" s="97">
        <v>1914</v>
      </c>
    </row>
    <row r="299" spans="2:4" ht="16.5" x14ac:dyDescent="0.2">
      <c r="B299" s="63">
        <v>70106</v>
      </c>
      <c r="C299" s="64" t="s">
        <v>414</v>
      </c>
      <c r="D299" s="60">
        <v>1405</v>
      </c>
    </row>
    <row r="300" spans="2:4" ht="16.5" x14ac:dyDescent="0.2">
      <c r="B300" s="84">
        <v>70107</v>
      </c>
      <c r="C300" s="85" t="s">
        <v>415</v>
      </c>
      <c r="D300" s="97">
        <v>3769</v>
      </c>
    </row>
    <row r="301" spans="2:4" ht="17.25" thickBot="1" x14ac:dyDescent="0.25">
      <c r="B301" s="87">
        <v>70108</v>
      </c>
      <c r="C301" s="88" t="s">
        <v>416</v>
      </c>
      <c r="D301" s="99">
        <v>3911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66578</v>
      </c>
    </row>
  </sheetData>
  <sheetProtection algorithmName="SHA-512" hashValue="yBw4oEosW7yVaWNshSDeYNh4zwAlqaCuOudiUhTup3ISAfzTPRxCuXaAK7rQyq/7plSoWh03SVc5ly1LuXL5Zg==" saltValue="el71m5SpMQWurTZbtO53R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427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56</v>
      </c>
    </row>
    <row r="23" spans="2:7" ht="16.5" x14ac:dyDescent="0.2">
      <c r="B23" s="58">
        <v>10104</v>
      </c>
      <c r="C23" s="59" t="s">
        <v>267</v>
      </c>
      <c r="D23" s="65">
        <v>166</v>
      </c>
    </row>
    <row r="24" spans="2:7" ht="16.5" x14ac:dyDescent="0.2">
      <c r="B24" s="72">
        <v>10105</v>
      </c>
      <c r="C24" s="73" t="s">
        <v>268</v>
      </c>
      <c r="D24" s="74">
        <v>1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2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5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4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21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5</v>
      </c>
    </row>
    <row r="41" spans="2:4" ht="16.5" x14ac:dyDescent="0.2">
      <c r="B41" s="58">
        <v>10201</v>
      </c>
      <c r="C41" s="59" t="s">
        <v>285</v>
      </c>
      <c r="D41" s="65">
        <v>3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3</v>
      </c>
    </row>
    <row r="44" spans="2:4" ht="16.5" x14ac:dyDescent="0.2">
      <c r="B44" s="72">
        <v>10204</v>
      </c>
      <c r="C44" s="73" t="s">
        <v>288</v>
      </c>
      <c r="D44" s="74">
        <v>124</v>
      </c>
    </row>
    <row r="45" spans="2:4" ht="16.5" x14ac:dyDescent="0.2">
      <c r="B45" s="58">
        <v>10205</v>
      </c>
      <c r="C45" s="59" t="s">
        <v>289</v>
      </c>
      <c r="D45" s="65">
        <v>1</v>
      </c>
    </row>
    <row r="46" spans="2:4" ht="16.5" x14ac:dyDescent="0.2">
      <c r="B46" s="72">
        <v>10206</v>
      </c>
      <c r="C46" s="73" t="s">
        <v>290</v>
      </c>
      <c r="D46" s="74">
        <v>3</v>
      </c>
    </row>
    <row r="47" spans="2:4" ht="16.5" x14ac:dyDescent="0.2">
      <c r="B47" s="58">
        <v>10207</v>
      </c>
      <c r="C47" s="59" t="s">
        <v>291</v>
      </c>
      <c r="D47" s="65">
        <v>10</v>
      </c>
    </row>
    <row r="48" spans="2:4" ht="16.5" x14ac:dyDescent="0.2">
      <c r="B48" s="72">
        <v>10208</v>
      </c>
      <c r="C48" s="73" t="s">
        <v>292</v>
      </c>
      <c r="D48" s="74">
        <v>2</v>
      </c>
    </row>
    <row r="49" spans="2:4" ht="16.5" x14ac:dyDescent="0.2">
      <c r="B49" s="58">
        <v>10209</v>
      </c>
      <c r="C49" s="59" t="s">
        <v>293</v>
      </c>
      <c r="D49" s="65">
        <v>1</v>
      </c>
    </row>
    <row r="50" spans="2:4" ht="16.5" x14ac:dyDescent="0.2">
      <c r="B50" s="72">
        <v>10210</v>
      </c>
      <c r="C50" s="73" t="s">
        <v>294</v>
      </c>
      <c r="D50" s="74">
        <v>5</v>
      </c>
    </row>
    <row r="51" spans="2:4" ht="16.5" x14ac:dyDescent="0.2">
      <c r="B51" s="58">
        <v>10211</v>
      </c>
      <c r="C51" s="59" t="s">
        <v>76</v>
      </c>
      <c r="D51" s="65">
        <v>1</v>
      </c>
    </row>
    <row r="52" spans="2:4" ht="16.5" x14ac:dyDescent="0.2">
      <c r="B52" s="72">
        <v>10212</v>
      </c>
      <c r="C52" s="73" t="s">
        <v>295</v>
      </c>
      <c r="D52" s="74">
        <v>4</v>
      </c>
    </row>
    <row r="53" spans="2:4" ht="16.5" x14ac:dyDescent="0.2">
      <c r="B53" s="58">
        <v>10213</v>
      </c>
      <c r="C53" s="59" t="s">
        <v>296</v>
      </c>
      <c r="D53" s="65">
        <v>3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13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1</v>
      </c>
    </row>
    <row r="63" spans="2:4" ht="16.5" x14ac:dyDescent="0.2">
      <c r="B63" s="58">
        <v>10303</v>
      </c>
      <c r="C63" s="59" t="s">
        <v>306</v>
      </c>
      <c r="D63" s="65">
        <v>2</v>
      </c>
    </row>
    <row r="64" spans="2:4" ht="16.5" x14ac:dyDescent="0.2">
      <c r="B64" s="72">
        <v>10304</v>
      </c>
      <c r="C64" s="73" t="s">
        <v>307</v>
      </c>
      <c r="D64" s="74">
        <v>8</v>
      </c>
    </row>
    <row r="65" spans="2:4" ht="16.5" x14ac:dyDescent="0.2">
      <c r="B65" s="58">
        <v>10305</v>
      </c>
      <c r="C65" s="59" t="s">
        <v>308</v>
      </c>
      <c r="D65" s="65">
        <v>53</v>
      </c>
    </row>
    <row r="66" spans="2:4" ht="16.5" x14ac:dyDescent="0.2">
      <c r="B66" s="72">
        <v>10306</v>
      </c>
      <c r="C66" s="73" t="s">
        <v>309</v>
      </c>
      <c r="D66" s="74">
        <v>2</v>
      </c>
    </row>
    <row r="67" spans="2:4" ht="16.5" x14ac:dyDescent="0.2">
      <c r="B67" s="58">
        <v>10307</v>
      </c>
      <c r="C67" s="59" t="s">
        <v>74</v>
      </c>
      <c r="D67" s="65">
        <v>44</v>
      </c>
    </row>
    <row r="68" spans="2:4" ht="16.5" x14ac:dyDescent="0.2">
      <c r="B68" s="72">
        <v>10308</v>
      </c>
      <c r="C68" s="73" t="s">
        <v>310</v>
      </c>
      <c r="D68" s="74">
        <v>88</v>
      </c>
    </row>
    <row r="69" spans="2:4" ht="16.5" x14ac:dyDescent="0.2">
      <c r="B69" s="58">
        <v>10309</v>
      </c>
      <c r="C69" s="59" t="s">
        <v>311</v>
      </c>
      <c r="D69" s="65">
        <v>4</v>
      </c>
    </row>
    <row r="70" spans="2:4" ht="16.5" x14ac:dyDescent="0.2">
      <c r="B70" s="72">
        <v>10310</v>
      </c>
      <c r="C70" s="73" t="s">
        <v>312</v>
      </c>
      <c r="D70" s="74">
        <v>140</v>
      </c>
    </row>
    <row r="71" spans="2:4" ht="16.5" x14ac:dyDescent="0.2">
      <c r="B71" s="58">
        <v>10311</v>
      </c>
      <c r="C71" s="59" t="s">
        <v>313</v>
      </c>
      <c r="D71" s="65">
        <v>17</v>
      </c>
    </row>
    <row r="72" spans="2:4" ht="16.5" x14ac:dyDescent="0.2">
      <c r="B72" s="72">
        <v>10312</v>
      </c>
      <c r="C72" s="73" t="s">
        <v>314</v>
      </c>
      <c r="D72" s="74">
        <v>20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20</v>
      </c>
    </row>
    <row r="75" spans="2:4" ht="16.5" x14ac:dyDescent="0.2">
      <c r="B75" s="58">
        <v>10315</v>
      </c>
      <c r="C75" s="59" t="s">
        <v>317</v>
      </c>
      <c r="D75" s="65">
        <v>5</v>
      </c>
    </row>
    <row r="76" spans="2:4" ht="16.5" x14ac:dyDescent="0.2">
      <c r="B76" s="72">
        <v>10316</v>
      </c>
      <c r="C76" s="73" t="s">
        <v>318</v>
      </c>
      <c r="D76" s="74">
        <v>1</v>
      </c>
    </row>
    <row r="77" spans="2:4" ht="16.5" x14ac:dyDescent="0.2">
      <c r="B77" s="58">
        <v>10317</v>
      </c>
      <c r="C77" s="59" t="s">
        <v>319</v>
      </c>
      <c r="D77" s="65">
        <v>83</v>
      </c>
    </row>
    <row r="78" spans="2:4" ht="16.5" x14ac:dyDescent="0.2">
      <c r="B78" s="72">
        <v>10318</v>
      </c>
      <c r="C78" s="73" t="s">
        <v>320</v>
      </c>
      <c r="D78" s="74">
        <v>36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3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39</v>
      </c>
    </row>
    <row r="83" spans="2:4" ht="16.5" x14ac:dyDescent="0.2">
      <c r="B83" s="61">
        <v>20104</v>
      </c>
      <c r="C83" s="62" t="s">
        <v>79</v>
      </c>
      <c r="D83" s="60">
        <v>18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1</v>
      </c>
    </row>
    <row r="87" spans="2:4" ht="16.5" x14ac:dyDescent="0.2">
      <c r="B87" s="61">
        <v>20108</v>
      </c>
      <c r="C87" s="62" t="s">
        <v>324</v>
      </c>
      <c r="D87" s="60">
        <v>3</v>
      </c>
    </row>
    <row r="88" spans="2:4" ht="16.5" x14ac:dyDescent="0.3">
      <c r="B88" s="75">
        <v>20109</v>
      </c>
      <c r="C88" s="76" t="s">
        <v>325</v>
      </c>
      <c r="D88" s="77">
        <v>3</v>
      </c>
    </row>
    <row r="89" spans="2:4" ht="16.5" x14ac:dyDescent="0.2">
      <c r="B89" s="61">
        <v>20110</v>
      </c>
      <c r="C89" s="62" t="s">
        <v>326</v>
      </c>
      <c r="D89" s="60">
        <v>42</v>
      </c>
    </row>
    <row r="90" spans="2:4" ht="16.5" x14ac:dyDescent="0.3">
      <c r="B90" s="75">
        <v>20111</v>
      </c>
      <c r="C90" s="76" t="s">
        <v>327</v>
      </c>
      <c r="D90" s="77">
        <v>5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0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5</v>
      </c>
    </row>
    <row r="95" spans="2:4" ht="16.5" x14ac:dyDescent="0.2">
      <c r="B95" s="61">
        <v>20202</v>
      </c>
      <c r="C95" s="62" t="s">
        <v>84</v>
      </c>
      <c r="D95" s="60">
        <v>1</v>
      </c>
    </row>
    <row r="96" spans="2:4" ht="16.5" x14ac:dyDescent="0.3">
      <c r="B96" s="75">
        <v>20203</v>
      </c>
      <c r="C96" s="76" t="s">
        <v>85</v>
      </c>
      <c r="D96" s="77">
        <v>70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20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12</v>
      </c>
    </row>
    <row r="109" spans="2:4" ht="16.5" x14ac:dyDescent="0.2">
      <c r="B109" s="61">
        <v>20302</v>
      </c>
      <c r="C109" s="62" t="s">
        <v>332</v>
      </c>
      <c r="D109" s="60">
        <v>1</v>
      </c>
    </row>
    <row r="110" spans="2:4" ht="16.5" x14ac:dyDescent="0.3">
      <c r="B110" s="75">
        <v>20303</v>
      </c>
      <c r="C110" s="76" t="s">
        <v>333</v>
      </c>
      <c r="D110" s="77">
        <v>12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1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111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19</v>
      </c>
    </row>
    <row r="122" spans="2:4" ht="16.5" x14ac:dyDescent="0.3">
      <c r="B122" s="75">
        <v>20404</v>
      </c>
      <c r="C122" s="76" t="s">
        <v>345</v>
      </c>
      <c r="D122" s="77">
        <v>4</v>
      </c>
    </row>
    <row r="123" spans="2:4" ht="16.5" x14ac:dyDescent="0.2">
      <c r="B123" s="66">
        <v>30101</v>
      </c>
      <c r="C123" s="67" t="s">
        <v>346</v>
      </c>
      <c r="D123" s="68">
        <v>52</v>
      </c>
    </row>
    <row r="124" spans="2:4" ht="16.5" x14ac:dyDescent="0.2">
      <c r="B124" s="63">
        <v>30102</v>
      </c>
      <c r="C124" s="64" t="s">
        <v>95</v>
      </c>
      <c r="D124" s="60">
        <v>14</v>
      </c>
    </row>
    <row r="125" spans="2:4" ht="16.5" x14ac:dyDescent="0.2">
      <c r="B125" s="66">
        <v>30103</v>
      </c>
      <c r="C125" s="67" t="s">
        <v>75</v>
      </c>
      <c r="D125" s="68">
        <v>86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4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13</v>
      </c>
    </row>
    <row r="130" spans="2:4" ht="16.5" x14ac:dyDescent="0.2">
      <c r="B130" s="63">
        <v>30205</v>
      </c>
      <c r="C130" s="64" t="s">
        <v>348</v>
      </c>
      <c r="D130" s="60">
        <v>12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11</v>
      </c>
    </row>
    <row r="135" spans="2:4" ht="16.5" x14ac:dyDescent="0.2">
      <c r="B135" s="66">
        <v>30303</v>
      </c>
      <c r="C135" s="67" t="s">
        <v>351</v>
      </c>
      <c r="D135" s="68">
        <v>1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18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39</v>
      </c>
    </row>
    <row r="140" spans="2:4" ht="16.5" x14ac:dyDescent="0.2">
      <c r="B140" s="63">
        <v>30308</v>
      </c>
      <c r="C140" s="64" t="s">
        <v>352</v>
      </c>
      <c r="D140" s="60">
        <v>105</v>
      </c>
    </row>
    <row r="141" spans="2:4" ht="16.5" x14ac:dyDescent="0.2">
      <c r="B141" s="66">
        <v>30309</v>
      </c>
      <c r="C141" s="67" t="s">
        <v>353</v>
      </c>
      <c r="D141" s="68">
        <v>622</v>
      </c>
    </row>
    <row r="142" spans="2:4" ht="16.5" x14ac:dyDescent="0.2">
      <c r="B142" s="63">
        <v>30310</v>
      </c>
      <c r="C142" s="64" t="s">
        <v>354</v>
      </c>
      <c r="D142" s="60">
        <v>195</v>
      </c>
    </row>
    <row r="143" spans="2:4" ht="16.5" x14ac:dyDescent="0.2">
      <c r="B143" s="66">
        <v>30401</v>
      </c>
      <c r="C143" s="67" t="s">
        <v>355</v>
      </c>
      <c r="D143" s="68">
        <v>297</v>
      </c>
    </row>
    <row r="144" spans="2:4" ht="16.5" x14ac:dyDescent="0.2">
      <c r="B144" s="63">
        <v>30402</v>
      </c>
      <c r="C144" s="64" t="s">
        <v>356</v>
      </c>
      <c r="D144" s="60">
        <v>14</v>
      </c>
    </row>
    <row r="145" spans="2:4" ht="16.5" x14ac:dyDescent="0.2">
      <c r="B145" s="66">
        <v>30403</v>
      </c>
      <c r="C145" s="67" t="s">
        <v>357</v>
      </c>
      <c r="D145" s="68">
        <v>5</v>
      </c>
    </row>
    <row r="146" spans="2:4" ht="16.5" x14ac:dyDescent="0.2">
      <c r="B146" s="63">
        <v>30404</v>
      </c>
      <c r="C146" s="64" t="s">
        <v>105</v>
      </c>
      <c r="D146" s="60">
        <v>31</v>
      </c>
    </row>
    <row r="147" spans="2:4" ht="16.5" x14ac:dyDescent="0.2">
      <c r="B147" s="66">
        <v>30405</v>
      </c>
      <c r="C147" s="67" t="s">
        <v>106</v>
      </c>
      <c r="D147" s="68">
        <v>5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2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3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2</v>
      </c>
    </row>
    <row r="155" spans="2:4" ht="16.5" x14ac:dyDescent="0.2">
      <c r="B155" s="66">
        <v>30413</v>
      </c>
      <c r="C155" s="67" t="s">
        <v>112</v>
      </c>
      <c r="D155" s="68">
        <v>3</v>
      </c>
    </row>
    <row r="156" spans="2:4" ht="16.5" x14ac:dyDescent="0.2">
      <c r="B156" s="63">
        <v>30414</v>
      </c>
      <c r="C156" s="64" t="s">
        <v>113</v>
      </c>
      <c r="D156" s="60">
        <v>9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27</v>
      </c>
    </row>
    <row r="162" spans="2:4" ht="16.5" x14ac:dyDescent="0.2">
      <c r="B162" s="63">
        <v>30420</v>
      </c>
      <c r="C162" s="64" t="s">
        <v>119</v>
      </c>
      <c r="D162" s="60">
        <v>14</v>
      </c>
    </row>
    <row r="163" spans="2:4" ht="16.5" x14ac:dyDescent="0.2">
      <c r="B163" s="66">
        <v>30421</v>
      </c>
      <c r="C163" s="67" t="s">
        <v>120</v>
      </c>
      <c r="D163" s="68">
        <v>3</v>
      </c>
    </row>
    <row r="164" spans="2:4" ht="16.5" x14ac:dyDescent="0.2">
      <c r="B164" s="63">
        <v>30422</v>
      </c>
      <c r="C164" s="64" t="s">
        <v>121</v>
      </c>
      <c r="D164" s="60">
        <v>10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1</v>
      </c>
    </row>
    <row r="172" spans="2:4" ht="16.5" x14ac:dyDescent="0.2">
      <c r="B172" s="63">
        <v>30430</v>
      </c>
      <c r="C172" s="64" t="s">
        <v>129</v>
      </c>
      <c r="D172" s="60">
        <v>20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5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89</v>
      </c>
    </row>
    <row r="189" spans="2:4" ht="16.5" x14ac:dyDescent="0.2">
      <c r="B189" s="66">
        <v>30501</v>
      </c>
      <c r="C189" s="67" t="s">
        <v>139</v>
      </c>
      <c r="D189" s="68">
        <v>11</v>
      </c>
    </row>
    <row r="190" spans="2:4" ht="16.5" x14ac:dyDescent="0.2">
      <c r="B190" s="63">
        <v>30502</v>
      </c>
      <c r="C190" s="64" t="s">
        <v>140</v>
      </c>
      <c r="D190" s="60">
        <v>448</v>
      </c>
    </row>
    <row r="191" spans="2:4" ht="16.5" x14ac:dyDescent="0.2">
      <c r="B191" s="66">
        <v>30503</v>
      </c>
      <c r="C191" s="67" t="s">
        <v>141</v>
      </c>
      <c r="D191" s="68">
        <v>375</v>
      </c>
    </row>
    <row r="192" spans="2:4" ht="16.5" x14ac:dyDescent="0.2">
      <c r="B192" s="63">
        <v>30504</v>
      </c>
      <c r="C192" s="64" t="s">
        <v>368</v>
      </c>
      <c r="D192" s="60">
        <v>68</v>
      </c>
    </row>
    <row r="193" spans="2:4" ht="16.5" x14ac:dyDescent="0.2">
      <c r="B193" s="66">
        <v>30505</v>
      </c>
      <c r="C193" s="67" t="s">
        <v>369</v>
      </c>
      <c r="D193" s="68">
        <v>18</v>
      </c>
    </row>
    <row r="194" spans="2:4" ht="16.5" x14ac:dyDescent="0.2">
      <c r="B194" s="63">
        <v>30601</v>
      </c>
      <c r="C194" s="64" t="s">
        <v>142</v>
      </c>
      <c r="D194" s="60">
        <v>14</v>
      </c>
    </row>
    <row r="195" spans="2:4" ht="16.5" x14ac:dyDescent="0.2">
      <c r="B195" s="66">
        <v>30602</v>
      </c>
      <c r="C195" s="67" t="s">
        <v>143</v>
      </c>
      <c r="D195" s="68">
        <v>9</v>
      </c>
    </row>
    <row r="196" spans="2:4" ht="16.5" x14ac:dyDescent="0.2">
      <c r="B196" s="63">
        <v>30603</v>
      </c>
      <c r="C196" s="64" t="s">
        <v>144</v>
      </c>
      <c r="D196" s="60">
        <v>1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44</v>
      </c>
    </row>
    <row r="200" spans="2:4" ht="16.5" x14ac:dyDescent="0.2">
      <c r="B200" s="63">
        <v>30607</v>
      </c>
      <c r="C200" s="64" t="s">
        <v>146</v>
      </c>
      <c r="D200" s="60">
        <v>10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3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23</v>
      </c>
    </row>
    <row r="205" spans="2:4" ht="16.5" x14ac:dyDescent="0.2">
      <c r="B205" s="66">
        <v>30701</v>
      </c>
      <c r="C205" s="67" t="s">
        <v>148</v>
      </c>
      <c r="D205" s="68">
        <v>6</v>
      </c>
    </row>
    <row r="206" spans="2:4" ht="16.5" x14ac:dyDescent="0.2">
      <c r="B206" s="63">
        <v>30702</v>
      </c>
      <c r="C206" s="64" t="s">
        <v>149</v>
      </c>
      <c r="D206" s="60">
        <v>6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1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1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90</v>
      </c>
    </row>
    <row r="229" spans="2:4" ht="16.5" x14ac:dyDescent="0.2">
      <c r="B229" s="66">
        <v>30904</v>
      </c>
      <c r="C229" s="67" t="s">
        <v>183</v>
      </c>
      <c r="D229" s="68">
        <v>104</v>
      </c>
    </row>
    <row r="230" spans="2:4" ht="16.5" x14ac:dyDescent="0.2">
      <c r="B230" s="63">
        <v>30905</v>
      </c>
      <c r="C230" s="64" t="s">
        <v>159</v>
      </c>
      <c r="D230" s="60">
        <v>21</v>
      </c>
    </row>
    <row r="231" spans="2:4" ht="16.5" x14ac:dyDescent="0.2">
      <c r="B231" s="66">
        <v>30906</v>
      </c>
      <c r="C231" s="67" t="s">
        <v>160</v>
      </c>
      <c r="D231" s="68">
        <v>1</v>
      </c>
    </row>
    <row r="232" spans="2:4" ht="16.5" x14ac:dyDescent="0.2">
      <c r="B232" s="63">
        <v>30907</v>
      </c>
      <c r="C232" s="64" t="s">
        <v>161</v>
      </c>
      <c r="D232" s="60">
        <v>485</v>
      </c>
    </row>
    <row r="233" spans="2:4" ht="16.5" x14ac:dyDescent="0.2">
      <c r="B233" s="66">
        <v>30908</v>
      </c>
      <c r="C233" s="67" t="s">
        <v>162</v>
      </c>
      <c r="D233" s="68">
        <v>6</v>
      </c>
    </row>
    <row r="234" spans="2:4" ht="16.5" x14ac:dyDescent="0.2">
      <c r="B234" s="63">
        <v>30909</v>
      </c>
      <c r="C234" s="64" t="s">
        <v>383</v>
      </c>
      <c r="D234" s="60">
        <v>59</v>
      </c>
    </row>
    <row r="235" spans="2:4" ht="16.5" x14ac:dyDescent="0.2">
      <c r="B235" s="66">
        <v>31001</v>
      </c>
      <c r="C235" s="67" t="s">
        <v>164</v>
      </c>
      <c r="D235" s="68">
        <v>94</v>
      </c>
    </row>
    <row r="236" spans="2:4" ht="16.5" x14ac:dyDescent="0.2">
      <c r="B236" s="63">
        <v>31002</v>
      </c>
      <c r="C236" s="64" t="s">
        <v>384</v>
      </c>
      <c r="D236" s="60">
        <v>15</v>
      </c>
    </row>
    <row r="237" spans="2:4" ht="16.5" x14ac:dyDescent="0.2">
      <c r="B237" s="66">
        <v>31003</v>
      </c>
      <c r="C237" s="67" t="s">
        <v>165</v>
      </c>
      <c r="D237" s="68">
        <v>1</v>
      </c>
    </row>
    <row r="238" spans="2:4" ht="16.5" x14ac:dyDescent="0.2">
      <c r="B238" s="63">
        <v>31004</v>
      </c>
      <c r="C238" s="64" t="s">
        <v>166</v>
      </c>
      <c r="D238" s="60">
        <v>4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2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1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201</v>
      </c>
    </row>
    <row r="251" spans="2:4" ht="16.5" x14ac:dyDescent="0.2">
      <c r="B251" s="66">
        <v>31102</v>
      </c>
      <c r="C251" s="67" t="s">
        <v>173</v>
      </c>
      <c r="D251" s="68">
        <v>66</v>
      </c>
    </row>
    <row r="252" spans="2:4" ht="16.5" x14ac:dyDescent="0.2">
      <c r="B252" s="63">
        <v>31103</v>
      </c>
      <c r="C252" s="64" t="s">
        <v>175</v>
      </c>
      <c r="D252" s="60">
        <v>13</v>
      </c>
    </row>
    <row r="253" spans="2:4" ht="16.5" x14ac:dyDescent="0.2">
      <c r="B253" s="66">
        <v>31104</v>
      </c>
      <c r="C253" s="67" t="s">
        <v>176</v>
      </c>
      <c r="D253" s="68">
        <v>49</v>
      </c>
    </row>
    <row r="254" spans="2:4" ht="16.5" x14ac:dyDescent="0.2">
      <c r="B254" s="63">
        <v>31105</v>
      </c>
      <c r="C254" s="64" t="s">
        <v>177</v>
      </c>
      <c r="D254" s="60">
        <v>88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3</v>
      </c>
    </row>
    <row r="258" spans="2:4" ht="16.5" x14ac:dyDescent="0.2">
      <c r="B258" s="63">
        <v>31109</v>
      </c>
      <c r="C258" s="64" t="s">
        <v>178</v>
      </c>
      <c r="D258" s="60">
        <v>4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60</v>
      </c>
    </row>
    <row r="262" spans="2:4" ht="16.5" x14ac:dyDescent="0.2">
      <c r="B262" s="63">
        <v>31113</v>
      </c>
      <c r="C262" s="64" t="s">
        <v>181</v>
      </c>
      <c r="D262" s="60">
        <v>26</v>
      </c>
    </row>
    <row r="263" spans="2:4" ht="16.5" x14ac:dyDescent="0.2">
      <c r="B263" s="66">
        <v>31114</v>
      </c>
      <c r="C263" s="67" t="s">
        <v>396</v>
      </c>
      <c r="D263" s="68">
        <v>146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15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25</v>
      </c>
    </row>
    <row r="268" spans="2:4" ht="16.5" x14ac:dyDescent="0.2">
      <c r="B268" s="69">
        <v>40105</v>
      </c>
      <c r="C268" s="70" t="s">
        <v>191</v>
      </c>
      <c r="D268" s="71">
        <v>2</v>
      </c>
    </row>
    <row r="269" spans="2:4" ht="16.5" x14ac:dyDescent="0.2">
      <c r="B269" s="63">
        <v>40106</v>
      </c>
      <c r="C269" s="64" t="s">
        <v>194</v>
      </c>
      <c r="D269" s="60">
        <v>65</v>
      </c>
    </row>
    <row r="270" spans="2:4" ht="16.5" x14ac:dyDescent="0.2">
      <c r="B270" s="69">
        <v>40107</v>
      </c>
      <c r="C270" s="70" t="s">
        <v>196</v>
      </c>
      <c r="D270" s="71">
        <v>71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1</v>
      </c>
    </row>
    <row r="273" spans="2:4" ht="16.5" x14ac:dyDescent="0.2">
      <c r="B273" s="63">
        <v>40110</v>
      </c>
      <c r="C273" s="64" t="s">
        <v>190</v>
      </c>
      <c r="D273" s="60">
        <v>0</v>
      </c>
    </row>
    <row r="274" spans="2:4" ht="16.5" x14ac:dyDescent="0.2">
      <c r="B274" s="78">
        <v>50101</v>
      </c>
      <c r="C274" s="79" t="s">
        <v>398</v>
      </c>
      <c r="D274" s="80">
        <v>12</v>
      </c>
    </row>
    <row r="275" spans="2:4" ht="16.5" x14ac:dyDescent="0.2">
      <c r="B275" s="63">
        <v>50102</v>
      </c>
      <c r="C275" s="64" t="s">
        <v>399</v>
      </c>
      <c r="D275" s="60">
        <v>14</v>
      </c>
    </row>
    <row r="276" spans="2:4" ht="16.5" x14ac:dyDescent="0.2">
      <c r="B276" s="78">
        <v>50103</v>
      </c>
      <c r="C276" s="79" t="s">
        <v>400</v>
      </c>
      <c r="D276" s="80">
        <v>1</v>
      </c>
    </row>
    <row r="277" spans="2:4" ht="16.5" x14ac:dyDescent="0.2">
      <c r="B277" s="63">
        <v>50104</v>
      </c>
      <c r="C277" s="64" t="s">
        <v>108</v>
      </c>
      <c r="D277" s="60">
        <v>7</v>
      </c>
    </row>
    <row r="278" spans="2:4" ht="16.5" x14ac:dyDescent="0.2">
      <c r="B278" s="78">
        <v>50105</v>
      </c>
      <c r="C278" s="79" t="s">
        <v>182</v>
      </c>
      <c r="D278" s="80">
        <v>325</v>
      </c>
    </row>
    <row r="279" spans="2:4" ht="16.5" x14ac:dyDescent="0.2">
      <c r="B279" s="63">
        <v>50106</v>
      </c>
      <c r="C279" s="64" t="s">
        <v>170</v>
      </c>
      <c r="D279" s="60">
        <v>1</v>
      </c>
    </row>
    <row r="280" spans="2:4" ht="16.5" x14ac:dyDescent="0.2">
      <c r="B280" s="78">
        <v>50107</v>
      </c>
      <c r="C280" s="79" t="s">
        <v>401</v>
      </c>
      <c r="D280" s="80">
        <v>27</v>
      </c>
    </row>
    <row r="281" spans="2:4" ht="16.5" x14ac:dyDescent="0.2">
      <c r="B281" s="63">
        <v>50108</v>
      </c>
      <c r="C281" s="64" t="s">
        <v>402</v>
      </c>
      <c r="D281" s="60">
        <v>15</v>
      </c>
    </row>
    <row r="282" spans="2:4" ht="16.5" x14ac:dyDescent="0.2">
      <c r="B282" s="78">
        <v>50201</v>
      </c>
      <c r="C282" s="79" t="s">
        <v>403</v>
      </c>
      <c r="D282" s="80">
        <v>1</v>
      </c>
    </row>
    <row r="283" spans="2:4" ht="16.5" x14ac:dyDescent="0.2">
      <c r="B283" s="63">
        <v>50202</v>
      </c>
      <c r="C283" s="64" t="s">
        <v>404</v>
      </c>
      <c r="D283" s="60">
        <v>1</v>
      </c>
    </row>
    <row r="284" spans="2:4" ht="16.5" x14ac:dyDescent="0.2">
      <c r="B284" s="78">
        <v>50203</v>
      </c>
      <c r="C284" s="79" t="s">
        <v>405</v>
      </c>
      <c r="D284" s="80">
        <v>7</v>
      </c>
    </row>
    <row r="285" spans="2:4" ht="16.5" x14ac:dyDescent="0.2">
      <c r="B285" s="63">
        <v>50301</v>
      </c>
      <c r="C285" s="64" t="s">
        <v>406</v>
      </c>
      <c r="D285" s="60">
        <v>219</v>
      </c>
    </row>
    <row r="286" spans="2:4" ht="16.5" x14ac:dyDescent="0.2">
      <c r="B286" s="78">
        <v>50302</v>
      </c>
      <c r="C286" s="79" t="s">
        <v>407</v>
      </c>
      <c r="D286" s="80">
        <v>40</v>
      </c>
    </row>
    <row r="287" spans="2:4" ht="16.5" x14ac:dyDescent="0.2">
      <c r="B287" s="63">
        <v>50303</v>
      </c>
      <c r="C287" s="64" t="s">
        <v>185</v>
      </c>
      <c r="D287" s="60">
        <v>10</v>
      </c>
    </row>
    <row r="288" spans="2:4" ht="16.5" x14ac:dyDescent="0.2">
      <c r="B288" s="78">
        <v>50304</v>
      </c>
      <c r="C288" s="79" t="s">
        <v>186</v>
      </c>
      <c r="D288" s="80">
        <v>22</v>
      </c>
    </row>
    <row r="289" spans="2:4" ht="16.5" x14ac:dyDescent="0.2">
      <c r="B289" s="63">
        <v>50305</v>
      </c>
      <c r="C289" s="64" t="s">
        <v>408</v>
      </c>
      <c r="D289" s="60">
        <v>66</v>
      </c>
    </row>
    <row r="290" spans="2:4" ht="16.5" x14ac:dyDescent="0.2">
      <c r="B290" s="78">
        <v>50306</v>
      </c>
      <c r="C290" s="79" t="s">
        <v>409</v>
      </c>
      <c r="D290" s="80">
        <v>14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1</v>
      </c>
    </row>
    <row r="293" spans="2:4" ht="16.5" x14ac:dyDescent="0.2">
      <c r="B293" s="81">
        <v>60103</v>
      </c>
      <c r="C293" s="82" t="s">
        <v>411</v>
      </c>
      <c r="D293" s="83">
        <v>11</v>
      </c>
    </row>
    <row r="294" spans="2:4" ht="16.5" x14ac:dyDescent="0.2">
      <c r="B294" s="84">
        <v>70101</v>
      </c>
      <c r="C294" s="85" t="s">
        <v>412</v>
      </c>
      <c r="D294" s="97">
        <v>292</v>
      </c>
    </row>
    <row r="295" spans="2:4" ht="16.5" x14ac:dyDescent="0.2">
      <c r="B295" s="63">
        <v>70102</v>
      </c>
      <c r="C295" s="64" t="s">
        <v>198</v>
      </c>
      <c r="D295" s="60">
        <v>18</v>
      </c>
    </row>
    <row r="296" spans="2:4" ht="16.5" x14ac:dyDescent="0.2">
      <c r="B296" s="84">
        <v>70103</v>
      </c>
      <c r="C296" s="85" t="s">
        <v>199</v>
      </c>
      <c r="D296" s="86">
        <v>300</v>
      </c>
    </row>
    <row r="297" spans="2:4" ht="16.5" x14ac:dyDescent="0.2">
      <c r="B297" s="63">
        <v>70104</v>
      </c>
      <c r="C297" s="64" t="s">
        <v>413</v>
      </c>
      <c r="D297" s="98">
        <v>14724</v>
      </c>
    </row>
    <row r="298" spans="2:4" ht="16.5" x14ac:dyDescent="0.2">
      <c r="B298" s="84">
        <v>70105</v>
      </c>
      <c r="C298" s="85" t="s">
        <v>200</v>
      </c>
      <c r="D298" s="86">
        <v>774</v>
      </c>
    </row>
    <row r="299" spans="2:4" ht="16.5" x14ac:dyDescent="0.2">
      <c r="B299" s="63">
        <v>70106</v>
      </c>
      <c r="C299" s="64" t="s">
        <v>414</v>
      </c>
      <c r="D299" s="60">
        <v>31</v>
      </c>
    </row>
    <row r="300" spans="2:4" ht="16.5" x14ac:dyDescent="0.2">
      <c r="B300" s="84">
        <v>70107</v>
      </c>
      <c r="C300" s="85" t="s">
        <v>415</v>
      </c>
      <c r="D300" s="97">
        <v>291</v>
      </c>
    </row>
    <row r="301" spans="2:4" ht="17.25" thickBot="1" x14ac:dyDescent="0.25">
      <c r="B301" s="87">
        <v>70108</v>
      </c>
      <c r="C301" s="88" t="s">
        <v>416</v>
      </c>
      <c r="D301" s="99">
        <v>4410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27429</v>
      </c>
    </row>
  </sheetData>
  <sheetProtection algorithmName="SHA-512" hashValue="+BONBX8P/7C2E+7UtvhZK4xdm8Wd7HRBUXrHpZ5JBPVPOgNS+94EyYkUwhAYoLKK+Ce3iv7ip7ucsRamIQ64YA==" saltValue="GpYiwV6yP7mD1Tp2iSeWn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430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428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1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36</v>
      </c>
    </row>
    <row r="23" spans="2:7" ht="16.5" x14ac:dyDescent="0.2">
      <c r="B23" s="58">
        <v>10104</v>
      </c>
      <c r="C23" s="59" t="s">
        <v>267</v>
      </c>
      <c r="D23" s="65">
        <v>42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1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1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1</v>
      </c>
    </row>
    <row r="31" spans="2:7" ht="16.5" x14ac:dyDescent="0.2">
      <c r="B31" s="58">
        <v>10112</v>
      </c>
      <c r="C31" s="59" t="s">
        <v>275</v>
      </c>
      <c r="D31" s="65">
        <v>1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9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0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0</v>
      </c>
    </row>
    <row r="44" spans="2:4" ht="16.5" x14ac:dyDescent="0.2">
      <c r="B44" s="72">
        <v>10204</v>
      </c>
      <c r="C44" s="73" t="s">
        <v>288</v>
      </c>
      <c r="D44" s="74">
        <v>36</v>
      </c>
    </row>
    <row r="45" spans="2:4" ht="16.5" x14ac:dyDescent="0.2">
      <c r="B45" s="58">
        <v>10205</v>
      </c>
      <c r="C45" s="59" t="s">
        <v>289</v>
      </c>
      <c r="D45" s="65">
        <v>1</v>
      </c>
    </row>
    <row r="46" spans="2:4" ht="16.5" x14ac:dyDescent="0.2">
      <c r="B46" s="72">
        <v>10206</v>
      </c>
      <c r="C46" s="73" t="s">
        <v>290</v>
      </c>
      <c r="D46" s="74">
        <v>1</v>
      </c>
    </row>
    <row r="47" spans="2:4" ht="16.5" x14ac:dyDescent="0.2">
      <c r="B47" s="58">
        <v>10207</v>
      </c>
      <c r="C47" s="59" t="s">
        <v>291</v>
      </c>
      <c r="D47" s="65">
        <v>2</v>
      </c>
    </row>
    <row r="48" spans="2:4" ht="16.5" x14ac:dyDescent="0.2">
      <c r="B48" s="72">
        <v>10208</v>
      </c>
      <c r="C48" s="73" t="s">
        <v>292</v>
      </c>
      <c r="D48" s="74">
        <v>2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1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0</v>
      </c>
    </row>
    <row r="53" spans="2:4" ht="16.5" x14ac:dyDescent="0.2">
      <c r="B53" s="58">
        <v>10213</v>
      </c>
      <c r="C53" s="59" t="s">
        <v>296</v>
      </c>
      <c r="D53" s="100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100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1</v>
      </c>
    </row>
    <row r="60" spans="2:4" ht="16.5" x14ac:dyDescent="0.2">
      <c r="B60" s="72">
        <v>10220</v>
      </c>
      <c r="C60" s="73" t="s">
        <v>303</v>
      </c>
      <c r="D60" s="74">
        <v>2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3</v>
      </c>
    </row>
    <row r="64" spans="2:4" ht="16.5" x14ac:dyDescent="0.2">
      <c r="B64" s="72">
        <v>10304</v>
      </c>
      <c r="C64" s="73" t="s">
        <v>307</v>
      </c>
      <c r="D64" s="74">
        <v>0</v>
      </c>
    </row>
    <row r="65" spans="2:4" ht="16.5" x14ac:dyDescent="0.2">
      <c r="B65" s="58">
        <v>10305</v>
      </c>
      <c r="C65" s="59" t="s">
        <v>308</v>
      </c>
      <c r="D65" s="65">
        <v>10</v>
      </c>
    </row>
    <row r="66" spans="2:4" ht="16.5" x14ac:dyDescent="0.2">
      <c r="B66" s="72">
        <v>10306</v>
      </c>
      <c r="C66" s="73" t="s">
        <v>309</v>
      </c>
      <c r="D66" s="74">
        <v>0</v>
      </c>
    </row>
    <row r="67" spans="2:4" ht="16.5" x14ac:dyDescent="0.2">
      <c r="B67" s="58">
        <v>10307</v>
      </c>
      <c r="C67" s="59" t="s">
        <v>74</v>
      </c>
      <c r="D67" s="65">
        <v>8</v>
      </c>
    </row>
    <row r="68" spans="2:4" ht="16.5" x14ac:dyDescent="0.2">
      <c r="B68" s="72">
        <v>10308</v>
      </c>
      <c r="C68" s="73" t="s">
        <v>310</v>
      </c>
      <c r="D68" s="74">
        <v>36</v>
      </c>
    </row>
    <row r="69" spans="2:4" ht="16.5" x14ac:dyDescent="0.2">
      <c r="B69" s="58">
        <v>10309</v>
      </c>
      <c r="C69" s="59" t="s">
        <v>311</v>
      </c>
      <c r="D69" s="65">
        <v>2</v>
      </c>
    </row>
    <row r="70" spans="2:4" ht="16.5" x14ac:dyDescent="0.2">
      <c r="B70" s="72">
        <v>10310</v>
      </c>
      <c r="C70" s="73" t="s">
        <v>312</v>
      </c>
      <c r="D70" s="74">
        <v>46</v>
      </c>
    </row>
    <row r="71" spans="2:4" ht="16.5" x14ac:dyDescent="0.2">
      <c r="B71" s="58">
        <v>10311</v>
      </c>
      <c r="C71" s="59" t="s">
        <v>313</v>
      </c>
      <c r="D71" s="65">
        <v>1</v>
      </c>
    </row>
    <row r="72" spans="2:4" ht="16.5" x14ac:dyDescent="0.2">
      <c r="B72" s="72">
        <v>10312</v>
      </c>
      <c r="C72" s="73" t="s">
        <v>314</v>
      </c>
      <c r="D72" s="74">
        <v>8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1</v>
      </c>
    </row>
    <row r="75" spans="2:4" ht="16.5" x14ac:dyDescent="0.2">
      <c r="B75" s="58">
        <v>10315</v>
      </c>
      <c r="C75" s="59" t="s">
        <v>317</v>
      </c>
      <c r="D75" s="65">
        <v>0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16</v>
      </c>
    </row>
    <row r="78" spans="2:4" ht="16.5" x14ac:dyDescent="0.2">
      <c r="B78" s="72">
        <v>10318</v>
      </c>
      <c r="C78" s="73" t="s">
        <v>320</v>
      </c>
      <c r="D78" s="74">
        <v>11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5</v>
      </c>
    </row>
    <row r="83" spans="2:4" ht="16.5" x14ac:dyDescent="0.2">
      <c r="B83" s="61">
        <v>20104</v>
      </c>
      <c r="C83" s="62" t="s">
        <v>79</v>
      </c>
      <c r="D83" s="60">
        <v>5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1</v>
      </c>
    </row>
    <row r="89" spans="2:4" ht="16.5" x14ac:dyDescent="0.2">
      <c r="B89" s="61">
        <v>20110</v>
      </c>
      <c r="C89" s="62" t="s">
        <v>326</v>
      </c>
      <c r="D89" s="60">
        <v>3</v>
      </c>
    </row>
    <row r="90" spans="2:4" ht="16.5" x14ac:dyDescent="0.3">
      <c r="B90" s="75">
        <v>20111</v>
      </c>
      <c r="C90" s="76" t="s">
        <v>327</v>
      </c>
      <c r="D90" s="77">
        <v>1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0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27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2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2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7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23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3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4</v>
      </c>
    </row>
    <row r="124" spans="2:4" ht="16.5" x14ac:dyDescent="0.2">
      <c r="B124" s="63">
        <v>30102</v>
      </c>
      <c r="C124" s="64" t="s">
        <v>95</v>
      </c>
      <c r="D124" s="60">
        <v>4</v>
      </c>
    </row>
    <row r="125" spans="2:4" ht="16.5" x14ac:dyDescent="0.2">
      <c r="B125" s="66">
        <v>30103</v>
      </c>
      <c r="C125" s="67" t="s">
        <v>75</v>
      </c>
      <c r="D125" s="68">
        <v>15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8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4</v>
      </c>
    </row>
    <row r="130" spans="2:4" ht="16.5" x14ac:dyDescent="0.2">
      <c r="B130" s="63">
        <v>30205</v>
      </c>
      <c r="C130" s="64" t="s">
        <v>348</v>
      </c>
      <c r="D130" s="60">
        <v>2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13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7</v>
      </c>
    </row>
    <row r="140" spans="2:4" ht="16.5" x14ac:dyDescent="0.2">
      <c r="B140" s="63">
        <v>30308</v>
      </c>
      <c r="C140" s="64" t="s">
        <v>352</v>
      </c>
      <c r="D140" s="60">
        <v>35</v>
      </c>
    </row>
    <row r="141" spans="2:4" ht="16.5" x14ac:dyDescent="0.2">
      <c r="B141" s="66">
        <v>30309</v>
      </c>
      <c r="C141" s="67" t="s">
        <v>353</v>
      </c>
      <c r="D141" s="68">
        <v>53</v>
      </c>
    </row>
    <row r="142" spans="2:4" ht="16.5" x14ac:dyDescent="0.2">
      <c r="B142" s="63">
        <v>30310</v>
      </c>
      <c r="C142" s="64" t="s">
        <v>354</v>
      </c>
      <c r="D142" s="60">
        <v>34</v>
      </c>
    </row>
    <row r="143" spans="2:4" ht="16.5" x14ac:dyDescent="0.2">
      <c r="B143" s="66">
        <v>30401</v>
      </c>
      <c r="C143" s="67" t="s">
        <v>355</v>
      </c>
      <c r="D143" s="68">
        <v>86</v>
      </c>
    </row>
    <row r="144" spans="2:4" ht="16.5" x14ac:dyDescent="0.2">
      <c r="B144" s="63">
        <v>30402</v>
      </c>
      <c r="C144" s="64" t="s">
        <v>356</v>
      </c>
      <c r="D144" s="60">
        <v>4</v>
      </c>
    </row>
    <row r="145" spans="2:4" ht="16.5" x14ac:dyDescent="0.2">
      <c r="B145" s="66">
        <v>30403</v>
      </c>
      <c r="C145" s="67" t="s">
        <v>357</v>
      </c>
      <c r="D145" s="68">
        <v>1</v>
      </c>
    </row>
    <row r="146" spans="2:4" ht="16.5" x14ac:dyDescent="0.2">
      <c r="B146" s="63">
        <v>30404</v>
      </c>
      <c r="C146" s="64" t="s">
        <v>105</v>
      </c>
      <c r="D146" s="60">
        <v>8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1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1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1</v>
      </c>
    </row>
    <row r="154" spans="2:4" ht="16.5" x14ac:dyDescent="0.2">
      <c r="B154" s="63">
        <v>30412</v>
      </c>
      <c r="C154" s="64" t="s">
        <v>111</v>
      </c>
      <c r="D154" s="60">
        <v>1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3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1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0</v>
      </c>
    </row>
    <row r="162" spans="2:4" ht="16.5" x14ac:dyDescent="0.2">
      <c r="B162" s="63">
        <v>30420</v>
      </c>
      <c r="C162" s="64" t="s">
        <v>119</v>
      </c>
      <c r="D162" s="60">
        <v>5</v>
      </c>
    </row>
    <row r="163" spans="2:4" ht="16.5" x14ac:dyDescent="0.2">
      <c r="B163" s="66">
        <v>30421</v>
      </c>
      <c r="C163" s="67" t="s">
        <v>120</v>
      </c>
      <c r="D163" s="68">
        <v>0</v>
      </c>
    </row>
    <row r="164" spans="2:4" ht="16.5" x14ac:dyDescent="0.2">
      <c r="B164" s="63">
        <v>30422</v>
      </c>
      <c r="C164" s="64" t="s">
        <v>121</v>
      </c>
      <c r="D164" s="60">
        <v>4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1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1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2</v>
      </c>
    </row>
    <row r="189" spans="2:4" ht="16.5" x14ac:dyDescent="0.2">
      <c r="B189" s="66">
        <v>30501</v>
      </c>
      <c r="C189" s="67" t="s">
        <v>139</v>
      </c>
      <c r="D189" s="68">
        <v>0</v>
      </c>
    </row>
    <row r="190" spans="2:4" ht="16.5" x14ac:dyDescent="0.2">
      <c r="B190" s="63">
        <v>30502</v>
      </c>
      <c r="C190" s="64" t="s">
        <v>140</v>
      </c>
      <c r="D190" s="60">
        <v>57</v>
      </c>
    </row>
    <row r="191" spans="2:4" ht="16.5" x14ac:dyDescent="0.2">
      <c r="B191" s="66">
        <v>30503</v>
      </c>
      <c r="C191" s="67" t="s">
        <v>141</v>
      </c>
      <c r="D191" s="68">
        <v>54</v>
      </c>
    </row>
    <row r="192" spans="2:4" ht="16.5" x14ac:dyDescent="0.2">
      <c r="B192" s="63">
        <v>30504</v>
      </c>
      <c r="C192" s="64" t="s">
        <v>368</v>
      </c>
      <c r="D192" s="60">
        <v>0</v>
      </c>
    </row>
    <row r="193" spans="2:4" ht="16.5" x14ac:dyDescent="0.2">
      <c r="B193" s="66">
        <v>30505</v>
      </c>
      <c r="C193" s="67" t="s">
        <v>369</v>
      </c>
      <c r="D193" s="68">
        <v>2</v>
      </c>
    </row>
    <row r="194" spans="2:4" ht="16.5" x14ac:dyDescent="0.2">
      <c r="B194" s="63">
        <v>30601</v>
      </c>
      <c r="C194" s="64" t="s">
        <v>142</v>
      </c>
      <c r="D194" s="60">
        <v>1</v>
      </c>
    </row>
    <row r="195" spans="2:4" ht="16.5" x14ac:dyDescent="0.2">
      <c r="B195" s="66">
        <v>30602</v>
      </c>
      <c r="C195" s="67" t="s">
        <v>143</v>
      </c>
      <c r="D195" s="68">
        <v>2</v>
      </c>
    </row>
    <row r="196" spans="2:4" ht="16.5" x14ac:dyDescent="0.2">
      <c r="B196" s="63">
        <v>30603</v>
      </c>
      <c r="C196" s="64" t="s">
        <v>144</v>
      </c>
      <c r="D196" s="60">
        <v>1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0</v>
      </c>
    </row>
    <row r="200" spans="2:4" ht="16.5" x14ac:dyDescent="0.2">
      <c r="B200" s="63">
        <v>30607</v>
      </c>
      <c r="C200" s="64" t="s">
        <v>146</v>
      </c>
      <c r="D200" s="60">
        <v>2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0</v>
      </c>
    </row>
    <row r="205" spans="2:4" ht="16.5" x14ac:dyDescent="0.2">
      <c r="B205" s="66">
        <v>30701</v>
      </c>
      <c r="C205" s="67" t="s">
        <v>148</v>
      </c>
      <c r="D205" s="68">
        <v>3</v>
      </c>
    </row>
    <row r="206" spans="2:4" ht="16.5" x14ac:dyDescent="0.2">
      <c r="B206" s="63">
        <v>30702</v>
      </c>
      <c r="C206" s="64" t="s">
        <v>149</v>
      </c>
      <c r="D206" s="60">
        <v>2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1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14</v>
      </c>
    </row>
    <row r="229" spans="2:4" ht="16.5" x14ac:dyDescent="0.2">
      <c r="B229" s="66">
        <v>30904</v>
      </c>
      <c r="C229" s="67" t="s">
        <v>183</v>
      </c>
      <c r="D229" s="68">
        <v>11</v>
      </c>
    </row>
    <row r="230" spans="2:4" ht="16.5" x14ac:dyDescent="0.2">
      <c r="B230" s="63">
        <v>30905</v>
      </c>
      <c r="C230" s="64" t="s">
        <v>159</v>
      </c>
      <c r="D230" s="60">
        <v>2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67</v>
      </c>
    </row>
    <row r="233" spans="2:4" ht="16.5" x14ac:dyDescent="0.2">
      <c r="B233" s="66">
        <v>30908</v>
      </c>
      <c r="C233" s="67" t="s">
        <v>162</v>
      </c>
      <c r="D233" s="68">
        <v>1</v>
      </c>
    </row>
    <row r="234" spans="2:4" ht="16.5" x14ac:dyDescent="0.2">
      <c r="B234" s="63">
        <v>30909</v>
      </c>
      <c r="C234" s="64" t="s">
        <v>383</v>
      </c>
      <c r="D234" s="60">
        <v>1</v>
      </c>
    </row>
    <row r="235" spans="2:4" ht="16.5" x14ac:dyDescent="0.2">
      <c r="B235" s="66">
        <v>31001</v>
      </c>
      <c r="C235" s="67" t="s">
        <v>164</v>
      </c>
      <c r="D235" s="68">
        <v>19</v>
      </c>
    </row>
    <row r="236" spans="2:4" ht="16.5" x14ac:dyDescent="0.2">
      <c r="B236" s="63">
        <v>31002</v>
      </c>
      <c r="C236" s="64" t="s">
        <v>384</v>
      </c>
      <c r="D236" s="60">
        <v>4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37</v>
      </c>
    </row>
    <row r="251" spans="2:4" ht="16.5" x14ac:dyDescent="0.2">
      <c r="B251" s="66">
        <v>31102</v>
      </c>
      <c r="C251" s="67" t="s">
        <v>173</v>
      </c>
      <c r="D251" s="68">
        <v>13</v>
      </c>
    </row>
    <row r="252" spans="2:4" ht="16.5" x14ac:dyDescent="0.2">
      <c r="B252" s="63">
        <v>31103</v>
      </c>
      <c r="C252" s="64" t="s">
        <v>175</v>
      </c>
      <c r="D252" s="60">
        <v>10</v>
      </c>
    </row>
    <row r="253" spans="2:4" ht="16.5" x14ac:dyDescent="0.2">
      <c r="B253" s="66">
        <v>31104</v>
      </c>
      <c r="C253" s="67" t="s">
        <v>176</v>
      </c>
      <c r="D253" s="68">
        <v>3</v>
      </c>
    </row>
    <row r="254" spans="2:4" ht="16.5" x14ac:dyDescent="0.2">
      <c r="B254" s="63">
        <v>31105</v>
      </c>
      <c r="C254" s="64" t="s">
        <v>177</v>
      </c>
      <c r="D254" s="60">
        <v>17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17</v>
      </c>
    </row>
    <row r="262" spans="2:4" ht="16.5" x14ac:dyDescent="0.2">
      <c r="B262" s="63">
        <v>31113</v>
      </c>
      <c r="C262" s="64" t="s">
        <v>181</v>
      </c>
      <c r="D262" s="60">
        <v>18</v>
      </c>
    </row>
    <row r="263" spans="2:4" ht="16.5" x14ac:dyDescent="0.2">
      <c r="B263" s="66">
        <v>31114</v>
      </c>
      <c r="C263" s="67" t="s">
        <v>396</v>
      </c>
      <c r="D263" s="68">
        <v>29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5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5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17</v>
      </c>
    </row>
    <row r="270" spans="2:4" ht="16.5" x14ac:dyDescent="0.2">
      <c r="B270" s="69">
        <v>40107</v>
      </c>
      <c r="C270" s="70" t="s">
        <v>196</v>
      </c>
      <c r="D270" s="71">
        <v>11</v>
      </c>
    </row>
    <row r="271" spans="2:4" ht="16.5" x14ac:dyDescent="0.2">
      <c r="B271" s="63">
        <v>40108</v>
      </c>
      <c r="C271" s="64" t="s">
        <v>197</v>
      </c>
      <c r="D271" s="60">
        <v>1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3</v>
      </c>
    </row>
    <row r="274" spans="2:4" ht="16.5" x14ac:dyDescent="0.2">
      <c r="B274" s="78">
        <v>50101</v>
      </c>
      <c r="C274" s="79" t="s">
        <v>398</v>
      </c>
      <c r="D274" s="80">
        <v>5</v>
      </c>
    </row>
    <row r="275" spans="2:4" ht="16.5" x14ac:dyDescent="0.2">
      <c r="B275" s="63">
        <v>50102</v>
      </c>
      <c r="C275" s="64" t="s">
        <v>399</v>
      </c>
      <c r="D275" s="60">
        <v>2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65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9</v>
      </c>
    </row>
    <row r="281" spans="2:4" ht="16.5" x14ac:dyDescent="0.2">
      <c r="B281" s="63">
        <v>50108</v>
      </c>
      <c r="C281" s="64" t="s">
        <v>402</v>
      </c>
      <c r="D281" s="60">
        <v>2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1</v>
      </c>
    </row>
    <row r="285" spans="2:4" ht="16.5" x14ac:dyDescent="0.2">
      <c r="B285" s="63">
        <v>50301</v>
      </c>
      <c r="C285" s="64" t="s">
        <v>406</v>
      </c>
      <c r="D285" s="60">
        <v>171</v>
      </c>
    </row>
    <row r="286" spans="2:4" ht="16.5" x14ac:dyDescent="0.2">
      <c r="B286" s="78">
        <v>50302</v>
      </c>
      <c r="C286" s="79" t="s">
        <v>407</v>
      </c>
      <c r="D286" s="80">
        <v>7</v>
      </c>
    </row>
    <row r="287" spans="2:4" ht="16.5" x14ac:dyDescent="0.2">
      <c r="B287" s="63">
        <v>50303</v>
      </c>
      <c r="C287" s="64" t="s">
        <v>185</v>
      </c>
      <c r="D287" s="60">
        <v>3</v>
      </c>
    </row>
    <row r="288" spans="2:4" ht="16.5" x14ac:dyDescent="0.2">
      <c r="B288" s="78">
        <v>50304</v>
      </c>
      <c r="C288" s="79" t="s">
        <v>186</v>
      </c>
      <c r="D288" s="80">
        <v>2</v>
      </c>
    </row>
    <row r="289" spans="2:4" ht="16.5" x14ac:dyDescent="0.2">
      <c r="B289" s="63">
        <v>50305</v>
      </c>
      <c r="C289" s="64" t="s">
        <v>408</v>
      </c>
      <c r="D289" s="60">
        <v>43</v>
      </c>
    </row>
    <row r="290" spans="2:4" ht="16.5" x14ac:dyDescent="0.2">
      <c r="B290" s="78">
        <v>50306</v>
      </c>
      <c r="C290" s="79" t="s">
        <v>409</v>
      </c>
      <c r="D290" s="80">
        <v>0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2</v>
      </c>
    </row>
    <row r="293" spans="2:4" ht="16.5" x14ac:dyDescent="0.2">
      <c r="B293" s="81">
        <v>60103</v>
      </c>
      <c r="C293" s="82" t="s">
        <v>411</v>
      </c>
      <c r="D293" s="83">
        <v>1</v>
      </c>
    </row>
    <row r="294" spans="2:4" ht="16.5" x14ac:dyDescent="0.2">
      <c r="B294" s="84">
        <v>70101</v>
      </c>
      <c r="C294" s="85" t="s">
        <v>412</v>
      </c>
      <c r="D294" s="86">
        <v>94</v>
      </c>
    </row>
    <row r="295" spans="2:4" ht="16.5" x14ac:dyDescent="0.2">
      <c r="B295" s="63">
        <v>70102</v>
      </c>
      <c r="C295" s="64" t="s">
        <v>198</v>
      </c>
      <c r="D295" s="60">
        <v>15</v>
      </c>
    </row>
    <row r="296" spans="2:4" ht="16.5" x14ac:dyDescent="0.2">
      <c r="B296" s="84">
        <v>70103</v>
      </c>
      <c r="C296" s="85" t="s">
        <v>199</v>
      </c>
      <c r="D296" s="86">
        <v>59</v>
      </c>
    </row>
    <row r="297" spans="2:4" ht="16.5" x14ac:dyDescent="0.2">
      <c r="B297" s="63">
        <v>70104</v>
      </c>
      <c r="C297" s="64" t="s">
        <v>413</v>
      </c>
      <c r="D297" s="98">
        <v>4008</v>
      </c>
    </row>
    <row r="298" spans="2:4" ht="16.5" x14ac:dyDescent="0.2">
      <c r="B298" s="84">
        <v>70105</v>
      </c>
      <c r="C298" s="85" t="s">
        <v>200</v>
      </c>
      <c r="D298" s="86">
        <v>1263</v>
      </c>
    </row>
    <row r="299" spans="2:4" ht="16.5" x14ac:dyDescent="0.2">
      <c r="B299" s="63">
        <v>70106</v>
      </c>
      <c r="C299" s="64" t="s">
        <v>414</v>
      </c>
      <c r="D299" s="60">
        <v>31</v>
      </c>
    </row>
    <row r="300" spans="2:4" ht="16.5" x14ac:dyDescent="0.2">
      <c r="B300" s="84">
        <v>70107</v>
      </c>
      <c r="C300" s="85" t="s">
        <v>415</v>
      </c>
      <c r="D300" s="86">
        <v>624</v>
      </c>
    </row>
    <row r="301" spans="2:4" ht="17.25" thickBot="1" x14ac:dyDescent="0.25">
      <c r="B301" s="87">
        <v>70108</v>
      </c>
      <c r="C301" s="88" t="s">
        <v>416</v>
      </c>
      <c r="D301" s="99">
        <v>977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8474</v>
      </c>
    </row>
  </sheetData>
  <sheetProtection algorithmName="SHA-512" hashValue="/npI3f7ZBnf659+n12Dj4ifg3++Wrj0J3BIObiQaEITomGFC0pbOrbBFmaygRveic5+szin+dqlA2dx4hlsUfA==" saltValue="80DSxhwKm7/0UEnur21Je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Estadistica C5i</cp:lastModifiedBy>
  <cp:lastPrinted>2015-12-19T01:31:18Z</cp:lastPrinted>
  <dcterms:created xsi:type="dcterms:W3CDTF">1999-03-11T18:07:10Z</dcterms:created>
  <dcterms:modified xsi:type="dcterms:W3CDTF">2026-08-05T03:04:29Z</dcterms:modified>
</cp:coreProperties>
</file>