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 codeName="ThisWorkbook"/>
  <workbookProtection lockStructure="1"/>
  <bookViews>
    <workbookView xWindow="5760" yWindow="1380" windowWidth="14760" windowHeight="12630" tabRatio="892" activeTab="6"/>
  </bookViews>
  <sheets>
    <sheet name="PORTADA" sheetId="1" r:id="rId1"/>
    <sheet name="PRESENTACIÓN" sheetId="2" r:id="rId2"/>
    <sheet name="INSTRUCCIONES" sheetId="3" r:id="rId3"/>
    <sheet name="Lista" sheetId="5" state="hidden" r:id="rId4"/>
    <sheet name="Datos" sheetId="6" state="hidden" r:id="rId5"/>
    <sheet name="RESUMEN" sheetId="7" r:id="rId6"/>
    <sheet name="C01" sheetId="4" r:id="rId7"/>
  </sheets>
  <definedNames>
    <definedName name="_xlnm.Print_Area" localSheetId="6">'C01'!$B$1:$D$302</definedName>
    <definedName name="_xlnm.Print_Area" localSheetId="2">INSTRUCCIONES!$B$2:$O$25</definedName>
    <definedName name="_xlnm.Print_Area" localSheetId="0">PORTADA!$B$2:$K$41</definedName>
    <definedName name="_xlnm.Print_Area" localSheetId="1">PRESENTACIÓN!$B$2:$O$54</definedName>
    <definedName name="_xlnm.Print_Area" localSheetId="5">RESUMEN!$A$1:$G$22</definedName>
    <definedName name="Z_857CB3B9_618A_49FD_8D38_75EE2A4021B4_.wvu.PrintArea" localSheetId="6" hidden="1">'C01'!$B$1:$D$302</definedName>
    <definedName name="Z_857CB3B9_618A_49FD_8D38_75EE2A4021B4_.wvu.PrintArea" localSheetId="2" hidden="1">INSTRUCCIONES!$B$2:$O$25</definedName>
    <definedName name="Z_857CB3B9_618A_49FD_8D38_75EE2A4021B4_.wvu.PrintArea" localSheetId="0" hidden="1">PORTADA!$B$2:$K$41</definedName>
    <definedName name="Z_857CB3B9_618A_49FD_8D38_75EE2A4021B4_.wvu.PrintArea" localSheetId="1" hidden="1">PRESENTACIÓN!$B$2:$O$54</definedName>
    <definedName name="Z_857CB3B9_618A_49FD_8D38_75EE2A4021B4_.wvu.PrintArea" localSheetId="5" hidden="1">RESUMEN!$A$1:$G$22</definedName>
  </definedNames>
  <calcPr calcId="145621"/>
  <customWorkbookViews>
    <customWorkbookView name="Salas Romero Moises - Vista personalizada" guid="{857CB3B9-618A-49FD-8D38-75EE2A4021B4}" mergeInterval="0" personalView="1" maximized="1" windowWidth="1916" windowHeight="775" tabRatio="523" activeSheetId="4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6" i="7" l="1"/>
  <c r="B16" i="7"/>
  <c r="G16" i="7" l="1"/>
  <c r="F16" i="7"/>
  <c r="E16" i="7"/>
  <c r="D16" i="7"/>
  <c r="A16" i="7"/>
  <c r="D14" i="4" l="1"/>
  <c r="D13" i="4"/>
  <c r="D12" i="4"/>
  <c r="C13" i="7" l="1"/>
  <c r="D302" i="4"/>
  <c r="D20" i="7" l="1"/>
  <c r="E20" i="7"/>
  <c r="F20" i="7"/>
  <c r="B20" i="7"/>
  <c r="A20" i="7"/>
  <c r="G20" i="7"/>
  <c r="C20" i="7"/>
</calcChain>
</file>

<file path=xl/sharedStrings.xml><?xml version="1.0" encoding="utf-8"?>
<sst xmlns="http://schemas.openxmlformats.org/spreadsheetml/2006/main" count="465" uniqueCount="426">
  <si>
    <t>CENTRO NACIONAL DE INFORMACIÓN</t>
  </si>
  <si>
    <t>Total</t>
  </si>
  <si>
    <t>CENTRO DE ATENCIÓN DE LLAMADAS DE EMERGENCIAS</t>
  </si>
  <si>
    <t>Administración</t>
  </si>
  <si>
    <t>Estatal</t>
  </si>
  <si>
    <t>Municipal</t>
  </si>
  <si>
    <t>Morelos</t>
  </si>
  <si>
    <t>Estados</t>
  </si>
  <si>
    <t>Año</t>
  </si>
  <si>
    <t>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</si>
  <si>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</si>
  <si>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</si>
  <si>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</si>
  <si>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</si>
  <si>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</si>
  <si>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</si>
  <si>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</si>
  <si>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</si>
  <si>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</si>
  <si>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</si>
  <si>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</si>
  <si>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</si>
  <si>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AGUASCALIENTES</t>
  </si>
  <si>
    <t>BAJA CALIFORNIA</t>
  </si>
  <si>
    <t>BAJA CALIFORNIA SUR</t>
  </si>
  <si>
    <t>CAMPECHE</t>
  </si>
  <si>
    <t>COAHUILA</t>
  </si>
  <si>
    <t>COLIMA</t>
  </si>
  <si>
    <t>CHIAPAS</t>
  </si>
  <si>
    <t>CHIHUAHUA</t>
  </si>
  <si>
    <t>DISTRITO FEDERAL</t>
  </si>
  <si>
    <t>DURANGO</t>
  </si>
  <si>
    <t>GUANAJUATO</t>
  </si>
  <si>
    <t>GUERRERO</t>
  </si>
  <si>
    <t>HIDALGO</t>
  </si>
  <si>
    <t>JALISCO</t>
  </si>
  <si>
    <t>MÉXICO</t>
  </si>
  <si>
    <t>MICHOACÁN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</si>
  <si>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</si>
  <si>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</si>
  <si>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</si>
  <si>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</si>
  <si>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</si>
  <si>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</si>
  <si>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</si>
  <si>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</si>
  <si>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</si>
  <si>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</si>
  <si>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</si>
  <si>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</si>
  <si>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</si>
  <si>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</t>
  </si>
  <si>
    <t>YUCATÁN</t>
  </si>
  <si>
    <t>ZACATECAS</t>
  </si>
  <si>
    <t>Centro Nacional de Información</t>
  </si>
  <si>
    <t xml:space="preserve">PRESENTACIÓN </t>
  </si>
  <si>
    <t>OBJETIVO</t>
  </si>
  <si>
    <t>REPORTE ESTADÍSTICO MENSUAL DEL NÚMERO DE LLAMADAS GENERADAS
 EN EL SERVICIO DE ATENCIÓN DE LLAMADAS DE EMERGENCIA 066</t>
  </si>
  <si>
    <t xml:space="preserve">Ley General del Sistema Nacional de Seguridad Pública
</t>
  </si>
  <si>
    <t xml:space="preserve">Acuerdo Nacional por la Seguridad, la Justicia y la Legalidad
</t>
  </si>
  <si>
    <t xml:space="preserve">Acuerdos aprobados por el Consejo Nacional de Seguridad Pública en su Trigésima Primera Sesión.
</t>
  </si>
  <si>
    <t xml:space="preserve">Reglamento del Secretariado Ejecutivo del Sistema Nacional de Seguridad Pública.
</t>
  </si>
  <si>
    <t>Alcance</t>
  </si>
  <si>
    <t>|</t>
  </si>
  <si>
    <t>INSTRUCTIVO</t>
  </si>
  <si>
    <t xml:space="preserve">Integrar, análisar  y explotar  la información generada de los tipos de incidentes de los Centros de Atención de Llamadas de Emergencia 066  que operan a nivel nacional.
</t>
  </si>
  <si>
    <r>
      <rPr>
        <b/>
        <sz val="14"/>
        <color theme="1"/>
        <rFont val="Calibri"/>
        <family val="2"/>
        <scheme val="minor"/>
      </rPr>
      <t>Artículo 111.-</t>
    </r>
    <r>
      <rPr>
        <sz val="14"/>
        <color theme="1"/>
        <rFont val="Calibri"/>
        <family val="2"/>
        <scheme val="minor"/>
      </rPr>
      <t xml:space="preserve"> La Federación, los Estados, el Distrito Federal y los Municipios, realizarán los trabajos para lograr la compatibilidad de los servicios de telecomunicaciones de su Red Local correspondiente, con las bases de datos criminalísticos y de personal del Sistema, previstas en la presente Ley. 
El servicio de llamadas de emergencia y el servicio de denuncia anónima operarán con un número único de atención a la ciudadanía. El Secretario Ejecutivo adoptará las medidas necesarias para la homologación de los servicios.”
</t>
    </r>
  </si>
  <si>
    <t>Homologar la información sobre incidencia delictiva que generan los centros de atención de llamadas de emergencia, así como generar una base de datos nacional con información estadística.</t>
  </si>
  <si>
    <r>
      <rPr>
        <b/>
        <sz val="14"/>
        <color theme="1"/>
        <rFont val="Calibri"/>
        <family val="2"/>
        <scheme val="minor"/>
      </rPr>
      <t>Artículo 12.</t>
    </r>
    <r>
      <rPr>
        <sz val="14"/>
        <color theme="1"/>
        <rFont val="Calibri"/>
        <family val="2"/>
        <scheme val="minor"/>
      </rPr>
      <t xml:space="preserve">- El Centro Nacional de Información, además de las atribuciones que le confiere la Ley, tendrá las siguientes:
</t>
    </r>
    <r>
      <rPr>
        <b/>
        <sz val="14"/>
        <color theme="1"/>
        <rFont val="Calibri"/>
        <family val="2"/>
        <scheme val="minor"/>
      </rPr>
      <t>VII.</t>
    </r>
    <r>
      <rPr>
        <sz val="14"/>
        <color theme="1"/>
        <rFont val="Calibri"/>
        <family val="2"/>
        <scheme val="minor"/>
      </rPr>
      <t xml:space="preserve"> Determinar las estrategias tendientes a satisfacer las necesidades de información y procesamiento
de datos, requeridas por las Instituciones de Seguridad Pública;
</t>
    </r>
    <r>
      <rPr>
        <b/>
        <sz val="14"/>
        <color theme="1"/>
        <rFont val="Calibri"/>
        <family val="2"/>
        <scheme val="minor"/>
      </rPr>
      <t>VIII.</t>
    </r>
    <r>
      <rPr>
        <sz val="14"/>
        <color theme="1"/>
        <rFont val="Calibri"/>
        <family val="2"/>
        <scheme val="minor"/>
      </rPr>
      <t xml:space="preserve"> Definir las medidas necesarias para la operación de los servicios de emergencia y denuncia anónima a través de un número único de atención ciudadana; así como determinar nuevas aplicaciones para su homologación;
</t>
    </r>
    <r>
      <rPr>
        <b/>
        <sz val="14"/>
        <color theme="1"/>
        <rFont val="Calibri"/>
        <family val="2"/>
        <scheme val="minor"/>
      </rPr>
      <t>XXI.</t>
    </r>
    <r>
      <rPr>
        <sz val="14"/>
        <color theme="1"/>
        <rFont val="Calibri"/>
        <family val="2"/>
        <scheme val="minor"/>
      </rPr>
      <t xml:space="preserve"> Incorporar al Sistema Nacional de Información de Seguridad Pública la información contenida en otras bases de datos que contribuyan a los fines de la seguridad pública;</t>
    </r>
  </si>
  <si>
    <t xml:space="preserve"> Secretariado Ejecutivo del Sistema Nacional de Seguridad Pública</t>
  </si>
  <si>
    <t>Hidalgo</t>
  </si>
  <si>
    <t>Cantidad</t>
  </si>
  <si>
    <t>Incidente</t>
  </si>
  <si>
    <t>ID</t>
  </si>
  <si>
    <t>CONVULSIONES</t>
  </si>
  <si>
    <t>PERSONA TIRADA EN VÍA PÚBLICA</t>
  </si>
  <si>
    <t>QUEMADURAS</t>
  </si>
  <si>
    <t>AFECTACIÓN DE LOS SERVICIOS BÁSICOS O DE INFRAESTRUCTURA ESTRATÉGICA</t>
  </si>
  <si>
    <t>ANIMAL PELIGROSO</t>
  </si>
  <si>
    <t>ANIMALES SUELTOS</t>
  </si>
  <si>
    <t>EPIDEMIAS</t>
  </si>
  <si>
    <t>EXPLOSIÓN</t>
  </si>
  <si>
    <t>TRANSPORTE DE SUSTANCIAS PELIGROSAS</t>
  </si>
  <si>
    <t>CONTAMINACIÓN DE SUELO, AIRE Y AGUA</t>
  </si>
  <si>
    <t>DERRUMBES</t>
  </si>
  <si>
    <t>ENJAMBRE DE ABEJAS</t>
  </si>
  <si>
    <t>ERUPCIÓN O EMISIONES VOLCÁNICAS</t>
  </si>
  <si>
    <t>FRENTES FRÍOS, BAJAS TEMPERATURAS, NEVADAS Y HELADAS</t>
  </si>
  <si>
    <t>HURACANES</t>
  </si>
  <si>
    <t>INUNDACIONES</t>
  </si>
  <si>
    <t>PLAGAS</t>
  </si>
  <si>
    <t>SISMO</t>
  </si>
  <si>
    <t>TALA ILEGAL</t>
  </si>
  <si>
    <t>TORNADOS</t>
  </si>
  <si>
    <t>TSUNAMI</t>
  </si>
  <si>
    <t>OBJETO SOSPECHOSO O PELIGROSO</t>
  </si>
  <si>
    <t>DETONACIÓN DE EXPLOSIVOS</t>
  </si>
  <si>
    <t>ENFRENTAMIENTO DE GRUPOS ARMADOS</t>
  </si>
  <si>
    <t>PORTACIÓN DE ARMAS O CARTUCHOS</t>
  </si>
  <si>
    <t>AERONAVE SOSPECHOSA</t>
  </si>
  <si>
    <t>ARRANCONES O CARRERAS DE VEHÍCULOS</t>
  </si>
  <si>
    <t>CIRCULAR EN SENTIDO CONTRARIO</t>
  </si>
  <si>
    <t>VEHÍCULO A EXCESO DE VELOCIDAD</t>
  </si>
  <si>
    <t>VEHÍCULO EN HUIDA</t>
  </si>
  <si>
    <t>VEHÍCULO SOSPECHOSO</t>
  </si>
  <si>
    <t>DAÑO A PROPIEDAD AJENA</t>
  </si>
  <si>
    <t>DESPOJO</t>
  </si>
  <si>
    <t>EXTORSIÓN</t>
  </si>
  <si>
    <t>FRAUDE</t>
  </si>
  <si>
    <t>ROBO DE COMBUSTIBLE O TOMA CLANDESTINA DE DUCTOS</t>
  </si>
  <si>
    <t>ROBO A CAJERO AUTOMÁTICO</t>
  </si>
  <si>
    <t>ROBO DE GANADO</t>
  </si>
  <si>
    <t>ROBO A CASA HABITACIÓN CON VIOLENCIA</t>
  </si>
  <si>
    <t>ROBO A CASA HABITACIÓN SIN VIOLENCIA</t>
  </si>
  <si>
    <t>ROBO A ESCUELA CON VIOLENCIA</t>
  </si>
  <si>
    <t>ROBO A ESCUELA SIN VIOLENCIA</t>
  </si>
  <si>
    <t>ROBO A GASOLINERA CON VIOLENCIA</t>
  </si>
  <si>
    <t>ROBO A GASOLINERA SIN VIOLENCIA</t>
  </si>
  <si>
    <t>ROBO A NEGOCIO CON VIOLENCIA</t>
  </si>
  <si>
    <t>ROBO A NEGOCIO SIN VIOLENCIA</t>
  </si>
  <si>
    <t>ROBO A TRANSEÚNTE CON VIOLENCIA</t>
  </si>
  <si>
    <t>ROBO A TRANSEÚNTE SIN VIOLENCIA</t>
  </si>
  <si>
    <t>ROBO EN TRANSPORTE PÚBLICO COLECTIVO CON VIOLENCIA</t>
  </si>
  <si>
    <t>ROBO EN TRANSPORTE PÚBLICO COLECTIVO SIN VIOLENCIA</t>
  </si>
  <si>
    <t>ROBO EN TRANSPORTE PÚBLICO INDIVIDUAL CON VIOLENCIA</t>
  </si>
  <si>
    <t>ROBO EN TRANSPORTE PÚBLICO INDIVIDUAL SIN VIOLENCIA</t>
  </si>
  <si>
    <t>ROBO A TRANSPORTISTA CON VIOLENCIA</t>
  </si>
  <si>
    <t>ROBO A TRANSPORTISTA SIN VIOLENCIA</t>
  </si>
  <si>
    <t>ROBO DE VEHÍCULO PARTICULAR CON VIOLENCIA</t>
  </si>
  <si>
    <t>ROBO DE VEHÍCULO PARTICULAR SIN VIOLENCIA</t>
  </si>
  <si>
    <t>ROBO EN CARRETERA CON VIOLENCIA</t>
  </si>
  <si>
    <t>ROBO EN CARRETERA SIN VIOLENCIA</t>
  </si>
  <si>
    <t>ROBO A BANCO CON VIOLENCIA</t>
  </si>
  <si>
    <t>ROBO A BANCO SIN VIOLENCIA</t>
  </si>
  <si>
    <t>ROBO A CASA DE CAMBIO CON VIOLENCIA</t>
  </si>
  <si>
    <t>ROBO A CASA DE CAMBIO SIN VIOLENCIA</t>
  </si>
  <si>
    <t>ROBO A EMPRESA DE TRASLADO DE VALORES CON VIOLENCIA</t>
  </si>
  <si>
    <t>ROBO A EMPRESA DE TRASLADO DE VALORES SIN VIOLENCIA</t>
  </si>
  <si>
    <t>ROBO A FERROCARRIL</t>
  </si>
  <si>
    <t>ABANDONO DE PERSONA</t>
  </si>
  <si>
    <t>VIOLENCIA DE PAREJA</t>
  </si>
  <si>
    <t>VIOLENCIA FAMILIAR</t>
  </si>
  <si>
    <t>MENOR EXTRAVIADO</t>
  </si>
  <si>
    <t>PERSONA NO LOCALIZADA</t>
  </si>
  <si>
    <t>PRIVACIÓN DE LA LIBERTAD</t>
  </si>
  <si>
    <t>REHENES</t>
  </si>
  <si>
    <t>SUSTRACCIÓN DE MENORES</t>
  </si>
  <si>
    <t>TRÁFICO DE MENORES</t>
  </si>
  <si>
    <t>ABUSO SEXUAL</t>
  </si>
  <si>
    <t>ACOSO U HOSTIGAMIENTO SEXUAL</t>
  </si>
  <si>
    <t>ATAQUES AL PUDOR</t>
  </si>
  <si>
    <t>ESTUPRO</t>
  </si>
  <si>
    <t>EXPLOTACIÓN DE MENORES</t>
  </si>
  <si>
    <t>TRATA DE MENORES</t>
  </si>
  <si>
    <t>VIOLACIÓN</t>
  </si>
  <si>
    <t>ACTOS DE COMERCIALIZACIÓN ILEGAL DE SANGRE, ÓRGANOS Y TEJIDOS HUMANOS</t>
  </si>
  <si>
    <t>ASOCIACIÓN DELICTUOSA O PANDILLERISMO</t>
  </si>
  <si>
    <t>CORRUPCIÓN DE MENORES</t>
  </si>
  <si>
    <t>TRATA DE PERSONAS</t>
  </si>
  <si>
    <t>AMENAZA DE SUICIDIO</t>
  </si>
  <si>
    <t>HOMICIDIO</t>
  </si>
  <si>
    <t>PERSONA AGRESIVA</t>
  </si>
  <si>
    <t>SUICIDIO</t>
  </si>
  <si>
    <t>VIOLENCIA CONTRA LA MUJER</t>
  </si>
  <si>
    <t>ALLANAMIENTO DE MORADA</t>
  </si>
  <si>
    <t>DAÑO A BIENES PÚBLICOS, INSTITUCIONES, MONUMENTOS, ENTRE OTROS</t>
  </si>
  <si>
    <t>DESCARGA DE DESECHOS SIN PERMISOS</t>
  </si>
  <si>
    <t>ELECTORALES</t>
  </si>
  <si>
    <t>FUGA DE REOS</t>
  </si>
  <si>
    <t>NARCOMENUDEO</t>
  </si>
  <si>
    <t>USURPACIÓN DE IDENTIDAD</t>
  </si>
  <si>
    <t>VENTA CLANDESTINA DE PIROTECNIA, COHETES O FUEGOS ARTIFICIALES</t>
  </si>
  <si>
    <t>ALTERACIÓN DEL ORDEN PÚBLICO POR PERSONA ALCOHOLIZADA</t>
  </si>
  <si>
    <t>ALTERACIÓN DEL ORDEN PÚBLICO POR PERSONA DROGADA</t>
  </si>
  <si>
    <t>AMENAZA DE BOMBA</t>
  </si>
  <si>
    <t>CONDUCTOR EBRIO</t>
  </si>
  <si>
    <t>CONSUMO DE ALCOHOL EN VÍA PÚBLICA</t>
  </si>
  <si>
    <t>CONSUMO DE DROGAS EN VÍA PÚBLICA</t>
  </si>
  <si>
    <t>MANIFESTACIÓN CON DISTURBIOS O BLOQUEOS</t>
  </si>
  <si>
    <t>MITIN</t>
  </si>
  <si>
    <t>PELEA CLANDESTINA CON ANIMALES</t>
  </si>
  <si>
    <t>PERSONA EXHIBICIONISTA</t>
  </si>
  <si>
    <t>RUIDO EXCESIVO</t>
  </si>
  <si>
    <t>PERSONA SOSPECHOSA</t>
  </si>
  <si>
    <t>TERRORISMO O ATENTADO</t>
  </si>
  <si>
    <t>MALTRATO DE ANIMALES</t>
  </si>
  <si>
    <t>PERSONA EN SITUACIÓN DE CALLE</t>
  </si>
  <si>
    <t>CAÍDA DE BARDA</t>
  </si>
  <si>
    <t>FALLA DE ALUMBRADO PÚBLICO</t>
  </si>
  <si>
    <t>FALLAS DE SEMÁFORO</t>
  </si>
  <si>
    <t>VIALIDAD EN MAL ESTADO</t>
  </si>
  <si>
    <t>ALCANTARILLA SIN TAPA</t>
  </si>
  <si>
    <t>ÁRBOL CAÍDO O POR CAER</t>
  </si>
  <si>
    <t>ANIMAL MUERTO</t>
  </si>
  <si>
    <t>CABLES COLGANDO</t>
  </si>
  <si>
    <t>CAÍDA DE ANUNCIO O ESPECTACULAR</t>
  </si>
  <si>
    <t>CORTO CIRCUITO</t>
  </si>
  <si>
    <t>GRAVA SUELTA</t>
  </si>
  <si>
    <t>LLAMADA DE PRUEBA</t>
  </si>
  <si>
    <t>LLAMADA INCOMPLETA</t>
  </si>
  <si>
    <t>TRANSFERENCIA DE LLAMADA</t>
  </si>
  <si>
    <t>ENTIDAD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</si>
  <si>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</si>
  <si>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</si>
  <si>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</si>
  <si>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</si>
  <si>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</si>
  <si>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</si>
  <si>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</si>
  <si>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</si>
  <si>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Distrito Federal</t>
  </si>
  <si>
    <t>Durango</t>
  </si>
  <si>
    <t>Guanajuato</t>
  </si>
  <si>
    <t>Guerrero</t>
  </si>
  <si>
    <t>Jalisco</t>
  </si>
  <si>
    <t>México</t>
  </si>
  <si>
    <t>Michoacán de Ocampo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</si>
  <si>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</si>
  <si>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</si>
  <si>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</si>
  <si>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</si>
  <si>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</si>
  <si>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</si>
  <si>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</si>
  <si>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</si>
  <si>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</si>
  <si>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</si>
  <si>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</si>
  <si>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</si>
  <si>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</si>
  <si>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</si>
  <si>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</si>
  <si>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Federal</t>
  </si>
  <si>
    <t>REPORTE ESTADÍSTICO MENSUAL DEL NÚMERO DE LLAMADAS GENERADAS
 EN EL SERVICIO DE ATENCIÓN DE LLAMADAS DE EMERGENCIA 911</t>
  </si>
  <si>
    <t xml:space="preserve">La información de la estadística generada en el Centro de Atención de Llamadas de Emergencia 911, es a mes vencido.
</t>
  </si>
  <si>
    <r>
      <rPr>
        <b/>
        <sz val="14"/>
        <color theme="1"/>
        <rFont val="Calibri"/>
        <family val="2"/>
        <scheme val="minor"/>
      </rPr>
      <t>10/XXXVII/14</t>
    </r>
    <r>
      <rPr>
        <sz val="14"/>
        <color theme="1"/>
        <rFont val="Calibri"/>
        <family val="2"/>
        <scheme val="minor"/>
      </rPr>
      <t xml:space="preserve">. El Consejo Nacional de Seguridad Pública aprueba la consolidación de un servicio homologado para la atención de llamadas de emergencia en todo el país, que opere de manera estandarizada a nivel nacional, reduzca los tiempos de atención y mejore la calidad del servicio prestado a la ciudadanía. Para ello, se instruye al Secretariado Ejecutivo del Sistema Nacional de Seguridad Pública a realizar un diagnóstico a nivel nacional y, con base en éste, diseñar el programa que definirá las acciones y metas que las autoridades de los tres órdenes de gobierno deberán de cumplir a fin de ejecutar dicho acuerdo, así como las etapas y tiempos para la homologación del servicio y la desaparición progresiva de los números de atención de emergencia actuales.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4"/>
        <color theme="1"/>
        <rFont val="Calibri"/>
        <family val="2"/>
        <scheme val="minor"/>
      </rPr>
      <t>Acuerdo 12/XXXVIII/15</t>
    </r>
    <r>
      <rPr>
        <b/>
        <sz val="12"/>
        <color theme="1"/>
        <rFont val="Calibri"/>
        <family val="2"/>
        <scheme val="minor"/>
      </rPr>
      <t>.</t>
    </r>
    <r>
      <rPr>
        <b/>
        <sz val="14"/>
        <color theme="1"/>
        <rFont val="Calibri"/>
        <family val="2"/>
        <scheme val="minor"/>
      </rPr>
      <t xml:space="preserve"> Catálogo Nacional de Incidentes de Emergencia e integración de Base Nacional.</t>
    </r>
    <r>
      <rPr>
        <sz val="14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En el marco del Acuerdo 10/XXXVII/14</t>
    </r>
    <r>
      <rPr>
        <sz val="14"/>
        <color theme="1"/>
        <rFont val="Calibri"/>
        <family val="2"/>
        <scheme val="minor"/>
      </rPr>
      <t xml:space="preserve">, el Consejo Nacional de Seguridad Pública aprueba el Catálogo Nacional de Incidentes de Emergencia y su implementación obligatoria en los Servicios de Atención de Llamadas de Emergencia a nivel nacional, con base en los términos y plazos que determine el Secretariado Ejecutivo del Sistema Nacional de Seguridad Pública.
Asimismo, se instruye a los responsables de los Servicios de Atención de Llamadas de Emergencia, a que proporcionen al Secretariado Ejecutivo del Sistema Nacional de Seguridad Pública, información periódica sobre sus incidentes, con base en dicho Catálogo.
</t>
    </r>
  </si>
  <si>
    <t>REPORTE ESTADÍSTICO DEL NÚMERO DE LLAMADAS GENERADAS
 EN LOS SERVICIOS DE ATENCIÓN DE LLAMADAS DE EMERGENCIA 911</t>
  </si>
  <si>
    <t>Se deberá enviar en los 10 primeros días de cada mes</t>
  </si>
  <si>
    <r>
      <rPr>
        <b/>
        <sz val="14"/>
        <rFont val="Calibri"/>
        <family val="2"/>
        <scheme val="minor"/>
      </rPr>
      <t>Ingrese</t>
    </r>
    <r>
      <rPr>
        <sz val="14"/>
        <rFont val="Calibri"/>
        <family val="2"/>
        <scheme val="minor"/>
      </rPr>
      <t xml:space="preserve"> en la columna "cantidad" el número total de eventos occurridos</t>
    </r>
  </si>
  <si>
    <t>Una vez concluida su captura, guarde los cambios y envíe al correo electrónico correspondiente</t>
  </si>
  <si>
    <r>
      <rPr>
        <b/>
        <sz val="14"/>
        <color theme="1"/>
        <rFont val="Calibri"/>
        <family val="2"/>
        <scheme val="minor"/>
      </rPr>
      <t>Elija</t>
    </r>
    <r>
      <rPr>
        <sz val="14"/>
        <color theme="1"/>
        <rFont val="Calibri"/>
        <family val="2"/>
        <scheme val="minor"/>
      </rPr>
      <t xml:space="preserve"> la Hoja que corresponda al Centro de Atencion a Llamadas de Emergencia a reportar</t>
    </r>
  </si>
  <si>
    <r>
      <t xml:space="preserve">En el espacio "MES", </t>
    </r>
    <r>
      <rPr>
        <b/>
        <sz val="14"/>
        <color theme="1"/>
        <rFont val="Calibri"/>
        <family val="2"/>
        <scheme val="minor"/>
      </rPr>
      <t>elija</t>
    </r>
    <r>
      <rPr>
        <sz val="14"/>
        <color theme="1"/>
        <rFont val="Calibri"/>
        <family val="2"/>
        <scheme val="minor"/>
      </rPr>
      <t xml:space="preserve"> el mes (vencido) de la información que se remite en el archivo electrónico al Centro Nacional de Información.</t>
    </r>
  </si>
  <si>
    <t>Nombre de la Entidad Federativa:</t>
  </si>
  <si>
    <t>Año:</t>
  </si>
  <si>
    <t>Mes:</t>
  </si>
  <si>
    <t>Tipo de Administración:</t>
  </si>
  <si>
    <t>Nombre del Centro:</t>
  </si>
  <si>
    <t>SECRETARIADO EJECUTIVO DEL SISTEMA NACIONAL DE SEGURIDAD PUBLICA</t>
  </si>
  <si>
    <t>RESUMEN ESTATAL DE LLAMADAS DE EMERGENCIA</t>
  </si>
  <si>
    <t>Total de Llamadas:</t>
  </si>
  <si>
    <t>Porcentaje de Llamadas por tipo Médico</t>
  </si>
  <si>
    <t>Porcentaje de Llamadas por Tipo Protección Civil</t>
  </si>
  <si>
    <t>Porcentaje de Llamadas por Tipo Seguridad</t>
  </si>
  <si>
    <t>Porcentaje de Llamadas por Tipo Servicios Públicos</t>
  </si>
  <si>
    <t>Porcentaje de Llamadas por Tipo Improcedentes</t>
  </si>
  <si>
    <t>Total de Llamadas por Tipo Médico</t>
  </si>
  <si>
    <t>Total de Llamadas por Tipo Protección Civil</t>
  </si>
  <si>
    <t>Total de Llamadas por Tipo Seguridad</t>
  </si>
  <si>
    <t>Total de Llamadas por Tipo Servicios Públicos</t>
  </si>
  <si>
    <t>Total de Llamadas por Tipo Improcedentes</t>
  </si>
  <si>
    <t>(FORMATO ELECTRÓNICO FESE)</t>
  </si>
  <si>
    <t xml:space="preserve">Formato electrónico FESE (Formato Estadístico de los Servicios de Emergencia)para el reporte estadístico mensual del número de llamadas generadas en el Servicio de Atención de Llamadas de Emergencia </t>
  </si>
  <si>
    <r>
      <rPr>
        <b/>
        <sz val="14"/>
        <color theme="1"/>
        <rFont val="Calibri"/>
        <family val="2"/>
        <scheme val="minor"/>
      </rPr>
      <t>Acuerdo 03/XXXVIII/15. Programas con Prioridad Nacional.</t>
    </r>
    <r>
      <rPr>
        <sz val="14"/>
        <color theme="1"/>
        <rFont val="Calibri"/>
        <family val="2"/>
        <scheme val="minor"/>
      </rPr>
      <t xml:space="preserve">
El Consejo Nacional de Seguridad Pública aprueba “Los Ejes Estratégicos del Sistema Nacional de Seguridad Pública y su estructura, así como los Programas con Prioridad Nacional para alcanzarlos, vinculados al ejercicio del fondo, subsidios y demás recursos de carácter federal que se otorguen a las Entidades Federativas, los Municipios y Demarcaciones Territoriales del Distrito Federal, en materia de seguridad pública”.</t>
    </r>
  </si>
  <si>
    <t>ALMACENAMIENTO DE SUSTANCIAS PELIGROSAS</t>
  </si>
  <si>
    <t xml:space="preserve">ACCIDENTE ACUÁTICO CON LESIONADOS   </t>
  </si>
  <si>
    <t xml:space="preserve">ACCIDENTE DE AERONAVE CON LESIONADOS </t>
  </si>
  <si>
    <t xml:space="preserve">ACCIDENTE DE MOTOCICLETA CON LESIONADOS </t>
  </si>
  <si>
    <t xml:space="preserve">ACCIDENTE DE VEHÍCULO AUTOMOTOR CON LESIONADOS   </t>
  </si>
  <si>
    <t xml:space="preserve">ACCIDENTE FERROVIARIO CON LESIONADOS </t>
  </si>
  <si>
    <t xml:space="preserve">ACCIDENTE FERROVIARIO CON FALLECIDO </t>
  </si>
  <si>
    <t xml:space="preserve">ACCIDENTE MÚLTIPLE CON LESIONADOS </t>
  </si>
  <si>
    <t xml:space="preserve">ACCIDENTE MÚLTIPLE CON FALLECIDO </t>
  </si>
  <si>
    <t xml:space="preserve">ACCIDENTE DE VEHÍCULO DE PASAJEROS CON LESIONADOS </t>
  </si>
  <si>
    <t xml:space="preserve">ACCIDENTE DE VEHÍCULO DE PASAJEROS CON FALLECIDO </t>
  </si>
  <si>
    <t xml:space="preserve">ACCIDENTE DE MOTOCICLETA CON FALLECIDO </t>
  </si>
  <si>
    <t xml:space="preserve">ACCIDENTE DE VEHÍCULO AUTOMOTOR CON FALLECIDO   </t>
  </si>
  <si>
    <t>ACCIDENTE DE AERONAVE CON FALLECIDO</t>
  </si>
  <si>
    <t>ACCIDENTE DE EMBARCACIONES CON LESIONADOS</t>
  </si>
  <si>
    <t>ACCIDENTE DE EMBARCACIONES CON FALLECIDO</t>
  </si>
  <si>
    <t xml:space="preserve">ATROPELLAMIENTO </t>
  </si>
  <si>
    <t xml:space="preserve">ACCIDENTE ACUÁTICO CON FALLECIDO   </t>
  </si>
  <si>
    <t xml:space="preserve">ACCIDENTES CON MATERIALES PELIGROSOS </t>
  </si>
  <si>
    <t>ACCIDENTES CON MATERIALES RADIOACTIVOS</t>
  </si>
  <si>
    <t xml:space="preserve">ACCIDENTES CON RIESGO BIOLÓGICO INFECTO-CONTAGIOSO </t>
  </si>
  <si>
    <t>OTROS ACCIDENTES CON LESIONADOS</t>
  </si>
  <si>
    <t xml:space="preserve">AHOGAMIENTO </t>
  </si>
  <si>
    <t xml:space="preserve">AMPUTACIÓN </t>
  </si>
  <si>
    <t xml:space="preserve">ASFIXIA   </t>
  </si>
  <si>
    <t>CAÍDA</t>
  </si>
  <si>
    <t>ELECTROCUTADO/ LESIÓN POR CORRIENTE ELÉCTRICA</t>
  </si>
  <si>
    <t xml:space="preserve">FRACTURADO/ TRAUMATISMO DE EXTREMIDADES </t>
  </si>
  <si>
    <t xml:space="preserve">HEMORRAGIA </t>
  </si>
  <si>
    <t xml:space="preserve">LESIONADO POR ARMA BLANCA </t>
  </si>
  <si>
    <t>LESIONADO POR PROYECTIL DE ARMA DE FUEGO</t>
  </si>
  <si>
    <t xml:space="preserve">MORDEDURA DE ANIMAL </t>
  </si>
  <si>
    <t xml:space="preserve">TRAUMATISMOS MÚLTIPLES </t>
  </si>
  <si>
    <t xml:space="preserve">TRAUMATISMO  DE CRÁNEO </t>
  </si>
  <si>
    <t>TRAUMATISMO DE TÓRAX (PECHO Y/ O ESPALDA)</t>
  </si>
  <si>
    <t>TRAUMATISMO ABDOMINAL</t>
  </si>
  <si>
    <t>TRAUMATISMO GENITAL Y/ O URINARIO</t>
  </si>
  <si>
    <t xml:space="preserve">CONGELAMIENTO / LESIONADO POR CONDICIONES AMBIENTALES </t>
  </si>
  <si>
    <t xml:space="preserve">HIPOTERMIA </t>
  </si>
  <si>
    <t>FALLECIDO DE CAUSA TRAUMÁTICA</t>
  </si>
  <si>
    <t>OTROS INCIDENTES MÉDICOS TRAUMÁTICOS</t>
  </si>
  <si>
    <t xml:space="preserve">TRABAJO DE PARTO </t>
  </si>
  <si>
    <t xml:space="preserve">AMENAZA DE ABORTO </t>
  </si>
  <si>
    <t xml:space="preserve">URGENCIA EN PACIENTE EMBARAZADA </t>
  </si>
  <si>
    <t>INFARTO CEREBRAL</t>
  </si>
  <si>
    <t xml:space="preserve">DIFICULTAD RESPIRATORIA/URGENCIA RESPIRATORIA </t>
  </si>
  <si>
    <t xml:space="preserve">INTOXICACIÓN ETÍLICA </t>
  </si>
  <si>
    <t xml:space="preserve">PERSONA INCONSCIENTE/ URGENCIA NEUROLÓGICA </t>
  </si>
  <si>
    <t>ENVENENAMIENTO POR ANIMAL DE PONZOÑA</t>
  </si>
  <si>
    <t xml:space="preserve">URGENCIA POR ENFERMEDAD GENERAL </t>
  </si>
  <si>
    <t xml:space="preserve">DOLOR ABDOMINAL / URGENCIA ABDOMINAL </t>
  </si>
  <si>
    <t>DESCOMPENSACIÓN DE LA DIABETES/ DESHIDRATACIÓN</t>
  </si>
  <si>
    <t xml:space="preserve">PARO CARDIORRESPIRATORIO </t>
  </si>
  <si>
    <t xml:space="preserve">INFARTO / URGENCIA CARDIOLÓGICA </t>
  </si>
  <si>
    <t xml:space="preserve">INTOXICACIÓN/ SOBREDOSIS / ENVENENAMIENTO POR SUSTANCIAS </t>
  </si>
  <si>
    <t>OTROS INCIDENTES MÉDICOS CLÍNICOS</t>
  </si>
  <si>
    <t>FALLECIDO DE CAUSA NATURAL</t>
  </si>
  <si>
    <t xml:space="preserve">PERSONA EN CRISIS POR TRASTORNO MENTAL  </t>
  </si>
  <si>
    <t>ACCIDENTE FERROVIARIO SIN LESIONADOS</t>
  </si>
  <si>
    <t>FUGAS Y DERRAMES EN ESCUELA</t>
  </si>
  <si>
    <t>ENCHARCAMIENTO/ DESBORDAMIENTO DE RIO</t>
  </si>
  <si>
    <t>FUGAS Y DERRAMES DE SUSTANCIAS QUÍMICAS</t>
  </si>
  <si>
    <t>HUNDIMIENTOS / AGRIETAMIENTOS/ INESTABILIDAD DE LADERA</t>
  </si>
  <si>
    <t>GASES TÓXICOS</t>
  </si>
  <si>
    <t>OLORES FÉTIDOS</t>
  </si>
  <si>
    <t>MATERIALES PELIGROSOS O RADIOACTIVOS</t>
  </si>
  <si>
    <t>TORMENTAS DE GRANIZO /DE NIEVE</t>
  </si>
  <si>
    <t>VIENTO / TORMENTA DE POLVO</t>
  </si>
  <si>
    <t>INCENDIO DE CASA HABITACIÓN</t>
  </si>
  <si>
    <t>INCENDIO EN ESCUELA</t>
  </si>
  <si>
    <t>INCENDIO DE VEHÍCULO</t>
  </si>
  <si>
    <t>INCENDIO DE COMERCIO</t>
  </si>
  <si>
    <t>INCENDIO DE EDIFICIO</t>
  </si>
  <si>
    <t>INCENDIO A BORDO DE EMBARCACIÓN</t>
  </si>
  <si>
    <t>INCENDIO FORESTAL</t>
  </si>
  <si>
    <t xml:space="preserve">QUEMA URBANA </t>
  </si>
  <si>
    <t>QUEMA AGROPECUARIA</t>
  </si>
  <si>
    <t>INCENDIO DE FÁBRICA O INDUSTRIA</t>
  </si>
  <si>
    <t>OTROS INCENDIOS</t>
  </si>
  <si>
    <t>NAUFRAGIO/ HUNDIMIENTO / VARADURA DE EMBARCACIÓN</t>
  </si>
  <si>
    <t>PERSONA ATRAPADA</t>
  </si>
  <si>
    <t>RESCATE ANIMAL</t>
  </si>
  <si>
    <t>OTROS RESCATES</t>
  </si>
  <si>
    <t>VEHÍCULO ABANDONADO</t>
  </si>
  <si>
    <t>PERSONA ARMADA EN ESCUELA</t>
  </si>
  <si>
    <t xml:space="preserve">DETONACIÓN  DE COHETES O FUEGOS ARTIFICIALES </t>
  </si>
  <si>
    <t>DETONACIÓN DE ARMA DE FUEGO EN ESCUELA</t>
  </si>
  <si>
    <t>TRÁFICO DE ARMAS</t>
  </si>
  <si>
    <t>BLOQUEO O CORTE DE VÍAS DE COMUNICACIÓN</t>
  </si>
  <si>
    <t>VEHÍCULO DESCOMPUESTO</t>
  </si>
  <si>
    <t>ACCIDENTE DE TRÁNSITO SIN LESIONADOS</t>
  </si>
  <si>
    <t>OTRAS FALTAS A REGLAMENTO DE TRÁNSITO</t>
  </si>
  <si>
    <t>OTRAS ALARMAS DE EMERGENCIAS ACTIVADAS</t>
  </si>
  <si>
    <t>BOTÓN  DE EMERGENCIA ACTIVADO</t>
  </si>
  <si>
    <t>CRISTALAZO O ROBO AL INTERIOR DE VEHÍCULO</t>
  </si>
  <si>
    <t>EXTORSIÓN TELEFÓNICA</t>
  </si>
  <si>
    <t>ACTIVACIÓN DE ALARMA EN ESCUELA</t>
  </si>
  <si>
    <t>ROBO DE AUTOPARTES O ACCESORIOS</t>
  </si>
  <si>
    <t>ROBO  DE PLACA</t>
  </si>
  <si>
    <t>ROBO A TRANSPORTE ESCOLAR CON VIOLENCIA</t>
  </si>
  <si>
    <t>ROBO A TRANSPORTE ESCOLAR SIN VIOLENCIA</t>
  </si>
  <si>
    <t>ROBO A EMBARCACIONES Y PIRATERÍA</t>
  </si>
  <si>
    <t>TRANSPORTE ILEGAL DE COMBUSTIBLE</t>
  </si>
  <si>
    <t>ROBO DE ARTE SACRO</t>
  </si>
  <si>
    <t>OTROS ACTOS RELACIONADOS CON EL PATRIMONIO</t>
  </si>
  <si>
    <t>OTROS ACTOS RELACIONADOS CON LA FAMILIA</t>
  </si>
  <si>
    <t>MALTRATO INFANTIL</t>
  </si>
  <si>
    <t>ROBO DE INFANTE</t>
  </si>
  <si>
    <t>PERSONA DETENIDA</t>
  </si>
  <si>
    <t>OTROS ACTOS RELACIONADOS CON LA LIBERTAD PERSONAL</t>
  </si>
  <si>
    <t>TENTATIVA DE PRIVACIÓN DE LA LIBERTAD</t>
  </si>
  <si>
    <t>NOTIFICACIÓN DE CIBER INCIDENTE</t>
  </si>
  <si>
    <t xml:space="preserve">OTROS ACTOS RELACIONADOS CON LA LIBERTAD Y LA SEGURIDAD SEXUAL </t>
  </si>
  <si>
    <t>TRÁFICO DE PERSONAS/INDOCUMENTADAS</t>
  </si>
  <si>
    <t>OTROS ACTOS RELACIONADOS CON LA SEGURIDAD COLECTIVA</t>
  </si>
  <si>
    <t>MOTÍN</t>
  </si>
  <si>
    <t>VENTA ILEGAL DE COMBUSTIBLE</t>
  </si>
  <si>
    <t>AMENAZA DE BOMBA EN ESCUELA</t>
  </si>
  <si>
    <t>OTROS ACTOS RELACIONADOS CON LA VIDA Y LA INTEGRIDAD PERSONAL</t>
  </si>
  <si>
    <t>ACCIDENTE DE TRÁNSITO CON MUERTOS</t>
  </si>
  <si>
    <t xml:space="preserve">AGRESIÓN FÍSICA EN PANDILLA </t>
  </si>
  <si>
    <t>AMENAZA</t>
  </si>
  <si>
    <t>TOMA DE EDIFICIO PÚBLICO</t>
  </si>
  <si>
    <t>TOMA DE INSTALACIONES EDUCATIVAS CON VIOLENCIA</t>
  </si>
  <si>
    <t>TRÁFICO DE MADERA</t>
  </si>
  <si>
    <t>TRÁFICO Y/O VENTA CLANDESTINA DE ANIMALES</t>
  </si>
  <si>
    <t>TRÁFICO DE DROGAS Y ESTUPEFACIENTES EN LA MAR</t>
  </si>
  <si>
    <t>TRÁFICO DE DROGAS Y ESTUPEFACIENTES EN VÍA PÚBLICA</t>
  </si>
  <si>
    <t>OTROS ACTOS RELACIONADOS CON OTROS BIENES JURÍDICOS</t>
  </si>
  <si>
    <t>CONSUMO DE ALCOHOL EN ESCUELA</t>
  </si>
  <si>
    <t>CONSUMO DE DROGAS EN ESCUELA</t>
  </si>
  <si>
    <t>GRAFITIS</t>
  </si>
  <si>
    <t>RIÑA / PELEA CLANDESTINA</t>
  </si>
  <si>
    <t>OTROS TIPOS DE ALTERACIÓN AL ORDEN PÚBLICO</t>
  </si>
  <si>
    <t xml:space="preserve">CAÍDA DE POSTE </t>
  </si>
  <si>
    <t>CONCENTRACIÓN PACÍFICA DE PERSONAS</t>
  </si>
  <si>
    <t>TENTATIVA DE ROBO</t>
  </si>
  <si>
    <t>EXTRAVÍO DE PLACA</t>
  </si>
  <si>
    <t>ABUSO DE CONFIANZA</t>
  </si>
  <si>
    <t>ABUSO DE AUTORIDAD</t>
  </si>
  <si>
    <t>RESTOS HUMANOS</t>
  </si>
  <si>
    <t>DE ARMA</t>
  </si>
  <si>
    <t>VEHÍCULO RECUPERADO</t>
  </si>
  <si>
    <t>APOYO  A LA CIUDADANÍA</t>
  </si>
  <si>
    <t>PERSONA LOCALIZADA</t>
  </si>
  <si>
    <t>SOLICITUD DE RONDÍN</t>
  </si>
  <si>
    <t>QUEJA CONTRA SERVIDORES PÚBLICOS</t>
  </si>
  <si>
    <t>ALCANTARILLA OBSTRUÍDA</t>
  </si>
  <si>
    <t>SOLICITUD DE OTROS SERVICIOS PÚBLICOS</t>
  </si>
  <si>
    <t>LLAMADA DE BROMA POR NIÑOS</t>
  </si>
  <si>
    <t>LLAMADA MUDA</t>
  </si>
  <si>
    <t>INSULTOS POR ADULTOS/ LLAMADA OBSCENA</t>
  </si>
  <si>
    <t>JÓVENES/ ADULTOS JUGANDO</t>
  </si>
  <si>
    <t>OTRAS LLAMADAS DE NO EMERGENCIA</t>
  </si>
  <si>
    <t>DETONACIÓN DE ARMA DE FUEGO</t>
  </si>
  <si>
    <t>(FORMATO ELECTRÓNICO FESE V.2.0)</t>
  </si>
  <si>
    <t>Total de Llamadas por Tipo Asistencia</t>
  </si>
  <si>
    <t>Total de Llamadas por Tipo Otros Servicios</t>
  </si>
  <si>
    <t>Porcentaje de Llamadas por Tipo Asistencia</t>
  </si>
  <si>
    <t>Porcentaje de Llamadas por Tipo Otros Servicios</t>
  </si>
  <si>
    <t>SECRETARÍA DE SEGURIDAD Y PROTECCIPÓN CIUDADANA</t>
  </si>
  <si>
    <t>SECRETARÍA DE SEGURIDAD Y PROTECIÓN CIUDADANA</t>
  </si>
  <si>
    <t>Ciudad de México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</si>
</sst>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.00_);_(* \(#,##0.00\);_(* &quot;-&quot;??_);_(@_)"/>
    <numFmt numFmtId="165" formatCode="_-* #,##0_-;\-* #,##0_-;_-* &quot;-&quot;??_-;_-@_-"/>
    <numFmt numFmtId="166" formatCode="0_ ;\-0\ "/>
    <numFmt numFmtId="167" formatCode="00000"/>
  </numFmts>
  <fonts count="46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 Narrow"/>
      <family val="2"/>
    </font>
    <font>
      <b/>
      <sz val="11"/>
      <name val="Arial Narrow"/>
      <family val="2"/>
    </font>
    <font>
      <sz val="10"/>
      <name val="Arial"/>
      <family val="2"/>
    </font>
    <font>
      <b/>
      <i/>
      <sz val="11"/>
      <name val="Apple Chancery"/>
      <family val="4"/>
    </font>
    <font>
      <sz val="11"/>
      <name val="Arial Narrow"/>
      <family val="2"/>
    </font>
    <font>
      <sz val="11"/>
      <color rgb="FF000000"/>
      <name val="Arial Narrow"/>
      <family val="2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Arial"/>
      <family val="2"/>
    </font>
    <font>
      <b/>
      <sz val="10"/>
      <name val="Arial"/>
      <family val="2"/>
    </font>
    <font>
      <b/>
      <sz val="11"/>
      <color theme="0"/>
      <name val="Arial"/>
      <family val="2"/>
    </font>
    <font>
      <b/>
      <i/>
      <sz val="11"/>
      <name val="Arial"/>
      <family val="2"/>
    </font>
    <font>
      <b/>
      <sz val="11"/>
      <color theme="1"/>
      <name val="Arial"/>
      <family val="2"/>
    </font>
    <font>
      <b/>
      <i/>
      <sz val="72"/>
      <color rgb="FFC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11"/>
      <color theme="0"/>
      <name val="Arial Narrow"/>
      <family val="2"/>
    </font>
    <font>
      <sz val="15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4"/>
      <name val="Calibri"/>
      <family val="2"/>
      <scheme val="minor"/>
    </font>
    <font>
      <b/>
      <sz val="18"/>
      <color rgb="FFC00000"/>
      <name val="Calibri"/>
      <family val="2"/>
      <scheme val="minor"/>
    </font>
    <font>
      <sz val="14"/>
      <color rgb="FFC00000"/>
      <name val="Calibri"/>
      <family val="2"/>
      <scheme val="minor"/>
    </font>
    <font>
      <sz val="18"/>
      <color rgb="FFC00000"/>
      <name val="Calibri"/>
      <family val="2"/>
      <scheme val="minor"/>
    </font>
    <font>
      <b/>
      <sz val="14"/>
      <color rgb="FFC00000"/>
      <name val="Arial"/>
      <family val="2"/>
    </font>
    <font>
      <b/>
      <sz val="18"/>
      <color rgb="FFC00000"/>
      <name val="Arial"/>
      <family val="2"/>
    </font>
    <font>
      <b/>
      <sz val="11"/>
      <color rgb="FFFFFFFF"/>
      <name val="Arial Narrow"/>
      <family val="2"/>
    </font>
    <font>
      <b/>
      <sz val="24"/>
      <name val="Arial Narrow"/>
      <family val="2"/>
    </font>
    <font>
      <i/>
      <sz val="72"/>
      <color rgb="FFC00000"/>
      <name val="Calibri"/>
      <family val="2"/>
      <scheme val="minor"/>
    </font>
    <font>
      <b/>
      <sz val="10"/>
      <color theme="0"/>
      <name val="Arial"/>
      <family val="2"/>
    </font>
    <font>
      <b/>
      <sz val="20"/>
      <color theme="1"/>
      <name val="Calibri"/>
      <family val="2"/>
      <scheme val="minor"/>
    </font>
    <font>
      <sz val="10"/>
      <name val="Arial"/>
      <family val="2"/>
    </font>
    <font>
      <b/>
      <sz val="12"/>
      <color rgb="FFC00000"/>
      <name val="Arial"/>
      <family val="2"/>
    </font>
    <font>
      <sz val="11"/>
      <color theme="0"/>
      <name val="Arial Narrow"/>
      <family val="2"/>
    </font>
    <font>
      <b/>
      <sz val="12"/>
      <color rgb="FFFF0000"/>
      <name val="Arial Narrow"/>
      <family val="2"/>
    </font>
    <font>
      <sz val="11"/>
      <name val="Arial Narrow"/>
      <family val="2"/>
      <charset val="1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darkGrid">
        <fgColor indexed="9"/>
        <bgColor indexed="9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823B"/>
        <bgColor indexed="64"/>
      </patternFill>
    </fill>
    <fill>
      <patternFill patternType="solid">
        <fgColor rgb="FFE6E7E8"/>
        <bgColor indexed="64"/>
      </patternFill>
    </fill>
    <fill>
      <patternFill patternType="solid">
        <fgColor rgb="FF596B5A"/>
        <bgColor indexed="64"/>
      </patternFill>
    </fill>
    <fill>
      <patternFill patternType="solid">
        <fgColor rgb="FFB0782E"/>
        <bgColor indexed="64"/>
      </patternFill>
    </fill>
    <fill>
      <patternFill patternType="solid">
        <fgColor rgb="FF006666"/>
        <bgColor indexed="64"/>
      </patternFill>
    </fill>
    <fill>
      <patternFill patternType="solid">
        <fgColor rgb="FF5E548A"/>
        <bgColor indexed="64"/>
      </patternFill>
    </fill>
    <fill>
      <patternFill patternType="solid">
        <fgColor rgb="FFD27D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C65D5A"/>
        <bgColor indexed="64"/>
      </patternFill>
    </fill>
    <fill>
      <patternFill patternType="solid">
        <fgColor rgb="FFFFFFFF"/>
        <bgColor rgb="FFFFFFCC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ck">
        <color rgb="FF638A86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638A86"/>
      </left>
      <right style="thick">
        <color rgb="FF638A86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C17D19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C17D19"/>
      </left>
      <right style="thick">
        <color rgb="FFC17D19"/>
      </right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0088A4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0088A4"/>
      </left>
      <right style="thick">
        <color rgb="FF0088A4"/>
      </right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0088A4"/>
      </right>
      <top style="thin">
        <color theme="0" tint="-0.14996795556505021"/>
      </top>
      <bottom/>
      <diagonal/>
    </border>
    <border>
      <left style="thick">
        <color rgb="FF0088A4"/>
      </left>
      <right style="thick">
        <color rgb="FF0088A4"/>
      </right>
      <top style="thin">
        <color theme="0" tint="-0.1499679555650502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0">
    <xf numFmtId="0" fontId="0" fillId="0" borderId="0"/>
    <xf numFmtId="164" fontId="5" fillId="0" borderId="0" applyFont="0" applyFill="0" applyBorder="0" applyAlignment="0" applyProtection="0"/>
    <xf numFmtId="0" fontId="2" fillId="0" borderId="0"/>
    <xf numFmtId="0" fontId="5" fillId="3" borderId="0" applyBorder="0"/>
    <xf numFmtId="0" fontId="5" fillId="3" borderId="0" applyBorder="0"/>
    <xf numFmtId="0" fontId="5" fillId="3" borderId="0" applyBorder="0"/>
    <xf numFmtId="0" fontId="1" fillId="0" borderId="0"/>
    <xf numFmtId="0" fontId="5" fillId="0" borderId="0"/>
    <xf numFmtId="0" fontId="5" fillId="0" borderId="0"/>
    <xf numFmtId="9" fontId="41" fillId="0" borderId="0" applyFont="0" applyFill="0" applyBorder="0" applyAlignment="0" applyProtection="0"/>
  </cellStyleXfs>
  <cellXfs count="152">
    <xf numFmtId="0" fontId="0" fillId="0" borderId="0" xfId="0"/>
    <xf numFmtId="165" fontId="4" fillId="0" borderId="0" xfId="1" applyNumberFormat="1" applyFont="1" applyBorder="1" applyAlignment="1"/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 vertical="center"/>
    </xf>
    <xf numFmtId="0" fontId="2" fillId="0" borderId="0" xfId="2"/>
    <xf numFmtId="0" fontId="9" fillId="0" borderId="0" xfId="2" applyFont="1" applyAlignment="1"/>
    <xf numFmtId="0" fontId="10" fillId="0" borderId="0" xfId="2" applyFont="1" applyAlignment="1">
      <alignment horizontal="right"/>
    </xf>
    <xf numFmtId="0" fontId="12" fillId="0" borderId="0" xfId="6" applyFont="1" applyAlignment="1">
      <alignment vertical="top"/>
    </xf>
    <xf numFmtId="0" fontId="13" fillId="0" borderId="0" xfId="6" applyFont="1" applyAlignment="1">
      <alignment vertical="top"/>
    </xf>
    <xf numFmtId="0" fontId="12" fillId="0" borderId="0" xfId="6" applyFont="1" applyAlignment="1">
      <alignment horizontal="left" vertical="top" wrapText="1"/>
    </xf>
    <xf numFmtId="0" fontId="12" fillId="0" borderId="0" xfId="6" applyFont="1" applyAlignment="1">
      <alignment vertical="top" wrapText="1"/>
    </xf>
    <xf numFmtId="0" fontId="12" fillId="0" borderId="0" xfId="6" applyFont="1" applyAlignment="1">
      <alignment horizontal="center" vertical="top" wrapText="1"/>
    </xf>
    <xf numFmtId="0" fontId="17" fillId="0" borderId="0" xfId="6" applyFont="1" applyAlignment="1">
      <alignment horizontal="left" vertical="top" wrapText="1"/>
    </xf>
    <xf numFmtId="0" fontId="16" fillId="0" borderId="0" xfId="6" applyFont="1" applyAlignment="1">
      <alignment horizontal="left" vertical="top" wrapText="1"/>
    </xf>
    <xf numFmtId="0" fontId="11" fillId="0" borderId="0" xfId="6" applyFont="1" applyAlignment="1">
      <alignment horizontal="center" vertical="top"/>
    </xf>
    <xf numFmtId="0" fontId="5" fillId="0" borderId="0" xfId="8" applyFont="1"/>
    <xf numFmtId="0" fontId="3" fillId="0" borderId="0" xfId="8" applyFont="1" applyFill="1" applyBorder="1"/>
    <xf numFmtId="0" fontId="3" fillId="0" borderId="0" xfId="8" applyFont="1"/>
    <xf numFmtId="0" fontId="14" fillId="4" borderId="0" xfId="6" applyFont="1" applyFill="1" applyAlignment="1">
      <alignment vertical="top"/>
    </xf>
    <xf numFmtId="165" fontId="4" fillId="0" borderId="0" xfId="1" applyNumberFormat="1" applyFont="1" applyBorder="1" applyAlignment="1">
      <alignment horizontal="center"/>
    </xf>
    <xf numFmtId="0" fontId="5" fillId="0" borderId="0" xfId="0" applyFont="1"/>
    <xf numFmtId="0" fontId="12" fillId="0" borderId="0" xfId="6" applyFont="1" applyAlignment="1">
      <alignment vertical="top" wrapText="1"/>
    </xf>
    <xf numFmtId="0" fontId="21" fillId="5" borderId="1" xfId="8" applyFont="1" applyFill="1" applyBorder="1" applyAlignment="1">
      <alignment horizontal="center" wrapText="1"/>
    </xf>
    <xf numFmtId="165" fontId="19" fillId="2" borderId="0" xfId="1" applyNumberFormat="1" applyFont="1" applyFill="1" applyBorder="1" applyAlignment="1">
      <alignment horizontal="center"/>
    </xf>
    <xf numFmtId="165" fontId="22" fillId="2" borderId="0" xfId="1" applyNumberFormat="1" applyFont="1" applyFill="1" applyBorder="1" applyAlignment="1"/>
    <xf numFmtId="0" fontId="5" fillId="0" borderId="0" xfId="8" applyFont="1" applyAlignment="1">
      <alignment horizontal="center"/>
    </xf>
    <xf numFmtId="0" fontId="11" fillId="0" borderId="0" xfId="6" applyFont="1" applyAlignment="1">
      <alignment horizontal="center" vertical="top"/>
    </xf>
    <xf numFmtId="0" fontId="14" fillId="6" borderId="0" xfId="6" applyFont="1" applyFill="1" applyAlignment="1">
      <alignment vertical="top"/>
    </xf>
    <xf numFmtId="0" fontId="29" fillId="6" borderId="0" xfId="6" applyFont="1" applyFill="1" applyAlignment="1">
      <alignment vertical="top"/>
    </xf>
    <xf numFmtId="0" fontId="11" fillId="0" borderId="0" xfId="6" applyFont="1" applyAlignment="1">
      <alignment horizontal="center" vertical="top"/>
    </xf>
    <xf numFmtId="0" fontId="5" fillId="0" borderId="0" xfId="8" applyFont="1" applyFill="1" applyAlignment="1">
      <alignment horizontal="center"/>
    </xf>
    <xf numFmtId="0" fontId="3" fillId="0" borderId="0" xfId="8" applyFont="1" applyFill="1" applyBorder="1" applyAlignment="1">
      <alignment horizontal="right"/>
    </xf>
    <xf numFmtId="0" fontId="5" fillId="0" borderId="0" xfId="8" applyFont="1" applyAlignment="1">
      <alignment horizontal="left"/>
    </xf>
    <xf numFmtId="0" fontId="19" fillId="2" borderId="0" xfId="8" applyFont="1" applyFill="1" applyBorder="1" applyAlignment="1">
      <alignment horizontal="right" wrapText="1" indent="1"/>
    </xf>
    <xf numFmtId="166" fontId="19" fillId="2" borderId="0" xfId="1" applyNumberFormat="1" applyFont="1" applyFill="1" applyBorder="1" applyAlignment="1">
      <alignment horizontal="center"/>
    </xf>
    <xf numFmtId="0" fontId="0" fillId="2" borderId="0" xfId="0" applyFill="1"/>
    <xf numFmtId="0" fontId="0" fillId="2" borderId="0" xfId="0" applyFill="1" applyBorder="1"/>
    <xf numFmtId="0" fontId="38" fillId="2" borderId="0" xfId="0" applyFont="1" applyFill="1" applyBorder="1" applyAlignment="1"/>
    <xf numFmtId="0" fontId="5" fillId="2" borderId="0" xfId="8" applyFont="1" applyFill="1"/>
    <xf numFmtId="165" fontId="20" fillId="2" borderId="0" xfId="1" applyNumberFormat="1" applyFont="1" applyFill="1" applyBorder="1" applyAlignment="1"/>
    <xf numFmtId="0" fontId="34" fillId="2" borderId="0" xfId="7" applyFont="1" applyFill="1" applyAlignment="1" applyProtection="1">
      <alignment horizontal="center" vertical="top" wrapText="1"/>
      <protection hidden="1"/>
    </xf>
    <xf numFmtId="46" fontId="37" fillId="2" borderId="0" xfId="0" applyNumberFormat="1" applyFont="1" applyFill="1" applyBorder="1" applyAlignment="1">
      <alignment horizontal="center" vertical="center" wrapText="1"/>
    </xf>
    <xf numFmtId="21" fontId="37" fillId="2" borderId="0" xfId="0" applyNumberFormat="1" applyFont="1" applyFill="1" applyBorder="1" applyAlignment="1">
      <alignment horizontal="center" vertical="center" wrapText="1"/>
    </xf>
    <xf numFmtId="0" fontId="20" fillId="2" borderId="0" xfId="8" applyFont="1" applyFill="1" applyBorder="1" applyAlignment="1">
      <alignment horizontal="right" wrapText="1" indent="1"/>
    </xf>
    <xf numFmtId="0" fontId="19" fillId="2" borderId="0" xfId="8" applyFont="1" applyFill="1" applyBorder="1" applyAlignment="1">
      <alignment horizontal="right" wrapText="1" indent="2"/>
    </xf>
    <xf numFmtId="165" fontId="5" fillId="2" borderId="0" xfId="1" applyNumberFormat="1" applyFont="1" applyFill="1" applyBorder="1" applyAlignment="1"/>
    <xf numFmtId="0" fontId="5" fillId="2" borderId="0" xfId="0" applyFont="1" applyFill="1"/>
    <xf numFmtId="0" fontId="40" fillId="0" borderId="0" xfId="2" applyFont="1" applyAlignment="1">
      <alignment horizontal="right"/>
    </xf>
    <xf numFmtId="0" fontId="19" fillId="2" borderId="0" xfId="8" applyFont="1" applyFill="1" applyBorder="1" applyAlignment="1">
      <alignment horizontal="right" wrapText="1" indent="1"/>
    </xf>
    <xf numFmtId="0" fontId="34" fillId="2" borderId="0" xfId="7" applyFont="1" applyFill="1" applyAlignment="1" applyProtection="1">
      <alignment horizontal="center" vertical="top" wrapText="1"/>
      <protection hidden="1"/>
    </xf>
    <xf numFmtId="0" fontId="5" fillId="0" borderId="0" xfId="8" applyFont="1" applyBorder="1"/>
    <xf numFmtId="0" fontId="36" fillId="7" borderId="0" xfId="0" applyFont="1" applyFill="1" applyBorder="1" applyAlignment="1">
      <alignment horizontal="center" vertical="center" wrapText="1"/>
    </xf>
    <xf numFmtId="0" fontId="3" fillId="0" borderId="0" xfId="8" applyFont="1" applyBorder="1"/>
    <xf numFmtId="0" fontId="1" fillId="0" borderId="0" xfId="2" applyFont="1" applyProtection="1"/>
    <xf numFmtId="0" fontId="2" fillId="0" borderId="0" xfId="2" applyProtection="1"/>
    <xf numFmtId="0" fontId="5" fillId="0" borderId="0" xfId="8" applyFont="1" applyFill="1" applyAlignment="1" applyProtection="1">
      <alignment horizontal="center"/>
    </xf>
    <xf numFmtId="0" fontId="5" fillId="0" borderId="0" xfId="8" applyFont="1" applyProtection="1"/>
    <xf numFmtId="165" fontId="4" fillId="2" borderId="0" xfId="1" applyNumberFormat="1" applyFont="1" applyFill="1" applyBorder="1" applyAlignment="1" applyProtection="1">
      <alignment horizontal="center"/>
    </xf>
    <xf numFmtId="165" fontId="6" fillId="2" borderId="0" xfId="1" applyNumberFormat="1" applyFont="1" applyFill="1" applyBorder="1" applyAlignment="1" applyProtection="1"/>
    <xf numFmtId="0" fontId="19" fillId="2" borderId="0" xfId="8" applyFont="1" applyFill="1" applyBorder="1" applyAlignment="1" applyProtection="1">
      <alignment horizontal="right" wrapText="1" indent="2"/>
    </xf>
    <xf numFmtId="165" fontId="19" fillId="2" borderId="0" xfId="1" applyNumberFormat="1" applyFont="1" applyFill="1" applyBorder="1" applyAlignment="1" applyProtection="1">
      <alignment horizontal="center"/>
    </xf>
    <xf numFmtId="166" fontId="19" fillId="2" borderId="0" xfId="1" applyNumberFormat="1" applyFont="1" applyFill="1" applyBorder="1" applyAlignment="1" applyProtection="1">
      <alignment horizontal="center"/>
    </xf>
    <xf numFmtId="0" fontId="23" fillId="0" borderId="1" xfId="8" applyFont="1" applyFill="1" applyBorder="1" applyAlignment="1" applyProtection="1">
      <alignment horizontal="left" wrapText="1" indent="3"/>
    </xf>
    <xf numFmtId="0" fontId="21" fillId="5" borderId="6" xfId="8" applyFont="1" applyFill="1" applyBorder="1" applyAlignment="1" applyProtection="1">
      <alignment horizontal="center" wrapText="1"/>
    </xf>
    <xf numFmtId="0" fontId="21" fillId="5" borderId="9" xfId="8" applyFont="1" applyFill="1" applyBorder="1" applyAlignment="1" applyProtection="1">
      <alignment horizontal="left" wrapText="1" indent="6"/>
    </xf>
    <xf numFmtId="0" fontId="21" fillId="5" borderId="8" xfId="8" applyFont="1" applyFill="1" applyBorder="1" applyAlignment="1" applyProtection="1">
      <alignment horizontal="center" wrapText="1"/>
    </xf>
    <xf numFmtId="0" fontId="5" fillId="0" borderId="0" xfId="8" applyFont="1" applyAlignment="1" applyProtection="1">
      <alignment horizontal="center"/>
    </xf>
    <xf numFmtId="0" fontId="21" fillId="5" borderId="1" xfId="8" applyFont="1" applyFill="1" applyBorder="1" applyAlignment="1" applyProtection="1">
      <alignment horizontal="center" wrapText="1"/>
    </xf>
    <xf numFmtId="0" fontId="21" fillId="2" borderId="1" xfId="8" applyFont="1" applyFill="1" applyBorder="1" applyAlignment="1" applyProtection="1">
      <alignment horizontal="center" wrapText="1"/>
    </xf>
    <xf numFmtId="0" fontId="0" fillId="2" borderId="0" xfId="0" applyFill="1" applyProtection="1"/>
    <xf numFmtId="0" fontId="39" fillId="6" borderId="1" xfId="8" applyFont="1" applyFill="1" applyBorder="1" applyAlignment="1" applyProtection="1">
      <alignment horizontal="center" wrapText="1"/>
    </xf>
    <xf numFmtId="9" fontId="37" fillId="2" borderId="10" xfId="9" applyFont="1" applyFill="1" applyBorder="1" applyAlignment="1" applyProtection="1">
      <alignment horizontal="center" vertical="center" wrapText="1"/>
    </xf>
    <xf numFmtId="0" fontId="7" fillId="8" borderId="11" xfId="8" applyFont="1" applyFill="1" applyBorder="1" applyAlignment="1">
      <alignment horizontal="center" vertical="center"/>
    </xf>
    <xf numFmtId="0" fontId="7" fillId="8" borderId="12" xfId="8" applyFont="1" applyFill="1" applyBorder="1" applyAlignment="1">
      <alignment horizontal="left" vertical="center" indent="1"/>
    </xf>
    <xf numFmtId="0" fontId="7" fillId="8" borderId="14" xfId="8" applyFont="1" applyFill="1" applyBorder="1" applyAlignment="1">
      <alignment horizontal="center" vertical="center"/>
    </xf>
    <xf numFmtId="0" fontId="7" fillId="8" borderId="15" xfId="8" applyFont="1" applyFill="1" applyBorder="1" applyAlignment="1">
      <alignment horizontal="left" vertical="center" indent="1"/>
    </xf>
    <xf numFmtId="0" fontId="7" fillId="8" borderId="16" xfId="8" applyFont="1" applyFill="1" applyBorder="1" applyAlignment="1">
      <alignment horizontal="center" vertical="center"/>
    </xf>
    <xf numFmtId="0" fontId="7" fillId="8" borderId="17" xfId="8" applyFont="1" applyFill="1" applyBorder="1" applyAlignment="1">
      <alignment horizontal="left" vertical="center" indent="1"/>
    </xf>
    <xf numFmtId="0" fontId="43" fillId="11" borderId="16" xfId="8" applyFont="1" applyFill="1" applyBorder="1" applyAlignment="1">
      <alignment horizontal="center" vertical="center"/>
    </xf>
    <xf numFmtId="0" fontId="43" fillId="11" borderId="17" xfId="8" applyFont="1" applyFill="1" applyBorder="1" applyAlignment="1">
      <alignment horizontal="left" vertical="center" indent="1"/>
    </xf>
    <xf numFmtId="0" fontId="43" fillId="12" borderId="16" xfId="8" applyFont="1" applyFill="1" applyBorder="1" applyAlignment="1">
      <alignment horizontal="center" vertical="center"/>
    </xf>
    <xf numFmtId="0" fontId="43" fillId="12" borderId="17" xfId="8" applyFont="1" applyFill="1" applyBorder="1" applyAlignment="1">
      <alignment horizontal="left" vertical="center" indent="1"/>
    </xf>
    <xf numFmtId="0" fontId="43" fillId="9" borderId="11" xfId="8" applyFont="1" applyFill="1" applyBorder="1" applyAlignment="1">
      <alignment horizontal="center" vertical="center"/>
    </xf>
    <xf numFmtId="0" fontId="43" fillId="9" borderId="12" xfId="8" applyFont="1" applyFill="1" applyBorder="1" applyAlignment="1">
      <alignment horizontal="left" vertical="center" indent="1"/>
    </xf>
    <xf numFmtId="167" fontId="43" fillId="10" borderId="14" xfId="8" applyNumberFormat="1" applyFont="1" applyFill="1" applyBorder="1" applyAlignment="1">
      <alignment horizontal="center" vertical="top"/>
    </xf>
    <xf numFmtId="0" fontId="43" fillId="10" borderId="15" xfId="8" applyFont="1" applyFill="1" applyBorder="1" applyAlignment="1">
      <alignment horizontal="left" vertical="top" indent="1"/>
    </xf>
    <xf numFmtId="0" fontId="43" fillId="13" borderId="16" xfId="8" applyFont="1" applyFill="1" applyBorder="1" applyAlignment="1">
      <alignment horizontal="center" vertical="center"/>
    </xf>
    <xf numFmtId="0" fontId="43" fillId="13" borderId="17" xfId="8" applyFont="1" applyFill="1" applyBorder="1" applyAlignment="1">
      <alignment horizontal="left" vertical="center" indent="1"/>
    </xf>
    <xf numFmtId="0" fontId="43" fillId="14" borderId="16" xfId="8" applyFont="1" applyFill="1" applyBorder="1" applyAlignment="1">
      <alignment horizontal="center" vertical="center"/>
    </xf>
    <xf numFmtId="0" fontId="43" fillId="14" borderId="17" xfId="8" applyFont="1" applyFill="1" applyBorder="1" applyAlignment="1">
      <alignment horizontal="left" vertical="center" indent="1"/>
    </xf>
    <xf numFmtId="0" fontId="43" fillId="15" borderId="16" xfId="8" applyFont="1" applyFill="1" applyBorder="1" applyAlignment="1">
      <alignment horizontal="center" vertical="center"/>
    </xf>
    <xf numFmtId="0" fontId="43" fillId="15" borderId="17" xfId="8" applyFont="1" applyFill="1" applyBorder="1" applyAlignment="1">
      <alignment horizontal="left" vertical="center" indent="1"/>
    </xf>
    <xf numFmtId="0" fontId="7" fillId="8" borderId="18" xfId="8" applyFont="1" applyFill="1" applyBorder="1" applyAlignment="1">
      <alignment horizontal="center" vertical="center"/>
    </xf>
    <xf numFmtId="0" fontId="7" fillId="8" borderId="19" xfId="8" applyFont="1" applyFill="1" applyBorder="1" applyAlignment="1">
      <alignment horizontal="left" vertical="center" indent="1"/>
    </xf>
    <xf numFmtId="0" fontId="21" fillId="5" borderId="20" xfId="8" applyFont="1" applyFill="1" applyBorder="1" applyAlignment="1">
      <alignment horizontal="center" wrapText="1"/>
    </xf>
    <xf numFmtId="0" fontId="21" fillId="5" borderId="21" xfId="8" applyFont="1" applyFill="1" applyBorder="1" applyAlignment="1">
      <alignment horizontal="left" wrapText="1"/>
    </xf>
    <xf numFmtId="0" fontId="34" fillId="2" borderId="0" xfId="7" applyFont="1" applyFill="1" applyAlignment="1" applyProtection="1">
      <alignment horizontal="center" vertical="top" wrapText="1"/>
      <protection hidden="1"/>
    </xf>
    <xf numFmtId="0" fontId="21" fillId="5" borderId="21" xfId="8" applyFont="1" applyFill="1" applyBorder="1" applyAlignment="1">
      <alignment horizontal="center" wrapText="1"/>
    </xf>
    <xf numFmtId="0" fontId="21" fillId="2" borderId="0" xfId="8" applyFont="1" applyFill="1" applyBorder="1" applyAlignment="1" applyProtection="1">
      <alignment horizontal="center" wrapText="1"/>
    </xf>
    <xf numFmtId="165" fontId="19" fillId="2" borderId="1" xfId="1" applyNumberFormat="1" applyFont="1" applyFill="1" applyBorder="1" applyAlignment="1">
      <alignment horizontal="center" vertical="center"/>
    </xf>
    <xf numFmtId="3" fontId="42" fillId="2" borderId="0" xfId="7" applyNumberFormat="1" applyFont="1" applyFill="1" applyAlignment="1" applyProtection="1">
      <alignment horizontal="center" vertical="center" wrapText="1"/>
      <protection hidden="1"/>
    </xf>
    <xf numFmtId="0" fontId="44" fillId="2" borderId="13" xfId="8" applyFont="1" applyFill="1" applyBorder="1" applyAlignment="1" applyProtection="1">
      <alignment horizontal="center" vertical="center"/>
      <protection locked="0"/>
    </xf>
    <xf numFmtId="0" fontId="23" fillId="0" borderId="1" xfId="8" applyFont="1" applyFill="1" applyBorder="1" applyAlignment="1">
      <alignment horizontal="left" wrapText="1" indent="3"/>
    </xf>
    <xf numFmtId="3" fontId="43" fillId="9" borderId="11" xfId="8" applyNumberFormat="1" applyFont="1" applyFill="1" applyBorder="1" applyAlignment="1" applyProtection="1">
      <alignment horizontal="center" vertical="center"/>
      <protection locked="0"/>
    </xf>
    <xf numFmtId="3" fontId="43" fillId="10" borderId="14" xfId="8" applyNumberFormat="1" applyFont="1" applyFill="1" applyBorder="1" applyAlignment="1" applyProtection="1">
      <alignment horizontal="center" vertical="top"/>
      <protection locked="0"/>
    </xf>
    <xf numFmtId="3" fontId="7" fillId="8" borderId="14" xfId="8" applyNumberFormat="1" applyFont="1" applyFill="1" applyBorder="1" applyAlignment="1" applyProtection="1">
      <alignment horizontal="center" vertical="center"/>
      <protection locked="0"/>
    </xf>
    <xf numFmtId="0" fontId="7" fillId="8" borderId="11" xfId="8" applyFont="1" applyFill="1" applyBorder="1" applyAlignment="1" applyProtection="1">
      <alignment horizontal="center" vertical="center"/>
      <protection locked="0"/>
    </xf>
    <xf numFmtId="0" fontId="43" fillId="9" borderId="11" xfId="8" applyFont="1" applyFill="1" applyBorder="1" applyAlignment="1" applyProtection="1">
      <alignment horizontal="center" vertical="center"/>
      <protection locked="0"/>
    </xf>
    <xf numFmtId="0" fontId="43" fillId="11" borderId="16" xfId="8" applyFont="1" applyFill="1" applyBorder="1" applyAlignment="1" applyProtection="1">
      <alignment horizontal="center" vertical="center"/>
      <protection locked="0"/>
    </xf>
    <xf numFmtId="0" fontId="7" fillId="8" borderId="16" xfId="8" applyFont="1" applyFill="1" applyBorder="1" applyAlignment="1" applyProtection="1">
      <alignment horizontal="center" vertical="center"/>
      <protection locked="0"/>
    </xf>
    <xf numFmtId="0" fontId="43" fillId="12" borderId="16" xfId="8" applyFont="1" applyFill="1" applyBorder="1" applyAlignment="1" applyProtection="1">
      <alignment horizontal="center" vertical="center"/>
      <protection locked="0"/>
    </xf>
    <xf numFmtId="0" fontId="43" fillId="13" borderId="16" xfId="8" applyFont="1" applyFill="1" applyBorder="1" applyAlignment="1" applyProtection="1">
      <alignment horizontal="center" vertical="center"/>
      <protection locked="0"/>
    </xf>
    <xf numFmtId="0" fontId="43" fillId="14" borderId="16" xfId="8" applyFont="1" applyFill="1" applyBorder="1" applyAlignment="1" applyProtection="1">
      <alignment horizontal="center" vertical="center"/>
      <protection locked="0"/>
    </xf>
    <xf numFmtId="0" fontId="43" fillId="15" borderId="16" xfId="8" applyFont="1" applyFill="1" applyBorder="1" applyAlignment="1" applyProtection="1">
      <alignment horizontal="center" vertical="center"/>
      <protection locked="0"/>
    </xf>
    <xf numFmtId="3" fontId="45" fillId="16" borderId="10" xfId="0" applyNumberFormat="1" applyFont="1" applyFill="1" applyBorder="1" applyAlignment="1">
      <alignment horizontal="center" vertical="center" wrapText="1"/>
    </xf>
    <xf numFmtId="0" fontId="26" fillId="0" borderId="0" xfId="2" applyFont="1" applyAlignment="1" applyProtection="1">
      <alignment horizontal="center" vertical="center" wrapText="1"/>
    </xf>
    <xf numFmtId="0" fontId="24" fillId="0" borderId="0" xfId="2" applyFont="1" applyAlignment="1" applyProtection="1">
      <alignment horizontal="center"/>
    </xf>
    <xf numFmtId="0" fontId="12" fillId="0" borderId="0" xfId="6" applyFont="1" applyAlignment="1">
      <alignment vertical="top" wrapText="1"/>
    </xf>
    <xf numFmtId="0" fontId="12" fillId="0" borderId="0" xfId="6" applyFont="1" applyAlignment="1">
      <alignment horizontal="left" vertical="top" wrapText="1"/>
    </xf>
    <xf numFmtId="0" fontId="14" fillId="4" borderId="0" xfId="6" applyFont="1" applyFill="1" applyAlignment="1">
      <alignment horizontal="center" vertical="top" wrapText="1"/>
    </xf>
    <xf numFmtId="0" fontId="14" fillId="4" borderId="0" xfId="6" applyFont="1" applyFill="1" applyAlignment="1">
      <alignment horizontal="center" vertical="top"/>
    </xf>
    <xf numFmtId="0" fontId="12" fillId="0" borderId="0" xfId="6" applyFont="1" applyAlignment="1">
      <alignment horizontal="center" vertical="top" wrapText="1"/>
    </xf>
    <xf numFmtId="0" fontId="11" fillId="0" borderId="0" xfId="6" applyFont="1" applyAlignment="1">
      <alignment horizontal="center" vertical="top"/>
    </xf>
    <xf numFmtId="0" fontId="28" fillId="0" borderId="0" xfId="7" applyFont="1" applyAlignment="1" applyProtection="1">
      <alignment horizontal="center" vertical="top" wrapText="1"/>
      <protection hidden="1"/>
    </xf>
    <xf numFmtId="0" fontId="13" fillId="0" borderId="0" xfId="6" applyFont="1" applyAlignment="1">
      <alignment horizontal="center" vertical="top" wrapText="1"/>
    </xf>
    <xf numFmtId="0" fontId="31" fillId="0" borderId="0" xfId="7" applyFont="1" applyBorder="1" applyAlignment="1">
      <alignment horizontal="center" vertical="top" wrapText="1"/>
    </xf>
    <xf numFmtId="0" fontId="33" fillId="0" borderId="0" xfId="6" applyFont="1" applyAlignment="1">
      <alignment horizontal="center" vertical="top" wrapText="1"/>
    </xf>
    <xf numFmtId="0" fontId="12" fillId="0" borderId="0" xfId="6" applyFont="1" applyAlignment="1">
      <alignment horizontal="left" vertical="top"/>
    </xf>
    <xf numFmtId="0" fontId="18" fillId="0" borderId="0" xfId="6" applyFont="1" applyAlignment="1">
      <alignment horizontal="left" vertical="top" wrapText="1"/>
    </xf>
    <xf numFmtId="0" fontId="32" fillId="0" borderId="0" xfId="6" applyFont="1" applyAlignment="1">
      <alignment horizontal="left" vertical="top" wrapText="1"/>
    </xf>
    <xf numFmtId="0" fontId="29" fillId="6" borderId="0" xfId="6" applyFont="1" applyFill="1" applyAlignment="1">
      <alignment horizontal="left" vertical="top"/>
    </xf>
    <xf numFmtId="0" fontId="29" fillId="6" borderId="0" xfId="6" applyFont="1" applyFill="1" applyAlignment="1">
      <alignment horizontal="left" vertical="top" wrapText="1"/>
    </xf>
    <xf numFmtId="0" fontId="18" fillId="0" borderId="0" xfId="6" applyFont="1" applyAlignment="1">
      <alignment horizontal="center" vertical="top" wrapText="1"/>
    </xf>
    <xf numFmtId="0" fontId="12" fillId="0" borderId="0" xfId="6" applyFont="1" applyAlignment="1">
      <alignment horizontal="center" vertical="top"/>
    </xf>
    <xf numFmtId="0" fontId="31" fillId="0" borderId="0" xfId="6" applyFont="1" applyAlignment="1">
      <alignment horizontal="center" vertical="top" wrapText="1"/>
    </xf>
    <xf numFmtId="0" fontId="15" fillId="0" borderId="0" xfId="6" applyFont="1" applyAlignment="1">
      <alignment horizontal="center" vertical="top"/>
    </xf>
    <xf numFmtId="165" fontId="5" fillId="2" borderId="0" xfId="1" applyNumberFormat="1" applyFont="1" applyFill="1" applyBorder="1" applyAlignment="1">
      <alignment horizontal="center"/>
    </xf>
    <xf numFmtId="0" fontId="34" fillId="2" borderId="0" xfId="7" applyFont="1" applyFill="1" applyAlignment="1" applyProtection="1">
      <alignment horizontal="center" vertical="top" wrapText="1"/>
      <protection hidden="1"/>
    </xf>
    <xf numFmtId="0" fontId="27" fillId="7" borderId="0" xfId="0" applyFont="1" applyFill="1" applyBorder="1" applyAlignment="1">
      <alignment horizontal="center" vertical="center" wrapText="1"/>
    </xf>
    <xf numFmtId="0" fontId="5" fillId="0" borderId="0" xfId="8" applyFont="1" applyAlignment="1" applyProtection="1">
      <alignment horizontal="center"/>
    </xf>
    <xf numFmtId="0" fontId="23" fillId="0" borderId="3" xfId="8" applyFont="1" applyFill="1" applyBorder="1" applyAlignment="1" applyProtection="1">
      <alignment horizontal="right" wrapText="1" indent="2"/>
    </xf>
    <xf numFmtId="0" fontId="23" fillId="0" borderId="2" xfId="8" applyFont="1" applyFill="1" applyBorder="1" applyAlignment="1" applyProtection="1">
      <alignment horizontal="right" wrapText="1" indent="2"/>
    </xf>
    <xf numFmtId="165" fontId="5" fillId="0" borderId="0" xfId="1" applyNumberFormat="1" applyFont="1" applyBorder="1" applyAlignment="1" applyProtection="1">
      <alignment horizontal="center"/>
    </xf>
    <xf numFmtId="165" fontId="20" fillId="0" borderId="0" xfId="1" applyNumberFormat="1" applyFont="1" applyBorder="1" applyAlignment="1" applyProtection="1">
      <alignment horizontal="center"/>
    </xf>
    <xf numFmtId="165" fontId="35" fillId="0" borderId="0" xfId="1" applyNumberFormat="1" applyFont="1" applyBorder="1" applyAlignment="1" applyProtection="1">
      <alignment horizontal="center"/>
    </xf>
    <xf numFmtId="0" fontId="23" fillId="0" borderId="5" xfId="8" applyFont="1" applyFill="1" applyBorder="1" applyAlignment="1" applyProtection="1">
      <alignment horizontal="right" wrapText="1" indent="2"/>
    </xf>
    <xf numFmtId="0" fontId="23" fillId="0" borderId="7" xfId="8" applyFont="1" applyFill="1" applyBorder="1" applyAlignment="1" applyProtection="1">
      <alignment horizontal="right" wrapText="1" indent="2"/>
    </xf>
    <xf numFmtId="0" fontId="21" fillId="5" borderId="5" xfId="8" applyFont="1" applyFill="1" applyBorder="1" applyAlignment="1" applyProtection="1">
      <alignment horizontal="center" wrapText="1"/>
    </xf>
    <xf numFmtId="0" fontId="21" fillId="5" borderId="4" xfId="8" applyFont="1" applyFill="1" applyBorder="1" applyAlignment="1" applyProtection="1">
      <alignment horizontal="center" wrapText="1"/>
    </xf>
    <xf numFmtId="0" fontId="21" fillId="5" borderId="7" xfId="8" applyFont="1" applyFill="1" applyBorder="1" applyAlignment="1" applyProtection="1">
      <alignment horizontal="center" wrapText="1"/>
    </xf>
  </cellXfs>
  <cellStyles count="10">
    <cellStyle name="Millares 2" xfId="1"/>
    <cellStyle name="Normal" xfId="0" builtinId="0"/>
    <cellStyle name="Normal 2" xfId="2"/>
    <cellStyle name="Normal 2 2" xfId="3"/>
    <cellStyle name="Normal 3" xfId="4"/>
    <cellStyle name="Normal 4" xfId="5"/>
    <cellStyle name="Normal 5" xfId="6"/>
    <cellStyle name="Normal 6" xfId="8"/>
    <cellStyle name="Normal_Zac ene 6 del 2000" xfId="7"/>
    <cellStyle name="Porcentaje" xfId="9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65D5A"/>
      <color rgb="FFD27D00"/>
      <color rgb="FFB0782E"/>
      <color rgb="FF5E548A"/>
      <color rgb="FFFF6969"/>
      <color rgb="FF006666"/>
      <color rgb="FFE5E7E9"/>
      <color rgb="FFE5E6E9"/>
      <color rgb="FF596B5A"/>
      <color rgb="FF8F622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161923</xdr:colOff>
      <xdr:row>31</xdr:row>
      <xdr:rowOff>28577</xdr:rowOff>
    </xdr:from>
    <xdr:to>
      <xdr:col>9</xdr:col>
      <xdr:colOff>406397</xdr:colOff>
      <xdr:row>32</xdr:row>
      <xdr:rowOff>68265</xdr:rowOff>
    </xdr:to>
    <xdr:pic>
      <xdr:nvPicPr>
        <xdr:cNvPr id="8" name="7 Imagen" descr="C:\Users\pafernandez\Desktop\logoSEGOB_hoz.png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542" r="34661"/>
        <a:stretch/>
      </xdr:blipFill>
      <xdr:spPr bwMode="auto">
        <a:xfrm rot="5400000">
          <a:off x="3685379" y="2886871"/>
          <a:ext cx="230188" cy="727709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523873</xdr:colOff>
      <xdr:row>13</xdr:row>
      <xdr:rowOff>125731</xdr:rowOff>
    </xdr:from>
    <xdr:to>
      <xdr:col>9</xdr:col>
      <xdr:colOff>758822</xdr:colOff>
      <xdr:row>14</xdr:row>
      <xdr:rowOff>157799</xdr:rowOff>
    </xdr:to>
    <xdr:pic>
      <xdr:nvPicPr>
        <xdr:cNvPr id="9" name="8 Imagen" descr="C:\Users\pafernandez\Desktop\logoSEGOB_hoz.png">
          <a:extLst>
            <a:ext uri="{FF2B5EF4-FFF2-40B4-BE49-F238E27FC236}">
              <a16:creationId xmlns="" xmlns:a16="http://schemas.microsoft.com/office/drawing/2014/main" id="{00000000-0008-0000-0000-000009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542" r="34661"/>
        <a:stretch/>
      </xdr:blipFill>
      <xdr:spPr bwMode="auto">
        <a:xfrm rot="5400000">
          <a:off x="4596286" y="511018"/>
          <a:ext cx="222568" cy="7483474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4</xdr:col>
      <xdr:colOff>388620</xdr:colOff>
      <xdr:row>7</xdr:row>
      <xdr:rowOff>84296</xdr:rowOff>
    </xdr:from>
    <xdr:to>
      <xdr:col>6</xdr:col>
      <xdr:colOff>655320</xdr:colOff>
      <xdr:row>13</xdr:row>
      <xdr:rowOff>68669</xdr:rowOff>
    </xdr:to>
    <xdr:pic>
      <xdr:nvPicPr>
        <xdr:cNvPr id="10" name="9 Imagen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5160" y="2019776"/>
          <a:ext cx="2796540" cy="20646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640080</xdr:colOff>
      <xdr:row>2</xdr:row>
      <xdr:rowOff>30480</xdr:rowOff>
    </xdr:from>
    <xdr:to>
      <xdr:col>10</xdr:col>
      <xdr:colOff>203773</xdr:colOff>
      <xdr:row>7</xdr:row>
      <xdr:rowOff>89535</xdr:rowOff>
    </xdr:to>
    <xdr:pic>
      <xdr:nvPicPr>
        <xdr:cNvPr id="12" name="11 Imagen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2040" y="396240"/>
          <a:ext cx="7587553" cy="97345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812800</xdr:colOff>
      <xdr:row>1</xdr:row>
      <xdr:rowOff>186266</xdr:rowOff>
    </xdr:from>
    <xdr:to>
      <xdr:col>13</xdr:col>
      <xdr:colOff>465666</xdr:colOff>
      <xdr:row>6</xdr:row>
      <xdr:rowOff>101600</xdr:rowOff>
    </xdr:to>
    <xdr:pic>
      <xdr:nvPicPr>
        <xdr:cNvPr id="8" name="7 Imagen">
          <a:extLst>
            <a:ext uri="{FF2B5EF4-FFF2-40B4-BE49-F238E27FC236}">
              <a16:creationId xmlns=""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8600" y="414866"/>
          <a:ext cx="8576733" cy="105833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642650</xdr:colOff>
      <xdr:row>1</xdr:row>
      <xdr:rowOff>110170</xdr:rowOff>
    </xdr:from>
    <xdr:to>
      <xdr:col>13</xdr:col>
      <xdr:colOff>241515</xdr:colOff>
      <xdr:row>6</xdr:row>
      <xdr:rowOff>110170</xdr:rowOff>
    </xdr:to>
    <xdr:pic>
      <xdr:nvPicPr>
        <xdr:cNvPr id="8" name="7 Imagen">
          <a:extLst>
            <a:ext uri="{FF2B5EF4-FFF2-40B4-BE49-F238E27FC236}">
              <a16:creationId xmlns=""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5156" y="339688"/>
          <a:ext cx="8944841" cy="114759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563880</xdr:colOff>
      <xdr:row>1</xdr:row>
      <xdr:rowOff>45720</xdr:rowOff>
    </xdr:from>
    <xdr:to>
      <xdr:col>4</xdr:col>
      <xdr:colOff>1217233</xdr:colOff>
      <xdr:row>2</xdr:row>
      <xdr:rowOff>851535</xdr:rowOff>
    </xdr:to>
    <xdr:pic>
      <xdr:nvPicPr>
        <xdr:cNvPr id="8" name="7 Imagen">
          <a:extLst>
            <a:ext uri="{FF2B5EF4-FFF2-40B4-BE49-F238E27FC236}">
              <a16:creationId xmlns="" xmlns:a16="http://schemas.microsoft.com/office/drawing/2014/main" id="{00000000-0008-0000-05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" y="213360"/>
          <a:ext cx="7587553" cy="97345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68580</xdr:colOff>
      <xdr:row>1</xdr:row>
      <xdr:rowOff>68580</xdr:rowOff>
    </xdr:from>
    <xdr:to>
      <xdr:col>3</xdr:col>
      <xdr:colOff>2482153</xdr:colOff>
      <xdr:row>4</xdr:row>
      <xdr:rowOff>318135</xdr:rowOff>
    </xdr:to>
    <xdr:pic>
      <xdr:nvPicPr>
        <xdr:cNvPr id="3" name="2 Imagen">
          <a:extLst>
            <a:ext uri="{FF2B5EF4-FFF2-40B4-BE49-F238E27FC236}">
              <a16:creationId xmlns=""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236220"/>
          <a:ext cx="7587553" cy="9734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12.bin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B2:K41"/>
  <sheetViews>
    <sheetView showGridLines="0" view="pageBreakPreview" topLeftCell="A16" zoomScaleNormal="70" zoomScaleSheetLayoutView="100" zoomScalePageLayoutView="82" workbookViewId="0">
      <selection activeCell="F46" sqref="F46"/>
    </sheetView>
  </sheetViews>
  <sheetFormatPr baseColWidth="10" defaultColWidth="11.42578125" defaultRowHeight="15"/>
  <cols>
    <col min="1" max="1" width="6.42578125" style="6" customWidth="1"/>
    <col min="2" max="5" width="11.42578125" style="6"/>
    <col min="6" max="6" width="25.42578125" style="6" bestFit="1" customWidth="1"/>
    <col min="7" max="10" width="11.42578125" style="6"/>
    <col min="11" max="12" width="11.42578125" style="6" customWidth="1"/>
    <col min="13" max="16384" width="11.42578125" style="6"/>
  </cols>
  <sheetData>
    <row r="2" spans="2:11">
      <c r="B2" s="55" t="s">
        <v>63</v>
      </c>
      <c r="C2" s="56"/>
      <c r="D2" s="56"/>
      <c r="E2" s="56"/>
      <c r="F2" s="56"/>
      <c r="G2" s="56"/>
      <c r="H2" s="56"/>
      <c r="I2" s="56"/>
      <c r="J2" s="56"/>
      <c r="K2" s="56"/>
    </row>
    <row r="3" spans="2:11">
      <c r="B3" s="56"/>
      <c r="C3" s="56"/>
      <c r="D3" s="56"/>
      <c r="E3" s="56"/>
      <c r="F3" s="56"/>
      <c r="G3" s="56"/>
      <c r="H3" s="56"/>
      <c r="I3" s="56"/>
      <c r="J3" s="56"/>
      <c r="K3" s="56"/>
    </row>
    <row r="4" spans="2:11">
      <c r="B4" s="56"/>
      <c r="C4" s="56"/>
      <c r="D4" s="56"/>
      <c r="E4" s="56"/>
      <c r="F4" s="56"/>
      <c r="G4" s="56"/>
      <c r="H4" s="56"/>
      <c r="I4" s="56"/>
      <c r="J4" s="56"/>
      <c r="K4" s="56"/>
    </row>
    <row r="5" spans="2:11">
      <c r="B5" s="56"/>
      <c r="C5" s="56"/>
      <c r="D5" s="56"/>
      <c r="E5" s="56"/>
      <c r="F5" s="56"/>
      <c r="G5" s="56"/>
      <c r="H5" s="56"/>
      <c r="I5" s="56"/>
      <c r="J5" s="56"/>
      <c r="K5" s="56"/>
    </row>
    <row r="6" spans="2:11">
      <c r="B6" s="56"/>
      <c r="C6" s="56"/>
      <c r="D6" s="56"/>
      <c r="E6" s="56"/>
      <c r="F6" s="56"/>
      <c r="G6" s="56"/>
      <c r="H6" s="56"/>
      <c r="I6" s="56"/>
      <c r="J6" s="56"/>
      <c r="K6" s="56"/>
    </row>
    <row r="7" spans="2:11">
      <c r="B7" s="56"/>
      <c r="C7" s="56"/>
      <c r="D7" s="56"/>
      <c r="E7" s="56"/>
      <c r="F7" s="56"/>
      <c r="G7" s="56"/>
      <c r="H7" s="56"/>
      <c r="I7" s="56"/>
      <c r="J7" s="56"/>
      <c r="K7" s="56"/>
    </row>
    <row r="8" spans="2:11" ht="92.25">
      <c r="B8" s="56"/>
      <c r="C8" s="56"/>
      <c r="D8" s="56"/>
      <c r="E8" s="56"/>
      <c r="F8" s="118"/>
      <c r="G8" s="118"/>
      <c r="H8" s="56"/>
      <c r="I8" s="56"/>
      <c r="J8" s="56"/>
      <c r="K8" s="56"/>
    </row>
    <row r="9" spans="2:11">
      <c r="B9" s="56"/>
      <c r="C9" s="56"/>
      <c r="D9" s="56"/>
      <c r="E9" s="56"/>
      <c r="F9" s="56"/>
      <c r="G9" s="56"/>
      <c r="H9" s="56"/>
      <c r="I9" s="56"/>
      <c r="J9" s="56"/>
      <c r="K9" s="56"/>
    </row>
    <row r="10" spans="2:11">
      <c r="B10" s="56"/>
      <c r="C10" s="56"/>
      <c r="D10" s="56"/>
      <c r="E10" s="56"/>
      <c r="F10" s="56"/>
      <c r="G10" s="56"/>
      <c r="H10" s="56"/>
      <c r="I10" s="56"/>
      <c r="J10" s="56"/>
      <c r="K10" s="56"/>
    </row>
    <row r="11" spans="2:11">
      <c r="B11" s="56"/>
      <c r="C11" s="56"/>
      <c r="D11" s="56"/>
      <c r="E11" s="56"/>
      <c r="F11" s="56"/>
      <c r="G11" s="56"/>
      <c r="H11" s="56"/>
      <c r="I11" s="56"/>
      <c r="J11" s="56"/>
      <c r="K11" s="56"/>
    </row>
    <row r="12" spans="2:11">
      <c r="B12" s="117" t="s">
        <v>261</v>
      </c>
      <c r="C12" s="117"/>
      <c r="D12" s="117"/>
      <c r="E12" s="117"/>
      <c r="F12" s="117"/>
      <c r="G12" s="117"/>
      <c r="H12" s="117"/>
      <c r="I12" s="117"/>
      <c r="J12" s="117"/>
      <c r="K12" s="117"/>
    </row>
    <row r="13" spans="2:11">
      <c r="B13" s="117"/>
      <c r="C13" s="117"/>
      <c r="D13" s="117"/>
      <c r="E13" s="117"/>
      <c r="F13" s="117"/>
      <c r="G13" s="117"/>
      <c r="H13" s="117"/>
      <c r="I13" s="117"/>
      <c r="J13" s="117"/>
      <c r="K13" s="117"/>
    </row>
    <row r="14" spans="2:11" ht="15" customHeight="1">
      <c r="B14" s="117"/>
      <c r="C14" s="117"/>
      <c r="D14" s="117"/>
      <c r="E14" s="117"/>
      <c r="F14" s="117"/>
      <c r="G14" s="117"/>
      <c r="H14" s="117"/>
      <c r="I14" s="117"/>
      <c r="J14" s="117"/>
      <c r="K14" s="117"/>
    </row>
    <row r="15" spans="2:11" ht="15" customHeight="1">
      <c r="B15" s="117"/>
      <c r="C15" s="117"/>
      <c r="D15" s="117"/>
      <c r="E15" s="117"/>
      <c r="F15" s="117"/>
      <c r="G15" s="117"/>
      <c r="H15" s="117"/>
      <c r="I15" s="117"/>
      <c r="J15" s="117"/>
      <c r="K15" s="117"/>
    </row>
    <row r="16" spans="2:11" ht="15" customHeight="1">
      <c r="B16" s="117"/>
      <c r="C16" s="117"/>
      <c r="D16" s="117"/>
      <c r="E16" s="117"/>
      <c r="F16" s="117"/>
      <c r="G16" s="117"/>
      <c r="H16" s="117"/>
      <c r="I16" s="117"/>
      <c r="J16" s="117"/>
      <c r="K16" s="117"/>
    </row>
    <row r="17" spans="2:11" ht="15" customHeight="1">
      <c r="B17" s="117"/>
      <c r="C17" s="117"/>
      <c r="D17" s="117"/>
      <c r="E17" s="117"/>
      <c r="F17" s="117"/>
      <c r="G17" s="117"/>
      <c r="H17" s="117"/>
      <c r="I17" s="117"/>
      <c r="J17" s="117"/>
      <c r="K17" s="117"/>
    </row>
    <row r="18" spans="2:11" ht="15" customHeight="1">
      <c r="B18" s="117"/>
      <c r="C18" s="117"/>
      <c r="D18" s="117"/>
      <c r="E18" s="117"/>
      <c r="F18" s="117"/>
      <c r="G18" s="117"/>
      <c r="H18" s="117"/>
      <c r="I18" s="117"/>
      <c r="J18" s="117"/>
      <c r="K18" s="117"/>
    </row>
    <row r="19" spans="2:11" ht="15" customHeight="1">
      <c r="B19" s="117"/>
      <c r="C19" s="117"/>
      <c r="D19" s="117"/>
      <c r="E19" s="117"/>
      <c r="F19" s="117"/>
      <c r="G19" s="117"/>
      <c r="H19" s="117"/>
      <c r="I19" s="117"/>
      <c r="J19" s="117"/>
      <c r="K19" s="117"/>
    </row>
    <row r="20" spans="2:11" ht="15" customHeight="1">
      <c r="B20" s="117"/>
      <c r="C20" s="117"/>
      <c r="D20" s="117"/>
      <c r="E20" s="117"/>
      <c r="F20" s="117"/>
      <c r="G20" s="117"/>
      <c r="H20" s="117"/>
      <c r="I20" s="117"/>
      <c r="J20" s="117"/>
      <c r="K20" s="117"/>
    </row>
    <row r="21" spans="2:11" ht="15" customHeight="1">
      <c r="B21" s="117"/>
      <c r="C21" s="117"/>
      <c r="D21" s="117"/>
      <c r="E21" s="117"/>
      <c r="F21" s="117"/>
      <c r="G21" s="117"/>
      <c r="H21" s="117"/>
      <c r="I21" s="117"/>
      <c r="J21" s="117"/>
      <c r="K21" s="117"/>
    </row>
    <row r="22" spans="2:11" ht="15" customHeight="1">
      <c r="B22" s="117"/>
      <c r="C22" s="117"/>
      <c r="D22" s="117"/>
      <c r="E22" s="117"/>
      <c r="F22" s="117"/>
      <c r="G22" s="117"/>
      <c r="H22" s="117"/>
      <c r="I22" s="117"/>
      <c r="J22" s="117"/>
      <c r="K22" s="117"/>
    </row>
    <row r="23" spans="2:11" ht="15" customHeight="1">
      <c r="B23" s="117"/>
      <c r="C23" s="117"/>
      <c r="D23" s="117"/>
      <c r="E23" s="117"/>
      <c r="F23" s="117"/>
      <c r="G23" s="117"/>
      <c r="H23" s="117"/>
      <c r="I23" s="117"/>
      <c r="J23" s="117"/>
      <c r="K23" s="117"/>
    </row>
    <row r="24" spans="2:11" ht="15" customHeight="1">
      <c r="B24" s="117"/>
      <c r="C24" s="117"/>
      <c r="D24" s="117"/>
      <c r="E24" s="117"/>
      <c r="F24" s="117"/>
      <c r="G24" s="117"/>
      <c r="H24" s="117"/>
      <c r="I24" s="117"/>
      <c r="J24" s="117"/>
      <c r="K24" s="117"/>
    </row>
    <row r="25" spans="2:11" ht="15" customHeight="1">
      <c r="B25" s="117"/>
      <c r="C25" s="117"/>
      <c r="D25" s="117"/>
      <c r="E25" s="117"/>
      <c r="F25" s="117"/>
      <c r="G25" s="117"/>
      <c r="H25" s="117"/>
      <c r="I25" s="117"/>
      <c r="J25" s="117"/>
      <c r="K25" s="117"/>
    </row>
    <row r="26" spans="2:11" ht="15" customHeight="1">
      <c r="B26" s="117"/>
      <c r="C26" s="117"/>
      <c r="D26" s="117"/>
      <c r="E26" s="117"/>
      <c r="F26" s="117"/>
      <c r="G26" s="117"/>
      <c r="H26" s="117"/>
      <c r="I26" s="117"/>
      <c r="J26" s="117"/>
      <c r="K26" s="117"/>
    </row>
    <row r="27" spans="2:11" ht="15" customHeight="1">
      <c r="B27" s="117"/>
      <c r="C27" s="117"/>
      <c r="D27" s="117"/>
      <c r="E27" s="117"/>
      <c r="F27" s="117"/>
      <c r="G27" s="117"/>
      <c r="H27" s="117"/>
      <c r="I27" s="117"/>
      <c r="J27" s="117"/>
      <c r="K27" s="117"/>
    </row>
    <row r="28" spans="2:11" ht="15" customHeight="1">
      <c r="B28" s="117"/>
      <c r="C28" s="117"/>
      <c r="D28" s="117"/>
      <c r="E28" s="117"/>
      <c r="F28" s="117"/>
      <c r="G28" s="117"/>
      <c r="H28" s="117"/>
      <c r="I28" s="117"/>
      <c r="J28" s="117"/>
      <c r="K28" s="117"/>
    </row>
    <row r="29" spans="2:11" ht="15" customHeight="1">
      <c r="B29" s="117"/>
      <c r="C29" s="117"/>
      <c r="D29" s="117"/>
      <c r="E29" s="117"/>
      <c r="F29" s="117"/>
      <c r="G29" s="117"/>
      <c r="H29" s="117"/>
      <c r="I29" s="117"/>
      <c r="J29" s="117"/>
      <c r="K29" s="117"/>
    </row>
    <row r="30" spans="2:11" ht="15" customHeight="1">
      <c r="B30" s="117"/>
      <c r="C30" s="117"/>
      <c r="D30" s="117"/>
      <c r="E30" s="117"/>
      <c r="F30" s="117"/>
      <c r="G30" s="117"/>
      <c r="H30" s="117"/>
      <c r="I30" s="117"/>
      <c r="J30" s="117"/>
      <c r="K30" s="117"/>
    </row>
    <row r="31" spans="2:11" ht="15" customHeight="1"/>
    <row r="38" spans="9:11" ht="23.25">
      <c r="I38" s="7"/>
      <c r="J38" s="7"/>
      <c r="K38" s="8" t="s">
        <v>54</v>
      </c>
    </row>
    <row r="39" spans="9:11" ht="23.25">
      <c r="K39" s="8" t="s">
        <v>69</v>
      </c>
    </row>
    <row r="41" spans="9:11" ht="26.25">
      <c r="K41" s="49">
        <v>2026</v>
      </c>
    </row>
  </sheetData>
  <sheetProtection selectLockedCells="1"/>
  <customSheetViews>
    <customSheetView guid="{857CB3B9-618A-49FD-8D38-75EE2A4021B4}" showPageBreaks="1" showGridLines="0" printArea="1" view="pageBreakPreview" topLeftCell="A10">
      <selection activeCell="C48" sqref="C48"/>
      <pageMargins left="0.7" right="0.7" top="0.75" bottom="0.75" header="0.3" footer="0.3"/>
      <pageSetup scale="71" orientation="portrait" r:id="rId1"/>
    </customSheetView>
  </customSheetViews>
  <mergeCells count="2">
    <mergeCell ref="B12:K30"/>
    <mergeCell ref="F8:G8"/>
  </mergeCells>
  <pageMargins left="0.7" right="0.7" top="0.75" bottom="0.75" header="0.3" footer="0.3"/>
  <pageSetup scale="71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/>
  <dimension ref="B9:AD55"/>
  <sheetViews>
    <sheetView showGridLines="0" view="pageBreakPreview" topLeftCell="A16" zoomScale="90" zoomScaleNormal="80" zoomScaleSheetLayoutView="90" workbookViewId="0">
      <selection activeCell="B11" sqref="B11:O11"/>
    </sheetView>
  </sheetViews>
  <sheetFormatPr baseColWidth="10" defaultColWidth="11.42578125" defaultRowHeight="18.75"/>
  <cols>
    <col min="1" max="1" width="5.42578125" style="9" customWidth="1"/>
    <col min="2" max="2" width="4.5703125" style="9" customWidth="1"/>
    <col min="3" max="3" width="15.28515625" style="9" customWidth="1"/>
    <col min="4" max="16384" width="11.42578125" style="9"/>
  </cols>
  <sheetData>
    <row r="9" spans="2:30">
      <c r="B9" s="123" t="s">
        <v>0</v>
      </c>
      <c r="C9" s="123"/>
      <c r="D9" s="123"/>
      <c r="E9" s="123"/>
      <c r="F9" s="123"/>
      <c r="G9" s="123"/>
      <c r="H9" s="123"/>
      <c r="I9" s="123"/>
      <c r="J9" s="123"/>
      <c r="K9" s="123"/>
      <c r="L9" s="123"/>
      <c r="M9" s="123"/>
      <c r="N9" s="123"/>
      <c r="O9" s="123"/>
    </row>
    <row r="10" spans="2:30">
      <c r="B10" s="124" t="s">
        <v>55</v>
      </c>
      <c r="C10" s="124"/>
      <c r="D10" s="124"/>
      <c r="E10" s="124"/>
      <c r="F10" s="124"/>
      <c r="G10" s="124"/>
      <c r="H10" s="124"/>
      <c r="I10" s="124"/>
      <c r="J10" s="124"/>
      <c r="K10" s="124"/>
      <c r="L10" s="124"/>
      <c r="M10" s="124"/>
      <c r="N10" s="124"/>
      <c r="O10" s="124"/>
    </row>
    <row r="11" spans="2:30" s="10" customFormat="1" ht="60.75" customHeight="1">
      <c r="B11" s="125" t="s">
        <v>233</v>
      </c>
      <c r="C11" s="126"/>
      <c r="D11" s="126"/>
      <c r="E11" s="126"/>
      <c r="F11" s="126"/>
      <c r="G11" s="126"/>
      <c r="H11" s="126"/>
      <c r="I11" s="126"/>
      <c r="J11" s="126"/>
      <c r="K11" s="126"/>
      <c r="L11" s="126"/>
      <c r="M11" s="126"/>
      <c r="N11" s="126"/>
      <c r="O11" s="126"/>
    </row>
    <row r="12" spans="2:30" ht="23.25">
      <c r="B12" s="127" t="s">
        <v>260</v>
      </c>
      <c r="C12" s="128"/>
      <c r="D12" s="128"/>
      <c r="E12" s="128"/>
      <c r="F12" s="128"/>
      <c r="G12" s="128"/>
      <c r="H12" s="128"/>
      <c r="I12" s="128"/>
      <c r="J12" s="128"/>
      <c r="K12" s="128"/>
      <c r="L12" s="128"/>
      <c r="M12" s="128"/>
      <c r="N12" s="128"/>
      <c r="O12" s="128"/>
    </row>
    <row r="14" spans="2:30">
      <c r="B14" s="122" t="s">
        <v>56</v>
      </c>
      <c r="C14" s="122"/>
      <c r="D14" s="122"/>
      <c r="E14" s="122"/>
      <c r="F14" s="122"/>
      <c r="G14" s="122"/>
      <c r="H14" s="122"/>
      <c r="I14" s="122"/>
      <c r="J14" s="122"/>
      <c r="K14" s="122"/>
      <c r="L14" s="122"/>
      <c r="M14" s="122"/>
      <c r="N14" s="122"/>
      <c r="O14" s="122"/>
    </row>
    <row r="15" spans="2:30" ht="15" customHeight="1">
      <c r="B15" s="120" t="s">
        <v>65</v>
      </c>
      <c r="C15" s="120"/>
      <c r="D15" s="120"/>
      <c r="E15" s="120"/>
      <c r="F15" s="120"/>
      <c r="G15" s="120"/>
      <c r="H15" s="120"/>
      <c r="I15" s="120"/>
      <c r="J15" s="120"/>
      <c r="K15" s="120"/>
      <c r="L15" s="120"/>
      <c r="M15" s="120"/>
      <c r="N15" s="120"/>
      <c r="O15" s="120"/>
      <c r="Q15" s="119"/>
      <c r="R15" s="119"/>
      <c r="S15" s="119"/>
      <c r="T15" s="119"/>
      <c r="U15" s="119"/>
      <c r="V15" s="119"/>
      <c r="W15" s="119"/>
      <c r="X15" s="119"/>
      <c r="Y15" s="119"/>
      <c r="Z15" s="119"/>
      <c r="AA15" s="119"/>
      <c r="AB15" s="119"/>
      <c r="AC15" s="119"/>
      <c r="AD15" s="119"/>
    </row>
    <row r="16" spans="2:30" ht="15" customHeight="1">
      <c r="B16" s="120"/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Q16" s="119"/>
      <c r="R16" s="119"/>
      <c r="S16" s="119"/>
      <c r="T16" s="119"/>
      <c r="U16" s="119"/>
      <c r="V16" s="119"/>
      <c r="W16" s="119"/>
      <c r="X16" s="119"/>
      <c r="Y16" s="119"/>
      <c r="Z16" s="119"/>
      <c r="AA16" s="119"/>
      <c r="AB16" s="119"/>
      <c r="AC16" s="119"/>
      <c r="AD16" s="119"/>
    </row>
    <row r="17" spans="2:30" ht="15" customHeight="1">
      <c r="B17" s="120"/>
      <c r="C17" s="120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Q17" s="119"/>
      <c r="R17" s="119"/>
      <c r="S17" s="119"/>
      <c r="T17" s="119"/>
      <c r="U17" s="119"/>
      <c r="V17" s="119"/>
      <c r="W17" s="119"/>
      <c r="X17" s="119"/>
      <c r="Y17" s="119"/>
      <c r="Z17" s="119"/>
      <c r="AA17" s="119"/>
      <c r="AB17" s="119"/>
      <c r="AC17" s="119"/>
      <c r="AD17" s="119"/>
    </row>
    <row r="18" spans="2:30" ht="15" customHeight="1"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Q18" s="119"/>
      <c r="R18" s="119"/>
      <c r="S18" s="119"/>
      <c r="T18" s="119"/>
      <c r="U18" s="119"/>
      <c r="V18" s="119"/>
      <c r="W18" s="119"/>
      <c r="X18" s="119"/>
      <c r="Y18" s="119"/>
      <c r="Z18" s="119"/>
      <c r="AA18" s="119"/>
      <c r="AB18" s="119"/>
      <c r="AC18" s="119"/>
      <c r="AD18" s="119"/>
    </row>
    <row r="19" spans="2:30" ht="18.75" customHeight="1">
      <c r="B19" s="121" t="s">
        <v>58</v>
      </c>
      <c r="C19" s="121"/>
      <c r="D19" s="121"/>
      <c r="E19" s="121"/>
      <c r="F19" s="121"/>
      <c r="G19" s="121"/>
      <c r="H19" s="121"/>
      <c r="I19" s="121"/>
      <c r="J19" s="121"/>
      <c r="K19" s="121"/>
      <c r="L19" s="121"/>
      <c r="M19" s="121"/>
      <c r="N19" s="121"/>
      <c r="O19" s="121"/>
      <c r="Q19" s="119"/>
      <c r="R19" s="119"/>
      <c r="S19" s="119"/>
      <c r="T19" s="119"/>
      <c r="U19" s="119"/>
      <c r="V19" s="119"/>
      <c r="W19" s="119"/>
      <c r="X19" s="119"/>
      <c r="Y19" s="119"/>
      <c r="Z19" s="119"/>
      <c r="AA19" s="119"/>
      <c r="AB19" s="119"/>
      <c r="AC19" s="119"/>
      <c r="AD19" s="119"/>
    </row>
    <row r="20" spans="2:30" ht="18.75" customHeight="1">
      <c r="B20" s="120" t="s">
        <v>66</v>
      </c>
      <c r="C20" s="120"/>
      <c r="D20" s="120"/>
      <c r="E20" s="120"/>
      <c r="F20" s="120"/>
      <c r="G20" s="120"/>
      <c r="H20" s="120"/>
      <c r="I20" s="120"/>
      <c r="J20" s="120"/>
      <c r="K20" s="120"/>
      <c r="L20" s="120"/>
      <c r="M20" s="120"/>
      <c r="N20" s="120"/>
      <c r="O20" s="120"/>
      <c r="Q20" s="119"/>
      <c r="R20" s="119"/>
      <c r="S20" s="119"/>
      <c r="T20" s="119"/>
      <c r="U20" s="119"/>
      <c r="V20" s="119"/>
      <c r="W20" s="119"/>
      <c r="X20" s="119"/>
      <c r="Y20" s="119"/>
      <c r="Z20" s="119"/>
      <c r="AA20" s="119"/>
      <c r="AB20" s="119"/>
      <c r="AC20" s="119"/>
      <c r="AD20" s="119"/>
    </row>
    <row r="21" spans="2:30">
      <c r="B21" s="120"/>
      <c r="C21" s="120"/>
      <c r="D21" s="120"/>
      <c r="E21" s="120"/>
      <c r="F21" s="120"/>
      <c r="G21" s="120"/>
      <c r="H21" s="120"/>
      <c r="I21" s="120"/>
      <c r="J21" s="120"/>
      <c r="K21" s="120"/>
      <c r="L21" s="120"/>
      <c r="M21" s="120"/>
      <c r="N21" s="120"/>
      <c r="O21" s="120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</row>
    <row r="22" spans="2:30">
      <c r="B22" s="120"/>
      <c r="C22" s="120"/>
      <c r="D22" s="120"/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0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</row>
    <row r="23" spans="2:30">
      <c r="B23" s="120"/>
      <c r="C23" s="120"/>
      <c r="D23" s="120"/>
      <c r="E23" s="120"/>
      <c r="F23" s="120"/>
      <c r="G23" s="120"/>
      <c r="H23" s="120"/>
      <c r="I23" s="120"/>
      <c r="J23" s="120"/>
      <c r="K23" s="120"/>
      <c r="L23" s="120"/>
      <c r="M23" s="120"/>
      <c r="N23" s="120"/>
      <c r="O23" s="120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</row>
    <row r="24" spans="2:30"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</row>
    <row r="25" spans="2:30"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</row>
    <row r="26" spans="2:30" ht="18.75" customHeight="1">
      <c r="B26" s="121" t="s">
        <v>59</v>
      </c>
      <c r="C26" s="121"/>
      <c r="D26" s="121"/>
      <c r="E26" s="121"/>
      <c r="F26" s="121"/>
      <c r="G26" s="121"/>
      <c r="H26" s="121"/>
      <c r="I26" s="121"/>
      <c r="J26" s="121"/>
      <c r="K26" s="121"/>
      <c r="L26" s="121"/>
      <c r="M26" s="121"/>
      <c r="N26" s="121"/>
      <c r="O26" s="121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</row>
    <row r="27" spans="2:30">
      <c r="B27" s="120" t="s">
        <v>235</v>
      </c>
      <c r="C27" s="120"/>
      <c r="D27" s="120"/>
      <c r="E27" s="120"/>
      <c r="F27" s="120"/>
      <c r="G27" s="120"/>
      <c r="H27" s="120"/>
      <c r="I27" s="120"/>
      <c r="J27" s="120"/>
      <c r="K27" s="120"/>
      <c r="L27" s="120"/>
      <c r="M27" s="120"/>
      <c r="N27" s="120"/>
      <c r="O27" s="120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</row>
    <row r="28" spans="2:30">
      <c r="B28" s="120"/>
      <c r="C28" s="120"/>
      <c r="D28" s="120"/>
      <c r="E28" s="120"/>
      <c r="F28" s="120"/>
      <c r="G28" s="120"/>
      <c r="H28" s="120"/>
      <c r="I28" s="120"/>
      <c r="J28" s="120"/>
      <c r="K28" s="120"/>
      <c r="L28" s="120"/>
      <c r="M28" s="120"/>
      <c r="N28" s="120"/>
      <c r="O28" s="120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</row>
    <row r="29" spans="2:30">
      <c r="B29" s="120"/>
      <c r="C29" s="120"/>
      <c r="D29" s="120"/>
      <c r="E29" s="120"/>
      <c r="F29" s="120"/>
      <c r="G29" s="120"/>
      <c r="H29" s="120"/>
      <c r="I29" s="120"/>
      <c r="J29" s="120"/>
      <c r="K29" s="120"/>
      <c r="L29" s="120"/>
      <c r="M29" s="120"/>
      <c r="N29" s="120"/>
      <c r="O29" s="120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</row>
    <row r="30" spans="2:30">
      <c r="B30" s="120"/>
      <c r="C30" s="120"/>
      <c r="D30" s="120"/>
      <c r="E30" s="120"/>
      <c r="F30" s="120"/>
      <c r="G30" s="120"/>
      <c r="H30" s="120"/>
      <c r="I30" s="120"/>
      <c r="J30" s="120"/>
      <c r="K30" s="120"/>
      <c r="L30" s="120"/>
      <c r="M30" s="120"/>
      <c r="N30" s="120"/>
      <c r="O30" s="120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</row>
    <row r="31" spans="2:30">
      <c r="B31" s="120"/>
      <c r="C31" s="120"/>
      <c r="D31" s="120"/>
      <c r="E31" s="120"/>
      <c r="F31" s="120"/>
      <c r="G31" s="120"/>
      <c r="H31" s="120"/>
      <c r="I31" s="120"/>
      <c r="J31" s="120"/>
      <c r="K31" s="120"/>
      <c r="L31" s="120"/>
      <c r="M31" s="120"/>
      <c r="N31" s="120"/>
      <c r="O31" s="120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</row>
    <row r="32" spans="2:30"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</row>
    <row r="33" spans="2:30"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</row>
    <row r="34" spans="2:30">
      <c r="B34" s="120"/>
      <c r="C34" s="120"/>
      <c r="D34" s="120"/>
      <c r="E34" s="120"/>
      <c r="F34" s="120"/>
      <c r="G34" s="120"/>
      <c r="H34" s="120"/>
      <c r="I34" s="120"/>
      <c r="J34" s="120"/>
      <c r="K34" s="120"/>
      <c r="L34" s="120"/>
      <c r="M34" s="120"/>
      <c r="N34" s="120"/>
      <c r="O34" s="120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</row>
    <row r="35" spans="2:30">
      <c r="B35" s="120"/>
      <c r="C35" s="120"/>
      <c r="D35" s="120"/>
      <c r="E35" s="120"/>
      <c r="F35" s="120"/>
      <c r="G35" s="120"/>
      <c r="H35" s="120"/>
      <c r="I35" s="120"/>
      <c r="J35" s="120"/>
      <c r="K35" s="120"/>
      <c r="L35" s="120"/>
      <c r="M35" s="120"/>
      <c r="N35" s="120"/>
      <c r="O35" s="120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</row>
    <row r="36" spans="2:30">
      <c r="B36" s="120"/>
      <c r="C36" s="120"/>
      <c r="D36" s="120"/>
      <c r="E36" s="120"/>
      <c r="F36" s="120"/>
      <c r="G36" s="120"/>
      <c r="H36" s="120"/>
      <c r="I36" s="120"/>
      <c r="J36" s="120"/>
      <c r="K36" s="120"/>
      <c r="L36" s="120"/>
      <c r="M36" s="120"/>
      <c r="N36" s="120"/>
      <c r="O36" s="120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</row>
    <row r="37" spans="2:30">
      <c r="B37" s="120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0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</row>
    <row r="38" spans="2:30">
      <c r="B38" s="120"/>
      <c r="C38" s="120"/>
      <c r="D38" s="120"/>
      <c r="E38" s="120"/>
      <c r="F38" s="120"/>
      <c r="G38" s="120"/>
      <c r="H38" s="120"/>
      <c r="I38" s="120"/>
      <c r="J38" s="120"/>
      <c r="K38" s="120"/>
      <c r="L38" s="120"/>
      <c r="M38" s="120"/>
      <c r="N38" s="120"/>
      <c r="O38" s="120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</row>
    <row r="39" spans="2:30">
      <c r="B39" s="120"/>
      <c r="C39" s="120"/>
      <c r="D39" s="120"/>
      <c r="E39" s="120"/>
      <c r="F39" s="120"/>
      <c r="G39" s="120"/>
      <c r="H39" s="120"/>
      <c r="I39" s="120"/>
      <c r="J39" s="120"/>
      <c r="K39" s="120"/>
      <c r="L39" s="120"/>
      <c r="M39" s="120"/>
      <c r="N39" s="120"/>
      <c r="O39" s="120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</row>
    <row r="40" spans="2:30">
      <c r="B40" s="120"/>
      <c r="C40" s="120"/>
      <c r="D40" s="120"/>
      <c r="E40" s="120"/>
      <c r="F40" s="120"/>
      <c r="G40" s="120"/>
      <c r="H40" s="120"/>
      <c r="I40" s="120"/>
      <c r="J40" s="120"/>
      <c r="K40" s="120"/>
      <c r="L40" s="120"/>
      <c r="M40" s="120"/>
      <c r="N40" s="120"/>
      <c r="O40" s="120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</row>
    <row r="41" spans="2:30" ht="18.75" customHeight="1">
      <c r="B41" s="121" t="s">
        <v>60</v>
      </c>
      <c r="C41" s="121"/>
      <c r="D41" s="121"/>
      <c r="E41" s="121"/>
      <c r="F41" s="121"/>
      <c r="G41" s="121"/>
      <c r="H41" s="121"/>
      <c r="I41" s="121"/>
      <c r="J41" s="121"/>
      <c r="K41" s="121"/>
      <c r="L41" s="121"/>
      <c r="M41" s="121"/>
      <c r="N41" s="121"/>
      <c r="O41" s="121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</row>
    <row r="42" spans="2:30" ht="18.75" customHeight="1">
      <c r="B42" s="120" t="s">
        <v>262</v>
      </c>
      <c r="C42" s="120"/>
      <c r="D42" s="120"/>
      <c r="E42" s="120"/>
      <c r="F42" s="120"/>
      <c r="G42" s="120"/>
      <c r="H42" s="120"/>
      <c r="I42" s="120"/>
      <c r="J42" s="120"/>
      <c r="K42" s="120"/>
      <c r="L42" s="120"/>
      <c r="M42" s="120"/>
      <c r="N42" s="120"/>
      <c r="O42" s="120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</row>
    <row r="43" spans="2:30"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</row>
    <row r="44" spans="2:30">
      <c r="B44" s="120"/>
      <c r="C44" s="120"/>
      <c r="D44" s="120"/>
      <c r="E44" s="120"/>
      <c r="F44" s="120"/>
      <c r="G44" s="120"/>
      <c r="H44" s="120"/>
      <c r="I44" s="120"/>
      <c r="J44" s="120"/>
      <c r="K44" s="120"/>
      <c r="L44" s="120"/>
      <c r="M44" s="120"/>
      <c r="N44" s="120"/>
      <c r="O44" s="120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</row>
    <row r="45" spans="2:30">
      <c r="B45" s="120"/>
      <c r="C45" s="120"/>
      <c r="D45" s="120"/>
      <c r="E45" s="120"/>
      <c r="F45" s="120"/>
      <c r="G45" s="120"/>
      <c r="H45" s="120"/>
      <c r="I45" s="120"/>
      <c r="J45" s="120"/>
      <c r="K45" s="120"/>
      <c r="L45" s="120"/>
      <c r="M45" s="120"/>
      <c r="N45" s="120"/>
      <c r="O45" s="120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</row>
    <row r="46" spans="2:30">
      <c r="B46" s="120"/>
      <c r="C46" s="120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</row>
    <row r="47" spans="2:30" ht="18.75" customHeight="1">
      <c r="B47" s="121" t="s">
        <v>61</v>
      </c>
      <c r="C47" s="121"/>
      <c r="D47" s="121"/>
      <c r="E47" s="121"/>
      <c r="F47" s="121"/>
      <c r="G47" s="121"/>
      <c r="H47" s="121"/>
      <c r="I47" s="121"/>
      <c r="J47" s="121"/>
      <c r="K47" s="121"/>
      <c r="L47" s="121"/>
      <c r="M47" s="121"/>
      <c r="N47" s="121"/>
      <c r="O47" s="121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</row>
    <row r="48" spans="2:30" ht="18.75" customHeight="1">
      <c r="B48" s="120" t="s">
        <v>68</v>
      </c>
      <c r="C48" s="120"/>
      <c r="D48" s="120"/>
      <c r="E48" s="120"/>
      <c r="F48" s="120"/>
      <c r="G48" s="120"/>
      <c r="H48" s="120"/>
      <c r="I48" s="120"/>
      <c r="J48" s="120"/>
      <c r="K48" s="120"/>
      <c r="L48" s="120"/>
      <c r="M48" s="120"/>
      <c r="N48" s="120"/>
      <c r="O48" s="120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</row>
    <row r="49" spans="2:30">
      <c r="B49" s="120"/>
      <c r="C49" s="120"/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</row>
    <row r="50" spans="2:30">
      <c r="B50" s="120"/>
      <c r="C50" s="120"/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</row>
    <row r="51" spans="2:30" ht="78.75" customHeight="1">
      <c r="B51" s="120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</row>
    <row r="52" spans="2:30"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</row>
    <row r="53" spans="2:30" ht="18.75" customHeight="1">
      <c r="B53" s="121" t="s">
        <v>62</v>
      </c>
      <c r="C53" s="121"/>
      <c r="D53" s="121"/>
      <c r="E53" s="121"/>
      <c r="F53" s="121"/>
      <c r="G53" s="121"/>
      <c r="H53" s="121"/>
      <c r="I53" s="121"/>
      <c r="J53" s="121"/>
      <c r="K53" s="121"/>
      <c r="L53" s="121"/>
      <c r="M53" s="121"/>
      <c r="N53" s="121"/>
      <c r="O53" s="121"/>
    </row>
    <row r="54" spans="2:30" ht="54.75" customHeight="1">
      <c r="B54" s="120" t="s">
        <v>67</v>
      </c>
      <c r="C54" s="120"/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</row>
    <row r="55" spans="2:30"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</row>
  </sheetData>
  <sheetProtection password="CC15" sheet="1" objects="1" scenarios="1" selectLockedCells="1"/>
  <customSheetViews>
    <customSheetView guid="{857CB3B9-618A-49FD-8D38-75EE2A4021B4}" scale="90" showPageBreaks="1" showGridLines="0" printArea="1" view="pageBreakPreview" topLeftCell="A6">
      <selection activeCell="B6" sqref="B6:O6"/>
      <pageMargins left="0.70866141732283472" right="0.70866141732283472" top="0.74803149606299213" bottom="0.74803149606299213" header="0" footer="0"/>
      <printOptions horizontalCentered="1"/>
      <pageSetup scale="53" fitToHeight="2" orientation="landscape" r:id="rId1"/>
    </customSheetView>
  </customSheetViews>
  <mergeCells count="17">
    <mergeCell ref="B14:O14"/>
    <mergeCell ref="B9:O9"/>
    <mergeCell ref="B10:O10"/>
    <mergeCell ref="B11:O11"/>
    <mergeCell ref="B12:O12"/>
    <mergeCell ref="Q15:AD20"/>
    <mergeCell ref="B54:O54"/>
    <mergeCell ref="B20:O24"/>
    <mergeCell ref="B27:O40"/>
    <mergeCell ref="B48:O51"/>
    <mergeCell ref="B47:O47"/>
    <mergeCell ref="B53:O53"/>
    <mergeCell ref="B41:O41"/>
    <mergeCell ref="B26:O26"/>
    <mergeCell ref="B19:O19"/>
    <mergeCell ref="B15:O17"/>
    <mergeCell ref="B42:O46"/>
  </mergeCells>
  <printOptions horizontalCentered="1"/>
  <pageMargins left="0.70866141732283472" right="0.70866141732283472" top="0.74803149606299213" bottom="0.74803149606299213" header="0" footer="0"/>
  <pageSetup scale="53" fitToHeight="2" orientation="landscape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>
    <pageSetUpPr fitToPage="1"/>
  </sheetPr>
  <dimension ref="B8:O24"/>
  <sheetViews>
    <sheetView showGridLines="0" view="pageBreakPreview" zoomScale="83" zoomScaleNormal="70" zoomScaleSheetLayoutView="83" workbookViewId="0">
      <selection activeCell="A11" sqref="A11"/>
    </sheetView>
  </sheetViews>
  <sheetFormatPr baseColWidth="10" defaultColWidth="11.42578125" defaultRowHeight="18.75"/>
  <cols>
    <col min="1" max="1" width="11.42578125" style="9"/>
    <col min="2" max="2" width="4.5703125" style="9" customWidth="1"/>
    <col min="3" max="3" width="15.28515625" style="9" customWidth="1"/>
    <col min="4" max="4" width="18.42578125" style="9" customWidth="1"/>
    <col min="5" max="13" width="11.42578125" style="9"/>
    <col min="14" max="14" width="10.7109375" style="9" customWidth="1"/>
    <col min="15" max="16384" width="11.42578125" style="9"/>
  </cols>
  <sheetData>
    <row r="8" spans="2:15" s="10" customFormat="1" ht="46.5" customHeight="1">
      <c r="B8" s="123" t="s">
        <v>0</v>
      </c>
      <c r="C8" s="123"/>
      <c r="D8" s="123"/>
      <c r="E8" s="123"/>
      <c r="F8" s="123"/>
      <c r="G8" s="123"/>
      <c r="H8" s="123"/>
      <c r="I8" s="123"/>
      <c r="J8" s="123"/>
      <c r="K8" s="123"/>
      <c r="L8" s="123"/>
      <c r="M8" s="123"/>
      <c r="N8" s="123"/>
      <c r="O8" s="123"/>
    </row>
    <row r="9" spans="2:15" ht="33" customHeight="1">
      <c r="B9" s="135" t="s">
        <v>55</v>
      </c>
      <c r="C9" s="135"/>
      <c r="D9" s="135"/>
      <c r="E9" s="135"/>
      <c r="F9" s="135"/>
      <c r="G9" s="135"/>
      <c r="H9" s="135"/>
      <c r="I9" s="135"/>
      <c r="J9" s="135"/>
      <c r="K9" s="135"/>
      <c r="L9" s="135"/>
      <c r="M9" s="135"/>
      <c r="N9" s="135"/>
      <c r="O9" s="135"/>
    </row>
    <row r="10" spans="2:15" ht="48" customHeight="1">
      <c r="B10" s="125" t="s">
        <v>57</v>
      </c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</row>
    <row r="11" spans="2:15" ht="23.25">
      <c r="B11" s="127" t="s">
        <v>260</v>
      </c>
      <c r="C11" s="136"/>
      <c r="D11" s="136"/>
      <c r="E11" s="136"/>
      <c r="F11" s="136"/>
      <c r="G11" s="136"/>
      <c r="H11" s="136"/>
      <c r="I11" s="136"/>
      <c r="J11" s="136"/>
      <c r="K11" s="136"/>
      <c r="L11" s="136"/>
      <c r="M11" s="136"/>
      <c r="N11" s="136"/>
      <c r="O11" s="136"/>
    </row>
    <row r="13" spans="2:15" ht="19.5">
      <c r="B13" s="137" t="s">
        <v>64</v>
      </c>
      <c r="C13" s="137"/>
      <c r="D13" s="137"/>
      <c r="E13" s="137"/>
      <c r="F13" s="137"/>
      <c r="G13" s="137"/>
      <c r="H13" s="137"/>
      <c r="I13" s="137"/>
      <c r="J13" s="137"/>
      <c r="K13" s="137"/>
      <c r="L13" s="137"/>
      <c r="M13" s="137"/>
      <c r="N13" s="137"/>
      <c r="O13" s="137"/>
    </row>
    <row r="14" spans="2:15" ht="19.5">
      <c r="B14" s="125" t="s">
        <v>236</v>
      </c>
      <c r="C14" s="125"/>
      <c r="D14" s="125"/>
      <c r="E14" s="125"/>
      <c r="F14" s="125"/>
      <c r="G14" s="125"/>
      <c r="H14" s="125"/>
      <c r="I14" s="125"/>
      <c r="J14" s="125"/>
      <c r="K14" s="125"/>
      <c r="L14" s="125"/>
      <c r="M14" s="125"/>
      <c r="N14" s="125"/>
      <c r="O14" s="125"/>
    </row>
    <row r="15" spans="2:15" ht="23.25">
      <c r="B15" s="29"/>
      <c r="C15" s="132" t="s">
        <v>237</v>
      </c>
      <c r="D15" s="132"/>
      <c r="E15" s="132"/>
      <c r="F15" s="132"/>
      <c r="G15" s="132"/>
      <c r="H15" s="132"/>
      <c r="I15" s="132"/>
      <c r="J15" s="132"/>
      <c r="K15" s="132"/>
      <c r="L15" s="132"/>
      <c r="M15" s="132"/>
      <c r="N15" s="132"/>
      <c r="O15" s="30"/>
    </row>
    <row r="16" spans="2:15" ht="23.25">
      <c r="B16" s="29"/>
      <c r="C16" s="133" t="s">
        <v>234</v>
      </c>
      <c r="D16" s="133"/>
      <c r="E16" s="133"/>
      <c r="F16" s="133"/>
      <c r="G16" s="133"/>
      <c r="H16" s="133"/>
      <c r="I16" s="133"/>
      <c r="J16" s="133"/>
      <c r="K16" s="133"/>
      <c r="L16" s="133"/>
      <c r="M16" s="133"/>
      <c r="N16" s="133"/>
      <c r="O16" s="133"/>
    </row>
    <row r="17" spans="2:15" ht="21">
      <c r="C17" s="14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</row>
    <row r="18" spans="2:15">
      <c r="B18" s="122">
        <v>3915</v>
      </c>
      <c r="C18" s="122"/>
      <c r="D18" s="122"/>
      <c r="E18" s="122"/>
      <c r="F18" s="122"/>
      <c r="G18" s="122"/>
      <c r="H18" s="122"/>
      <c r="I18" s="122"/>
      <c r="J18" s="122"/>
      <c r="K18" s="122"/>
      <c r="L18" s="122"/>
      <c r="M18" s="122"/>
      <c r="N18" s="122"/>
      <c r="O18" s="122"/>
    </row>
    <row r="19" spans="2:15">
      <c r="B19" s="16">
        <v>1</v>
      </c>
      <c r="C19" s="129" t="s">
        <v>240</v>
      </c>
      <c r="D19" s="129"/>
      <c r="E19" s="129"/>
      <c r="F19" s="129"/>
      <c r="G19" s="129"/>
      <c r="H19" s="129"/>
      <c r="I19" s="129"/>
      <c r="J19" s="129"/>
      <c r="K19" s="129"/>
      <c r="L19" s="129"/>
      <c r="M19" s="129"/>
      <c r="N19" s="129"/>
      <c r="O19" s="129"/>
    </row>
    <row r="20" spans="2:15">
      <c r="B20" s="16">
        <v>2</v>
      </c>
      <c r="C20" s="120" t="s">
        <v>241</v>
      </c>
      <c r="D20" s="120"/>
      <c r="E20" s="120"/>
      <c r="F20" s="120"/>
      <c r="G20" s="120"/>
      <c r="H20" s="120"/>
      <c r="I20" s="120"/>
      <c r="J20" s="120"/>
      <c r="K20" s="120"/>
      <c r="L20" s="120"/>
      <c r="M20" s="120"/>
      <c r="N20" s="120"/>
      <c r="O20" s="120"/>
    </row>
    <row r="21" spans="2:15">
      <c r="B21" s="28">
        <v>3</v>
      </c>
      <c r="C21" s="130" t="s">
        <v>238</v>
      </c>
      <c r="D21" s="130"/>
      <c r="E21" s="130"/>
      <c r="F21" s="130"/>
      <c r="G21" s="130"/>
      <c r="H21" s="130"/>
      <c r="I21" s="130"/>
      <c r="J21" s="130"/>
      <c r="K21" s="130"/>
      <c r="L21" s="130"/>
      <c r="M21" s="130"/>
      <c r="N21" s="130"/>
      <c r="O21" s="130"/>
    </row>
    <row r="22" spans="2:15">
      <c r="B22" s="31"/>
      <c r="C22" s="134"/>
      <c r="D22" s="134"/>
      <c r="E22" s="134"/>
      <c r="F22" s="134"/>
      <c r="G22" s="134"/>
      <c r="H22" s="134"/>
      <c r="I22" s="134"/>
      <c r="J22" s="134"/>
      <c r="K22" s="134"/>
      <c r="L22" s="134"/>
      <c r="M22" s="134"/>
      <c r="N22" s="134"/>
      <c r="O22" s="134"/>
    </row>
    <row r="23" spans="2:15">
      <c r="B23" s="28"/>
      <c r="C23" s="131" t="s">
        <v>239</v>
      </c>
      <c r="D23" s="131"/>
      <c r="E23" s="131"/>
      <c r="F23" s="131"/>
      <c r="G23" s="131"/>
      <c r="H23" s="131"/>
      <c r="I23" s="131"/>
      <c r="J23" s="131"/>
      <c r="K23" s="131"/>
      <c r="L23" s="131"/>
      <c r="M23" s="131"/>
      <c r="N23" s="131"/>
      <c r="O23" s="131"/>
    </row>
    <row r="24" spans="2:15"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</row>
  </sheetData>
  <sheetProtection password="CC15" sheet="1" objects="1" scenarios="1" selectLockedCells="1"/>
  <customSheetViews>
    <customSheetView guid="{857CB3B9-618A-49FD-8D38-75EE2A4021B4}" scale="83" showPageBreaks="1" showGridLines="0" fitToPage="1" printArea="1" view="pageBreakPreview">
      <selection activeCell="O20" sqref="B2:O20"/>
      <pageMargins left="0.7" right="0.7" top="0.75" bottom="0.75" header="0.3" footer="0.3"/>
      <pageSetup scale="56" orientation="portrait" r:id="rId1"/>
    </customSheetView>
  </customSheetViews>
  <mergeCells count="14">
    <mergeCell ref="B8:O8"/>
    <mergeCell ref="B9:O9"/>
    <mergeCell ref="B10:O10"/>
    <mergeCell ref="B11:O11"/>
    <mergeCell ref="B13:O13"/>
    <mergeCell ref="C19:O19"/>
    <mergeCell ref="C21:O21"/>
    <mergeCell ref="C23:O23"/>
    <mergeCell ref="B14:O14"/>
    <mergeCell ref="C15:N15"/>
    <mergeCell ref="B18:O18"/>
    <mergeCell ref="C20:O20"/>
    <mergeCell ref="C16:O16"/>
    <mergeCell ref="C22:O22"/>
  </mergeCells>
  <pageMargins left="0.7" right="0.7" top="0.75" bottom="0.75" header="0.3" footer="0.3"/>
  <pageSetup scale="56"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/>
  <dimension ref="C4:I36"/>
  <sheetViews>
    <sheetView topLeftCell="A7" workbookViewId="0">
      <selection activeCell="E42" sqref="E42"/>
    </sheetView>
  </sheetViews>
  <sheetFormatPr baseColWidth="10" defaultRowHeight="12.75"/>
  <cols>
    <col min="3" max="3" width="21.140625" customWidth="1"/>
    <col min="9" max="9" width="14" customWidth="1"/>
  </cols>
  <sheetData>
    <row r="4" spans="3:9" ht="16.5">
      <c r="C4" s="3" t="s">
        <v>7</v>
      </c>
      <c r="E4" s="2" t="s">
        <v>8</v>
      </c>
      <c r="G4" s="2" t="s">
        <v>9</v>
      </c>
      <c r="I4" s="2" t="s">
        <v>3</v>
      </c>
    </row>
    <row r="5" spans="3:9" ht="16.5">
      <c r="C5" s="5" t="s">
        <v>22</v>
      </c>
      <c r="E5" s="4">
        <v>2010</v>
      </c>
      <c r="G5" s="2" t="s">
        <v>10</v>
      </c>
      <c r="I5" s="2" t="s">
        <v>4</v>
      </c>
    </row>
    <row r="6" spans="3:9" ht="16.5">
      <c r="C6" s="5" t="s">
        <v>23</v>
      </c>
      <c r="E6" s="4">
        <v>2011</v>
      </c>
      <c r="G6" s="2" t="s">
        <v>11</v>
      </c>
      <c r="I6" s="2" t="s">
        <v>5</v>
      </c>
    </row>
    <row r="7" spans="3:9" ht="16.5">
      <c r="C7" s="5" t="s">
        <v>24</v>
      </c>
      <c r="E7" s="4">
        <v>2012</v>
      </c>
      <c r="G7" s="2" t="s">
        <v>12</v>
      </c>
    </row>
    <row r="8" spans="3:9" ht="16.5">
      <c r="C8" s="5" t="s">
        <v>25</v>
      </c>
      <c r="E8" s="4">
        <v>2013</v>
      </c>
      <c r="G8" s="2" t="s">
        <v>13</v>
      </c>
    </row>
    <row r="9" spans="3:9" ht="16.5">
      <c r="C9" s="5" t="s">
        <v>26</v>
      </c>
      <c r="E9" s="4">
        <v>2014</v>
      </c>
      <c r="G9" s="2" t="s">
        <v>14</v>
      </c>
    </row>
    <row r="10" spans="3:9" ht="16.5">
      <c r="C10" s="5" t="s">
        <v>27</v>
      </c>
      <c r="E10" s="4">
        <v>2015</v>
      </c>
      <c r="G10" s="2" t="s">
        <v>15</v>
      </c>
    </row>
    <row r="11" spans="3:9" ht="16.5">
      <c r="C11" s="5" t="s">
        <v>28</v>
      </c>
      <c r="E11" s="4">
        <v>2016</v>
      </c>
      <c r="G11" s="2" t="s">
        <v>16</v>
      </c>
    </row>
    <row r="12" spans="3:9" ht="16.5">
      <c r="C12" s="5" t="s">
        <v>29</v>
      </c>
      <c r="E12" s="4">
        <v>2017</v>
      </c>
      <c r="G12" s="2" t="s">
        <v>17</v>
      </c>
    </row>
    <row r="13" spans="3:9" ht="16.5">
      <c r="C13" s="5" t="s">
        <v>30</v>
      </c>
      <c r="E13" s="4">
        <v>2018</v>
      </c>
      <c r="G13" s="2" t="s">
        <v>18</v>
      </c>
    </row>
    <row r="14" spans="3:9" ht="16.5">
      <c r="C14" s="5" t="s">
        <v>31</v>
      </c>
      <c r="G14" s="2" t="s">
        <v>19</v>
      </c>
    </row>
    <row r="15" spans="3:9" ht="16.5">
      <c r="C15" s="5" t="s">
        <v>32</v>
      </c>
      <c r="G15" s="2" t="s">
        <v>20</v>
      </c>
    </row>
    <row r="16" spans="3:9" ht="16.5">
      <c r="C16" s="5" t="s">
        <v>33</v>
      </c>
      <c r="G16" s="2" t="s">
        <v>21</v>
      </c>
    </row>
    <row r="17" spans="3:3" ht="16.5">
      <c r="C17" s="5" t="s">
        <v>34</v>
      </c>
    </row>
    <row r="18" spans="3:3" ht="16.5">
      <c r="C18" s="5" t="s">
        <v>35</v>
      </c>
    </row>
    <row r="19" spans="3:3" ht="16.5">
      <c r="C19" s="5" t="s">
        <v>36</v>
      </c>
    </row>
    <row r="20" spans="3:3" ht="16.5">
      <c r="C20" s="5" t="s">
        <v>37</v>
      </c>
    </row>
    <row r="21" spans="3:3" ht="16.5">
      <c r="C21" s="5" t="s">
        <v>38</v>
      </c>
    </row>
    <row r="22" spans="3:3" ht="16.5">
      <c r="C22" s="5" t="s">
        <v>39</v>
      </c>
    </row>
    <row r="23" spans="3:3" ht="16.5">
      <c r="C23" s="5" t="s">
        <v>40</v>
      </c>
    </row>
    <row r="24" spans="3:3" ht="16.5">
      <c r="C24" s="5" t="s">
        <v>41</v>
      </c>
    </row>
    <row r="25" spans="3:3" ht="16.5">
      <c r="C25" s="5" t="s">
        <v>42</v>
      </c>
    </row>
    <row r="26" spans="3:3" ht="16.5">
      <c r="C26" s="5" t="s">
        <v>43</v>
      </c>
    </row>
    <row r="27" spans="3:3" ht="16.5">
      <c r="C27" s="5" t="s">
        <v>44</v>
      </c>
    </row>
    <row r="28" spans="3:3" ht="16.5">
      <c r="C28" s="5" t="s">
        <v>45</v>
      </c>
    </row>
    <row r="29" spans="3:3" ht="16.5">
      <c r="C29" s="5" t="s">
        <v>46</v>
      </c>
    </row>
    <row r="30" spans="3:3" ht="16.5">
      <c r="C30" s="5" t="s">
        <v>47</v>
      </c>
    </row>
    <row r="31" spans="3:3" ht="16.5">
      <c r="C31" s="5" t="s">
        <v>48</v>
      </c>
    </row>
    <row r="32" spans="3:3" ht="16.5">
      <c r="C32" s="5" t="s">
        <v>49</v>
      </c>
    </row>
    <row r="33" spans="3:3" ht="16.5">
      <c r="C33" s="5" t="s">
        <v>50</v>
      </c>
    </row>
    <row r="34" spans="3:3" ht="16.5">
      <c r="C34" s="5" t="s">
        <v>51</v>
      </c>
    </row>
    <row r="35" spans="3:3" ht="16.5">
      <c r="C35" s="5" t="s">
        <v>52</v>
      </c>
    </row>
    <row r="36" spans="3:3" ht="16.5">
      <c r="C36" s="5" t="s">
        <v>53</v>
      </c>
    </row>
  </sheetData>
  <sheetProtection sheet="1" objects="1" scenarios="1"/>
  <customSheetViews>
    <customSheetView guid="{857CB3B9-618A-49FD-8D38-75EE2A4021B4}" state="hidden" topLeftCell="A7">
      <selection activeCell="E42" sqref="E42"/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"/>
  <sheetViews>
    <sheetView workbookViewId="0">
      <selection activeCell="C4" sqref="C4"/>
    </sheetView>
  </sheetViews>
  <sheetFormatPr baseColWidth="10" defaultRowHeight="12.75"/>
  <cols>
    <col min="1" max="1" width="26.85546875" customWidth="1"/>
    <col min="3" max="3" width="20.7109375" customWidth="1"/>
  </cols>
  <sheetData>
    <row r="1" spans="1:3">
      <c r="A1" s="22" t="s">
        <v>201</v>
      </c>
      <c r="B1" s="22" t="s">
        <v>9</v>
      </c>
      <c r="C1" t="s">
        <v>3</v>
      </c>
    </row>
    <row r="2" spans="1:3">
      <c r="A2" t="s">
        <v>202</v>
      </c>
      <c r="B2" s="22" t="s">
        <v>10</v>
      </c>
      <c r="C2" t="s">
        <v>4</v>
      </c>
    </row>
    <row r="3" spans="1:3">
      <c r="A3" t="s">
        <v>203</v>
      </c>
      <c r="B3" s="22" t="s">
        <v>11</v>
      </c>
      <c r="C3" t="s">
        <v>232</v>
      </c>
    </row>
    <row r="4" spans="1:3">
      <c r="A4" t="s">
        <v>204</v>
      </c>
      <c r="B4" s="22" t="s">
        <v>12</v>
      </c>
    </row>
    <row r="5" spans="1:3">
      <c r="A5" t="s">
        <v>205</v>
      </c>
      <c r="B5" s="22" t="s">
        <v>13</v>
      </c>
    </row>
    <row r="6" spans="1:3">
      <c r="A6" t="s">
        <v>206</v>
      </c>
      <c r="B6" s="22" t="s">
        <v>14</v>
      </c>
    </row>
    <row r="7" spans="1:3">
      <c r="A7" t="s">
        <v>207</v>
      </c>
      <c r="B7" s="22" t="s">
        <v>15</v>
      </c>
    </row>
    <row r="8" spans="1:3">
      <c r="A8" t="s">
        <v>208</v>
      </c>
      <c r="B8" s="22" t="s">
        <v>16</v>
      </c>
    </row>
    <row r="9" spans="1:3">
      <c r="A9" t="s">
        <v>209</v>
      </c>
      <c r="B9" s="22" t="s">
        <v>17</v>
      </c>
    </row>
    <row r="10" spans="1:3">
      <c r="A10" t="s">
        <v>210</v>
      </c>
      <c r="B10" s="22" t="s">
        <v>18</v>
      </c>
    </row>
    <row r="11" spans="1:3">
      <c r="A11" t="s">
        <v>211</v>
      </c>
      <c r="B11" s="22" t="s">
        <v>19</v>
      </c>
    </row>
    <row r="12" spans="1:3">
      <c r="A12" t="s">
        <v>212</v>
      </c>
      <c r="B12" s="22" t="s">
        <v>20</v>
      </c>
    </row>
    <row r="13" spans="1:3">
      <c r="A13" t="s">
        <v>213</v>
      </c>
      <c r="B13" s="22" t="s">
        <v>21</v>
      </c>
    </row>
    <row r="14" spans="1:3">
      <c r="A14" t="s">
        <v>70</v>
      </c>
      <c r="B14" s="22" t="s">
        <v>10</v>
      </c>
    </row>
    <row r="15" spans="1:3">
      <c r="A15" t="s">
        <v>214</v>
      </c>
      <c r="B15" s="22" t="s">
        <v>11</v>
      </c>
    </row>
    <row r="16" spans="1:3">
      <c r="A16" t="s">
        <v>215</v>
      </c>
      <c r="B16" s="22" t="s">
        <v>12</v>
      </c>
    </row>
    <row r="17" spans="1:2">
      <c r="A17" t="s">
        <v>216</v>
      </c>
      <c r="B17" s="22" t="s">
        <v>13</v>
      </c>
    </row>
    <row r="18" spans="1:2">
      <c r="A18" t="s">
        <v>6</v>
      </c>
      <c r="B18" s="22" t="s">
        <v>14</v>
      </c>
    </row>
    <row r="19" spans="1:2">
      <c r="A19" t="s">
        <v>217</v>
      </c>
      <c r="B19" s="22" t="s">
        <v>15</v>
      </c>
    </row>
    <row r="20" spans="1:2">
      <c r="A20" t="s">
        <v>218</v>
      </c>
      <c r="B20" s="22" t="s">
        <v>16</v>
      </c>
    </row>
    <row r="21" spans="1:2">
      <c r="A21" t="s">
        <v>219</v>
      </c>
      <c r="B21" s="22" t="s">
        <v>17</v>
      </c>
    </row>
    <row r="22" spans="1:2">
      <c r="A22" t="s">
        <v>220</v>
      </c>
      <c r="B22" s="22" t="s">
        <v>18</v>
      </c>
    </row>
    <row r="23" spans="1:2">
      <c r="A23" t="s">
        <v>221</v>
      </c>
      <c r="B23" s="22" t="s">
        <v>19</v>
      </c>
    </row>
    <row r="24" spans="1:2">
      <c r="A24" t="s">
        <v>222</v>
      </c>
      <c r="B24" s="22" t="s">
        <v>20</v>
      </c>
    </row>
    <row r="25" spans="1:2">
      <c r="A25" t="s">
        <v>223</v>
      </c>
      <c r="B25" s="22" t="s">
        <v>21</v>
      </c>
    </row>
    <row r="26" spans="1:2">
      <c r="A26" t="s">
        <v>224</v>
      </c>
    </row>
    <row r="27" spans="1:2">
      <c r="A27" t="s">
        <v>225</v>
      </c>
    </row>
    <row r="28" spans="1:2">
      <c r="A28" t="s">
        <v>226</v>
      </c>
    </row>
    <row r="29" spans="1:2">
      <c r="A29" t="s">
        <v>227</v>
      </c>
    </row>
    <row r="30" spans="1:2">
      <c r="A30" t="s">
        <v>228</v>
      </c>
    </row>
    <row r="31" spans="1:2">
      <c r="A31" t="s">
        <v>229</v>
      </c>
    </row>
    <row r="32" spans="1:2">
      <c r="A32" t="s">
        <v>230</v>
      </c>
    </row>
    <row r="33" spans="1:1">
      <c r="A33" t="s">
        <v>231</v>
      </c>
    </row>
  </sheetData>
  <customSheetViews>
    <customSheetView guid="{857CB3B9-618A-49FD-8D38-75EE2A4021B4}" state="hidden">
      <selection activeCell="C4" sqref="C4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T21"/>
  <sheetViews>
    <sheetView view="pageBreakPreview" topLeftCell="B4" zoomScaleNormal="100" zoomScaleSheetLayoutView="100" workbookViewId="0">
      <selection activeCell="C16" sqref="C16"/>
    </sheetView>
  </sheetViews>
  <sheetFormatPr baseColWidth="10" defaultColWidth="11.42578125" defaultRowHeight="12.75"/>
  <cols>
    <col min="1" max="1" width="23.28515625" style="37" customWidth="1"/>
    <col min="2" max="2" width="26.140625" style="37" customWidth="1"/>
    <col min="3" max="3" width="28.28515625" style="37" customWidth="1"/>
    <col min="4" max="4" width="23.28515625" style="37" customWidth="1"/>
    <col min="5" max="5" width="25.7109375" style="37" customWidth="1"/>
    <col min="6" max="6" width="26.85546875" style="37" customWidth="1"/>
    <col min="7" max="7" width="29.42578125" style="37" customWidth="1"/>
    <col min="8" max="16384" width="11.42578125" style="37"/>
  </cols>
  <sheetData>
    <row r="3" spans="1:228" s="38" customFormat="1" ht="69.75" customHeight="1">
      <c r="B3" s="39"/>
      <c r="C3" s="39"/>
    </row>
    <row r="4" spans="1:228" s="38" customFormat="1" ht="21.75" customHeight="1">
      <c r="B4" s="138" t="s">
        <v>423</v>
      </c>
      <c r="C4" s="138"/>
    </row>
    <row r="5" spans="1:228" s="38" customFormat="1" ht="12.75" customHeight="1">
      <c r="B5" s="47" t="s">
        <v>247</v>
      </c>
      <c r="C5" s="47"/>
    </row>
    <row r="6" spans="1:228" s="17" customFormat="1" ht="18" customHeight="1">
      <c r="A6" s="40"/>
      <c r="B6" s="138" t="s">
        <v>0</v>
      </c>
      <c r="C6" s="138"/>
      <c r="D6" s="41"/>
      <c r="E6" s="41"/>
      <c r="F6" s="41"/>
      <c r="G6" s="1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</row>
    <row r="7" spans="1:228" s="17" customFormat="1">
      <c r="A7" s="40"/>
      <c r="B7" s="40"/>
      <c r="C7" s="40"/>
      <c r="D7" s="41"/>
      <c r="E7" s="41"/>
      <c r="F7" s="41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  <c r="HS7" s="18"/>
      <c r="HT7" s="18"/>
    </row>
    <row r="8" spans="1:228" s="17" customFormat="1" ht="18">
      <c r="A8" s="139" t="s">
        <v>248</v>
      </c>
      <c r="B8" s="139"/>
      <c r="C8" s="139"/>
      <c r="D8" s="139"/>
      <c r="E8" s="98"/>
      <c r="F8" s="98"/>
      <c r="G8" s="1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  <c r="HS8" s="18"/>
      <c r="HT8" s="18"/>
    </row>
    <row r="9" spans="1:228" s="38" customFormat="1"/>
    <row r="10" spans="1:228" s="38" customFormat="1" ht="25.5">
      <c r="A10" s="42"/>
      <c r="B10" s="45" t="s">
        <v>242</v>
      </c>
      <c r="C10" s="101" t="s">
        <v>425</v>
      </c>
      <c r="D10" s="42"/>
      <c r="E10" s="98"/>
      <c r="F10" s="98"/>
    </row>
    <row r="11" spans="1:228" s="38" customFormat="1" ht="18">
      <c r="A11" s="42"/>
      <c r="B11" s="35" t="s">
        <v>243</v>
      </c>
      <c r="C11" s="36">
        <v>2026</v>
      </c>
      <c r="D11" s="42"/>
      <c r="E11" s="98"/>
      <c r="F11" s="98"/>
    </row>
    <row r="12" spans="1:228" s="38" customFormat="1" ht="18">
      <c r="A12" s="42"/>
      <c r="B12" s="35" t="s">
        <v>244</v>
      </c>
      <c r="C12" s="103" t="s">
        <v>16</v>
      </c>
      <c r="D12" s="42"/>
      <c r="E12" s="98"/>
      <c r="F12" s="98"/>
    </row>
    <row r="13" spans="1:228" s="38" customFormat="1" ht="18">
      <c r="A13" s="51"/>
      <c r="B13" s="50" t="s">
        <v>249</v>
      </c>
      <c r="C13" s="102">
        <f>A16+B16+C16+D16+E16+F16+G16</f>
        <v>397767</v>
      </c>
    </row>
    <row r="15" spans="1:228" ht="63.6" customHeight="1">
      <c r="A15" s="69" t="s">
        <v>255</v>
      </c>
      <c r="B15" s="69" t="s">
        <v>256</v>
      </c>
      <c r="C15" s="69" t="s">
        <v>257</v>
      </c>
      <c r="D15" s="69" t="s">
        <v>258</v>
      </c>
      <c r="E15" s="69" t="s">
        <v>419</v>
      </c>
      <c r="F15" s="69" t="s">
        <v>420</v>
      </c>
      <c r="G15" s="69" t="s">
        <v>259</v>
      </c>
    </row>
    <row r="16" spans="1:228" ht="16.5">
      <c r="A16" s="116">
        <f>SUM('C01'!D20:D79)</f>
        <v>20997</v>
      </c>
      <c r="B16" s="116">
        <f>SUM('C01'!D80:D122)</f>
        <v>6356</v>
      </c>
      <c r="C16" s="116">
        <f>SUM('C01'!D123:D263)</f>
        <v>71544</v>
      </c>
      <c r="D16" s="116">
        <f>SUM('C01'!D264:D273)</f>
        <v>2931</v>
      </c>
      <c r="E16" s="116">
        <f>SUM('C01'!D274:D290)</f>
        <v>2809</v>
      </c>
      <c r="F16" s="116">
        <f>SUM('C01'!D291:D293)</f>
        <v>16264</v>
      </c>
      <c r="G16" s="116">
        <f>SUM('C01'!D294:D301)</f>
        <v>276866</v>
      </c>
    </row>
    <row r="17" spans="1:7" ht="15">
      <c r="A17" s="69"/>
      <c r="B17" s="69"/>
      <c r="C17" s="69"/>
      <c r="D17" s="69"/>
      <c r="E17" s="69"/>
      <c r="F17" s="69"/>
      <c r="G17" s="69"/>
    </row>
    <row r="18" spans="1:7" ht="15">
      <c r="A18" s="70"/>
      <c r="B18" s="70"/>
      <c r="C18" s="70"/>
      <c r="D18" s="70"/>
      <c r="E18" s="100"/>
      <c r="F18" s="100"/>
      <c r="G18" s="71"/>
    </row>
    <row r="19" spans="1:7" s="48" customFormat="1" ht="38.25">
      <c r="A19" s="72" t="s">
        <v>250</v>
      </c>
      <c r="B19" s="72" t="s">
        <v>251</v>
      </c>
      <c r="C19" s="72" t="s">
        <v>252</v>
      </c>
      <c r="D19" s="72" t="s">
        <v>253</v>
      </c>
      <c r="E19" s="72" t="s">
        <v>421</v>
      </c>
      <c r="F19" s="72" t="s">
        <v>422</v>
      </c>
      <c r="G19" s="72" t="s">
        <v>254</v>
      </c>
    </row>
    <row r="20" spans="1:7" ht="30">
      <c r="A20" s="73">
        <f>IFERROR(A16/$C$13,0)</f>
        <v>5.2787184457232503E-2</v>
      </c>
      <c r="B20" s="73">
        <f>IFERROR(B16/$C$13,0)</f>
        <v>1.5979203905804151E-2</v>
      </c>
      <c r="C20" s="73">
        <f t="shared" ref="C20:G20" si="0">IFERROR(C16/$C$13,0)</f>
        <v>0.17986409128962433</v>
      </c>
      <c r="D20" s="73">
        <f t="shared" si="0"/>
        <v>7.368635407160473E-3</v>
      </c>
      <c r="E20" s="73">
        <f t="shared" si="0"/>
        <v>7.0619231861868883E-3</v>
      </c>
      <c r="F20" s="73">
        <f t="shared" si="0"/>
        <v>4.0888258704216286E-2</v>
      </c>
      <c r="G20" s="73">
        <f t="shared" si="0"/>
        <v>0.69605070304977534</v>
      </c>
    </row>
    <row r="21" spans="1:7" ht="15">
      <c r="A21" s="24"/>
      <c r="B21" s="24"/>
      <c r="C21" s="24"/>
      <c r="D21" s="24"/>
      <c r="E21" s="24"/>
      <c r="F21" s="24"/>
      <c r="G21" s="24"/>
    </row>
  </sheetData>
  <customSheetViews>
    <customSheetView guid="{857CB3B9-618A-49FD-8D38-75EE2A4021B4}" scale="140" showPageBreaks="1" printArea="1" view="pageBreakPreview" topLeftCell="A7">
      <selection activeCell="C29" sqref="C29"/>
      <pageMargins left="0.7" right="0.7" top="0.75" bottom="0.75" header="0.3" footer="0.3"/>
      <pageSetup scale="50" orientation="portrait" r:id="rId1"/>
    </customSheetView>
  </customSheetViews>
  <mergeCells count="3">
    <mergeCell ref="B4:C4"/>
    <mergeCell ref="B6:C6"/>
    <mergeCell ref="A8:D8"/>
  </mergeCells>
  <pageMargins left="0.7" right="0.7" top="0.75" bottom="0.75" header="0.3" footer="0.3"/>
  <pageSetup scale="50" orientation="portrait" r:id="rId2"/>
  <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Datos!$B$2:$B$25</xm:f>
          </x14:formula1>
          <xm:sqref>C12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>
    <pageSetUpPr fitToPage="1"/>
  </sheetPr>
  <dimension ref="B1:HR303"/>
  <sheetViews>
    <sheetView showGridLines="0" tabSelected="1" view="pageBreakPreview" zoomScaleNormal="100" zoomScaleSheetLayoutView="100" workbookViewId="0"/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58"/>
      <c r="C6" s="141" t="s">
        <v>424</v>
      </c>
      <c r="D6" s="141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44" t="s">
        <v>247</v>
      </c>
      <c r="C7" s="145"/>
      <c r="D7" s="145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44" t="s">
        <v>0</v>
      </c>
      <c r="C8" s="145"/>
      <c r="D8" s="145"/>
      <c r="E8" s="1"/>
      <c r="F8" s="140"/>
      <c r="G8" s="140"/>
      <c r="H8" s="140"/>
      <c r="I8" s="140"/>
      <c r="J8" s="14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44"/>
      <c r="C9" s="145"/>
      <c r="D9" s="145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46" t="s">
        <v>418</v>
      </c>
      <c r="C10" s="146"/>
      <c r="D10" s="146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Ciudad de México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2026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Julio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49" t="s">
        <v>2</v>
      </c>
      <c r="C16" s="150"/>
      <c r="D16" s="151"/>
    </row>
    <row r="17" spans="2:7" ht="15">
      <c r="B17" s="147" t="s">
        <v>245</v>
      </c>
      <c r="C17" s="148"/>
      <c r="D17" s="64" t="s">
        <v>4</v>
      </c>
    </row>
    <row r="18" spans="2:7" ht="15">
      <c r="B18" s="142" t="s">
        <v>246</v>
      </c>
      <c r="C18" s="143"/>
      <c r="D18" s="104" t="s">
        <v>425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4">
        <v>10101</v>
      </c>
      <c r="C20" s="85" t="s">
        <v>264</v>
      </c>
      <c r="D20" s="105">
        <v>0</v>
      </c>
    </row>
    <row r="21" spans="2:7" ht="16.5">
      <c r="B21" s="74">
        <v>10102</v>
      </c>
      <c r="C21" s="75" t="s">
        <v>265</v>
      </c>
      <c r="D21" s="108">
        <v>0</v>
      </c>
    </row>
    <row r="22" spans="2:7" ht="16.5">
      <c r="B22" s="84">
        <v>10103</v>
      </c>
      <c r="C22" s="85" t="s">
        <v>266</v>
      </c>
      <c r="D22" s="109">
        <v>1420</v>
      </c>
    </row>
    <row r="23" spans="2:7" ht="16.5">
      <c r="B23" s="74">
        <v>10104</v>
      </c>
      <c r="C23" s="75" t="s">
        <v>267</v>
      </c>
      <c r="D23" s="108">
        <v>1820</v>
      </c>
    </row>
    <row r="24" spans="2:7" ht="16.5">
      <c r="B24" s="84">
        <v>10105</v>
      </c>
      <c r="C24" s="85" t="s">
        <v>268</v>
      </c>
      <c r="D24" s="109">
        <v>0</v>
      </c>
    </row>
    <row r="25" spans="2:7" ht="16.5">
      <c r="B25" s="74">
        <v>10106</v>
      </c>
      <c r="C25" s="75" t="s">
        <v>269</v>
      </c>
      <c r="D25" s="108">
        <v>0</v>
      </c>
    </row>
    <row r="26" spans="2:7" ht="16.5">
      <c r="B26" s="84">
        <v>10107</v>
      </c>
      <c r="C26" s="85" t="s">
        <v>270</v>
      </c>
      <c r="D26" s="109">
        <v>0</v>
      </c>
    </row>
    <row r="27" spans="2:7" ht="16.5">
      <c r="B27" s="74">
        <v>10108</v>
      </c>
      <c r="C27" s="75" t="s">
        <v>271</v>
      </c>
      <c r="D27" s="108">
        <v>0</v>
      </c>
    </row>
    <row r="28" spans="2:7" ht="16.5">
      <c r="B28" s="84">
        <v>10109</v>
      </c>
      <c r="C28" s="85" t="s">
        <v>272</v>
      </c>
      <c r="D28" s="109">
        <v>0</v>
      </c>
    </row>
    <row r="29" spans="2:7" ht="16.5">
      <c r="B29" s="74">
        <v>10110</v>
      </c>
      <c r="C29" s="75" t="s">
        <v>273</v>
      </c>
      <c r="D29" s="108">
        <v>0</v>
      </c>
    </row>
    <row r="30" spans="2:7" ht="16.5">
      <c r="B30" s="84">
        <v>10111</v>
      </c>
      <c r="C30" s="85" t="s">
        <v>274</v>
      </c>
      <c r="D30" s="109">
        <v>0</v>
      </c>
    </row>
    <row r="31" spans="2:7" ht="16.5">
      <c r="B31" s="74">
        <v>10112</v>
      </c>
      <c r="C31" s="75" t="s">
        <v>275</v>
      </c>
      <c r="D31" s="108">
        <v>0</v>
      </c>
    </row>
    <row r="32" spans="2:7" ht="16.5">
      <c r="B32" s="84">
        <v>10113</v>
      </c>
      <c r="C32" s="85" t="s">
        <v>276</v>
      </c>
      <c r="D32" s="109">
        <v>0</v>
      </c>
    </row>
    <row r="33" spans="2:4" ht="16.5">
      <c r="B33" s="74">
        <v>10114</v>
      </c>
      <c r="C33" s="75" t="s">
        <v>277</v>
      </c>
      <c r="D33" s="108">
        <v>0</v>
      </c>
    </row>
    <row r="34" spans="2:4" ht="16.5">
      <c r="B34" s="84">
        <v>10115</v>
      </c>
      <c r="C34" s="85" t="s">
        <v>278</v>
      </c>
      <c r="D34" s="109">
        <v>0</v>
      </c>
    </row>
    <row r="35" spans="2:4" ht="16.5">
      <c r="B35" s="74">
        <v>10116</v>
      </c>
      <c r="C35" s="75" t="s">
        <v>279</v>
      </c>
      <c r="D35" s="108">
        <v>1144</v>
      </c>
    </row>
    <row r="36" spans="2:4" ht="16.5">
      <c r="B36" s="84">
        <v>10117</v>
      </c>
      <c r="C36" s="85" t="s">
        <v>280</v>
      </c>
      <c r="D36" s="109">
        <v>0</v>
      </c>
    </row>
    <row r="37" spans="2:4" ht="16.5">
      <c r="B37" s="74">
        <v>10118</v>
      </c>
      <c r="C37" s="75" t="s">
        <v>281</v>
      </c>
      <c r="D37" s="108">
        <v>0</v>
      </c>
    </row>
    <row r="38" spans="2:4" ht="16.5">
      <c r="B38" s="84">
        <v>10119</v>
      </c>
      <c r="C38" s="85" t="s">
        <v>282</v>
      </c>
      <c r="D38" s="109">
        <v>0</v>
      </c>
    </row>
    <row r="39" spans="2:4" ht="16.5">
      <c r="B39" s="74">
        <v>10120</v>
      </c>
      <c r="C39" s="75" t="s">
        <v>283</v>
      </c>
      <c r="D39" s="108">
        <v>0</v>
      </c>
    </row>
    <row r="40" spans="2:4" ht="16.5">
      <c r="B40" s="84">
        <v>10121</v>
      </c>
      <c r="C40" s="85" t="s">
        <v>284</v>
      </c>
      <c r="D40" s="109">
        <v>639</v>
      </c>
    </row>
    <row r="41" spans="2:4" ht="16.5">
      <c r="B41" s="74">
        <v>10201</v>
      </c>
      <c r="C41" s="75" t="s">
        <v>285</v>
      </c>
      <c r="D41" s="108">
        <v>2</v>
      </c>
    </row>
    <row r="42" spans="2:4" ht="16.5">
      <c r="B42" s="84">
        <v>10202</v>
      </c>
      <c r="C42" s="85" t="s">
        <v>286</v>
      </c>
      <c r="D42" s="109">
        <v>0</v>
      </c>
    </row>
    <row r="43" spans="2:4" ht="16.5">
      <c r="B43" s="74">
        <v>10203</v>
      </c>
      <c r="C43" s="75" t="s">
        <v>287</v>
      </c>
      <c r="D43" s="108">
        <v>21</v>
      </c>
    </row>
    <row r="44" spans="2:4" ht="16.5">
      <c r="B44" s="84">
        <v>10204</v>
      </c>
      <c r="C44" s="85" t="s">
        <v>288</v>
      </c>
      <c r="D44" s="109">
        <v>2114</v>
      </c>
    </row>
    <row r="45" spans="2:4" ht="16.5">
      <c r="B45" s="74">
        <v>10205</v>
      </c>
      <c r="C45" s="75" t="s">
        <v>289</v>
      </c>
      <c r="D45" s="108">
        <v>22</v>
      </c>
    </row>
    <row r="46" spans="2:4" ht="16.5">
      <c r="B46" s="84">
        <v>10206</v>
      </c>
      <c r="C46" s="85" t="s">
        <v>290</v>
      </c>
      <c r="D46" s="109">
        <v>763</v>
      </c>
    </row>
    <row r="47" spans="2:4" ht="16.5">
      <c r="B47" s="74">
        <v>10207</v>
      </c>
      <c r="C47" s="75" t="s">
        <v>291</v>
      </c>
      <c r="D47" s="108">
        <v>0</v>
      </c>
    </row>
    <row r="48" spans="2:4" ht="16.5">
      <c r="B48" s="84">
        <v>10208</v>
      </c>
      <c r="C48" s="85" t="s">
        <v>292</v>
      </c>
      <c r="D48" s="109">
        <v>248</v>
      </c>
    </row>
    <row r="49" spans="2:4" ht="16.5">
      <c r="B49" s="74">
        <v>10209</v>
      </c>
      <c r="C49" s="75" t="s">
        <v>293</v>
      </c>
      <c r="D49" s="108">
        <v>133</v>
      </c>
    </row>
    <row r="50" spans="2:4" ht="16.5">
      <c r="B50" s="84">
        <v>10210</v>
      </c>
      <c r="C50" s="85" t="s">
        <v>294</v>
      </c>
      <c r="D50" s="109">
        <v>201</v>
      </c>
    </row>
    <row r="51" spans="2:4" ht="16.5">
      <c r="B51" s="74">
        <v>10211</v>
      </c>
      <c r="C51" s="75" t="s">
        <v>76</v>
      </c>
      <c r="D51" s="108">
        <v>37</v>
      </c>
    </row>
    <row r="52" spans="2:4" ht="16.5">
      <c r="B52" s="84">
        <v>10212</v>
      </c>
      <c r="C52" s="85" t="s">
        <v>295</v>
      </c>
      <c r="D52" s="109">
        <v>0</v>
      </c>
    </row>
    <row r="53" spans="2:4" ht="16.5">
      <c r="B53" s="74">
        <v>10213</v>
      </c>
      <c r="C53" s="75" t="s">
        <v>296</v>
      </c>
      <c r="D53" s="108">
        <v>0</v>
      </c>
    </row>
    <row r="54" spans="2:4" ht="16.5">
      <c r="B54" s="84">
        <v>10214</v>
      </c>
      <c r="C54" s="85" t="s">
        <v>297</v>
      </c>
      <c r="D54" s="109">
        <v>0</v>
      </c>
    </row>
    <row r="55" spans="2:4" ht="16.5">
      <c r="B55" s="74">
        <v>10215</v>
      </c>
      <c r="C55" s="75" t="s">
        <v>298</v>
      </c>
      <c r="D55" s="108">
        <v>0</v>
      </c>
    </row>
    <row r="56" spans="2:4" ht="16.5" customHeight="1">
      <c r="B56" s="84">
        <v>10216</v>
      </c>
      <c r="C56" s="85" t="s">
        <v>299</v>
      </c>
      <c r="D56" s="109">
        <v>0</v>
      </c>
    </row>
    <row r="57" spans="2:4" ht="16.5">
      <c r="B57" s="74">
        <v>10217</v>
      </c>
      <c r="C57" s="75" t="s">
        <v>300</v>
      </c>
      <c r="D57" s="108">
        <v>0</v>
      </c>
    </row>
    <row r="58" spans="2:4" ht="16.5">
      <c r="B58" s="84">
        <v>10218</v>
      </c>
      <c r="C58" s="85" t="s">
        <v>301</v>
      </c>
      <c r="D58" s="109">
        <v>0</v>
      </c>
    </row>
    <row r="59" spans="2:4" ht="16.5">
      <c r="B59" s="74">
        <v>10219</v>
      </c>
      <c r="C59" s="75" t="s">
        <v>302</v>
      </c>
      <c r="D59" s="108">
        <v>12</v>
      </c>
    </row>
    <row r="60" spans="2:4" ht="16.5">
      <c r="B60" s="84">
        <v>10220</v>
      </c>
      <c r="C60" s="85" t="s">
        <v>303</v>
      </c>
      <c r="D60" s="109">
        <v>582</v>
      </c>
    </row>
    <row r="61" spans="2:4" ht="16.5">
      <c r="B61" s="74">
        <v>10301</v>
      </c>
      <c r="C61" s="75" t="s">
        <v>304</v>
      </c>
      <c r="D61" s="108">
        <v>39</v>
      </c>
    </row>
    <row r="62" spans="2:4" ht="16.5">
      <c r="B62" s="84">
        <v>10302</v>
      </c>
      <c r="C62" s="85" t="s">
        <v>305</v>
      </c>
      <c r="D62" s="109">
        <v>22</v>
      </c>
    </row>
    <row r="63" spans="2:4" ht="16.5">
      <c r="B63" s="74">
        <v>10303</v>
      </c>
      <c r="C63" s="75" t="s">
        <v>306</v>
      </c>
      <c r="D63" s="108">
        <v>0</v>
      </c>
    </row>
    <row r="64" spans="2:4" ht="16.5">
      <c r="B64" s="84">
        <v>10304</v>
      </c>
      <c r="C64" s="85" t="s">
        <v>307</v>
      </c>
      <c r="D64" s="109">
        <v>0</v>
      </c>
    </row>
    <row r="65" spans="2:4" ht="16.5">
      <c r="B65" s="74">
        <v>10305</v>
      </c>
      <c r="C65" s="75" t="s">
        <v>308</v>
      </c>
      <c r="D65" s="108">
        <v>0</v>
      </c>
    </row>
    <row r="66" spans="2:4" ht="16.5">
      <c r="B66" s="84">
        <v>10306</v>
      </c>
      <c r="C66" s="85" t="s">
        <v>309</v>
      </c>
      <c r="D66" s="109">
        <v>0</v>
      </c>
    </row>
    <row r="67" spans="2:4" ht="16.5">
      <c r="B67" s="74">
        <v>10307</v>
      </c>
      <c r="C67" s="75" t="s">
        <v>74</v>
      </c>
      <c r="D67" s="108">
        <v>870</v>
      </c>
    </row>
    <row r="68" spans="2:4" ht="16.5">
      <c r="B68" s="84">
        <v>10308</v>
      </c>
      <c r="C68" s="85" t="s">
        <v>310</v>
      </c>
      <c r="D68" s="109">
        <v>2146</v>
      </c>
    </row>
    <row r="69" spans="2:4" ht="16.5">
      <c r="B69" s="74">
        <v>10309</v>
      </c>
      <c r="C69" s="75" t="s">
        <v>311</v>
      </c>
      <c r="D69" s="108">
        <v>0</v>
      </c>
    </row>
    <row r="70" spans="2:4" ht="16.5">
      <c r="B70" s="84">
        <v>10310</v>
      </c>
      <c r="C70" s="85" t="s">
        <v>312</v>
      </c>
      <c r="D70" s="109">
        <v>0</v>
      </c>
    </row>
    <row r="71" spans="2:4" ht="16.5">
      <c r="B71" s="74">
        <v>10311</v>
      </c>
      <c r="C71" s="75" t="s">
        <v>313</v>
      </c>
      <c r="D71" s="108">
        <v>294</v>
      </c>
    </row>
    <row r="72" spans="2:4" ht="16.5">
      <c r="B72" s="84">
        <v>10312</v>
      </c>
      <c r="C72" s="85" t="s">
        <v>314</v>
      </c>
      <c r="D72" s="109">
        <v>36</v>
      </c>
    </row>
    <row r="73" spans="2:4" ht="16.5">
      <c r="B73" s="74">
        <v>10313</v>
      </c>
      <c r="C73" s="75" t="s">
        <v>315</v>
      </c>
      <c r="D73" s="108">
        <v>0</v>
      </c>
    </row>
    <row r="74" spans="2:4" ht="16.5">
      <c r="B74" s="84">
        <v>10314</v>
      </c>
      <c r="C74" s="85" t="s">
        <v>316</v>
      </c>
      <c r="D74" s="109">
        <v>129</v>
      </c>
    </row>
    <row r="75" spans="2:4" ht="16.5">
      <c r="B75" s="74">
        <v>10315</v>
      </c>
      <c r="C75" s="75" t="s">
        <v>317</v>
      </c>
      <c r="D75" s="108">
        <v>0</v>
      </c>
    </row>
    <row r="76" spans="2:4" ht="16.5">
      <c r="B76" s="84">
        <v>10316</v>
      </c>
      <c r="C76" s="85" t="s">
        <v>318</v>
      </c>
      <c r="D76" s="109">
        <v>7787</v>
      </c>
    </row>
    <row r="77" spans="2:4" ht="16.5">
      <c r="B77" s="74">
        <v>10317</v>
      </c>
      <c r="C77" s="75" t="s">
        <v>319</v>
      </c>
      <c r="D77" s="108">
        <v>516</v>
      </c>
    </row>
    <row r="78" spans="2:4" ht="16.5">
      <c r="B78" s="84">
        <v>10318</v>
      </c>
      <c r="C78" s="85" t="s">
        <v>320</v>
      </c>
      <c r="D78" s="109">
        <v>0</v>
      </c>
    </row>
    <row r="79" spans="2:4" ht="16.5">
      <c r="B79" s="74">
        <v>10319</v>
      </c>
      <c r="C79" s="75" t="s">
        <v>80</v>
      </c>
      <c r="D79" s="108">
        <v>0</v>
      </c>
    </row>
    <row r="80" spans="2:4" ht="16.5">
      <c r="B80" s="86">
        <v>20101</v>
      </c>
      <c r="C80" s="87" t="s">
        <v>321</v>
      </c>
      <c r="D80" s="106">
        <v>0</v>
      </c>
    </row>
    <row r="81" spans="2:4" ht="16.5">
      <c r="B81" s="76">
        <v>20102</v>
      </c>
      <c r="C81" s="77" t="s">
        <v>263</v>
      </c>
      <c r="D81" s="107">
        <v>0</v>
      </c>
    </row>
    <row r="82" spans="2:4" ht="16.5">
      <c r="B82" s="86">
        <v>20103</v>
      </c>
      <c r="C82" s="87" t="s">
        <v>78</v>
      </c>
      <c r="D82" s="106">
        <v>421</v>
      </c>
    </row>
    <row r="83" spans="2:4" ht="16.5">
      <c r="B83" s="76">
        <v>20104</v>
      </c>
      <c r="C83" s="77" t="s">
        <v>79</v>
      </c>
      <c r="D83" s="107">
        <v>85</v>
      </c>
    </row>
    <row r="84" spans="2:4" ht="16.5">
      <c r="B84" s="86">
        <v>20105</v>
      </c>
      <c r="C84" s="87" t="s">
        <v>322</v>
      </c>
      <c r="D84" s="106">
        <v>0</v>
      </c>
    </row>
    <row r="85" spans="2:4" ht="16.5">
      <c r="B85" s="76">
        <v>20106</v>
      </c>
      <c r="C85" s="77" t="s">
        <v>323</v>
      </c>
      <c r="D85" s="107">
        <v>171</v>
      </c>
    </row>
    <row r="86" spans="2:4" ht="16.5">
      <c r="B86" s="86">
        <v>20107</v>
      </c>
      <c r="C86" s="87" t="s">
        <v>81</v>
      </c>
      <c r="D86" s="106">
        <v>210</v>
      </c>
    </row>
    <row r="87" spans="2:4" ht="16.5">
      <c r="B87" s="76">
        <v>20108</v>
      </c>
      <c r="C87" s="77" t="s">
        <v>324</v>
      </c>
      <c r="D87" s="107">
        <v>880</v>
      </c>
    </row>
    <row r="88" spans="2:4" ht="16.5">
      <c r="B88" s="86">
        <v>20109</v>
      </c>
      <c r="C88" s="87" t="s">
        <v>325</v>
      </c>
      <c r="D88" s="106">
        <v>391</v>
      </c>
    </row>
    <row r="89" spans="2:4" ht="16.5">
      <c r="B89" s="76">
        <v>20110</v>
      </c>
      <c r="C89" s="77" t="s">
        <v>326</v>
      </c>
      <c r="D89" s="107">
        <v>1140</v>
      </c>
    </row>
    <row r="90" spans="2:4" ht="16.5">
      <c r="B90" s="86">
        <v>20111</v>
      </c>
      <c r="C90" s="87" t="s">
        <v>327</v>
      </c>
      <c r="D90" s="106">
        <v>73</v>
      </c>
    </row>
    <row r="91" spans="2:4" ht="16.5">
      <c r="B91" s="76">
        <v>20112</v>
      </c>
      <c r="C91" s="77" t="s">
        <v>328</v>
      </c>
      <c r="D91" s="107">
        <v>0</v>
      </c>
    </row>
    <row r="92" spans="2:4" ht="16.5">
      <c r="B92" s="86">
        <v>20113</v>
      </c>
      <c r="C92" s="87" t="s">
        <v>195</v>
      </c>
      <c r="D92" s="106">
        <v>4</v>
      </c>
    </row>
    <row r="93" spans="2:4" ht="16.5">
      <c r="B93" s="76">
        <v>20114</v>
      </c>
      <c r="C93" s="77" t="s">
        <v>82</v>
      </c>
      <c r="D93" s="107">
        <v>0</v>
      </c>
    </row>
    <row r="94" spans="2:4" ht="16.5">
      <c r="B94" s="86">
        <v>20201</v>
      </c>
      <c r="C94" s="87" t="s">
        <v>83</v>
      </c>
      <c r="D94" s="106">
        <v>0</v>
      </c>
    </row>
    <row r="95" spans="2:4" ht="16.5">
      <c r="B95" s="76">
        <v>20202</v>
      </c>
      <c r="C95" s="77" t="s">
        <v>84</v>
      </c>
      <c r="D95" s="107">
        <v>3</v>
      </c>
    </row>
    <row r="96" spans="2:4" ht="16.5">
      <c r="B96" s="86">
        <v>20203</v>
      </c>
      <c r="C96" s="87" t="s">
        <v>85</v>
      </c>
      <c r="D96" s="106">
        <v>527</v>
      </c>
    </row>
    <row r="97" spans="2:4" ht="16.5">
      <c r="B97" s="76">
        <v>20204</v>
      </c>
      <c r="C97" s="77" t="s">
        <v>86</v>
      </c>
      <c r="D97" s="107">
        <v>0</v>
      </c>
    </row>
    <row r="98" spans="2:4" ht="16.5">
      <c r="B98" s="86">
        <v>20205</v>
      </c>
      <c r="C98" s="87" t="s">
        <v>87</v>
      </c>
      <c r="D98" s="106">
        <v>0</v>
      </c>
    </row>
    <row r="99" spans="2:4" ht="16.5">
      <c r="B99" s="76">
        <v>20206</v>
      </c>
      <c r="C99" s="77" t="s">
        <v>88</v>
      </c>
      <c r="D99" s="107">
        <v>0</v>
      </c>
    </row>
    <row r="100" spans="2:4" ht="16.5">
      <c r="B100" s="86">
        <v>20207</v>
      </c>
      <c r="C100" s="87" t="s">
        <v>89</v>
      </c>
      <c r="D100" s="106">
        <v>265</v>
      </c>
    </row>
    <row r="101" spans="2:4" ht="16.5">
      <c r="B101" s="76">
        <v>20208</v>
      </c>
      <c r="C101" s="77" t="s">
        <v>90</v>
      </c>
      <c r="D101" s="107">
        <v>0</v>
      </c>
    </row>
    <row r="102" spans="2:4" ht="16.5">
      <c r="B102" s="86">
        <v>20209</v>
      </c>
      <c r="C102" s="87" t="s">
        <v>91</v>
      </c>
      <c r="D102" s="106">
        <v>5</v>
      </c>
    </row>
    <row r="103" spans="2:4" ht="16.5">
      <c r="B103" s="76">
        <v>20210</v>
      </c>
      <c r="C103" s="77" t="s">
        <v>192</v>
      </c>
      <c r="D103" s="107">
        <v>681</v>
      </c>
    </row>
    <row r="104" spans="2:4" ht="16.5">
      <c r="B104" s="86">
        <v>20211</v>
      </c>
      <c r="C104" s="87" t="s">
        <v>329</v>
      </c>
      <c r="D104" s="106">
        <v>0</v>
      </c>
    </row>
    <row r="105" spans="2:4" ht="16.5">
      <c r="B105" s="76">
        <v>20212</v>
      </c>
      <c r="C105" s="77" t="s">
        <v>93</v>
      </c>
      <c r="D105" s="107">
        <v>0</v>
      </c>
    </row>
    <row r="106" spans="2:4" ht="16.5">
      <c r="B106" s="86">
        <v>20213</v>
      </c>
      <c r="C106" s="87" t="s">
        <v>94</v>
      </c>
      <c r="D106" s="106">
        <v>0</v>
      </c>
    </row>
    <row r="107" spans="2:4" ht="16.5">
      <c r="B107" s="76">
        <v>20214</v>
      </c>
      <c r="C107" s="77" t="s">
        <v>330</v>
      </c>
      <c r="D107" s="107">
        <v>0</v>
      </c>
    </row>
    <row r="108" spans="2:4" ht="16.5">
      <c r="B108" s="86">
        <v>20301</v>
      </c>
      <c r="C108" s="87" t="s">
        <v>331</v>
      </c>
      <c r="D108" s="106">
        <v>234</v>
      </c>
    </row>
    <row r="109" spans="2:4" ht="16.5">
      <c r="B109" s="76">
        <v>20302</v>
      </c>
      <c r="C109" s="77" t="s">
        <v>332</v>
      </c>
      <c r="D109" s="107">
        <v>1</v>
      </c>
    </row>
    <row r="110" spans="2:4" ht="16.5">
      <c r="B110" s="86">
        <v>20303</v>
      </c>
      <c r="C110" s="87" t="s">
        <v>333</v>
      </c>
      <c r="D110" s="106">
        <v>111</v>
      </c>
    </row>
    <row r="111" spans="2:4" ht="16.5">
      <c r="B111" s="76">
        <v>20304</v>
      </c>
      <c r="C111" s="77" t="s">
        <v>334</v>
      </c>
      <c r="D111" s="107">
        <v>61</v>
      </c>
    </row>
    <row r="112" spans="2:4" ht="16.5">
      <c r="B112" s="86">
        <v>20305</v>
      </c>
      <c r="C112" s="87" t="s">
        <v>335</v>
      </c>
      <c r="D112" s="106">
        <v>81</v>
      </c>
    </row>
    <row r="113" spans="2:4" ht="16.5">
      <c r="B113" s="76">
        <v>20306</v>
      </c>
      <c r="C113" s="77" t="s">
        <v>336</v>
      </c>
      <c r="D113" s="107">
        <v>0</v>
      </c>
    </row>
    <row r="114" spans="2:4" ht="16.5">
      <c r="B114" s="86">
        <v>20307</v>
      </c>
      <c r="C114" s="87" t="s">
        <v>337</v>
      </c>
      <c r="D114" s="106">
        <v>0</v>
      </c>
    </row>
    <row r="115" spans="2:4" ht="16.5">
      <c r="B115" s="76">
        <v>20308</v>
      </c>
      <c r="C115" s="77" t="s">
        <v>338</v>
      </c>
      <c r="D115" s="107">
        <v>0</v>
      </c>
    </row>
    <row r="116" spans="2:4" ht="16.5">
      <c r="B116" s="86">
        <v>20309</v>
      </c>
      <c r="C116" s="87" t="s">
        <v>339</v>
      </c>
      <c r="D116" s="106">
        <v>0</v>
      </c>
    </row>
    <row r="117" spans="2:4" ht="16.5">
      <c r="B117" s="76">
        <v>20310</v>
      </c>
      <c r="C117" s="77" t="s">
        <v>340</v>
      </c>
      <c r="D117" s="107">
        <v>0</v>
      </c>
    </row>
    <row r="118" spans="2:4" ht="16.5">
      <c r="B118" s="86">
        <v>20311</v>
      </c>
      <c r="C118" s="87" t="s">
        <v>341</v>
      </c>
      <c r="D118" s="106">
        <v>1012</v>
      </c>
    </row>
    <row r="119" spans="2:4" ht="16.5">
      <c r="B119" s="76">
        <v>20401</v>
      </c>
      <c r="C119" s="77" t="s">
        <v>342</v>
      </c>
      <c r="D119" s="107">
        <v>0</v>
      </c>
    </row>
    <row r="120" spans="2:4" ht="16.5">
      <c r="B120" s="86">
        <v>20402</v>
      </c>
      <c r="C120" s="87" t="s">
        <v>343</v>
      </c>
      <c r="D120" s="106">
        <v>0</v>
      </c>
    </row>
    <row r="121" spans="2:4" ht="16.5">
      <c r="B121" s="76">
        <v>20403</v>
      </c>
      <c r="C121" s="77" t="s">
        <v>344</v>
      </c>
      <c r="D121" s="107">
        <v>0</v>
      </c>
    </row>
    <row r="122" spans="2:4" ht="16.5">
      <c r="B122" s="86">
        <v>20404</v>
      </c>
      <c r="C122" s="87" t="s">
        <v>345</v>
      </c>
      <c r="D122" s="106">
        <v>0</v>
      </c>
    </row>
    <row r="123" spans="2:4" ht="16.5">
      <c r="B123" s="80">
        <v>30101</v>
      </c>
      <c r="C123" s="81" t="s">
        <v>346</v>
      </c>
      <c r="D123" s="110">
        <v>1193</v>
      </c>
    </row>
    <row r="124" spans="2:4" ht="16.5">
      <c r="B124" s="78">
        <v>30102</v>
      </c>
      <c r="C124" s="79" t="s">
        <v>95</v>
      </c>
      <c r="D124" s="111">
        <v>80</v>
      </c>
    </row>
    <row r="125" spans="2:4" ht="16.5">
      <c r="B125" s="80">
        <v>30103</v>
      </c>
      <c r="C125" s="81" t="s">
        <v>75</v>
      </c>
      <c r="D125" s="110">
        <v>0</v>
      </c>
    </row>
    <row r="126" spans="2:4" ht="16.5">
      <c r="B126" s="78">
        <v>30201</v>
      </c>
      <c r="C126" s="79" t="s">
        <v>96</v>
      </c>
      <c r="D126" s="111">
        <v>0</v>
      </c>
    </row>
    <row r="127" spans="2:4" ht="16.5">
      <c r="B127" s="80">
        <v>30202</v>
      </c>
      <c r="C127" s="81" t="s">
        <v>417</v>
      </c>
      <c r="D127" s="110">
        <v>1389</v>
      </c>
    </row>
    <row r="128" spans="2:4" ht="16.5">
      <c r="B128" s="78">
        <v>30203</v>
      </c>
      <c r="C128" s="79" t="s">
        <v>347</v>
      </c>
      <c r="D128" s="111">
        <v>0</v>
      </c>
    </row>
    <row r="129" spans="2:4" ht="16.5">
      <c r="B129" s="80">
        <v>30204</v>
      </c>
      <c r="C129" s="81" t="s">
        <v>98</v>
      </c>
      <c r="D129" s="110">
        <v>0</v>
      </c>
    </row>
    <row r="130" spans="2:4" ht="16.5">
      <c r="B130" s="78">
        <v>30205</v>
      </c>
      <c r="C130" s="79" t="s">
        <v>348</v>
      </c>
      <c r="D130" s="111">
        <v>218</v>
      </c>
    </row>
    <row r="131" spans="2:4" ht="16.5">
      <c r="B131" s="80">
        <v>30206</v>
      </c>
      <c r="C131" s="81" t="s">
        <v>349</v>
      </c>
      <c r="D131" s="110">
        <v>0</v>
      </c>
    </row>
    <row r="132" spans="2:4" ht="16.5">
      <c r="B132" s="78">
        <v>30207</v>
      </c>
      <c r="C132" s="79" t="s">
        <v>350</v>
      </c>
      <c r="D132" s="111">
        <v>0</v>
      </c>
    </row>
    <row r="133" spans="2:4" ht="16.5">
      <c r="B133" s="80">
        <v>30301</v>
      </c>
      <c r="C133" s="81" t="s">
        <v>99</v>
      </c>
      <c r="D133" s="110">
        <v>0</v>
      </c>
    </row>
    <row r="134" spans="2:4" ht="16.5">
      <c r="B134" s="78">
        <v>30302</v>
      </c>
      <c r="C134" s="79" t="s">
        <v>100</v>
      </c>
      <c r="D134" s="111">
        <v>333</v>
      </c>
    </row>
    <row r="135" spans="2:4" ht="16.5">
      <c r="B135" s="80">
        <v>30303</v>
      </c>
      <c r="C135" s="81" t="s">
        <v>351</v>
      </c>
      <c r="D135" s="110">
        <v>56</v>
      </c>
    </row>
    <row r="136" spans="2:4" ht="16.5">
      <c r="B136" s="78">
        <v>30304</v>
      </c>
      <c r="C136" s="79" t="s">
        <v>101</v>
      </c>
      <c r="D136" s="111">
        <v>0</v>
      </c>
    </row>
    <row r="137" spans="2:4" ht="16.5">
      <c r="B137" s="80">
        <v>30305</v>
      </c>
      <c r="C137" s="81" t="s">
        <v>102</v>
      </c>
      <c r="D137" s="110">
        <v>0</v>
      </c>
    </row>
    <row r="138" spans="2:4" ht="16.5">
      <c r="B138" s="78">
        <v>30306</v>
      </c>
      <c r="C138" s="79" t="s">
        <v>103</v>
      </c>
      <c r="D138" s="111">
        <v>0</v>
      </c>
    </row>
    <row r="139" spans="2:4" ht="16.5">
      <c r="B139" s="80">
        <v>30307</v>
      </c>
      <c r="C139" s="81" t="s">
        <v>104</v>
      </c>
      <c r="D139" s="110">
        <v>0</v>
      </c>
    </row>
    <row r="140" spans="2:4" ht="16.5">
      <c r="B140" s="78">
        <v>30308</v>
      </c>
      <c r="C140" s="79" t="s">
        <v>352</v>
      </c>
      <c r="D140" s="111">
        <v>0</v>
      </c>
    </row>
    <row r="141" spans="2:4" ht="16.5">
      <c r="B141" s="80">
        <v>30309</v>
      </c>
      <c r="C141" s="81" t="s">
        <v>353</v>
      </c>
      <c r="D141" s="110">
        <v>8159</v>
      </c>
    </row>
    <row r="142" spans="2:4" ht="16.5">
      <c r="B142" s="78">
        <v>30310</v>
      </c>
      <c r="C142" s="79" t="s">
        <v>354</v>
      </c>
      <c r="D142" s="111">
        <v>0</v>
      </c>
    </row>
    <row r="143" spans="2:4" ht="16.5">
      <c r="B143" s="80">
        <v>30401</v>
      </c>
      <c r="C143" s="81" t="s">
        <v>355</v>
      </c>
      <c r="D143" s="110">
        <v>5747</v>
      </c>
    </row>
    <row r="144" spans="2:4" ht="16.5">
      <c r="B144" s="78">
        <v>30402</v>
      </c>
      <c r="C144" s="79" t="s">
        <v>356</v>
      </c>
      <c r="D144" s="111">
        <v>0</v>
      </c>
    </row>
    <row r="145" spans="2:4" ht="16.5">
      <c r="B145" s="80">
        <v>30403</v>
      </c>
      <c r="C145" s="81" t="s">
        <v>357</v>
      </c>
      <c r="D145" s="110">
        <v>387</v>
      </c>
    </row>
    <row r="146" spans="2:4" ht="16.5">
      <c r="B146" s="78">
        <v>30404</v>
      </c>
      <c r="C146" s="79" t="s">
        <v>105</v>
      </c>
      <c r="D146" s="111">
        <v>1309</v>
      </c>
    </row>
    <row r="147" spans="2:4" ht="16.5">
      <c r="B147" s="80">
        <v>30405</v>
      </c>
      <c r="C147" s="81" t="s">
        <v>106</v>
      </c>
      <c r="D147" s="110">
        <v>0</v>
      </c>
    </row>
    <row r="148" spans="2:4" ht="16.5">
      <c r="B148" s="78">
        <v>30406</v>
      </c>
      <c r="C148" s="79" t="s">
        <v>107</v>
      </c>
      <c r="D148" s="111">
        <v>224</v>
      </c>
    </row>
    <row r="149" spans="2:4" ht="16.5">
      <c r="B149" s="80">
        <v>30407</v>
      </c>
      <c r="C149" s="81" t="s">
        <v>358</v>
      </c>
      <c r="D149" s="110">
        <v>0</v>
      </c>
    </row>
    <row r="150" spans="2:4" ht="16.5">
      <c r="B150" s="78">
        <v>30408</v>
      </c>
      <c r="C150" s="79" t="s">
        <v>359</v>
      </c>
      <c r="D150" s="111">
        <v>0</v>
      </c>
    </row>
    <row r="151" spans="2:4" ht="16.5">
      <c r="B151" s="80">
        <v>30409</v>
      </c>
      <c r="C151" s="81" t="s">
        <v>109</v>
      </c>
      <c r="D151" s="110">
        <v>0</v>
      </c>
    </row>
    <row r="152" spans="2:4" ht="16.5">
      <c r="B152" s="78">
        <v>30410</v>
      </c>
      <c r="C152" s="79" t="s">
        <v>110</v>
      </c>
      <c r="D152" s="111">
        <v>0</v>
      </c>
    </row>
    <row r="153" spans="2:4" ht="16.5">
      <c r="B153" s="80">
        <v>30411</v>
      </c>
      <c r="C153" s="81" t="s">
        <v>360</v>
      </c>
      <c r="D153" s="110">
        <v>484</v>
      </c>
    </row>
    <row r="154" spans="2:4" ht="16.5">
      <c r="B154" s="78">
        <v>30412</v>
      </c>
      <c r="C154" s="79" t="s">
        <v>111</v>
      </c>
      <c r="D154" s="111">
        <v>6</v>
      </c>
    </row>
    <row r="155" spans="2:4" ht="16.5">
      <c r="B155" s="80">
        <v>30413</v>
      </c>
      <c r="C155" s="81" t="s">
        <v>112</v>
      </c>
      <c r="D155" s="110">
        <v>348</v>
      </c>
    </row>
    <row r="156" spans="2:4" ht="16.5">
      <c r="B156" s="78">
        <v>30414</v>
      </c>
      <c r="C156" s="79" t="s">
        <v>113</v>
      </c>
      <c r="D156" s="111">
        <v>328</v>
      </c>
    </row>
    <row r="157" spans="2:4" ht="16.5">
      <c r="B157" s="80">
        <v>30415</v>
      </c>
      <c r="C157" s="81" t="s">
        <v>114</v>
      </c>
      <c r="D157" s="110">
        <v>11</v>
      </c>
    </row>
    <row r="158" spans="2:4" ht="16.5">
      <c r="B158" s="78">
        <v>30416</v>
      </c>
      <c r="C158" s="79" t="s">
        <v>115</v>
      </c>
      <c r="D158" s="111">
        <v>0</v>
      </c>
    </row>
    <row r="159" spans="2:4" ht="16.5">
      <c r="B159" s="80">
        <v>30417</v>
      </c>
      <c r="C159" s="81" t="s">
        <v>116</v>
      </c>
      <c r="D159" s="110">
        <v>0</v>
      </c>
    </row>
    <row r="160" spans="2:4" ht="16.5">
      <c r="B160" s="78">
        <v>30418</v>
      </c>
      <c r="C160" s="79" t="s">
        <v>117</v>
      </c>
      <c r="D160" s="111">
        <v>0</v>
      </c>
    </row>
    <row r="161" spans="2:4" ht="16.5">
      <c r="B161" s="80">
        <v>30419</v>
      </c>
      <c r="C161" s="81" t="s">
        <v>118</v>
      </c>
      <c r="D161" s="110">
        <v>196</v>
      </c>
    </row>
    <row r="162" spans="2:4" ht="16.5">
      <c r="B162" s="78">
        <v>30420</v>
      </c>
      <c r="C162" s="79" t="s">
        <v>119</v>
      </c>
      <c r="D162" s="111">
        <v>782</v>
      </c>
    </row>
    <row r="163" spans="2:4" ht="16.5">
      <c r="B163" s="80">
        <v>30421</v>
      </c>
      <c r="C163" s="81" t="s">
        <v>120</v>
      </c>
      <c r="D163" s="110">
        <v>618</v>
      </c>
    </row>
    <row r="164" spans="2:4" ht="16.5">
      <c r="B164" s="78">
        <v>30422</v>
      </c>
      <c r="C164" s="79" t="s">
        <v>121</v>
      </c>
      <c r="D164" s="111">
        <v>0</v>
      </c>
    </row>
    <row r="165" spans="2:4" ht="16.5">
      <c r="B165" s="80">
        <v>30423</v>
      </c>
      <c r="C165" s="81" t="s">
        <v>122</v>
      </c>
      <c r="D165" s="110">
        <v>32</v>
      </c>
    </row>
    <row r="166" spans="2:4" ht="16.5">
      <c r="B166" s="78">
        <v>30424</v>
      </c>
      <c r="C166" s="79" t="s">
        <v>123</v>
      </c>
      <c r="D166" s="111">
        <v>0</v>
      </c>
    </row>
    <row r="167" spans="2:4" ht="16.5">
      <c r="B167" s="80">
        <v>30425</v>
      </c>
      <c r="C167" s="81" t="s">
        <v>124</v>
      </c>
      <c r="D167" s="110">
        <v>18</v>
      </c>
    </row>
    <row r="168" spans="2:4" ht="16.5">
      <c r="B168" s="78">
        <v>30426</v>
      </c>
      <c r="C168" s="79" t="s">
        <v>125</v>
      </c>
      <c r="D168" s="111">
        <v>0</v>
      </c>
    </row>
    <row r="169" spans="2:4" ht="16.5">
      <c r="B169" s="80">
        <v>30427</v>
      </c>
      <c r="C169" s="81" t="s">
        <v>126</v>
      </c>
      <c r="D169" s="110">
        <v>9</v>
      </c>
    </row>
    <row r="170" spans="2:4" ht="16.5">
      <c r="B170" s="78">
        <v>30428</v>
      </c>
      <c r="C170" s="79" t="s">
        <v>127</v>
      </c>
      <c r="D170" s="111">
        <v>0</v>
      </c>
    </row>
    <row r="171" spans="2:4" ht="16.5">
      <c r="B171" s="80">
        <v>30429</v>
      </c>
      <c r="C171" s="81" t="s">
        <v>128</v>
      </c>
      <c r="D171" s="110">
        <v>98</v>
      </c>
    </row>
    <row r="172" spans="2:4" ht="16.5">
      <c r="B172" s="78">
        <v>30430</v>
      </c>
      <c r="C172" s="79" t="s">
        <v>129</v>
      </c>
      <c r="D172" s="111">
        <v>609</v>
      </c>
    </row>
    <row r="173" spans="2:4" ht="16.5">
      <c r="B173" s="80">
        <v>30431</v>
      </c>
      <c r="C173" s="81" t="s">
        <v>130</v>
      </c>
      <c r="D173" s="110">
        <v>0</v>
      </c>
    </row>
    <row r="174" spans="2:4" ht="16.5">
      <c r="B174" s="78">
        <v>30432</v>
      </c>
      <c r="C174" s="79" t="s">
        <v>131</v>
      </c>
      <c r="D174" s="111">
        <v>0</v>
      </c>
    </row>
    <row r="175" spans="2:4" ht="16.5">
      <c r="B175" s="80">
        <v>30433</v>
      </c>
      <c r="C175" s="81" t="s">
        <v>132</v>
      </c>
      <c r="D175" s="110">
        <v>2</v>
      </c>
    </row>
    <row r="176" spans="2:4" ht="16.5">
      <c r="B176" s="78">
        <v>30434</v>
      </c>
      <c r="C176" s="79" t="s">
        <v>133</v>
      </c>
      <c r="D176" s="111">
        <v>0</v>
      </c>
    </row>
    <row r="177" spans="2:4" ht="16.5">
      <c r="B177" s="80">
        <v>30435</v>
      </c>
      <c r="C177" s="81" t="s">
        <v>134</v>
      </c>
      <c r="D177" s="110">
        <v>0</v>
      </c>
    </row>
    <row r="178" spans="2:4" ht="16.5">
      <c r="B178" s="78">
        <v>30436</v>
      </c>
      <c r="C178" s="79" t="s">
        <v>135</v>
      </c>
      <c r="D178" s="111">
        <v>0</v>
      </c>
    </row>
    <row r="179" spans="2:4" ht="16.5">
      <c r="B179" s="80">
        <v>30437</v>
      </c>
      <c r="C179" s="81" t="s">
        <v>136</v>
      </c>
      <c r="D179" s="110">
        <v>0</v>
      </c>
    </row>
    <row r="180" spans="2:4" ht="16.5">
      <c r="B180" s="78">
        <v>30438</v>
      </c>
      <c r="C180" s="79" t="s">
        <v>137</v>
      </c>
      <c r="D180" s="111">
        <v>0</v>
      </c>
    </row>
    <row r="181" spans="2:4" ht="16.5">
      <c r="B181" s="80">
        <v>30439</v>
      </c>
      <c r="C181" s="81" t="s">
        <v>138</v>
      </c>
      <c r="D181" s="110">
        <v>0</v>
      </c>
    </row>
    <row r="182" spans="2:4" ht="16.5">
      <c r="B182" s="78">
        <v>30440</v>
      </c>
      <c r="C182" s="79" t="s">
        <v>361</v>
      </c>
      <c r="D182" s="111">
        <v>0</v>
      </c>
    </row>
    <row r="183" spans="2:4" ht="16.5">
      <c r="B183" s="80">
        <v>30441</v>
      </c>
      <c r="C183" s="81" t="s">
        <v>362</v>
      </c>
      <c r="D183" s="110">
        <v>0</v>
      </c>
    </row>
    <row r="184" spans="2:4" ht="16.5">
      <c r="B184" s="78">
        <v>30442</v>
      </c>
      <c r="C184" s="79" t="s">
        <v>363</v>
      </c>
      <c r="D184" s="111">
        <v>0</v>
      </c>
    </row>
    <row r="185" spans="2:4" ht="16.5">
      <c r="B185" s="80">
        <v>30443</v>
      </c>
      <c r="C185" s="81" t="s">
        <v>364</v>
      </c>
      <c r="D185" s="110">
        <v>0</v>
      </c>
    </row>
    <row r="186" spans="2:4" ht="16.5">
      <c r="B186" s="78">
        <v>30444</v>
      </c>
      <c r="C186" s="79" t="s">
        <v>365</v>
      </c>
      <c r="D186" s="111">
        <v>0</v>
      </c>
    </row>
    <row r="187" spans="2:4" ht="16.5">
      <c r="B187" s="80">
        <v>30445</v>
      </c>
      <c r="C187" s="81" t="s">
        <v>366</v>
      </c>
      <c r="D187" s="110">
        <v>0</v>
      </c>
    </row>
    <row r="188" spans="2:4" ht="16.5">
      <c r="B188" s="78">
        <v>30446</v>
      </c>
      <c r="C188" s="79" t="s">
        <v>367</v>
      </c>
      <c r="D188" s="111">
        <v>3531</v>
      </c>
    </row>
    <row r="189" spans="2:4" ht="16.5">
      <c r="B189" s="80">
        <v>30501</v>
      </c>
      <c r="C189" s="81" t="s">
        <v>139</v>
      </c>
      <c r="D189" s="110">
        <v>17</v>
      </c>
    </row>
    <row r="190" spans="2:4" ht="16.5">
      <c r="B190" s="78">
        <v>30502</v>
      </c>
      <c r="C190" s="79" t="s">
        <v>140</v>
      </c>
      <c r="D190" s="111">
        <v>0</v>
      </c>
    </row>
    <row r="191" spans="2:4" ht="16.5">
      <c r="B191" s="80">
        <v>30503</v>
      </c>
      <c r="C191" s="81" t="s">
        <v>141</v>
      </c>
      <c r="D191" s="110">
        <v>4920</v>
      </c>
    </row>
    <row r="192" spans="2:4" ht="16.5">
      <c r="B192" s="78">
        <v>30504</v>
      </c>
      <c r="C192" s="79" t="s">
        <v>368</v>
      </c>
      <c r="D192" s="111">
        <v>0</v>
      </c>
    </row>
    <row r="193" spans="2:4" ht="16.5">
      <c r="B193" s="80">
        <v>30505</v>
      </c>
      <c r="C193" s="81" t="s">
        <v>369</v>
      </c>
      <c r="D193" s="110">
        <v>0</v>
      </c>
    </row>
    <row r="194" spans="2:4" ht="16.5">
      <c r="B194" s="78">
        <v>30601</v>
      </c>
      <c r="C194" s="79" t="s">
        <v>142</v>
      </c>
      <c r="D194" s="111">
        <v>19</v>
      </c>
    </row>
    <row r="195" spans="2:4" ht="16.5">
      <c r="B195" s="80">
        <v>30602</v>
      </c>
      <c r="C195" s="81" t="s">
        <v>143</v>
      </c>
      <c r="D195" s="110">
        <v>330</v>
      </c>
    </row>
    <row r="196" spans="2:4" ht="16.5">
      <c r="B196" s="78">
        <v>30603</v>
      </c>
      <c r="C196" s="79" t="s">
        <v>144</v>
      </c>
      <c r="D196" s="111">
        <v>72</v>
      </c>
    </row>
    <row r="197" spans="2:4" ht="16.5">
      <c r="B197" s="80">
        <v>30604</v>
      </c>
      <c r="C197" s="81" t="s">
        <v>145</v>
      </c>
      <c r="D197" s="110">
        <v>0</v>
      </c>
    </row>
    <row r="198" spans="2:4" ht="16.5">
      <c r="B198" s="78">
        <v>30605</v>
      </c>
      <c r="C198" s="79" t="s">
        <v>370</v>
      </c>
      <c r="D198" s="111">
        <v>0</v>
      </c>
    </row>
    <row r="199" spans="2:4" ht="16.5">
      <c r="B199" s="80">
        <v>30606</v>
      </c>
      <c r="C199" s="81" t="s">
        <v>371</v>
      </c>
      <c r="D199" s="110">
        <v>0</v>
      </c>
    </row>
    <row r="200" spans="2:4" ht="16.5">
      <c r="B200" s="78">
        <v>30607</v>
      </c>
      <c r="C200" s="79" t="s">
        <v>146</v>
      </c>
      <c r="D200" s="111">
        <v>0</v>
      </c>
    </row>
    <row r="201" spans="2:4" ht="16.5">
      <c r="B201" s="80">
        <v>30608</v>
      </c>
      <c r="C201" s="81" t="s">
        <v>147</v>
      </c>
      <c r="D201" s="110">
        <v>0</v>
      </c>
    </row>
    <row r="202" spans="2:4" ht="16.5">
      <c r="B202" s="78">
        <v>30609</v>
      </c>
      <c r="C202" s="79" t="s">
        <v>372</v>
      </c>
      <c r="D202" s="111">
        <v>58</v>
      </c>
    </row>
    <row r="203" spans="2:4" ht="16.5">
      <c r="B203" s="80">
        <v>30610</v>
      </c>
      <c r="C203" s="81" t="s">
        <v>373</v>
      </c>
      <c r="D203" s="110">
        <v>0</v>
      </c>
    </row>
    <row r="204" spans="2:4" ht="16.5">
      <c r="B204" s="78">
        <v>30611</v>
      </c>
      <c r="C204" s="79" t="s">
        <v>374</v>
      </c>
      <c r="D204" s="111">
        <v>0</v>
      </c>
    </row>
    <row r="205" spans="2:4" ht="16.5">
      <c r="B205" s="80">
        <v>30701</v>
      </c>
      <c r="C205" s="81" t="s">
        <v>148</v>
      </c>
      <c r="D205" s="110">
        <v>50</v>
      </c>
    </row>
    <row r="206" spans="2:4" ht="16.5">
      <c r="B206" s="78">
        <v>30702</v>
      </c>
      <c r="C206" s="79" t="s">
        <v>149</v>
      </c>
      <c r="D206" s="111">
        <v>115</v>
      </c>
    </row>
    <row r="207" spans="2:4" ht="16.5">
      <c r="B207" s="80">
        <v>30703</v>
      </c>
      <c r="C207" s="81" t="s">
        <v>150</v>
      </c>
      <c r="D207" s="110">
        <v>0</v>
      </c>
    </row>
    <row r="208" spans="2:4" ht="16.5">
      <c r="B208" s="78">
        <v>30704</v>
      </c>
      <c r="C208" s="79" t="s">
        <v>151</v>
      </c>
      <c r="D208" s="111">
        <v>0</v>
      </c>
    </row>
    <row r="209" spans="2:4" ht="16.5">
      <c r="B209" s="80">
        <v>30705</v>
      </c>
      <c r="C209" s="81" t="s">
        <v>152</v>
      </c>
      <c r="D209" s="110">
        <v>0</v>
      </c>
    </row>
    <row r="210" spans="2:4" ht="16.5">
      <c r="B210" s="78">
        <v>30706</v>
      </c>
      <c r="C210" s="79" t="s">
        <v>153</v>
      </c>
      <c r="D210" s="111">
        <v>0</v>
      </c>
    </row>
    <row r="211" spans="2:4" ht="16.5">
      <c r="B211" s="80">
        <v>30707</v>
      </c>
      <c r="C211" s="81" t="s">
        <v>154</v>
      </c>
      <c r="D211" s="110">
        <v>28</v>
      </c>
    </row>
    <row r="212" spans="2:4" ht="16.5">
      <c r="B212" s="78">
        <v>30708</v>
      </c>
      <c r="C212" s="79" t="s">
        <v>375</v>
      </c>
      <c r="D212" s="111">
        <v>10</v>
      </c>
    </row>
    <row r="213" spans="2:4" ht="16.5">
      <c r="B213" s="80">
        <v>30709</v>
      </c>
      <c r="C213" s="81" t="s">
        <v>158</v>
      </c>
      <c r="D213" s="110">
        <v>0</v>
      </c>
    </row>
    <row r="214" spans="2:4" ht="16.5">
      <c r="B214" s="78">
        <v>30710</v>
      </c>
      <c r="C214" s="79" t="s">
        <v>376</v>
      </c>
      <c r="D214" s="111">
        <v>0</v>
      </c>
    </row>
    <row r="215" spans="2:4" ht="16.5">
      <c r="B215" s="80">
        <v>30711</v>
      </c>
      <c r="C215" s="81" t="s">
        <v>157</v>
      </c>
      <c r="D215" s="110">
        <v>0</v>
      </c>
    </row>
    <row r="216" spans="2:4" ht="16.5">
      <c r="B216" s="78">
        <v>30801</v>
      </c>
      <c r="C216" s="79" t="s">
        <v>155</v>
      </c>
      <c r="D216" s="111">
        <v>0</v>
      </c>
    </row>
    <row r="217" spans="2:4" ht="16.5">
      <c r="B217" s="80">
        <v>30802</v>
      </c>
      <c r="C217" s="81" t="s">
        <v>156</v>
      </c>
      <c r="D217" s="110">
        <v>0</v>
      </c>
    </row>
    <row r="218" spans="2:4" ht="16.5">
      <c r="B218" s="78">
        <v>30803</v>
      </c>
      <c r="C218" s="79" t="s">
        <v>97</v>
      </c>
      <c r="D218" s="111">
        <v>0</v>
      </c>
    </row>
    <row r="219" spans="2:4" ht="16.5">
      <c r="B219" s="80">
        <v>30804</v>
      </c>
      <c r="C219" s="81" t="s">
        <v>184</v>
      </c>
      <c r="D219" s="110">
        <v>0</v>
      </c>
    </row>
    <row r="220" spans="2:4" ht="16.5">
      <c r="B220" s="78">
        <v>30805</v>
      </c>
      <c r="C220" s="79" t="s">
        <v>174</v>
      </c>
      <c r="D220" s="111">
        <v>2</v>
      </c>
    </row>
    <row r="221" spans="2:4" ht="16.5">
      <c r="B221" s="80">
        <v>30806</v>
      </c>
      <c r="C221" s="81" t="s">
        <v>377</v>
      </c>
      <c r="D221" s="110">
        <v>2</v>
      </c>
    </row>
    <row r="222" spans="2:4" ht="16.5">
      <c r="B222" s="78">
        <v>30807</v>
      </c>
      <c r="C222" s="79" t="s">
        <v>378</v>
      </c>
      <c r="D222" s="111">
        <v>0</v>
      </c>
    </row>
    <row r="223" spans="2:4" ht="16.5">
      <c r="B223" s="80">
        <v>30808</v>
      </c>
      <c r="C223" s="81" t="s">
        <v>171</v>
      </c>
      <c r="D223" s="110">
        <v>2</v>
      </c>
    </row>
    <row r="224" spans="2:4" ht="16.5">
      <c r="B224" s="78">
        <v>30809</v>
      </c>
      <c r="C224" s="79" t="s">
        <v>379</v>
      </c>
      <c r="D224" s="111">
        <v>7</v>
      </c>
    </row>
    <row r="225" spans="2:4" ht="16.5">
      <c r="B225" s="80">
        <v>30810</v>
      </c>
      <c r="C225" s="81" t="s">
        <v>380</v>
      </c>
      <c r="D225" s="110">
        <v>0</v>
      </c>
    </row>
    <row r="226" spans="2:4" ht="16.5">
      <c r="B226" s="78">
        <v>30901</v>
      </c>
      <c r="C226" s="79" t="s">
        <v>381</v>
      </c>
      <c r="D226" s="111">
        <v>13686</v>
      </c>
    </row>
    <row r="227" spans="2:4" ht="16.5">
      <c r="B227" s="80">
        <v>30902</v>
      </c>
      <c r="C227" s="81" t="s">
        <v>382</v>
      </c>
      <c r="D227" s="110">
        <v>26</v>
      </c>
    </row>
    <row r="228" spans="2:4" ht="16.5">
      <c r="B228" s="78">
        <v>30903</v>
      </c>
      <c r="C228" s="79" t="s">
        <v>163</v>
      </c>
      <c r="D228" s="111">
        <v>5470</v>
      </c>
    </row>
    <row r="229" spans="2:4" ht="16.5">
      <c r="B229" s="80">
        <v>30904</v>
      </c>
      <c r="C229" s="81" t="s">
        <v>183</v>
      </c>
      <c r="D229" s="110">
        <v>4522</v>
      </c>
    </row>
    <row r="230" spans="2:4" ht="16.5">
      <c r="B230" s="78">
        <v>30905</v>
      </c>
      <c r="C230" s="79" t="s">
        <v>159</v>
      </c>
      <c r="D230" s="111">
        <v>231</v>
      </c>
    </row>
    <row r="231" spans="2:4" ht="16.5">
      <c r="B231" s="80">
        <v>30906</v>
      </c>
      <c r="C231" s="81" t="s">
        <v>160</v>
      </c>
      <c r="D231" s="110">
        <v>2</v>
      </c>
    </row>
    <row r="232" spans="2:4" ht="16.5">
      <c r="B232" s="78">
        <v>30907</v>
      </c>
      <c r="C232" s="79" t="s">
        <v>161</v>
      </c>
      <c r="D232" s="111">
        <v>0</v>
      </c>
    </row>
    <row r="233" spans="2:4" ht="16.5">
      <c r="B233" s="80">
        <v>30908</v>
      </c>
      <c r="C233" s="81" t="s">
        <v>162</v>
      </c>
      <c r="D233" s="110">
        <v>8</v>
      </c>
    </row>
    <row r="234" spans="2:4" ht="16.5">
      <c r="B234" s="78">
        <v>30909</v>
      </c>
      <c r="C234" s="79" t="s">
        <v>383</v>
      </c>
      <c r="D234" s="111">
        <v>0</v>
      </c>
    </row>
    <row r="235" spans="2:4" ht="16.5">
      <c r="B235" s="80">
        <v>31001</v>
      </c>
      <c r="C235" s="81" t="s">
        <v>164</v>
      </c>
      <c r="D235" s="110">
        <v>169</v>
      </c>
    </row>
    <row r="236" spans="2:4" ht="16.5">
      <c r="B236" s="78">
        <v>31002</v>
      </c>
      <c r="C236" s="79" t="s">
        <v>384</v>
      </c>
      <c r="D236" s="111">
        <v>0</v>
      </c>
    </row>
    <row r="237" spans="2:4" ht="16.5">
      <c r="B237" s="80">
        <v>31003</v>
      </c>
      <c r="C237" s="81" t="s">
        <v>165</v>
      </c>
      <c r="D237" s="110">
        <v>0</v>
      </c>
    </row>
    <row r="238" spans="2:4" ht="16.5">
      <c r="B238" s="78">
        <v>31004</v>
      </c>
      <c r="C238" s="79" t="s">
        <v>166</v>
      </c>
      <c r="D238" s="111">
        <v>0</v>
      </c>
    </row>
    <row r="239" spans="2:4" ht="16.5">
      <c r="B239" s="80">
        <v>31005</v>
      </c>
      <c r="C239" s="81" t="s">
        <v>167</v>
      </c>
      <c r="D239" s="110">
        <v>1</v>
      </c>
    </row>
    <row r="240" spans="2:4" ht="16.5">
      <c r="B240" s="78">
        <v>31006</v>
      </c>
      <c r="C240" s="79" t="s">
        <v>168</v>
      </c>
      <c r="D240" s="111">
        <v>0</v>
      </c>
    </row>
    <row r="241" spans="2:4" ht="16.5">
      <c r="B241" s="80">
        <v>31007</v>
      </c>
      <c r="C241" s="81" t="s">
        <v>169</v>
      </c>
      <c r="D241" s="110">
        <v>0</v>
      </c>
    </row>
    <row r="242" spans="2:4" ht="16.5">
      <c r="B242" s="78">
        <v>31008</v>
      </c>
      <c r="C242" s="79" t="s">
        <v>385</v>
      </c>
      <c r="D242" s="111">
        <v>0</v>
      </c>
    </row>
    <row r="243" spans="2:4" ht="16.5">
      <c r="B243" s="80">
        <v>31009</v>
      </c>
      <c r="C243" s="81" t="s">
        <v>386</v>
      </c>
      <c r="D243" s="110">
        <v>0</v>
      </c>
    </row>
    <row r="244" spans="2:4" ht="16.5">
      <c r="B244" s="78">
        <v>31010</v>
      </c>
      <c r="C244" s="79" t="s">
        <v>92</v>
      </c>
      <c r="D244" s="111">
        <v>185</v>
      </c>
    </row>
    <row r="245" spans="2:4" ht="16.5">
      <c r="B245" s="80">
        <v>31011</v>
      </c>
      <c r="C245" s="81" t="s">
        <v>387</v>
      </c>
      <c r="D245" s="110">
        <v>0</v>
      </c>
    </row>
    <row r="246" spans="2:4" ht="16.5">
      <c r="B246" s="78">
        <v>31012</v>
      </c>
      <c r="C246" s="79" t="s">
        <v>388</v>
      </c>
      <c r="D246" s="111">
        <v>0</v>
      </c>
    </row>
    <row r="247" spans="2:4" ht="16.5">
      <c r="B247" s="80">
        <v>31013</v>
      </c>
      <c r="C247" s="81" t="s">
        <v>389</v>
      </c>
      <c r="D247" s="110">
        <v>0</v>
      </c>
    </row>
    <row r="248" spans="2:4" ht="16.5">
      <c r="B248" s="78">
        <v>31014</v>
      </c>
      <c r="C248" s="79" t="s">
        <v>390</v>
      </c>
      <c r="D248" s="111">
        <v>212</v>
      </c>
    </row>
    <row r="249" spans="2:4" ht="16.5">
      <c r="B249" s="80">
        <v>31015</v>
      </c>
      <c r="C249" s="81" t="s">
        <v>391</v>
      </c>
      <c r="D249" s="110">
        <v>0</v>
      </c>
    </row>
    <row r="250" spans="2:4" ht="16.5">
      <c r="B250" s="78">
        <v>31101</v>
      </c>
      <c r="C250" s="79" t="s">
        <v>172</v>
      </c>
      <c r="D250" s="111">
        <v>0</v>
      </c>
    </row>
    <row r="251" spans="2:4" ht="16.5">
      <c r="B251" s="80">
        <v>31102</v>
      </c>
      <c r="C251" s="81" t="s">
        <v>173</v>
      </c>
      <c r="D251" s="110">
        <v>545</v>
      </c>
    </row>
    <row r="252" spans="2:4" ht="16.5">
      <c r="B252" s="78">
        <v>31103</v>
      </c>
      <c r="C252" s="79" t="s">
        <v>175</v>
      </c>
      <c r="D252" s="111">
        <v>0</v>
      </c>
    </row>
    <row r="253" spans="2:4" ht="16.5">
      <c r="B253" s="80">
        <v>31104</v>
      </c>
      <c r="C253" s="81" t="s">
        <v>176</v>
      </c>
      <c r="D253" s="110">
        <v>3420</v>
      </c>
    </row>
    <row r="254" spans="2:4" ht="16.5">
      <c r="B254" s="78">
        <v>31105</v>
      </c>
      <c r="C254" s="79" t="s">
        <v>177</v>
      </c>
      <c r="D254" s="111">
        <v>1074</v>
      </c>
    </row>
    <row r="255" spans="2:4" ht="16.5">
      <c r="B255" s="80">
        <v>31106</v>
      </c>
      <c r="C255" s="81" t="s">
        <v>392</v>
      </c>
      <c r="D255" s="110">
        <v>0</v>
      </c>
    </row>
    <row r="256" spans="2:4" ht="16.5">
      <c r="B256" s="78">
        <v>31107</v>
      </c>
      <c r="C256" s="79" t="s">
        <v>393</v>
      </c>
      <c r="D256" s="111">
        <v>0</v>
      </c>
    </row>
    <row r="257" spans="2:4" ht="16.5">
      <c r="B257" s="80">
        <v>31108</v>
      </c>
      <c r="C257" s="81" t="s">
        <v>394</v>
      </c>
      <c r="D257" s="110">
        <v>67</v>
      </c>
    </row>
    <row r="258" spans="2:4" ht="16.5">
      <c r="B258" s="78">
        <v>31109</v>
      </c>
      <c r="C258" s="79" t="s">
        <v>178</v>
      </c>
      <c r="D258" s="111">
        <v>0</v>
      </c>
    </row>
    <row r="259" spans="2:4" ht="16.5">
      <c r="B259" s="80">
        <v>31110</v>
      </c>
      <c r="C259" s="81" t="s">
        <v>179</v>
      </c>
      <c r="D259" s="110">
        <v>0</v>
      </c>
    </row>
    <row r="260" spans="2:4" ht="16.5">
      <c r="B260" s="78">
        <v>31111</v>
      </c>
      <c r="C260" s="79" t="s">
        <v>180</v>
      </c>
      <c r="D260" s="111">
        <v>0</v>
      </c>
    </row>
    <row r="261" spans="2:4" ht="16.5">
      <c r="B261" s="80">
        <v>31112</v>
      </c>
      <c r="C261" s="81" t="s">
        <v>395</v>
      </c>
      <c r="D261" s="110">
        <v>797</v>
      </c>
    </row>
    <row r="262" spans="2:4" ht="16.5">
      <c r="B262" s="78">
        <v>31113</v>
      </c>
      <c r="C262" s="79" t="s">
        <v>181</v>
      </c>
      <c r="D262" s="111">
        <v>0</v>
      </c>
    </row>
    <row r="263" spans="2:4" ht="16.5">
      <c r="B263" s="80">
        <v>31114</v>
      </c>
      <c r="C263" s="81" t="s">
        <v>396</v>
      </c>
      <c r="D263" s="110">
        <v>9330</v>
      </c>
    </row>
    <row r="264" spans="2:4" ht="16.5">
      <c r="B264" s="82">
        <v>40101</v>
      </c>
      <c r="C264" s="83" t="s">
        <v>187</v>
      </c>
      <c r="D264" s="112">
        <v>0</v>
      </c>
    </row>
    <row r="265" spans="2:4" ht="16.5">
      <c r="B265" s="78">
        <v>40102</v>
      </c>
      <c r="C265" s="79" t="s">
        <v>397</v>
      </c>
      <c r="D265" s="111">
        <v>80</v>
      </c>
    </row>
    <row r="266" spans="2:4" ht="16.5">
      <c r="B266" s="82">
        <v>40103</v>
      </c>
      <c r="C266" s="83" t="s">
        <v>188</v>
      </c>
      <c r="D266" s="112">
        <v>0</v>
      </c>
    </row>
    <row r="267" spans="2:4" ht="16.5">
      <c r="B267" s="78">
        <v>40104</v>
      </c>
      <c r="C267" s="79" t="s">
        <v>189</v>
      </c>
      <c r="D267" s="111">
        <v>1508</v>
      </c>
    </row>
    <row r="268" spans="2:4" ht="16.5">
      <c r="B268" s="82">
        <v>40105</v>
      </c>
      <c r="C268" s="83" t="s">
        <v>191</v>
      </c>
      <c r="D268" s="112">
        <v>0</v>
      </c>
    </row>
    <row r="269" spans="2:4" ht="16.5">
      <c r="B269" s="78">
        <v>40106</v>
      </c>
      <c r="C269" s="79" t="s">
        <v>194</v>
      </c>
      <c r="D269" s="111">
        <v>411</v>
      </c>
    </row>
    <row r="270" spans="2:4" ht="16.5">
      <c r="B270" s="82">
        <v>40107</v>
      </c>
      <c r="C270" s="83" t="s">
        <v>196</v>
      </c>
      <c r="D270" s="112">
        <v>932</v>
      </c>
    </row>
    <row r="271" spans="2:4" ht="16.5">
      <c r="B271" s="78">
        <v>40108</v>
      </c>
      <c r="C271" s="79" t="s">
        <v>197</v>
      </c>
      <c r="D271" s="111">
        <v>0</v>
      </c>
    </row>
    <row r="272" spans="2:4" ht="16.5">
      <c r="B272" s="82">
        <v>40109</v>
      </c>
      <c r="C272" s="83" t="s">
        <v>77</v>
      </c>
      <c r="D272" s="112">
        <v>0</v>
      </c>
    </row>
    <row r="273" spans="2:4" ht="16.5">
      <c r="B273" s="78">
        <v>40110</v>
      </c>
      <c r="C273" s="79" t="s">
        <v>190</v>
      </c>
      <c r="D273" s="111">
        <v>0</v>
      </c>
    </row>
    <row r="274" spans="2:4" ht="16.5">
      <c r="B274" s="88">
        <v>50101</v>
      </c>
      <c r="C274" s="89" t="s">
        <v>398</v>
      </c>
      <c r="D274" s="113">
        <v>41</v>
      </c>
    </row>
    <row r="275" spans="2:4" ht="16.5">
      <c r="B275" s="78">
        <v>50102</v>
      </c>
      <c r="C275" s="79" t="s">
        <v>399</v>
      </c>
      <c r="D275" s="111">
        <v>0</v>
      </c>
    </row>
    <row r="276" spans="2:4" ht="16.5">
      <c r="B276" s="88">
        <v>50103</v>
      </c>
      <c r="C276" s="89" t="s">
        <v>400</v>
      </c>
      <c r="D276" s="113">
        <v>0</v>
      </c>
    </row>
    <row r="277" spans="2:4" ht="16.5">
      <c r="B277" s="78">
        <v>50104</v>
      </c>
      <c r="C277" s="79" t="s">
        <v>108</v>
      </c>
      <c r="D277" s="111">
        <v>340</v>
      </c>
    </row>
    <row r="278" spans="2:4" ht="16.5">
      <c r="B278" s="88">
        <v>50105</v>
      </c>
      <c r="C278" s="89" t="s">
        <v>182</v>
      </c>
      <c r="D278" s="113">
        <v>419</v>
      </c>
    </row>
    <row r="279" spans="2:4" ht="16.5">
      <c r="B279" s="78">
        <v>50106</v>
      </c>
      <c r="C279" s="79" t="s">
        <v>170</v>
      </c>
      <c r="D279" s="111">
        <v>0</v>
      </c>
    </row>
    <row r="280" spans="2:4" ht="16.5">
      <c r="B280" s="88">
        <v>50107</v>
      </c>
      <c r="C280" s="89" t="s">
        <v>401</v>
      </c>
      <c r="D280" s="113">
        <v>0</v>
      </c>
    </row>
    <row r="281" spans="2:4" ht="16.5">
      <c r="B281" s="78">
        <v>50108</v>
      </c>
      <c r="C281" s="79" t="s">
        <v>402</v>
      </c>
      <c r="D281" s="111">
        <v>129</v>
      </c>
    </row>
    <row r="282" spans="2:4" ht="16.5">
      <c r="B282" s="88">
        <v>50201</v>
      </c>
      <c r="C282" s="89" t="s">
        <v>403</v>
      </c>
      <c r="D282" s="113">
        <v>5</v>
      </c>
    </row>
    <row r="283" spans="2:4" ht="16.5">
      <c r="B283" s="78">
        <v>50202</v>
      </c>
      <c r="C283" s="79" t="s">
        <v>404</v>
      </c>
      <c r="D283" s="111">
        <v>6</v>
      </c>
    </row>
    <row r="284" spans="2:4" ht="16.5">
      <c r="B284" s="88">
        <v>50203</v>
      </c>
      <c r="C284" s="89" t="s">
        <v>405</v>
      </c>
      <c r="D284" s="113">
        <v>113</v>
      </c>
    </row>
    <row r="285" spans="2:4" ht="16.5">
      <c r="B285" s="78">
        <v>50301</v>
      </c>
      <c r="C285" s="79" t="s">
        <v>406</v>
      </c>
      <c r="D285" s="111">
        <v>0</v>
      </c>
    </row>
    <row r="286" spans="2:4" ht="16.5">
      <c r="B286" s="88">
        <v>50302</v>
      </c>
      <c r="C286" s="89" t="s">
        <v>407</v>
      </c>
      <c r="D286" s="113">
        <v>0</v>
      </c>
    </row>
    <row r="287" spans="2:4" ht="16.5">
      <c r="B287" s="78">
        <v>50303</v>
      </c>
      <c r="C287" s="79" t="s">
        <v>185</v>
      </c>
      <c r="D287" s="111">
        <v>995</v>
      </c>
    </row>
    <row r="288" spans="2:4" ht="16.5">
      <c r="B288" s="88">
        <v>50304</v>
      </c>
      <c r="C288" s="89" t="s">
        <v>186</v>
      </c>
      <c r="D288" s="113">
        <v>0</v>
      </c>
    </row>
    <row r="289" spans="2:4" ht="16.5">
      <c r="B289" s="78">
        <v>50305</v>
      </c>
      <c r="C289" s="79" t="s">
        <v>408</v>
      </c>
      <c r="D289" s="111">
        <v>0</v>
      </c>
    </row>
    <row r="290" spans="2:4" ht="16.5">
      <c r="B290" s="88">
        <v>50306</v>
      </c>
      <c r="C290" s="89" t="s">
        <v>409</v>
      </c>
      <c r="D290" s="113">
        <v>761</v>
      </c>
    </row>
    <row r="291" spans="2:4" ht="16.5">
      <c r="B291" s="90">
        <v>60101</v>
      </c>
      <c r="C291" s="91" t="s">
        <v>410</v>
      </c>
      <c r="D291" s="114">
        <v>162</v>
      </c>
    </row>
    <row r="292" spans="2:4" ht="16.5">
      <c r="B292" s="78">
        <v>60102</v>
      </c>
      <c r="C292" s="79" t="s">
        <v>193</v>
      </c>
      <c r="D292" s="111">
        <v>0</v>
      </c>
    </row>
    <row r="293" spans="2:4" ht="16.5">
      <c r="B293" s="90">
        <v>60103</v>
      </c>
      <c r="C293" s="91" t="s">
        <v>411</v>
      </c>
      <c r="D293" s="114">
        <v>16102</v>
      </c>
    </row>
    <row r="294" spans="2:4" ht="16.5">
      <c r="B294" s="92">
        <v>70101</v>
      </c>
      <c r="C294" s="93" t="s">
        <v>412</v>
      </c>
      <c r="D294" s="115">
        <v>3482</v>
      </c>
    </row>
    <row r="295" spans="2:4" ht="16.5">
      <c r="B295" s="78">
        <v>70102</v>
      </c>
      <c r="C295" s="79" t="s">
        <v>198</v>
      </c>
      <c r="D295" s="111">
        <v>361</v>
      </c>
    </row>
    <row r="296" spans="2:4" ht="16.5">
      <c r="B296" s="92">
        <v>70103</v>
      </c>
      <c r="C296" s="93" t="s">
        <v>199</v>
      </c>
      <c r="D296" s="115">
        <v>212214</v>
      </c>
    </row>
    <row r="297" spans="2:4" ht="16.5">
      <c r="B297" s="78">
        <v>70104</v>
      </c>
      <c r="C297" s="79" t="s">
        <v>413</v>
      </c>
      <c r="D297" s="111">
        <v>0</v>
      </c>
    </row>
    <row r="298" spans="2:4" ht="16.5">
      <c r="B298" s="92">
        <v>70105</v>
      </c>
      <c r="C298" s="93" t="s">
        <v>200</v>
      </c>
      <c r="D298" s="115">
        <v>16486</v>
      </c>
    </row>
    <row r="299" spans="2:4" ht="16.5">
      <c r="B299" s="78">
        <v>70106</v>
      </c>
      <c r="C299" s="79" t="s">
        <v>414</v>
      </c>
      <c r="D299" s="111">
        <v>995</v>
      </c>
    </row>
    <row r="300" spans="2:4" ht="16.5">
      <c r="B300" s="92">
        <v>70107</v>
      </c>
      <c r="C300" s="93" t="s">
        <v>415</v>
      </c>
      <c r="D300" s="115">
        <v>0</v>
      </c>
    </row>
    <row r="301" spans="2:4" ht="17.25" thickBot="1">
      <c r="B301" s="94">
        <v>70108</v>
      </c>
      <c r="C301" s="95" t="s">
        <v>416</v>
      </c>
      <c r="D301" s="111">
        <v>43328</v>
      </c>
    </row>
    <row r="302" spans="2:4" ht="19.899999999999999" customHeight="1" thickBot="1">
      <c r="B302" s="96" t="s">
        <v>1</v>
      </c>
      <c r="C302" s="97"/>
      <c r="D302" s="99">
        <f>SUM(D20:D301)</f>
        <v>397767</v>
      </c>
    </row>
    <row r="303" spans="2:4">
      <c r="D303" s="68"/>
    </row>
  </sheetData>
  <sheetProtection password="CC15" sheet="1" objects="1" scenarios="1"/>
  <protectedRanges>
    <protectedRange password="CC15" sqref="D20:D301" name="Rango1"/>
  </protectedRanges>
  <customSheetViews>
    <customSheetView guid="{857CB3B9-618A-49FD-8D38-75EE2A4021B4}" showPageBreaks="1" showGridLines="0" fitToPage="1" printArea="1" view="pageBreakPreview">
      <selection activeCell="B10" sqref="B10:D10"/>
      <rowBreaks count="1" manualBreakCount="1">
        <brk id="178" min="1" max="3" man="1"/>
      </rowBreaks>
      <pageMargins left="0.7" right="0.7" top="0.75" bottom="0.75" header="0.3" footer="0.3"/>
      <pageSetup scale="72" fitToHeight="0" orientation="portrait" r:id="rId1"/>
    </customSheetView>
  </customSheetViews>
  <mergeCells count="9">
    <mergeCell ref="F8:J8"/>
    <mergeCell ref="C6:D6"/>
    <mergeCell ref="B18:C18"/>
    <mergeCell ref="B7:D7"/>
    <mergeCell ref="B8:D8"/>
    <mergeCell ref="B9:D9"/>
    <mergeCell ref="B10:D10"/>
    <mergeCell ref="B17:C17"/>
    <mergeCell ref="B16:D16"/>
  </mergeCells>
  <pageMargins left="0.7" right="0.7" top="0.75" bottom="0.75" header="0.3" footer="0.3"/>
  <pageSetup scale="71" fitToHeight="0" orientation="portrait" r:id="rId2"/>
  <rowBreaks count="1" manualBreakCount="1">
    <brk id="178" min="1" max="3" man="1"/>
  </rowBreaks>
  <colBreaks count="1" manualBreakCount="1">
    <brk id="3" max="1048575" man="1"/>
  </colBreaks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5</vt:i4>
      </vt:variant>
    </vt:vector>
  </HeadingPairs>
  <TitlesOfParts>
    <vt:vector size="12" baseType="lpstr">
      <vt:lpstr>PORTADA</vt:lpstr>
      <vt:lpstr>PRESENTACIÓN</vt:lpstr>
      <vt:lpstr>INSTRUCCIONES</vt:lpstr>
      <vt:lpstr>Lista</vt:lpstr>
      <vt:lpstr>Datos</vt:lpstr>
      <vt:lpstr>RESUMEN</vt:lpstr>
      <vt:lpstr>C01</vt:lpstr>
      <vt:lpstr>'C01'!Área_de_impresión</vt:lpstr>
      <vt:lpstr>INSTRUCCIONES!Área_de_impresión</vt:lpstr>
      <vt:lpstr>PORTADA!Área_de_impresión</vt:lpstr>
      <vt:lpstr>PRESENTACIÓN!Área_de_impresión</vt:lpstr>
      <vt:lpstr>RESUMEN!Área_de_impresión</vt:lpstr>
    </vt:vector>
  </TitlesOfParts>
  <Company>Sistema Nacional de Seguridad Pública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Agustín Avilés</dc:creator>
  <cp:lastModifiedBy>Gabriela Alvarado Morales</cp:lastModifiedBy>
  <cp:lastPrinted>2015-12-19T01:31:18Z</cp:lastPrinted>
  <dcterms:created xsi:type="dcterms:W3CDTF">1999-03-11T18:07:10Z</dcterms:created>
  <dcterms:modified xsi:type="dcterms:W3CDTF">2026-08-04T00:46:30Z</dcterms:modified>
</cp:coreProperties>
</file>