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tya\Documents\2026\Reports\FESE\05\"/>
    </mc:Choice>
  </mc:AlternateContent>
  <xr:revisionPtr revIDLastSave="0" documentId="13_ncr:1_{ECBC33CD-B348-404D-A2AB-492984200228}" xr6:coauthVersionLast="47" xr6:coauthVersionMax="47" xr10:uidLastSave="{00000000-0000-0000-0000-000000000000}"/>
  <bookViews>
    <workbookView xWindow="-108" yWindow="-108" windowWidth="23256" windowHeight="12456" tabRatio="892" firstSheet="5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6" r:id="rId15"/>
    <sheet name="C10" sheetId="15" r:id="rId16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15">'C10'!$B$1:$D$302</definedName>
    <definedName name="_xlnm.Print_Area" localSheetId="2">INSTRUCCIONES!$B$2:$O$20</definedName>
    <definedName name="_xlnm.Print_Area" localSheetId="0">PORTADA!$B$2:$K$43</definedName>
    <definedName name="_xlnm.Print_Area" localSheetId="1">PRESENTACIÓN!$B$2:$O$48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15" hidden="1">'C10'!$B$1:$D$302</definedName>
    <definedName name="Z_857CB3B9_618A_49FD_8D38_75EE2A4021B4_.wvu.PrintArea" localSheetId="2" hidden="1">INSTRUCCIONES!$B$2:$O$20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PRESENTACIÓN!$B$2:$O$48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B20" i="7" s="1"/>
  <c r="A20" i="7" l="1"/>
  <c r="D20" i="7"/>
  <c r="E20" i="7"/>
  <c r="G20" i="7"/>
  <c r="F20" i="7"/>
  <c r="C20" i="7"/>
</calcChain>
</file>

<file path=xl/sharedStrings.xml><?xml version="1.0" encoding="utf-8"?>
<sst xmlns="http://schemas.openxmlformats.org/spreadsheetml/2006/main" count="3148" uniqueCount="436">
  <si>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</si>
  <si>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</si>
  <si>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</si>
  <si>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</si>
  <si>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</si>
  <si>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</si>
  <si>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</si>
  <si>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</si>
  <si>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</si>
  <si>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</si>
  <si>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</si>
  <si>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</si>
  <si>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</si>
  <si>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</si>
  <si>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</si>
  <si>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</si>
  <si>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</si>
  <si>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</si>
  <si>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</si>
  <si>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</si>
  <si>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</si>
  <si>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</si>
  <si>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</si>
  <si>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</si>
  <si>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</si>
  <si>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</si>
  <si>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</si>
  <si>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</si>
  <si>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</si>
  <si>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</si>
  <si>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</si>
  <si>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</si>
  <si>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</si>
  <si>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</si>
  <si>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</si>
  <si>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</si>
  <si>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</si>
  <si>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</si>
  <si>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</si>
  <si>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</si>
  <si>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</si>
  <si>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</si>
  <si>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</si>
  <si>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</si>
  <si>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</si>
  <si>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</si>
  <si>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</si>
  <si>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</si>
  <si>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</si>
  <si>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</si>
  <si>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</si>
  <si>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</si>
  <si>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</si>
  <si>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</si>
  <si>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</si>
  <si>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</si>
  <si>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</si>
  <si>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</si>
  <si>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</si>
  <si>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</si>
  <si>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</si>
  <si>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</si>
  <si>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</si>
  <si>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</si>
  <si>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</si>
  <si>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</si>
  <si>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</si>
  <si>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</si>
  <si>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</si>
  <si>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</si>
  <si>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</si>
  <si>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</si>
  <si>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</si>
  <si>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</si>
  <si>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</si>
  <si>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</si>
  <si>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</si>
  <si>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</si>
  <si>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</si>
  <si>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</si>
  <si>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</si>
  <si>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</si>
  <si>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</si>
  <si>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</si>
  <si>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</si>
  <si>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</si>
  <si>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</si>
  <si>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</si>
  <si>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</si>
  <si>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</si>
  <si>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</si>
  <si>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</si>
  <si>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</si>
  <si>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</si>
  <si>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</si>
  <si>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</si>
  <si>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</si>
  <si>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</si>
  <si>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</si>
  <si>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</si>
  <si>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</si>
  <si>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</si>
  <si>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</si>
  <si>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</si>
  <si>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</si>
  <si>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</si>
  <si>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</si>
  <si>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</si>
  <si>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</si>
  <si>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</si>
  <si>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</si>
  <si>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</si>
  <si>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</si>
  <si>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</si>
  <si>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SECRETARÍA DE GOBERNACIÓN</t>
  </si>
  <si>
    <t>SECRETARIADO EJECUTIVO DEL SISTEMA NACIONAL DE SEGURIDAD PUBLICA</t>
  </si>
  <si>
    <t>RESUMEN ESTATAL DE LLAMADAS DE EMERGENCIA</t>
  </si>
  <si>
    <t>Nombre de la Entidad Federativa:</t>
  </si>
  <si>
    <t>Michoacán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</si>
  <si>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</si>
  <si>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</si>
  <si>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</si>
  <si>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</si>
  <si>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</si>
  <si>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</si>
  <si>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</si>
  <si>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</si>
  <si>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</si>
  <si>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</si>
  <si>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</si>
  <si>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</si>
  <si>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</si>
  <si>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</si>
  <si>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</si>
  <si>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</si>
  <si>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</si>
  <si>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</si>
  <si>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</si>
  <si>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</si>
  <si>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</si>
  <si>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Michoacán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</si>
  <si>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</si>
  <si>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</si>
  <si>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</si>
  <si>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</si>
  <si>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</si>
  <si>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</si>
  <si>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</si>
  <si>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</si>
  <si>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</si>
  <si>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</si>
  <si>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</si>
  <si>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</si>
  <si>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</si>
  <si>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</si>
  <si>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</si>
  <si>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</si>
  <si>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</si>
  <si>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</si>
  <si>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</si>
  <si>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</si>
  <si>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</si>
  <si>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</si>
  <si>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</si>
  <si>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</si>
  <si>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</si>
  <si>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</si>
  <si>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</si>
  <si>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</si>
  <si>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</si>
  <si>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</si>
  <si>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</si>
  <si>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</si>
  <si>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</si>
  <si>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</si>
  <si>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</si>
  <si>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</si>
  <si>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</si>
  <si>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</si>
  <si>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</si>
  <si>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</si>
  <si>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</si>
  <si>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</si>
  <si>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</si>
  <si>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</si>
  <si>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</si>
  <si>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</si>
  <si>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</si>
  <si>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</si>
  <si>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</si>
  <si>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</si>
  <si>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</si>
  <si>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</si>
  <si>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</si>
  <si>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</si>
  <si>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</si>
  <si>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</si>
  <si>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</si>
  <si>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</si>
  <si>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</si>
  <si>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</si>
  <si>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</si>
  <si>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</si>
  <si>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</si>
  <si>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</si>
  <si>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</si>
  <si>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</si>
  <si>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</si>
  <si>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</si>
  <si>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</si>
  <si>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</si>
  <si>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</si>
  <si>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</si>
  <si>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</si>
  <si>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</si>
  <si>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</si>
  <si>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</si>
  <si>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</si>
  <si>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</si>
  <si>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</si>
  <si>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</si>
  <si>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</si>
  <si>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</si>
  <si>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</si>
  <si>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</si>
  <si>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</si>
  <si>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</si>
  <si>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</si>
  <si>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</si>
  <si>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</si>
  <si>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</si>
  <si>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</si>
  <si>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</si>
  <si>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</si>
  <si>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</si>
  <si>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</si>
  <si>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</si>
  <si>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</si>
  <si>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</si>
  <si>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</si>
  <si>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</si>
  <si>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</si>
  <si>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</si>
  <si>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</si>
  <si>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</si>
  <si>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</si>
  <si>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</si>
  <si>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</si>
  <si>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</si>
  <si>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</si>
  <si>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</si>
  <si>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</si>
  <si>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</si>
  <si>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</si>
  <si>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</si>
  <si>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</si>
  <si>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</si>
  <si>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</si>
  <si>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</si>
  <si>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</si>
  <si>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</si>
  <si>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</si>
  <si>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</si>
  <si>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</si>
  <si>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</si>
  <si>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</si>
  <si>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</si>
  <si>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</si>
  <si>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</si>
  <si>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</si>
  <si>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</si>
  <si>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</si>
  <si>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</si>
  <si>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</si>
  <si>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</si>
  <si>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</si>
  <si>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</si>
  <si>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</si>
  <si>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</si>
  <si>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</si>
  <si>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</si>
  <si>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</si>
  <si>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</si>
  <si>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</si>
  <si>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</si>
  <si>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</si>
  <si>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</si>
  <si>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</si>
  <si>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</si>
  <si>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</si>
  <si>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</si>
  <si>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</si>
  <si>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</si>
  <si>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</si>
  <si>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</si>
  <si>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</si>
  <si>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</si>
  <si>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</si>
  <si>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</si>
  <si>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</si>
  <si>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</si>
  <si>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</si>
  <si>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</si>
  <si>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</si>
  <si>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</si>
  <si>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</si>
  <si>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</si>
  <si>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</si>
  <si>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</si>
  <si>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</si>
  <si>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</si>
  <si>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</si>
  <si>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</si>
  <si>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</si>
  <si>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</si>
  <si>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</si>
  <si>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</si>
  <si>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</si>
  <si>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</si>
  <si>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</si>
  <si>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</si>
  <si>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</si>
  <si>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</si>
  <si>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</si>
  <si>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</si>
  <si>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</si>
  <si>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</si>
  <si>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</si>
  <si>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</si>
  <si>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</si>
  <si>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</si>
  <si>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</si>
  <si>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</si>
  <si>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</si>
  <si>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</si>
  <si>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</si>
  <si>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</si>
  <si>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</si>
  <si>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</si>
  <si>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</si>
  <si>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</si>
  <si>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</si>
  <si>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</si>
  <si>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</si>
  <si>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</si>
  <si>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</si>
  <si>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</si>
  <si>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</si>
  <si>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</si>
  <si>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</si>
  <si>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</si>
  <si>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</si>
  <si>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</si>
  <si>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</si>
  <si>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</si>
  <si>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</si>
  <si>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</si>
  <si>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</si>
  <si>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</si>
  <si>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</si>
  <si>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</si>
  <si>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</si>
  <si>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</si>
  <si>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</si>
  <si>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</si>
  <si>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</si>
  <si>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</si>
  <si>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</si>
  <si>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</si>
  <si>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</si>
  <si>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</si>
  <si>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</si>
  <si>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</si>
  <si>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</si>
  <si>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</si>
  <si>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</si>
  <si>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</si>
  <si>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</si>
  <si>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</si>
  <si>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</si>
  <si>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</si>
  <si>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</si>
  <si>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</si>
  <si>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</si>
  <si>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</si>
  <si>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</si>
  <si>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</si>
  <si>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</si>
  <si>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</si>
  <si>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</si>
  <si>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</si>
  <si>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</si>
  <si>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</si>
  <si>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</si>
  <si>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</si>
  <si>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</si>
  <si>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</si>
  <si>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</si>
  <si>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</si>
  <si>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</si>
  <si>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</si>
  <si>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</si>
  <si>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</si>
  <si>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</si>
  <si>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</si>
  <si>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</si>
  <si>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</si>
  <si>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</si>
  <si>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</si>
  <si>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</si>
  <si>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</si>
  <si>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</si>
  <si>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</si>
  <si>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</si>
  <si>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</si>
  <si>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</si>
  <si>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</si>
  <si>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</si>
  <si>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</si>
  <si>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</si>
  <si>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</si>
  <si>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</si>
  <si>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</si>
  <si>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</si>
  <si>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</si>
  <si>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</si>
  <si>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</si>
  <si>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Sub C4 Uruapan</t>
  </si>
  <si>
    <t>Sub C4 La Piedad</t>
  </si>
  <si>
    <t>Sub C4 Lazaro Cardenas</t>
  </si>
  <si>
    <t>Sub C4 Zitacuaro</t>
  </si>
  <si>
    <t>Sub C4 Patzcuaro</t>
  </si>
  <si>
    <t>Sub C4 Zamora</t>
  </si>
  <si>
    <t>Sub C4 Apatzingán</t>
  </si>
  <si>
    <t>Sub C4 Huetamo</t>
  </si>
  <si>
    <t>Sub C4 Jiquilpan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</si>
</sst>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  <numFmt numFmtId="168" formatCode="_(* #,##0.00_);_(* \(#,##0.00\);_(* \-??_);_(@_)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FFFFFF"/>
      <name val="Arial Narrow"/>
      <family val="2"/>
      <charset val="1"/>
    </font>
    <font>
      <sz val="11"/>
      <name val="Arial Narrow"/>
      <family val="2"/>
      <charset val="1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7E8"/>
        <bgColor rgb="FFD9D9D9"/>
      </patternFill>
    </fill>
    <fill>
      <patternFill patternType="solid">
        <fgColor rgb="FF596B5A"/>
        <bgColor rgb="FF59595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C65D5A"/>
        <bgColor rgb="FFB0782E"/>
      </patternFill>
    </fill>
    <fill>
      <patternFill patternType="solid">
        <fgColor rgb="FFFFFFFF"/>
        <bgColor rgb="FFFFFFCC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892">
    <xf numFmtId="0" fontId="0" fillId="0" borderId="0"/>
    <xf numFmtId="164" fontId="22" fillId="0" borderId="0" applyFont="0" applyFill="0" applyBorder="0" applyAlignment="0" applyProtection="0"/>
    <xf numFmtId="0" fontId="19" fillId="0" borderId="0"/>
    <xf numFmtId="0" fontId="22" fillId="3" borderId="0" applyBorder="0"/>
    <xf numFmtId="0" fontId="22" fillId="3" borderId="0" applyBorder="0"/>
    <xf numFmtId="0" fontId="22" fillId="3" borderId="0" applyBorder="0"/>
    <xf numFmtId="0" fontId="18" fillId="0" borderId="0"/>
    <xf numFmtId="0" fontId="22" fillId="0" borderId="0"/>
    <xf numFmtId="0" fontId="22" fillId="0" borderId="0"/>
    <xf numFmtId="9" fontId="5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7" fillId="0" borderId="0"/>
    <xf numFmtId="0" fontId="17" fillId="0" borderId="0"/>
    <xf numFmtId="9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64" fillId="0" borderId="24" applyNumberFormat="0" applyFill="0" applyAlignment="0" applyProtection="0"/>
    <xf numFmtId="0" fontId="65" fillId="0" borderId="25" applyNumberFormat="0" applyFill="0" applyAlignment="0" applyProtection="0"/>
    <xf numFmtId="0" fontId="66" fillId="0" borderId="26" applyNumberFormat="0" applyFill="0" applyAlignment="0" applyProtection="0"/>
    <xf numFmtId="0" fontId="66" fillId="0" borderId="0" applyNumberFormat="0" applyFill="0" applyBorder="0" applyAlignment="0" applyProtection="0"/>
    <xf numFmtId="0" fontId="67" fillId="16" borderId="0" applyNumberFormat="0" applyBorder="0" applyAlignment="0" applyProtection="0"/>
    <xf numFmtId="0" fontId="68" fillId="17" borderId="0" applyNumberFormat="0" applyBorder="0" applyAlignment="0" applyProtection="0"/>
    <xf numFmtId="0" fontId="70" fillId="19" borderId="27" applyNumberFormat="0" applyAlignment="0" applyProtection="0"/>
    <xf numFmtId="0" fontId="71" fillId="20" borderId="28" applyNumberFormat="0" applyAlignment="0" applyProtection="0"/>
    <xf numFmtId="0" fontId="72" fillId="20" borderId="27" applyNumberFormat="0" applyAlignment="0" applyProtection="0"/>
    <xf numFmtId="0" fontId="73" fillId="0" borderId="29" applyNumberFormat="0" applyFill="0" applyAlignment="0" applyProtection="0"/>
    <xf numFmtId="0" fontId="74" fillId="21" borderId="30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2" applyNumberFormat="0" applyFill="0" applyAlignment="0" applyProtection="0"/>
    <xf numFmtId="0" fontId="78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78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78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78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78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78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79" fillId="0" borderId="0"/>
    <xf numFmtId="168" fontId="79" fillId="0" borderId="0" applyBorder="0" applyProtection="0"/>
    <xf numFmtId="0" fontId="80" fillId="0" borderId="0"/>
    <xf numFmtId="0" fontId="13" fillId="0" borderId="0"/>
    <xf numFmtId="0" fontId="13" fillId="0" borderId="0"/>
    <xf numFmtId="0" fontId="13" fillId="0" borderId="0"/>
    <xf numFmtId="0" fontId="13" fillId="22" borderId="31" applyNumberFormat="0" applyFont="0" applyAlignment="0" applyProtection="0"/>
    <xf numFmtId="0" fontId="63" fillId="0" borderId="0" applyNumberFormat="0" applyFill="0" applyBorder="0" applyAlignment="0" applyProtection="0"/>
    <xf numFmtId="0" fontId="69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3" fillId="0" borderId="0"/>
    <xf numFmtId="0" fontId="13" fillId="22" borderId="31" applyNumberFormat="0" applyFont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2" fillId="0" borderId="0"/>
    <xf numFmtId="0" fontId="12" fillId="0" borderId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0" borderId="0"/>
    <xf numFmtId="0" fontId="12" fillId="22" borderId="31" applyNumberFormat="0" applyFont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0" borderId="0"/>
    <xf numFmtId="0" fontId="12" fillId="22" borderId="31" applyNumberFormat="0" applyFont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43" fontId="2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43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79" fillId="0" borderId="0"/>
    <xf numFmtId="0" fontId="10" fillId="0" borderId="0"/>
    <xf numFmtId="168" fontId="83" fillId="0" borderId="0" applyBorder="0" applyProtection="0"/>
    <xf numFmtId="43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0" borderId="0"/>
    <xf numFmtId="0" fontId="80" fillId="54" borderId="0" applyBorder="0"/>
    <xf numFmtId="0" fontId="80" fillId="54" borderId="0" applyBorder="0"/>
    <xf numFmtId="0" fontId="80" fillId="54" borderId="0" applyBorder="0"/>
    <xf numFmtId="0" fontId="83" fillId="0" borderId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2" borderId="31" applyNumberFormat="0" applyFont="0" applyAlignment="0" applyProtection="0"/>
    <xf numFmtId="9" fontId="83" fillId="0" borderId="0" applyBorder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10" fillId="22" borderId="31" applyNumberFormat="0" applyFont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9" fillId="0" borderId="0"/>
    <xf numFmtId="0" fontId="9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22" borderId="31" applyNumberFormat="0" applyFont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0" borderId="0"/>
    <xf numFmtId="0" fontId="8" fillId="22" borderId="31" applyNumberFormat="0" applyFont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43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43" fontId="2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22" fillId="0" borderId="0" applyBorder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2" borderId="31" applyNumberFormat="0" applyFont="0" applyAlignment="0" applyProtection="0"/>
    <xf numFmtId="9" fontId="22" fillId="0" borderId="0" applyBorder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4">
    <xf numFmtId="0" fontId="0" fillId="0" borderId="0" xfId="0"/>
    <xf numFmtId="165" fontId="21" fillId="0" borderId="0" xfId="1" applyNumberFormat="1" applyFont="1" applyBorder="1" applyAlignment="1"/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 vertical="center"/>
    </xf>
    <xf numFmtId="0" fontId="19" fillId="0" borderId="0" xfId="2"/>
    <xf numFmtId="0" fontId="27" fillId="0" borderId="0" xfId="2" applyFont="1"/>
    <xf numFmtId="0" fontId="28" fillId="0" borderId="0" xfId="2" applyFont="1" applyAlignment="1">
      <alignment horizontal="right"/>
    </xf>
    <xf numFmtId="0" fontId="30" fillId="0" borderId="0" xfId="6" applyFont="1" applyAlignment="1">
      <alignment vertical="top"/>
    </xf>
    <xf numFmtId="0" fontId="31" fillId="0" borderId="0" xfId="6" applyFont="1" applyAlignment="1">
      <alignment vertical="top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vertical="top" wrapText="1"/>
    </xf>
    <xf numFmtId="0" fontId="30" fillId="0" borderId="0" xfId="6" applyFont="1" applyAlignment="1">
      <alignment horizontal="center" vertical="top" wrapText="1"/>
    </xf>
    <xf numFmtId="0" fontId="35" fillId="0" borderId="0" xfId="6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29" fillId="0" borderId="0" xfId="6" applyFont="1" applyAlignment="1">
      <alignment horizontal="center" vertical="top"/>
    </xf>
    <xf numFmtId="0" fontId="22" fillId="0" borderId="0" xfId="8"/>
    <xf numFmtId="0" fontId="20" fillId="0" borderId="0" xfId="8" applyFont="1"/>
    <xf numFmtId="0" fontId="32" fillId="4" borderId="0" xfId="6" applyFont="1" applyFill="1" applyAlignment="1">
      <alignment vertical="top"/>
    </xf>
    <xf numFmtId="165" fontId="21" fillId="0" borderId="0" xfId="1" applyNumberFormat="1" applyFont="1" applyBorder="1" applyAlignment="1">
      <alignment horizontal="center"/>
    </xf>
    <xf numFmtId="0" fontId="22" fillId="0" borderId="0" xfId="0" applyFont="1"/>
    <xf numFmtId="0" fontId="39" fillId="5" borderId="1" xfId="8" applyFont="1" applyFill="1" applyBorder="1" applyAlignment="1">
      <alignment horizontal="center" wrapText="1"/>
    </xf>
    <xf numFmtId="165" fontId="37" fillId="2" borderId="0" xfId="1" applyNumberFormat="1" applyFont="1" applyFill="1" applyBorder="1" applyAlignment="1">
      <alignment horizontal="center"/>
    </xf>
    <xf numFmtId="165" fontId="40" fillId="2" borderId="0" xfId="1" applyNumberFormat="1" applyFont="1" applyFill="1" applyBorder="1" applyAlignment="1"/>
    <xf numFmtId="0" fontId="22" fillId="0" borderId="0" xfId="8" applyAlignment="1">
      <alignment horizontal="center"/>
    </xf>
    <xf numFmtId="0" fontId="32" fillId="6" borderId="0" xfId="6" applyFont="1" applyFill="1" applyAlignment="1">
      <alignment vertical="top"/>
    </xf>
    <xf numFmtId="0" fontId="47" fillId="6" borderId="0" xfId="6" applyFont="1" applyFill="1" applyAlignment="1">
      <alignment vertical="top"/>
    </xf>
    <xf numFmtId="0" fontId="20" fillId="0" borderId="0" xfId="8" applyFont="1" applyAlignment="1">
      <alignment horizontal="right"/>
    </xf>
    <xf numFmtId="0" fontId="22" fillId="0" borderId="0" xfId="8" applyAlignment="1">
      <alignment horizontal="left"/>
    </xf>
    <xf numFmtId="0" fontId="37" fillId="2" borderId="0" xfId="8" applyFont="1" applyFill="1" applyAlignment="1">
      <alignment horizontal="right" wrapText="1" indent="1"/>
    </xf>
    <xf numFmtId="166" fontId="37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56" fillId="2" borderId="0" xfId="0" applyFont="1" applyFill="1"/>
    <xf numFmtId="0" fontId="22" fillId="2" borderId="0" xfId="8" applyFill="1"/>
    <xf numFmtId="165" fontId="38" fillId="2" borderId="0" xfId="1" applyNumberFormat="1" applyFont="1" applyFill="1" applyBorder="1" applyAlignment="1"/>
    <xf numFmtId="0" fontId="52" fillId="2" borderId="0" xfId="7" applyFont="1" applyFill="1" applyAlignment="1" applyProtection="1">
      <alignment horizontal="center" vertical="top" wrapText="1"/>
      <protection hidden="1"/>
    </xf>
    <xf numFmtId="46" fontId="55" fillId="2" borderId="0" xfId="0" applyNumberFormat="1" applyFont="1" applyFill="1" applyAlignment="1">
      <alignment horizontal="center" vertical="center" wrapText="1"/>
    </xf>
    <xf numFmtId="21" fontId="55" fillId="2" borderId="0" xfId="0" applyNumberFormat="1" applyFont="1" applyFill="1" applyAlignment="1">
      <alignment horizontal="center" vertical="center" wrapText="1"/>
    </xf>
    <xf numFmtId="0" fontId="38" fillId="2" borderId="0" xfId="8" applyFont="1" applyFill="1" applyAlignment="1">
      <alignment horizontal="right" wrapText="1" indent="1"/>
    </xf>
    <xf numFmtId="0" fontId="37" fillId="2" borderId="0" xfId="8" applyFont="1" applyFill="1" applyAlignment="1">
      <alignment horizontal="right" wrapText="1" indent="2"/>
    </xf>
    <xf numFmtId="165" fontId="22" fillId="2" borderId="0" xfId="1" applyNumberFormat="1" applyFont="1" applyFill="1" applyBorder="1" applyAlignment="1"/>
    <xf numFmtId="0" fontId="22" fillId="2" borderId="0" xfId="0" applyFont="1" applyFill="1"/>
    <xf numFmtId="0" fontId="58" fillId="0" borderId="0" xfId="2" applyFont="1" applyAlignment="1">
      <alignment horizontal="right"/>
    </xf>
    <xf numFmtId="0" fontId="54" fillId="7" borderId="0" xfId="0" applyFont="1" applyFill="1" applyAlignment="1">
      <alignment horizontal="center" vertical="center" wrapText="1"/>
    </xf>
    <xf numFmtId="165" fontId="21" fillId="2" borderId="0" xfId="1" applyNumberFormat="1" applyFont="1" applyFill="1" applyBorder="1" applyAlignment="1" applyProtection="1">
      <alignment horizontal="center"/>
    </xf>
    <xf numFmtId="165" fontId="23" fillId="2" borderId="0" xfId="1" applyNumberFormat="1" applyFont="1" applyFill="1" applyBorder="1" applyAlignment="1" applyProtection="1"/>
    <xf numFmtId="165" fontId="37" fillId="2" borderId="0" xfId="1" applyNumberFormat="1" applyFont="1" applyFill="1" applyBorder="1" applyAlignment="1" applyProtection="1">
      <alignment horizontal="center"/>
    </xf>
    <xf numFmtId="166" fontId="37" fillId="2" borderId="0" xfId="1" applyNumberFormat="1" applyFont="1" applyFill="1" applyBorder="1" applyAlignment="1" applyProtection="1">
      <alignment horizontal="center"/>
    </xf>
    <xf numFmtId="0" fontId="41" fillId="0" borderId="1" xfId="8" applyFont="1" applyBorder="1" applyAlignment="1">
      <alignment horizontal="left" wrapText="1" indent="3"/>
    </xf>
    <xf numFmtId="0" fontId="39" fillId="5" borderId="6" xfId="8" applyFont="1" applyFill="1" applyBorder="1" applyAlignment="1">
      <alignment horizontal="center" wrapText="1"/>
    </xf>
    <xf numFmtId="0" fontId="39" fillId="5" borderId="9" xfId="8" applyFont="1" applyFill="1" applyBorder="1" applyAlignment="1">
      <alignment horizontal="left" wrapText="1" indent="6"/>
    </xf>
    <xf numFmtId="0" fontId="39" fillId="5" borderId="8" xfId="8" applyFont="1" applyFill="1" applyBorder="1" applyAlignment="1">
      <alignment horizontal="center" wrapText="1"/>
    </xf>
    <xf numFmtId="3" fontId="24" fillId="2" borderId="10" xfId="0" applyNumberFormat="1" applyFont="1" applyFill="1" applyBorder="1" applyAlignment="1">
      <alignment horizontal="center" vertical="center" wrapText="1"/>
    </xf>
    <xf numFmtId="0" fontId="39" fillId="2" borderId="1" xfId="8" applyFont="1" applyFill="1" applyBorder="1" applyAlignment="1">
      <alignment horizontal="center" wrapText="1"/>
    </xf>
    <xf numFmtId="0" fontId="57" fillId="6" borderId="1" xfId="8" applyFont="1" applyFill="1" applyBorder="1" applyAlignment="1">
      <alignment horizontal="center" wrapText="1"/>
    </xf>
    <xf numFmtId="9" fontId="55" fillId="2" borderId="10" xfId="9" applyFont="1" applyFill="1" applyBorder="1" applyAlignment="1" applyProtection="1">
      <alignment horizontal="center" vertical="center" wrapText="1"/>
    </xf>
    <xf numFmtId="0" fontId="24" fillId="8" borderId="11" xfId="8" applyFont="1" applyFill="1" applyBorder="1" applyAlignment="1">
      <alignment horizontal="center" vertical="center"/>
    </xf>
    <xf numFmtId="0" fontId="24" fillId="8" borderId="12" xfId="8" applyFont="1" applyFill="1" applyBorder="1" applyAlignment="1">
      <alignment horizontal="left" vertical="center" indent="1"/>
    </xf>
    <xf numFmtId="0" fontId="24" fillId="8" borderId="15" xfId="8" applyFont="1" applyFill="1" applyBorder="1" applyAlignment="1">
      <alignment horizontal="center" vertical="center"/>
    </xf>
    <xf numFmtId="0" fontId="24" fillId="8" borderId="16" xfId="8" applyFont="1" applyFill="1" applyBorder="1" applyAlignment="1">
      <alignment horizontal="left" vertical="center" indent="1"/>
    </xf>
    <xf numFmtId="0" fontId="24" fillId="8" borderId="17" xfId="8" applyFont="1" applyFill="1" applyBorder="1" applyAlignment="1">
      <alignment horizontal="center" vertical="center"/>
    </xf>
    <xf numFmtId="0" fontId="24" fillId="8" borderId="18" xfId="8" applyFont="1" applyFill="1" applyBorder="1" applyAlignment="1">
      <alignment horizontal="left" vertical="center" indent="1"/>
    </xf>
    <xf numFmtId="0" fontId="61" fillId="11" borderId="17" xfId="8" applyFont="1" applyFill="1" applyBorder="1" applyAlignment="1">
      <alignment horizontal="center" vertical="center"/>
    </xf>
    <xf numFmtId="0" fontId="61" fillId="11" borderId="18" xfId="8" applyFont="1" applyFill="1" applyBorder="1" applyAlignment="1">
      <alignment horizontal="left" vertical="center" indent="1"/>
    </xf>
    <xf numFmtId="0" fontId="61" fillId="12" borderId="17" xfId="8" applyFont="1" applyFill="1" applyBorder="1" applyAlignment="1">
      <alignment horizontal="center" vertical="center"/>
    </xf>
    <xf numFmtId="0" fontId="61" fillId="12" borderId="18" xfId="8" applyFont="1" applyFill="1" applyBorder="1" applyAlignment="1">
      <alignment horizontal="left" vertical="center" indent="1"/>
    </xf>
    <xf numFmtId="0" fontId="61" fillId="9" borderId="11" xfId="8" applyFont="1" applyFill="1" applyBorder="1" applyAlignment="1">
      <alignment horizontal="center" vertical="center"/>
    </xf>
    <xf numFmtId="0" fontId="61" fillId="9" borderId="12" xfId="8" applyFont="1" applyFill="1" applyBorder="1" applyAlignment="1">
      <alignment horizontal="left" vertical="center" indent="1"/>
    </xf>
    <xf numFmtId="167" fontId="61" fillId="10" borderId="15" xfId="8" applyNumberFormat="1" applyFont="1" applyFill="1" applyBorder="1" applyAlignment="1">
      <alignment horizontal="center" vertical="top"/>
    </xf>
    <xf numFmtId="0" fontId="61" fillId="10" borderId="16" xfId="8" applyFont="1" applyFill="1" applyBorder="1" applyAlignment="1">
      <alignment horizontal="left" vertical="top" indent="1"/>
    </xf>
    <xf numFmtId="0" fontId="61" fillId="13" borderId="17" xfId="8" applyFont="1" applyFill="1" applyBorder="1" applyAlignment="1">
      <alignment horizontal="center" vertical="center"/>
    </xf>
    <xf numFmtId="0" fontId="61" fillId="13" borderId="18" xfId="8" applyFont="1" applyFill="1" applyBorder="1" applyAlignment="1">
      <alignment horizontal="left" vertical="center" indent="1"/>
    </xf>
    <xf numFmtId="0" fontId="61" fillId="14" borderId="17" xfId="8" applyFont="1" applyFill="1" applyBorder="1" applyAlignment="1">
      <alignment horizontal="center" vertical="center"/>
    </xf>
    <xf numFmtId="0" fontId="61" fillId="14" borderId="18" xfId="8" applyFont="1" applyFill="1" applyBorder="1" applyAlignment="1">
      <alignment horizontal="left" vertical="center" indent="1"/>
    </xf>
    <xf numFmtId="0" fontId="61" fillId="15" borderId="17" xfId="8" applyFont="1" applyFill="1" applyBorder="1" applyAlignment="1">
      <alignment horizontal="center" vertical="center"/>
    </xf>
    <xf numFmtId="0" fontId="61" fillId="15" borderId="18" xfId="8" applyFont="1" applyFill="1" applyBorder="1" applyAlignment="1">
      <alignment horizontal="left" vertical="center" indent="1"/>
    </xf>
    <xf numFmtId="0" fontId="24" fillId="8" borderId="19" xfId="8" applyFont="1" applyFill="1" applyBorder="1" applyAlignment="1">
      <alignment horizontal="center" vertical="center"/>
    </xf>
    <xf numFmtId="0" fontId="24" fillId="8" borderId="20" xfId="8" applyFont="1" applyFill="1" applyBorder="1" applyAlignment="1">
      <alignment horizontal="left" vertical="center" indent="1"/>
    </xf>
    <xf numFmtId="0" fontId="39" fillId="5" borderId="22" xfId="8" applyFont="1" applyFill="1" applyBorder="1" applyAlignment="1">
      <alignment horizontal="center" wrapText="1"/>
    </xf>
    <xf numFmtId="0" fontId="39" fillId="5" borderId="23" xfId="8" applyFont="1" applyFill="1" applyBorder="1" applyAlignment="1">
      <alignment horizontal="left" wrapText="1"/>
    </xf>
    <xf numFmtId="0" fontId="39" fillId="5" borderId="23" xfId="8" applyFont="1" applyFill="1" applyBorder="1" applyAlignment="1">
      <alignment horizontal="center" wrapText="1"/>
    </xf>
    <xf numFmtId="0" fontId="39" fillId="2" borderId="0" xfId="8" applyFont="1" applyFill="1" applyAlignment="1">
      <alignment horizontal="center" wrapText="1"/>
    </xf>
    <xf numFmtId="165" fontId="37" fillId="2" borderId="1" xfId="1" applyNumberFormat="1" applyFont="1" applyFill="1" applyBorder="1" applyAlignment="1">
      <alignment horizontal="center" vertical="center"/>
    </xf>
    <xf numFmtId="3" fontId="60" fillId="2" borderId="0" xfId="7" applyNumberFormat="1" applyFont="1" applyFill="1" applyAlignment="1" applyProtection="1">
      <alignment horizontal="center" vertical="center" wrapText="1"/>
      <protection hidden="1"/>
    </xf>
    <xf numFmtId="0" fontId="62" fillId="2" borderId="14" xfId="8" applyFont="1" applyFill="1" applyBorder="1" applyAlignment="1" applyProtection="1">
      <alignment horizontal="center" vertical="center"/>
      <protection locked="0"/>
    </xf>
    <xf numFmtId="165" fontId="21" fillId="0" borderId="0" xfId="1" applyNumberFormat="1" applyFont="1" applyBorder="1" applyAlignment="1" applyProtection="1"/>
    <xf numFmtId="165" fontId="21" fillId="0" borderId="0" xfId="1" applyNumberFormat="1" applyFont="1" applyBorder="1" applyAlignment="1" applyProtection="1">
      <alignment horizontal="center"/>
    </xf>
    <xf numFmtId="165" fontId="40" fillId="2" borderId="0" xfId="1" applyNumberFormat="1" applyFont="1" applyFill="1" applyBorder="1" applyAlignment="1" applyProtection="1"/>
    <xf numFmtId="0" fontId="61" fillId="12" borderId="13" xfId="8" applyFont="1" applyFill="1" applyBorder="1" applyAlignment="1" applyProtection="1">
      <alignment horizontal="center" vertical="center"/>
      <protection locked="0"/>
    </xf>
    <xf numFmtId="0" fontId="61" fillId="9" borderId="13" xfId="8" applyFont="1" applyFill="1" applyBorder="1" applyAlignment="1" applyProtection="1">
      <alignment horizontal="center" vertical="center"/>
      <protection locked="0"/>
    </xf>
    <xf numFmtId="0" fontId="61" fillId="11" borderId="13" xfId="8" applyFont="1" applyFill="1" applyBorder="1" applyAlignment="1" applyProtection="1">
      <alignment horizontal="center" vertical="center"/>
      <protection locked="0"/>
    </xf>
    <xf numFmtId="0" fontId="24" fillId="8" borderId="21" xfId="8" applyFont="1" applyFill="1" applyBorder="1" applyAlignment="1" applyProtection="1">
      <alignment horizontal="center" vertical="center"/>
      <protection locked="0"/>
    </xf>
    <xf numFmtId="0" fontId="24" fillId="8" borderId="13" xfId="8" applyFont="1" applyFill="1" applyBorder="1" applyAlignment="1" applyProtection="1">
      <alignment horizontal="center" vertical="center"/>
      <protection locked="0"/>
    </xf>
    <xf numFmtId="0" fontId="61" fillId="13" borderId="13" xfId="8" applyFont="1" applyFill="1" applyBorder="1" applyAlignment="1" applyProtection="1">
      <alignment horizontal="center" vertical="center"/>
      <protection locked="0"/>
    </xf>
    <xf numFmtId="0" fontId="24" fillId="8" borderId="14" xfId="8" applyFont="1" applyFill="1" applyBorder="1" applyAlignment="1" applyProtection="1">
      <alignment horizontal="center" vertical="center"/>
      <protection locked="0"/>
    </xf>
    <xf numFmtId="0" fontId="61" fillId="10" borderId="13" xfId="8" applyFont="1" applyFill="1" applyBorder="1" applyAlignment="1" applyProtection="1">
      <alignment horizontal="center"/>
      <protection locked="0"/>
    </xf>
    <xf numFmtId="0" fontId="61" fillId="15" borderId="13" xfId="8" applyFont="1" applyFill="1" applyBorder="1" applyAlignment="1" applyProtection="1">
      <alignment horizontal="center" vertical="center"/>
      <protection locked="0"/>
    </xf>
    <xf numFmtId="0" fontId="81" fillId="48" borderId="33" xfId="53" applyFont="1" applyFill="1" applyBorder="1" applyAlignment="1" applyProtection="1">
      <alignment horizontal="center" vertical="center"/>
      <protection locked="0"/>
    </xf>
    <xf numFmtId="0" fontId="82" fillId="47" borderId="35" xfId="53" applyFont="1" applyFill="1" applyBorder="1" applyAlignment="1" applyProtection="1">
      <alignment horizontal="center" vertical="center"/>
      <protection locked="0"/>
    </xf>
    <xf numFmtId="0" fontId="81" fillId="49" borderId="33" xfId="53" applyFont="1" applyFill="1" applyBorder="1" applyAlignment="1" applyProtection="1">
      <alignment horizontal="center"/>
      <protection locked="0"/>
    </xf>
    <xf numFmtId="0" fontId="82" fillId="47" borderId="33" xfId="53" applyFont="1" applyFill="1" applyBorder="1" applyAlignment="1" applyProtection="1">
      <alignment horizontal="center" vertical="center"/>
      <protection locked="0"/>
    </xf>
    <xf numFmtId="0" fontId="81" fillId="50" borderId="33" xfId="53" applyFont="1" applyFill="1" applyBorder="1" applyAlignment="1" applyProtection="1">
      <alignment horizontal="center" vertical="center"/>
      <protection locked="0"/>
    </xf>
    <xf numFmtId="0" fontId="81" fillId="51" borderId="33" xfId="53" applyFont="1" applyFill="1" applyBorder="1" applyAlignment="1" applyProtection="1">
      <alignment horizontal="center" vertical="center"/>
      <protection locked="0"/>
    </xf>
    <xf numFmtId="0" fontId="81" fillId="52" borderId="33" xfId="53" applyFont="1" applyFill="1" applyBorder="1" applyAlignment="1" applyProtection="1">
      <alignment horizontal="center" vertical="center"/>
      <protection locked="0"/>
    </xf>
    <xf numFmtId="0" fontId="81" fillId="53" borderId="33" xfId="53" applyFont="1" applyFill="1" applyBorder="1" applyAlignment="1" applyProtection="1">
      <alignment horizontal="center" vertical="center"/>
      <protection locked="0"/>
    </xf>
    <xf numFmtId="0" fontId="82" fillId="47" borderId="34" xfId="53" applyFont="1" applyFill="1" applyBorder="1" applyAlignment="1" applyProtection="1">
      <alignment horizontal="center" vertical="center"/>
      <protection locked="0"/>
    </xf>
    <xf numFmtId="0" fontId="4" fillId="0" borderId="0" xfId="2" applyFont="1"/>
    <xf numFmtId="0" fontId="26" fillId="0" borderId="0" xfId="2" applyFont="1" applyAlignment="1">
      <alignment horizontal="center"/>
    </xf>
    <xf numFmtId="0" fontId="44" fillId="0" borderId="0" xfId="2" applyFont="1" applyAlignment="1">
      <alignment horizontal="center" vertical="center" wrapText="1"/>
    </xf>
    <xf numFmtId="0" fontId="42" fillId="0" borderId="0" xfId="2" applyFont="1" applyAlignment="1">
      <alignment horizontal="center"/>
    </xf>
    <xf numFmtId="0" fontId="32" fillId="4" borderId="0" xfId="6" applyFont="1" applyFill="1" applyAlignment="1">
      <alignment horizontal="center" vertical="top"/>
    </xf>
    <xf numFmtId="0" fontId="30" fillId="0" borderId="0" xfId="6" applyFont="1" applyAlignment="1">
      <alignment horizontal="center" vertical="top" wrapText="1"/>
    </xf>
    <xf numFmtId="0" fontId="29" fillId="0" borderId="0" xfId="6" applyFont="1" applyAlignment="1">
      <alignment horizontal="center" vertical="top"/>
    </xf>
    <xf numFmtId="0" fontId="46" fillId="0" borderId="0" xfId="7" applyFont="1" applyAlignment="1" applyProtection="1">
      <alignment horizontal="center" vertical="top" wrapText="1"/>
      <protection hidden="1"/>
    </xf>
    <xf numFmtId="0" fontId="31" fillId="0" borderId="0" xfId="6" applyFont="1" applyAlignment="1">
      <alignment horizontal="center" vertical="top" wrapText="1"/>
    </xf>
    <xf numFmtId="0" fontId="49" fillId="0" borderId="0" xfId="7" applyFont="1" applyAlignment="1">
      <alignment horizontal="center" vertical="top" wrapText="1"/>
    </xf>
    <xf numFmtId="0" fontId="51" fillId="0" borderId="0" xfId="6" applyFont="1" applyAlignment="1">
      <alignment horizontal="center" vertical="top" wrapText="1"/>
    </xf>
    <xf numFmtId="0" fontId="30" fillId="0" borderId="0" xfId="6" applyFont="1" applyAlignment="1">
      <alignment vertical="top" wrapText="1"/>
    </xf>
    <xf numFmtId="0" fontId="30" fillId="0" borderId="0" xfId="6" applyFont="1" applyAlignment="1">
      <alignment horizontal="left" vertical="top" wrapText="1"/>
    </xf>
    <xf numFmtId="0" fontId="32" fillId="4" borderId="0" xfId="6" applyFont="1" applyFill="1" applyAlignment="1">
      <alignment horizontal="center" vertical="top" wrapText="1"/>
    </xf>
    <xf numFmtId="0" fontId="30" fillId="0" borderId="0" xfId="6" applyFont="1" applyAlignment="1">
      <alignment horizontal="center" vertical="top"/>
    </xf>
    <xf numFmtId="0" fontId="49" fillId="0" borderId="0" xfId="6" applyFont="1" applyAlignment="1">
      <alignment horizontal="center" vertical="top" wrapText="1"/>
    </xf>
    <xf numFmtId="0" fontId="33" fillId="0" borderId="0" xfId="6" applyFont="1" applyAlignment="1">
      <alignment horizontal="center" vertical="top"/>
    </xf>
    <xf numFmtId="0" fontId="30" fillId="0" borderId="0" xfId="6" applyFont="1" applyAlignment="1">
      <alignment horizontal="left" vertical="top"/>
    </xf>
    <xf numFmtId="0" fontId="36" fillId="0" borderId="0" xfId="6" applyFont="1" applyAlignment="1">
      <alignment horizontal="left" vertical="top" wrapText="1"/>
    </xf>
    <xf numFmtId="0" fontId="50" fillId="0" borderId="0" xfId="6" applyFont="1" applyAlignment="1">
      <alignment horizontal="left" vertical="top" wrapText="1"/>
    </xf>
    <xf numFmtId="0" fontId="47" fillId="6" borderId="0" xfId="6" applyFont="1" applyFill="1" applyAlignment="1">
      <alignment horizontal="left" vertical="top"/>
    </xf>
    <xf numFmtId="0" fontId="47" fillId="6" borderId="0" xfId="6" applyFont="1" applyFill="1" applyAlignment="1">
      <alignment horizontal="left" vertical="top" wrapText="1"/>
    </xf>
    <xf numFmtId="0" fontId="36" fillId="0" borderId="0" xfId="6" applyFont="1" applyAlignment="1">
      <alignment horizontal="center" vertical="top" wrapText="1"/>
    </xf>
    <xf numFmtId="165" fontId="22" fillId="2" borderId="0" xfId="1" applyNumberFormat="1" applyFont="1" applyFill="1" applyBorder="1" applyAlignment="1">
      <alignment horizontal="center"/>
    </xf>
    <xf numFmtId="0" fontId="52" fillId="2" borderId="0" xfId="7" applyFont="1" applyFill="1" applyAlignment="1" applyProtection="1">
      <alignment horizontal="center" vertical="top" wrapText="1"/>
      <protection hidden="1"/>
    </xf>
    <xf numFmtId="0" fontId="45" fillId="7" borderId="0" xfId="0" applyFont="1" applyFill="1" applyAlignment="1">
      <alignment horizontal="center" vertical="center" wrapText="1"/>
    </xf>
    <xf numFmtId="0" fontId="22" fillId="0" borderId="0" xfId="8" applyAlignment="1">
      <alignment horizontal="center"/>
    </xf>
    <xf numFmtId="0" fontId="41" fillId="0" borderId="3" xfId="8" applyFont="1" applyBorder="1" applyAlignment="1">
      <alignment horizontal="right" wrapText="1" indent="2"/>
    </xf>
    <xf numFmtId="0" fontId="41" fillId="0" borderId="2" xfId="8" applyFont="1" applyBorder="1" applyAlignment="1">
      <alignment horizontal="right" wrapText="1" indent="2"/>
    </xf>
    <xf numFmtId="165" fontId="22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165" fontId="53" fillId="0" borderId="0" xfId="1" applyNumberFormat="1" applyFont="1" applyBorder="1" applyAlignment="1" applyProtection="1">
      <alignment horizontal="center"/>
    </xf>
    <xf numFmtId="0" fontId="41" fillId="0" borderId="5" xfId="8" applyFont="1" applyBorder="1" applyAlignment="1">
      <alignment horizontal="right" wrapText="1" indent="2"/>
    </xf>
    <xf numFmtId="0" fontId="41" fillId="0" borderId="7" xfId="8" applyFont="1" applyBorder="1" applyAlignment="1">
      <alignment horizontal="right" wrapText="1" indent="2"/>
    </xf>
    <xf numFmtId="0" fontId="39" fillId="5" borderId="5" xfId="8" applyFont="1" applyFill="1" applyBorder="1" applyAlignment="1">
      <alignment horizontal="center" wrapText="1"/>
    </xf>
    <xf numFmtId="0" fontId="39" fillId="5" borderId="4" xfId="8" applyFont="1" applyFill="1" applyBorder="1" applyAlignment="1">
      <alignment horizontal="center" wrapText="1"/>
    </xf>
    <xf numFmtId="0" fontId="39" fillId="5" borderId="7" xfId="8" applyFont="1" applyFill="1" applyBorder="1" applyAlignment="1">
      <alignment horizontal="center" wrapText="1"/>
    </xf>
  </cellXfs>
  <cellStyles count="892">
    <cellStyle name="20% - Énfasis1" xfId="34" builtinId="30" customBuiltin="1"/>
    <cellStyle name="20% - Énfasis1 2" xfId="68" xr:uid="{48BB3EC9-C613-48CE-BFC1-6553AFDEB496}"/>
    <cellStyle name="20% - Énfasis1 2 2" xfId="110" xr:uid="{B76487D3-ABCE-4145-A423-88219E807120}"/>
    <cellStyle name="20% - Énfasis1 2 2 2" xfId="329" xr:uid="{503A8CEB-1C63-4231-A66C-9CF7A74965AC}"/>
    <cellStyle name="20% - Énfasis1 2 2 3" xfId="543" xr:uid="{444564FE-FBC6-4F6E-A34C-A1A3D0801CB1}"/>
    <cellStyle name="20% - Énfasis1 2 2 4" xfId="754" xr:uid="{A1E476F5-2799-49DA-B65C-D0B3ED595746}"/>
    <cellStyle name="20% - Énfasis1 2 3" xfId="178" xr:uid="{8882499D-5143-44AC-93F5-E1789C5ACD70}"/>
    <cellStyle name="20% - Énfasis1 2 3 2" xfId="392" xr:uid="{B802CAED-2A42-46F3-A633-BF1F60269E09}"/>
    <cellStyle name="20% - Énfasis1 2 3 3" xfId="603" xr:uid="{747B910E-E33E-4941-87CF-6AE906D0C7E6}"/>
    <cellStyle name="20% - Énfasis1 2 3 4" xfId="814" xr:uid="{8238BA86-002E-4F0A-8D87-0A843A17B63D}"/>
    <cellStyle name="20% - Énfasis1 2 4" xfId="222" xr:uid="{731F7082-16A7-4716-A69B-288C7ADCE3A9}"/>
    <cellStyle name="20% - Énfasis1 2 4 2" xfId="436" xr:uid="{B67878DE-0A43-4775-9CFF-E772AAD32503}"/>
    <cellStyle name="20% - Énfasis1 2 4 3" xfId="647" xr:uid="{26141AB7-2A2B-41A7-8552-61F1E5E44DB3}"/>
    <cellStyle name="20% - Énfasis1 2 4 4" xfId="858" xr:uid="{3187063E-1D87-4924-8E21-8FE0786B5BF7}"/>
    <cellStyle name="20% - Énfasis1 2 5" xfId="287" xr:uid="{B0BFC9B2-C6FA-4C7F-8317-6BBCDD0375FF}"/>
    <cellStyle name="20% - Énfasis1 2 6" xfId="501" xr:uid="{38B66F49-7FE3-4656-AE01-18E8885CAA3B}"/>
    <cellStyle name="20% - Énfasis1 2 7" xfId="712" xr:uid="{B2B7E78C-7387-4C41-A1CB-55BE13445BA9}"/>
    <cellStyle name="20% - Énfasis1 3" xfId="88" xr:uid="{B5FF9B4B-EEA3-4AF0-9D9D-7176C6A72B50}"/>
    <cellStyle name="20% - Énfasis1 3 2" xfId="307" xr:uid="{2AA43270-DAE3-40D3-B368-2FF07930ED14}"/>
    <cellStyle name="20% - Énfasis1 3 3" xfId="521" xr:uid="{E6ACE648-E6CD-4831-BC3D-EADBDB72A03A}"/>
    <cellStyle name="20% - Énfasis1 3 4" xfId="732" xr:uid="{01803911-6829-4C47-8975-C9D6D0BF9492}"/>
    <cellStyle name="20% - Énfasis1 4" xfId="156" xr:uid="{EF9786BE-DC6C-41DD-878A-BCE6E112232D}"/>
    <cellStyle name="20% - Énfasis1 4 2" xfId="370" xr:uid="{92984168-5DB8-4762-AB98-E52AA01B8C3B}"/>
    <cellStyle name="20% - Énfasis1 4 3" xfId="582" xr:uid="{6D727D8C-0D9C-4222-8B93-F719DE0D26A8}"/>
    <cellStyle name="20% - Énfasis1 4 4" xfId="793" xr:uid="{67C0ABF7-7D69-420C-8EFA-090327E6DFD5}"/>
    <cellStyle name="20% - Énfasis1 5" xfId="200" xr:uid="{296CB2FA-EEA7-42F8-9D7A-D519F61D2A32}"/>
    <cellStyle name="20% - Énfasis1 5 2" xfId="414" xr:uid="{B6FAF237-A52D-44A4-B4B3-5D93A26AC2DB}"/>
    <cellStyle name="20% - Énfasis1 5 3" xfId="625" xr:uid="{80375B93-1E7F-4AAB-8D8D-6C184C20D842}"/>
    <cellStyle name="20% - Énfasis1 5 4" xfId="836" xr:uid="{D0AB03FC-8B16-4F32-990C-E494F7B7796C}"/>
    <cellStyle name="20% - Énfasis1 6" xfId="263" xr:uid="{471FAEE7-E4A9-4044-99B4-F25FA3A60D04}"/>
    <cellStyle name="20% - Énfasis1 7" xfId="477" xr:uid="{F6DB40C1-AED5-4894-B993-7423A958F87F}"/>
    <cellStyle name="20% - Énfasis1 8" xfId="688" xr:uid="{193ACE37-C94B-4EDE-84BE-7A4E372B0928}"/>
    <cellStyle name="20% - Énfasis2" xfId="37" builtinId="34" customBuiltin="1"/>
    <cellStyle name="20% - Énfasis2 2" xfId="70" xr:uid="{0C018183-30BD-4F7D-B6AC-D59D718F9AF2}"/>
    <cellStyle name="20% - Énfasis2 2 2" xfId="112" xr:uid="{7C3AD188-1CDD-4DCB-8275-4CA79E195EFB}"/>
    <cellStyle name="20% - Énfasis2 2 2 2" xfId="331" xr:uid="{DF3F099D-453D-4203-8B72-91C6D8187361}"/>
    <cellStyle name="20% - Énfasis2 2 2 3" xfId="545" xr:uid="{0DCF8D57-98DA-4543-9D49-57F4EBB6C6E5}"/>
    <cellStyle name="20% - Énfasis2 2 2 4" xfId="756" xr:uid="{DCE670AC-E6F8-4B77-9F00-F01A922050ED}"/>
    <cellStyle name="20% - Énfasis2 2 3" xfId="180" xr:uid="{D5487786-1C56-4E3B-B180-CE6DFC02C5FE}"/>
    <cellStyle name="20% - Énfasis2 2 3 2" xfId="394" xr:uid="{E3B4CC5C-0CE2-4E72-882B-8BDF1989213E}"/>
    <cellStyle name="20% - Énfasis2 2 3 3" xfId="605" xr:uid="{A26C9F26-20DA-4E37-8F15-4C3CA1E2FD23}"/>
    <cellStyle name="20% - Énfasis2 2 3 4" xfId="816" xr:uid="{0877A401-BC14-4ED6-88E1-A42630C3C0C9}"/>
    <cellStyle name="20% - Énfasis2 2 4" xfId="224" xr:uid="{A2137489-9C89-4501-B9A1-92814AE31B1F}"/>
    <cellStyle name="20% - Énfasis2 2 4 2" xfId="438" xr:uid="{7234C349-A64D-47CB-9081-36219C63E51F}"/>
    <cellStyle name="20% - Énfasis2 2 4 3" xfId="649" xr:uid="{25CF41ED-E73C-4E2E-943D-58AEF3FF412F}"/>
    <cellStyle name="20% - Énfasis2 2 4 4" xfId="860" xr:uid="{A8FB263E-CFDE-48DE-9AA7-5E72E5B3B283}"/>
    <cellStyle name="20% - Énfasis2 2 5" xfId="289" xr:uid="{82B3299A-172A-49B9-864A-14C8A98F9007}"/>
    <cellStyle name="20% - Énfasis2 2 6" xfId="503" xr:uid="{D91DD9CE-AFC8-46FC-A207-31F0B5ACD54F}"/>
    <cellStyle name="20% - Énfasis2 2 7" xfId="714" xr:uid="{53A80D77-720A-4274-9A49-51F1D9F5A544}"/>
    <cellStyle name="20% - Énfasis2 3" xfId="90" xr:uid="{8C146E46-B5D8-4EF0-B275-48B793DFE8C0}"/>
    <cellStyle name="20% - Énfasis2 3 2" xfId="309" xr:uid="{D3DB0037-80AF-42D0-A6E7-6360E52B01EA}"/>
    <cellStyle name="20% - Énfasis2 3 3" xfId="523" xr:uid="{9437D84F-9743-457B-9AA4-AC0B5EC15A43}"/>
    <cellStyle name="20% - Énfasis2 3 4" xfId="734" xr:uid="{D60846CA-DD8B-4552-AB1A-1B5406BB8F2F}"/>
    <cellStyle name="20% - Énfasis2 4" xfId="158" xr:uid="{93431AAC-5878-49BE-A068-33819DB6D127}"/>
    <cellStyle name="20% - Énfasis2 4 2" xfId="372" xr:uid="{2A8E5C66-B17A-4D9C-96EE-EEE8DD43CAA5}"/>
    <cellStyle name="20% - Énfasis2 4 3" xfId="584" xr:uid="{D8E97A31-20DB-42EF-A3A8-35404222CBD7}"/>
    <cellStyle name="20% - Énfasis2 4 4" xfId="795" xr:uid="{AEB5AA68-74B8-4802-8FCD-6F71912D0367}"/>
    <cellStyle name="20% - Énfasis2 5" xfId="202" xr:uid="{25FECAE9-1D02-4646-B422-8E77501442B1}"/>
    <cellStyle name="20% - Énfasis2 5 2" xfId="416" xr:uid="{C2114CE2-F9CF-4060-AC89-22EC33531DEF}"/>
    <cellStyle name="20% - Énfasis2 5 3" xfId="627" xr:uid="{D3B24EFB-AB55-4DF8-9319-17CA0A359A2F}"/>
    <cellStyle name="20% - Énfasis2 5 4" xfId="838" xr:uid="{A8ECDD24-DEF3-4403-9067-DC8570DCEEA9}"/>
    <cellStyle name="20% - Énfasis2 6" xfId="265" xr:uid="{76C4B9F4-0D5F-4570-9EE9-E0FF1D5F8FE9}"/>
    <cellStyle name="20% - Énfasis2 7" xfId="479" xr:uid="{17FA6AAC-2991-4617-BEF6-5D1BDB04BB04}"/>
    <cellStyle name="20% - Énfasis2 8" xfId="690" xr:uid="{CCA8D39D-8F25-43ED-A7DD-043018BB20BC}"/>
    <cellStyle name="20% - Énfasis3" xfId="40" builtinId="38" customBuiltin="1"/>
    <cellStyle name="20% - Énfasis3 2" xfId="72" xr:uid="{731CFA84-6DA6-43F3-8403-B881E630F8E6}"/>
    <cellStyle name="20% - Énfasis3 2 2" xfId="114" xr:uid="{8820A44A-F987-4ADB-B4E6-1CA9F80CA1BE}"/>
    <cellStyle name="20% - Énfasis3 2 2 2" xfId="333" xr:uid="{51598798-2B83-4FBF-85E3-C443CD6C871C}"/>
    <cellStyle name="20% - Énfasis3 2 2 3" xfId="547" xr:uid="{92438FDB-C64B-4E42-9287-FEE5C84C984A}"/>
    <cellStyle name="20% - Énfasis3 2 2 4" xfId="758" xr:uid="{1544659A-0EDA-47BC-8957-05C5BFB739AC}"/>
    <cellStyle name="20% - Énfasis3 2 3" xfId="182" xr:uid="{D5D73011-C9E5-4E94-B654-23CBB34647D7}"/>
    <cellStyle name="20% - Énfasis3 2 3 2" xfId="396" xr:uid="{837967DD-3C9F-4F26-97A8-254A0E0753C3}"/>
    <cellStyle name="20% - Énfasis3 2 3 3" xfId="607" xr:uid="{D4A3BF83-FECB-479C-B035-F8C23E566DD2}"/>
    <cellStyle name="20% - Énfasis3 2 3 4" xfId="818" xr:uid="{A872C123-E074-4E4A-8D50-98D4DEE84981}"/>
    <cellStyle name="20% - Énfasis3 2 4" xfId="226" xr:uid="{018C2B13-91CC-41B5-9432-8A3A46C6B785}"/>
    <cellStyle name="20% - Énfasis3 2 4 2" xfId="440" xr:uid="{45745D00-140C-4247-A93F-3A8A57D6540F}"/>
    <cellStyle name="20% - Énfasis3 2 4 3" xfId="651" xr:uid="{B0122EE1-8669-4486-97D7-89A02F54451E}"/>
    <cellStyle name="20% - Énfasis3 2 4 4" xfId="862" xr:uid="{D7A39494-E883-40BC-9896-BE8E191E64C9}"/>
    <cellStyle name="20% - Énfasis3 2 5" xfId="291" xr:uid="{62BB3A05-47D4-42C7-A027-AFB8472A6EC8}"/>
    <cellStyle name="20% - Énfasis3 2 6" xfId="505" xr:uid="{65B42990-C496-486D-9E8B-20D940B61AE3}"/>
    <cellStyle name="20% - Énfasis3 2 7" xfId="716" xr:uid="{6E14FA52-1177-4993-8347-0A9C39335D98}"/>
    <cellStyle name="20% - Énfasis3 3" xfId="92" xr:uid="{DB700C0C-4DB3-4419-AFD9-B41C6E9E964F}"/>
    <cellStyle name="20% - Énfasis3 3 2" xfId="311" xr:uid="{BA634696-7565-4E4A-9235-05419121CBA9}"/>
    <cellStyle name="20% - Énfasis3 3 3" xfId="525" xr:uid="{CC556519-677D-42AD-8037-F92145D09E8C}"/>
    <cellStyle name="20% - Énfasis3 3 4" xfId="736" xr:uid="{84FD4AF7-159B-493F-8992-DBDF195FC8AC}"/>
    <cellStyle name="20% - Énfasis3 4" xfId="160" xr:uid="{47748F2A-D104-4D79-B09E-A006C757B11D}"/>
    <cellStyle name="20% - Énfasis3 4 2" xfId="374" xr:uid="{BDB7B70D-825C-4127-8B52-764A2BD2D559}"/>
    <cellStyle name="20% - Énfasis3 4 3" xfId="586" xr:uid="{B0ADDBB4-F297-4864-A63F-4820B04346A0}"/>
    <cellStyle name="20% - Énfasis3 4 4" xfId="797" xr:uid="{F7C00625-9ABB-479C-B232-D993DD8EFB7E}"/>
    <cellStyle name="20% - Énfasis3 5" xfId="204" xr:uid="{88915A02-376A-4AE0-900B-E23AD4E39A98}"/>
    <cellStyle name="20% - Énfasis3 5 2" xfId="418" xr:uid="{7F179724-E8AA-4EC8-9FCA-C78624C16494}"/>
    <cellStyle name="20% - Énfasis3 5 3" xfId="629" xr:uid="{6C9881FA-FF5C-4CF3-958B-6886155D828A}"/>
    <cellStyle name="20% - Énfasis3 5 4" xfId="840" xr:uid="{C0A04F39-9D14-4217-B3A8-59D1C8C9A3B6}"/>
    <cellStyle name="20% - Énfasis3 6" xfId="267" xr:uid="{82A9CFDD-0342-4B73-91BC-F59B8FAEA062}"/>
    <cellStyle name="20% - Énfasis3 7" xfId="481" xr:uid="{9669156E-2C55-475C-B3C1-F8A05C6175BA}"/>
    <cellStyle name="20% - Énfasis3 8" xfId="692" xr:uid="{A0362C37-7970-4662-96D6-35645CB27D20}"/>
    <cellStyle name="20% - Énfasis4" xfId="43" builtinId="42" customBuiltin="1"/>
    <cellStyle name="20% - Énfasis4 2" xfId="74" xr:uid="{B904DBDD-9ACE-4281-9F4E-DEB28E17F6B8}"/>
    <cellStyle name="20% - Énfasis4 2 2" xfId="116" xr:uid="{45998124-F28E-49A3-A381-EA90B17D6382}"/>
    <cellStyle name="20% - Énfasis4 2 2 2" xfId="335" xr:uid="{946DC9D6-1EAE-489E-B5F8-6F3BBDB1B630}"/>
    <cellStyle name="20% - Énfasis4 2 2 3" xfId="549" xr:uid="{7CD493F3-A2A6-4BA8-ADBE-81E232A81891}"/>
    <cellStyle name="20% - Énfasis4 2 2 4" xfId="760" xr:uid="{BB9367F6-A740-4EED-9296-CCD9C99ED52B}"/>
    <cellStyle name="20% - Énfasis4 2 3" xfId="184" xr:uid="{E3C2CF97-31DE-4981-BAAC-B9DE69435ED1}"/>
    <cellStyle name="20% - Énfasis4 2 3 2" xfId="398" xr:uid="{E4996006-F66D-4985-889F-92BD3F8A2B33}"/>
    <cellStyle name="20% - Énfasis4 2 3 3" xfId="609" xr:uid="{F5C1236D-840A-4BE3-915B-2997EC0DE482}"/>
    <cellStyle name="20% - Énfasis4 2 3 4" xfId="820" xr:uid="{148B6D53-DEBC-493D-BA22-0E70059056BA}"/>
    <cellStyle name="20% - Énfasis4 2 4" xfId="228" xr:uid="{DFF46346-5144-4BF2-8158-3771555EF8F0}"/>
    <cellStyle name="20% - Énfasis4 2 4 2" xfId="442" xr:uid="{2C7DD3F6-13C3-4AA3-A3E7-5229536199C4}"/>
    <cellStyle name="20% - Énfasis4 2 4 3" xfId="653" xr:uid="{8DA13E4E-84A8-440B-AA66-6A37EA7D2B79}"/>
    <cellStyle name="20% - Énfasis4 2 4 4" xfId="864" xr:uid="{8451C73F-2DA5-4145-8C14-8F184EE0E919}"/>
    <cellStyle name="20% - Énfasis4 2 5" xfId="293" xr:uid="{D2F3FA62-F09A-43CB-93CA-C62A71224E38}"/>
    <cellStyle name="20% - Énfasis4 2 6" xfId="507" xr:uid="{E30D845F-DD2D-4BA9-BF0E-25CE4E0CF8BE}"/>
    <cellStyle name="20% - Énfasis4 2 7" xfId="718" xr:uid="{9F30BD5A-5775-4D91-9791-3BC77E3729DC}"/>
    <cellStyle name="20% - Énfasis4 3" xfId="94" xr:uid="{02A686E3-1489-4636-8E2E-DB643D9D61DE}"/>
    <cellStyle name="20% - Énfasis4 3 2" xfId="313" xr:uid="{921241DA-1E27-4A0A-AD88-E7DF59A9AAE3}"/>
    <cellStyle name="20% - Énfasis4 3 3" xfId="527" xr:uid="{BC9C1389-9977-4DEA-B936-F412B8316448}"/>
    <cellStyle name="20% - Énfasis4 3 4" xfId="738" xr:uid="{4FEB0E22-BDF5-41C3-983E-ABE11EC0ED98}"/>
    <cellStyle name="20% - Énfasis4 4" xfId="162" xr:uid="{D92F0960-9243-4525-A207-77C9CC7C6784}"/>
    <cellStyle name="20% - Énfasis4 4 2" xfId="376" xr:uid="{C57DFBA7-8CA9-49C6-B6AE-D50666C55721}"/>
    <cellStyle name="20% - Énfasis4 4 3" xfId="588" xr:uid="{0A3AFB6F-6A15-48BD-9D4A-98F06003908B}"/>
    <cellStyle name="20% - Énfasis4 4 4" xfId="799" xr:uid="{0DA933E7-EA89-4ADC-AE10-C6398D70B3D9}"/>
    <cellStyle name="20% - Énfasis4 5" xfId="206" xr:uid="{216835D0-F5AE-4206-85F1-6FDD9EEB5AA3}"/>
    <cellStyle name="20% - Énfasis4 5 2" xfId="420" xr:uid="{7C84A4ED-515C-4B42-8BF6-6B052D0B76C7}"/>
    <cellStyle name="20% - Énfasis4 5 3" xfId="631" xr:uid="{96DE8225-027C-4667-8788-5512D5A0FFA3}"/>
    <cellStyle name="20% - Énfasis4 5 4" xfId="842" xr:uid="{8CBB50F0-6D36-4238-B92A-042DEAD545B2}"/>
    <cellStyle name="20% - Énfasis4 6" xfId="269" xr:uid="{0B22EA70-FC90-48FA-B5C6-56D04AA229FD}"/>
    <cellStyle name="20% - Énfasis4 7" xfId="483" xr:uid="{ABB517A0-76D5-4EC0-9BC5-20DC7A905D75}"/>
    <cellStyle name="20% - Énfasis4 8" xfId="694" xr:uid="{62EAA61E-0BB8-4345-ABDB-DA4E3C6972D0}"/>
    <cellStyle name="20% - Énfasis5" xfId="46" builtinId="46" customBuiltin="1"/>
    <cellStyle name="20% - Énfasis5 2" xfId="76" xr:uid="{273E91CA-BD61-487B-B5F1-60FF7143EB17}"/>
    <cellStyle name="20% - Énfasis5 2 2" xfId="118" xr:uid="{4B4E42B7-0643-4B0A-B47E-D3D80677D41C}"/>
    <cellStyle name="20% - Énfasis5 2 2 2" xfId="337" xr:uid="{30FAD8B6-A0F8-4A01-9783-B8F55F06211E}"/>
    <cellStyle name="20% - Énfasis5 2 2 3" xfId="551" xr:uid="{4843DA8C-41D7-4E65-A6A7-B4E7A64820F3}"/>
    <cellStyle name="20% - Énfasis5 2 2 4" xfId="762" xr:uid="{B38758A9-97FC-427F-ABC1-ADBAAD486A1C}"/>
    <cellStyle name="20% - Énfasis5 2 3" xfId="186" xr:uid="{F99FB401-2DE4-4A4E-9987-64F6C34B34D2}"/>
    <cellStyle name="20% - Énfasis5 2 3 2" xfId="400" xr:uid="{64559824-B882-4D16-9F12-AF51CE0F202B}"/>
    <cellStyle name="20% - Énfasis5 2 3 3" xfId="611" xr:uid="{55115E0E-B447-4F3E-BC63-FA24790E71E9}"/>
    <cellStyle name="20% - Énfasis5 2 3 4" xfId="822" xr:uid="{77F4A64D-5F64-4EEA-9872-853BFEBE60EA}"/>
    <cellStyle name="20% - Énfasis5 2 4" xfId="230" xr:uid="{47D33E37-A12E-43C1-91F6-85C2DB310178}"/>
    <cellStyle name="20% - Énfasis5 2 4 2" xfId="444" xr:uid="{E232DD0D-ED10-443B-BC18-FBEF2E448D96}"/>
    <cellStyle name="20% - Énfasis5 2 4 3" xfId="655" xr:uid="{BB5E7AFA-9155-4ECA-AC42-39FC030B722C}"/>
    <cellStyle name="20% - Énfasis5 2 4 4" xfId="866" xr:uid="{3F863C1F-8082-4655-AA40-758AD3D27AF5}"/>
    <cellStyle name="20% - Énfasis5 2 5" xfId="295" xr:uid="{3BAF0B1D-5756-478C-BF9B-D6376B9FAD65}"/>
    <cellStyle name="20% - Énfasis5 2 6" xfId="509" xr:uid="{81812B40-EA8C-4BF5-84EE-876D5430BB7A}"/>
    <cellStyle name="20% - Énfasis5 2 7" xfId="720" xr:uid="{3C251F18-4C9F-4973-ADB5-D30C76F72DB1}"/>
    <cellStyle name="20% - Énfasis5 3" xfId="96" xr:uid="{9D6A1630-A5C8-410A-93FE-EFA2F51B8039}"/>
    <cellStyle name="20% - Énfasis5 3 2" xfId="315" xr:uid="{57A675A3-557D-47E1-9F54-B759FD020A53}"/>
    <cellStyle name="20% - Énfasis5 3 3" xfId="529" xr:uid="{30CA17FD-4582-477A-B3BA-9250E4B046BB}"/>
    <cellStyle name="20% - Énfasis5 3 4" xfId="740" xr:uid="{B32A5EEE-A428-4803-A3B4-14C97E731FF2}"/>
    <cellStyle name="20% - Énfasis5 4" xfId="164" xr:uid="{B0F0AA5B-31F5-4BB7-A933-C02112C069DC}"/>
    <cellStyle name="20% - Énfasis5 4 2" xfId="378" xr:uid="{83330D2B-AB7F-488C-BDC2-87B18E2F1116}"/>
    <cellStyle name="20% - Énfasis5 4 3" xfId="590" xr:uid="{12E146D8-9BC6-428C-BFD5-5E2C32BADD48}"/>
    <cellStyle name="20% - Énfasis5 4 4" xfId="801" xr:uid="{513486F2-FDA4-4BDD-BC6B-B7270B4AD6FA}"/>
    <cellStyle name="20% - Énfasis5 5" xfId="208" xr:uid="{03D1FA35-26F2-41C7-A146-3447BDC6BF2B}"/>
    <cellStyle name="20% - Énfasis5 5 2" xfId="422" xr:uid="{6DAAF5E4-1612-437E-BBD1-D1AF18C92633}"/>
    <cellStyle name="20% - Énfasis5 5 3" xfId="633" xr:uid="{E43D8D16-46E1-4BDC-9036-F49AF69AEBA8}"/>
    <cellStyle name="20% - Énfasis5 5 4" xfId="844" xr:uid="{D51D753E-B5D6-480C-8167-3BB9D8375672}"/>
    <cellStyle name="20% - Énfasis5 6" xfId="271" xr:uid="{E3BFFFB4-B5E4-4F05-BF65-A7946E5C57B2}"/>
    <cellStyle name="20% - Énfasis5 7" xfId="485" xr:uid="{9D06EB7D-4C14-4038-AB36-79C424B02A8D}"/>
    <cellStyle name="20% - Énfasis5 8" xfId="696" xr:uid="{042B9C2E-F941-47BA-B690-DCA8F39F839E}"/>
    <cellStyle name="20% - Énfasis6" xfId="49" builtinId="50" customBuiltin="1"/>
    <cellStyle name="20% - Énfasis6 2" xfId="78" xr:uid="{38587ABD-F1B2-4E8D-B338-00825700E611}"/>
    <cellStyle name="20% - Énfasis6 2 2" xfId="120" xr:uid="{FC4AEB5F-7BA6-4A49-8F0D-9ACD963F5215}"/>
    <cellStyle name="20% - Énfasis6 2 2 2" xfId="339" xr:uid="{14908AE2-4872-47E5-A140-8CD17FE85A12}"/>
    <cellStyle name="20% - Énfasis6 2 2 3" xfId="553" xr:uid="{8C512641-97AA-46B6-A68B-B63D80C94058}"/>
    <cellStyle name="20% - Énfasis6 2 2 4" xfId="764" xr:uid="{1EC62E18-B843-4B96-A6A7-CBA5FEABC2A1}"/>
    <cellStyle name="20% - Énfasis6 2 3" xfId="188" xr:uid="{F974752C-8D65-4A97-BF5A-CCE57D0826BF}"/>
    <cellStyle name="20% - Énfasis6 2 3 2" xfId="402" xr:uid="{1B7C6207-A3A7-4D60-A697-1C9B0EBA5E5A}"/>
    <cellStyle name="20% - Énfasis6 2 3 3" xfId="613" xr:uid="{3868EAF4-F59A-4076-85BB-AEED3C33BBEC}"/>
    <cellStyle name="20% - Énfasis6 2 3 4" xfId="824" xr:uid="{6D5345DC-3CBE-4BC6-968F-46EB886FBF5F}"/>
    <cellStyle name="20% - Énfasis6 2 4" xfId="232" xr:uid="{971AE567-B285-485C-B216-26703E63C76E}"/>
    <cellStyle name="20% - Énfasis6 2 4 2" xfId="446" xr:uid="{AE17E68F-D7EA-4E1B-87A8-FCEA71F4483A}"/>
    <cellStyle name="20% - Énfasis6 2 4 3" xfId="657" xr:uid="{59912670-0F1D-4965-B939-55C98ACD0A85}"/>
    <cellStyle name="20% - Énfasis6 2 4 4" xfId="868" xr:uid="{D85386BE-45CC-4BDB-8FF6-9659939C992F}"/>
    <cellStyle name="20% - Énfasis6 2 5" xfId="297" xr:uid="{B49610A6-23E4-4D95-A5F4-9B96159DE7F2}"/>
    <cellStyle name="20% - Énfasis6 2 6" xfId="511" xr:uid="{009B7B1E-3A18-476D-94D3-65D3CE978228}"/>
    <cellStyle name="20% - Énfasis6 2 7" xfId="722" xr:uid="{9C43D1D4-7154-47E1-9AA5-7407E9482CE7}"/>
    <cellStyle name="20% - Énfasis6 3" xfId="98" xr:uid="{04649414-9123-4799-B9EB-1F27F8FC9F3D}"/>
    <cellStyle name="20% - Énfasis6 3 2" xfId="317" xr:uid="{DFC87EB1-F63B-47E2-98D1-458C5D05F69E}"/>
    <cellStyle name="20% - Énfasis6 3 3" xfId="531" xr:uid="{2654F687-83BD-4177-850B-8FAB90C38C6B}"/>
    <cellStyle name="20% - Énfasis6 3 4" xfId="742" xr:uid="{45CD032C-9E2F-47BB-BD96-D9DC6447E2F4}"/>
    <cellStyle name="20% - Énfasis6 4" xfId="166" xr:uid="{1E2C65A6-2D48-41DF-B292-911E15826003}"/>
    <cellStyle name="20% - Énfasis6 4 2" xfId="380" xr:uid="{77256BB4-B300-4A93-BBFD-65DCCC8DA477}"/>
    <cellStyle name="20% - Énfasis6 4 3" xfId="592" xr:uid="{6180C587-7C84-447C-A529-4B5B273460B9}"/>
    <cellStyle name="20% - Énfasis6 4 4" xfId="803" xr:uid="{4CB29BF9-6DAF-4600-BCD7-643A218E38A6}"/>
    <cellStyle name="20% - Énfasis6 5" xfId="210" xr:uid="{8858D23F-9CA3-448A-9EC6-FD25A921C02D}"/>
    <cellStyle name="20% - Énfasis6 5 2" xfId="424" xr:uid="{15A37D47-6F66-42F6-9F64-B627FCC32ECA}"/>
    <cellStyle name="20% - Énfasis6 5 3" xfId="635" xr:uid="{ECC8FC56-C4CB-427E-868F-F724919DF2E3}"/>
    <cellStyle name="20% - Énfasis6 5 4" xfId="846" xr:uid="{207EAB52-580E-4BF7-A0C2-A079B31A3046}"/>
    <cellStyle name="20% - Énfasis6 6" xfId="273" xr:uid="{0F5F1547-2CCC-4513-AE9E-9CB0ADBDBAA1}"/>
    <cellStyle name="20% - Énfasis6 7" xfId="487" xr:uid="{EF04554C-DCF0-45F9-9F70-BC317F1BA050}"/>
    <cellStyle name="20% - Énfasis6 8" xfId="698" xr:uid="{577F275E-32FC-47B5-BC43-8C5A6E9E68DE}"/>
    <cellStyle name="40% - Énfasis1" xfId="35" builtinId="31" customBuiltin="1"/>
    <cellStyle name="40% - Énfasis1 2" xfId="69" xr:uid="{D3050CDF-A64A-429F-B8B9-E671655C7907}"/>
    <cellStyle name="40% - Énfasis1 2 2" xfId="111" xr:uid="{816526AD-FCEB-4332-965E-2B78978F2EC2}"/>
    <cellStyle name="40% - Énfasis1 2 2 2" xfId="330" xr:uid="{E5A60D8F-F9C3-4101-9155-316A34E1B094}"/>
    <cellStyle name="40% - Énfasis1 2 2 3" xfId="544" xr:uid="{2E55ED9D-58A8-4046-8EA6-832CDD161082}"/>
    <cellStyle name="40% - Énfasis1 2 2 4" xfId="755" xr:uid="{C85CCC2A-E666-4E59-A820-8FF4E180B3E7}"/>
    <cellStyle name="40% - Énfasis1 2 3" xfId="179" xr:uid="{860036CD-9561-47B4-A253-7645740F4329}"/>
    <cellStyle name="40% - Énfasis1 2 3 2" xfId="393" xr:uid="{27F4587C-F445-4434-8A60-CB4AC55E3E83}"/>
    <cellStyle name="40% - Énfasis1 2 3 3" xfId="604" xr:uid="{BBEFC9D0-9DFB-4948-B8D6-415E6DFE6B40}"/>
    <cellStyle name="40% - Énfasis1 2 3 4" xfId="815" xr:uid="{78DFD602-35B8-4509-84B5-02CA6597466D}"/>
    <cellStyle name="40% - Énfasis1 2 4" xfId="223" xr:uid="{919F1661-F725-4A82-ABE6-BFEFBF340D0E}"/>
    <cellStyle name="40% - Énfasis1 2 4 2" xfId="437" xr:uid="{30DE6238-8973-467C-945E-A4E1009F2723}"/>
    <cellStyle name="40% - Énfasis1 2 4 3" xfId="648" xr:uid="{2C38FF06-8564-4959-939E-D4E2C9FD93D7}"/>
    <cellStyle name="40% - Énfasis1 2 4 4" xfId="859" xr:uid="{2C72C921-7F26-4F78-BEDB-05B72BD450BA}"/>
    <cellStyle name="40% - Énfasis1 2 5" xfId="288" xr:uid="{FE51C818-E0BA-4731-95A9-1B8009D61F2C}"/>
    <cellStyle name="40% - Énfasis1 2 6" xfId="502" xr:uid="{4F7F36E9-F544-43CE-8CD3-AF1474B0733B}"/>
    <cellStyle name="40% - Énfasis1 2 7" xfId="713" xr:uid="{90AED8AD-1338-4222-98FD-1F03BD8F48C4}"/>
    <cellStyle name="40% - Énfasis1 3" xfId="89" xr:uid="{424D3330-4055-4317-BAE4-59D50C3CA791}"/>
    <cellStyle name="40% - Énfasis1 3 2" xfId="308" xr:uid="{1B894F70-704D-48C0-B0AF-24BBBDC1182B}"/>
    <cellStyle name="40% - Énfasis1 3 3" xfId="522" xr:uid="{2D7E3ED3-E403-49E5-8F20-D35522773F4F}"/>
    <cellStyle name="40% - Énfasis1 3 4" xfId="733" xr:uid="{2887ECA0-4FF9-447F-8B5B-4D400EAB7DB6}"/>
    <cellStyle name="40% - Énfasis1 4" xfId="157" xr:uid="{8CD0F4C4-0BE0-4093-AD7A-FA196072746D}"/>
    <cellStyle name="40% - Énfasis1 4 2" xfId="371" xr:uid="{95FBBE15-3C21-4CDF-8FA0-AA45DCB69341}"/>
    <cellStyle name="40% - Énfasis1 4 3" xfId="583" xr:uid="{07258C43-7289-4A85-8D47-2A435CDB18E0}"/>
    <cellStyle name="40% - Énfasis1 4 4" xfId="794" xr:uid="{E8A954B6-E123-44E4-96CA-27DD8F437590}"/>
    <cellStyle name="40% - Énfasis1 5" xfId="201" xr:uid="{F8C1AE92-35FD-4FA1-9153-90F7E18B47B3}"/>
    <cellStyle name="40% - Énfasis1 5 2" xfId="415" xr:uid="{FF278BC8-DDE7-4BEF-99F1-8347E72D0D09}"/>
    <cellStyle name="40% - Énfasis1 5 3" xfId="626" xr:uid="{86EDF8FD-6766-4DD2-9555-297CFF3A6CD2}"/>
    <cellStyle name="40% - Énfasis1 5 4" xfId="837" xr:uid="{68CFA663-2957-4167-94E3-FF4AC45FFBDD}"/>
    <cellStyle name="40% - Énfasis1 6" xfId="264" xr:uid="{74A1C10F-8312-462A-AF3A-FC38F1B6303E}"/>
    <cellStyle name="40% - Énfasis1 7" xfId="478" xr:uid="{96D45B5C-1408-4FCD-9545-6B545A2830D4}"/>
    <cellStyle name="40% - Énfasis1 8" xfId="689" xr:uid="{B40370C4-2E01-401A-B944-947421D3CEA6}"/>
    <cellStyle name="40% - Énfasis2" xfId="38" builtinId="35" customBuiltin="1"/>
    <cellStyle name="40% - Énfasis2 2" xfId="71" xr:uid="{8D37EC9A-38C0-479D-8BDB-483ECD5A52D8}"/>
    <cellStyle name="40% - Énfasis2 2 2" xfId="113" xr:uid="{B8BA6885-47BA-4B24-81DA-232D928DCED9}"/>
    <cellStyle name="40% - Énfasis2 2 2 2" xfId="332" xr:uid="{E611570B-5A18-4A4A-A5D6-339B59467FC2}"/>
    <cellStyle name="40% - Énfasis2 2 2 3" xfId="546" xr:uid="{EFCC9F2D-8EA6-4A3C-84B8-3DE9B52EA0BB}"/>
    <cellStyle name="40% - Énfasis2 2 2 4" xfId="757" xr:uid="{D1602CCE-3733-4D1E-A28E-86934140B5F1}"/>
    <cellStyle name="40% - Énfasis2 2 3" xfId="181" xr:uid="{01D955C5-0476-4A05-B01A-FACFCFCFB327}"/>
    <cellStyle name="40% - Énfasis2 2 3 2" xfId="395" xr:uid="{BC513D61-281A-42F1-90B2-09DDBEA4A842}"/>
    <cellStyle name="40% - Énfasis2 2 3 3" xfId="606" xr:uid="{57FEB4E7-7E78-401A-8585-4209FDC5A510}"/>
    <cellStyle name="40% - Énfasis2 2 3 4" xfId="817" xr:uid="{1B911CCD-0966-4000-9A30-0CD933E20D94}"/>
    <cellStyle name="40% - Énfasis2 2 4" xfId="225" xr:uid="{7D3713A6-37F5-48C5-92A2-ADA8FE4D651D}"/>
    <cellStyle name="40% - Énfasis2 2 4 2" xfId="439" xr:uid="{3BE75801-8194-4F0B-88A3-C9A382FF0E82}"/>
    <cellStyle name="40% - Énfasis2 2 4 3" xfId="650" xr:uid="{14583336-8E72-4D83-9F51-37C77768212D}"/>
    <cellStyle name="40% - Énfasis2 2 4 4" xfId="861" xr:uid="{0FC31EEA-8F0E-4186-8CE4-F83A5EBB4A9B}"/>
    <cellStyle name="40% - Énfasis2 2 5" xfId="290" xr:uid="{3A824F16-D030-449B-946D-868A7B0F525F}"/>
    <cellStyle name="40% - Énfasis2 2 6" xfId="504" xr:uid="{C41F6D88-64B9-4E5C-9F44-A8A8DC62CD09}"/>
    <cellStyle name="40% - Énfasis2 2 7" xfId="715" xr:uid="{C1273FBB-1F49-4299-9FA9-F132BFAE4197}"/>
    <cellStyle name="40% - Énfasis2 3" xfId="91" xr:uid="{0E99E252-ACE1-4B8E-9CD8-541103AA7B17}"/>
    <cellStyle name="40% - Énfasis2 3 2" xfId="310" xr:uid="{C676FF26-29D6-47E5-9EF1-21A929E1E9EB}"/>
    <cellStyle name="40% - Énfasis2 3 3" xfId="524" xr:uid="{81494356-FF68-43E9-BE09-8FCE7B620F7C}"/>
    <cellStyle name="40% - Énfasis2 3 4" xfId="735" xr:uid="{F0FE852F-E619-44D5-86F0-8D2AAEC3CAC4}"/>
    <cellStyle name="40% - Énfasis2 4" xfId="159" xr:uid="{F0462A6B-A08F-4327-AA6D-5BE452DCC56A}"/>
    <cellStyle name="40% - Énfasis2 4 2" xfId="373" xr:uid="{2B4C106E-460B-429D-B240-38694DD07752}"/>
    <cellStyle name="40% - Énfasis2 4 3" xfId="585" xr:uid="{DF3CCAB2-BD50-4606-9F1C-B42E2163032A}"/>
    <cellStyle name="40% - Énfasis2 4 4" xfId="796" xr:uid="{2A9C45A7-3C0B-4A5F-A45F-9D5578D86324}"/>
    <cellStyle name="40% - Énfasis2 5" xfId="203" xr:uid="{224ACEC8-6E1C-47EF-9C83-E1F3DAC488FA}"/>
    <cellStyle name="40% - Énfasis2 5 2" xfId="417" xr:uid="{BF3B87B1-3671-461A-AF88-5E102D3573EA}"/>
    <cellStyle name="40% - Énfasis2 5 3" xfId="628" xr:uid="{17EAA231-7F98-4ED1-A65D-32EB05CC445F}"/>
    <cellStyle name="40% - Énfasis2 5 4" xfId="839" xr:uid="{C8FB651F-0055-495A-897C-34D919594ED8}"/>
    <cellStyle name="40% - Énfasis2 6" xfId="266" xr:uid="{CEED17A0-B2B3-43D7-81E1-5F0A08552287}"/>
    <cellStyle name="40% - Énfasis2 7" xfId="480" xr:uid="{EE0AB540-2C36-4EBC-ADC2-B0C14ADA57B1}"/>
    <cellStyle name="40% - Énfasis2 8" xfId="691" xr:uid="{9715851B-9B73-4721-A5AD-10CC5F7F68B8}"/>
    <cellStyle name="40% - Énfasis3" xfId="41" builtinId="39" customBuiltin="1"/>
    <cellStyle name="40% - Énfasis3 2" xfId="73" xr:uid="{FEEF28A8-0C1D-488B-9899-BE2E0F62439D}"/>
    <cellStyle name="40% - Énfasis3 2 2" xfId="115" xr:uid="{500927F4-78FE-462B-98E6-6FED2CB88E25}"/>
    <cellStyle name="40% - Énfasis3 2 2 2" xfId="334" xr:uid="{FBAB6E3E-D6BA-4528-9A10-5D2F29F4386E}"/>
    <cellStyle name="40% - Énfasis3 2 2 3" xfId="548" xr:uid="{A8F5B7A4-AE0E-4C05-BA6E-E392D2F3B1E9}"/>
    <cellStyle name="40% - Énfasis3 2 2 4" xfId="759" xr:uid="{2236AC0B-8919-4D85-90C0-D0E5E425390A}"/>
    <cellStyle name="40% - Énfasis3 2 3" xfId="183" xr:uid="{7375B687-7892-460A-9304-100D86CD8D64}"/>
    <cellStyle name="40% - Énfasis3 2 3 2" xfId="397" xr:uid="{55EF7969-4D57-49EA-860E-9DD1BCA62F0C}"/>
    <cellStyle name="40% - Énfasis3 2 3 3" xfId="608" xr:uid="{9D356B92-1F6D-47B8-9928-7BF284295E7B}"/>
    <cellStyle name="40% - Énfasis3 2 3 4" xfId="819" xr:uid="{DB4B965A-F3E4-43E1-BD8D-18BA0AC695D8}"/>
    <cellStyle name="40% - Énfasis3 2 4" xfId="227" xr:uid="{8E696250-ADE9-4F67-891C-774C17C9E18F}"/>
    <cellStyle name="40% - Énfasis3 2 4 2" xfId="441" xr:uid="{CCB8CDDC-003E-4CCA-B495-19D86DC3CF1B}"/>
    <cellStyle name="40% - Énfasis3 2 4 3" xfId="652" xr:uid="{714DD027-D81E-4909-94EB-4F2F4783993D}"/>
    <cellStyle name="40% - Énfasis3 2 4 4" xfId="863" xr:uid="{A576541A-36EB-4CFE-A7FE-CDEB5CC27A91}"/>
    <cellStyle name="40% - Énfasis3 2 5" xfId="292" xr:uid="{ECC43DE1-19A2-47E2-8894-81ABC656655A}"/>
    <cellStyle name="40% - Énfasis3 2 6" xfId="506" xr:uid="{A9ECC659-A15B-42F7-9ABA-546CB9D89370}"/>
    <cellStyle name="40% - Énfasis3 2 7" xfId="717" xr:uid="{5A730805-3EAE-41BE-A8FD-8221D2755477}"/>
    <cellStyle name="40% - Énfasis3 3" xfId="93" xr:uid="{E6F3A54D-323A-40A0-9817-13DC958D5822}"/>
    <cellStyle name="40% - Énfasis3 3 2" xfId="312" xr:uid="{442C261B-065F-4E6F-9328-A38B0FD058F8}"/>
    <cellStyle name="40% - Énfasis3 3 3" xfId="526" xr:uid="{48EB206E-9C17-4D10-8991-FEF10D14F625}"/>
    <cellStyle name="40% - Énfasis3 3 4" xfId="737" xr:uid="{DB7293F0-7C03-4971-A794-89C01427B9D6}"/>
    <cellStyle name="40% - Énfasis3 4" xfId="161" xr:uid="{CE9245A3-8F32-4891-86FF-9B5CB1224FAC}"/>
    <cellStyle name="40% - Énfasis3 4 2" xfId="375" xr:uid="{CBAFA7CD-D9D0-45AC-B1FE-4953CDCDE4D0}"/>
    <cellStyle name="40% - Énfasis3 4 3" xfId="587" xr:uid="{D29827CA-6BA0-4407-834C-F6D626D571FA}"/>
    <cellStyle name="40% - Énfasis3 4 4" xfId="798" xr:uid="{6819AEBA-8F54-4D2A-B38F-80C2DD64B03E}"/>
    <cellStyle name="40% - Énfasis3 5" xfId="205" xr:uid="{F38FCB14-ED2F-4A61-8524-8A844DD60220}"/>
    <cellStyle name="40% - Énfasis3 5 2" xfId="419" xr:uid="{123B8BB8-6840-4E12-AD00-E0BF0604CA41}"/>
    <cellStyle name="40% - Énfasis3 5 3" xfId="630" xr:uid="{CBE3387D-ED43-4593-9F9B-873AE4FA2F45}"/>
    <cellStyle name="40% - Énfasis3 5 4" xfId="841" xr:uid="{6ADE82FB-68A4-4E09-BD71-3EBC668D06EC}"/>
    <cellStyle name="40% - Énfasis3 6" xfId="268" xr:uid="{2985E85B-CDA0-4A21-87A3-AF119F425510}"/>
    <cellStyle name="40% - Énfasis3 7" xfId="482" xr:uid="{7FE51403-C6FF-47E4-A1B2-DE36ADB02D70}"/>
    <cellStyle name="40% - Énfasis3 8" xfId="693" xr:uid="{FF51337A-0EF2-4071-A381-ED336C1D3B55}"/>
    <cellStyle name="40% - Énfasis4" xfId="44" builtinId="43" customBuiltin="1"/>
    <cellStyle name="40% - Énfasis4 2" xfId="75" xr:uid="{042A0C4A-6A7B-42E3-902D-F58A2AC7D766}"/>
    <cellStyle name="40% - Énfasis4 2 2" xfId="117" xr:uid="{CAAE5EB6-A553-4663-ADBD-632A49958093}"/>
    <cellStyle name="40% - Énfasis4 2 2 2" xfId="336" xr:uid="{4131546C-E3BF-4FAC-A95D-158654DD7B8B}"/>
    <cellStyle name="40% - Énfasis4 2 2 3" xfId="550" xr:uid="{84B9115C-5477-409D-9093-1A95AE8A6A24}"/>
    <cellStyle name="40% - Énfasis4 2 2 4" xfId="761" xr:uid="{B48B1E20-90D7-4A1F-A7C8-F98AC8F979CB}"/>
    <cellStyle name="40% - Énfasis4 2 3" xfId="185" xr:uid="{2DC397B9-46B3-4213-94E8-DEA96C9910AD}"/>
    <cellStyle name="40% - Énfasis4 2 3 2" xfId="399" xr:uid="{4D3B2BF1-8149-44AD-8A59-0C4092964D58}"/>
    <cellStyle name="40% - Énfasis4 2 3 3" xfId="610" xr:uid="{E6585C63-D080-473A-BC66-4E1548514CDF}"/>
    <cellStyle name="40% - Énfasis4 2 3 4" xfId="821" xr:uid="{03F2CD3D-6DC4-4C6F-9C2B-284A866DBEF9}"/>
    <cellStyle name="40% - Énfasis4 2 4" xfId="229" xr:uid="{3ECB7F3F-E185-42B2-9D9E-832155BB641A}"/>
    <cellStyle name="40% - Énfasis4 2 4 2" xfId="443" xr:uid="{57E7585B-63AE-4D34-8D95-E1482D784648}"/>
    <cellStyle name="40% - Énfasis4 2 4 3" xfId="654" xr:uid="{C7818F1E-4633-4748-890D-FDF22893864B}"/>
    <cellStyle name="40% - Énfasis4 2 4 4" xfId="865" xr:uid="{E360206A-9D40-4BC2-80A2-F7F208F52D86}"/>
    <cellStyle name="40% - Énfasis4 2 5" xfId="294" xr:uid="{522226E4-8418-47A1-8F8E-3C3553595487}"/>
    <cellStyle name="40% - Énfasis4 2 6" xfId="508" xr:uid="{2217F164-3818-4B89-ADCA-628149DCC2E0}"/>
    <cellStyle name="40% - Énfasis4 2 7" xfId="719" xr:uid="{4FA8999B-1283-49D9-A7D6-3EC817691DA8}"/>
    <cellStyle name="40% - Énfasis4 3" xfId="95" xr:uid="{5F2BEBAB-B706-44FB-A47E-82FDE6FB9540}"/>
    <cellStyle name="40% - Énfasis4 3 2" xfId="314" xr:uid="{A382979E-8DC6-4344-8A64-E4752484B240}"/>
    <cellStyle name="40% - Énfasis4 3 3" xfId="528" xr:uid="{F17B9F1B-D9A0-4C89-B8FE-E8BC399F9401}"/>
    <cellStyle name="40% - Énfasis4 3 4" xfId="739" xr:uid="{F5F3D79E-B519-4954-AAFE-B32C437592E9}"/>
    <cellStyle name="40% - Énfasis4 4" xfId="163" xr:uid="{F7689C73-6521-4226-898B-4D39A1E934F4}"/>
    <cellStyle name="40% - Énfasis4 4 2" xfId="377" xr:uid="{15249775-4A8C-48F7-8168-4D998E3FDC2D}"/>
    <cellStyle name="40% - Énfasis4 4 3" xfId="589" xr:uid="{37DBC535-F1A7-47DA-A600-75A73097E3E4}"/>
    <cellStyle name="40% - Énfasis4 4 4" xfId="800" xr:uid="{31FF0EFF-969A-46DF-96A6-23FDF51B4421}"/>
    <cellStyle name="40% - Énfasis4 5" xfId="207" xr:uid="{88B8EE43-4AC2-4E76-A456-0D89AAFC93F7}"/>
    <cellStyle name="40% - Énfasis4 5 2" xfId="421" xr:uid="{CBCEAEA7-DCFA-4B37-880F-3ED7BEDB91B5}"/>
    <cellStyle name="40% - Énfasis4 5 3" xfId="632" xr:uid="{07ED01F5-63D4-4192-AAEA-E126479AA079}"/>
    <cellStyle name="40% - Énfasis4 5 4" xfId="843" xr:uid="{9CE1879E-6D58-4FC5-BA54-A4B399015B9D}"/>
    <cellStyle name="40% - Énfasis4 6" xfId="270" xr:uid="{81A0EF86-625C-4E2C-8A47-A9B340BB6F89}"/>
    <cellStyle name="40% - Énfasis4 7" xfId="484" xr:uid="{C0DB1863-EFC6-4E11-809B-0735724A451D}"/>
    <cellStyle name="40% - Énfasis4 8" xfId="695" xr:uid="{5E4161DD-4E25-4256-9690-F28D10718EAA}"/>
    <cellStyle name="40% - Énfasis5" xfId="47" builtinId="47" customBuiltin="1"/>
    <cellStyle name="40% - Énfasis5 2" xfId="77" xr:uid="{EA70A76A-D70D-4712-8BB6-721F7F1B3653}"/>
    <cellStyle name="40% - Énfasis5 2 2" xfId="119" xr:uid="{1363D449-D06E-4682-BD0A-4C6CA46175BA}"/>
    <cellStyle name="40% - Énfasis5 2 2 2" xfId="338" xr:uid="{C853BDEF-FA91-4AE4-8BA0-729F975C4720}"/>
    <cellStyle name="40% - Énfasis5 2 2 3" xfId="552" xr:uid="{7F91530E-8CBE-4A14-88DC-8E919F39EF55}"/>
    <cellStyle name="40% - Énfasis5 2 2 4" xfId="763" xr:uid="{9E81B64F-A3B9-4E42-A5AA-2A0F8279EB2E}"/>
    <cellStyle name="40% - Énfasis5 2 3" xfId="187" xr:uid="{3D7939FF-D647-4830-AB98-02E7CDD1A5C1}"/>
    <cellStyle name="40% - Énfasis5 2 3 2" xfId="401" xr:uid="{5348D80D-2C26-482D-8179-71BF33350DEC}"/>
    <cellStyle name="40% - Énfasis5 2 3 3" xfId="612" xr:uid="{20DB21AF-659F-4D40-A5C1-3C9EF5290CEF}"/>
    <cellStyle name="40% - Énfasis5 2 3 4" xfId="823" xr:uid="{683591F6-E273-4A7E-AC0F-78B71B5BE6F4}"/>
    <cellStyle name="40% - Énfasis5 2 4" xfId="231" xr:uid="{E397ECF6-ECE5-41D3-B82C-801116776B47}"/>
    <cellStyle name="40% - Énfasis5 2 4 2" xfId="445" xr:uid="{A7007B6C-B863-4D48-9B55-4B96D9C35FE5}"/>
    <cellStyle name="40% - Énfasis5 2 4 3" xfId="656" xr:uid="{8BA3304F-5BDB-44E4-A3A8-4EAB1DAB5391}"/>
    <cellStyle name="40% - Énfasis5 2 4 4" xfId="867" xr:uid="{39408BF4-D998-4606-A287-C391F3F3D647}"/>
    <cellStyle name="40% - Énfasis5 2 5" xfId="296" xr:uid="{38ACE96B-0E26-4CD1-A857-CB284E9F6E26}"/>
    <cellStyle name="40% - Énfasis5 2 6" xfId="510" xr:uid="{3C09C05A-F5A8-4853-9F79-2898193172FF}"/>
    <cellStyle name="40% - Énfasis5 2 7" xfId="721" xr:uid="{6E5660E9-1398-4D53-B1B5-DE46DA17902B}"/>
    <cellStyle name="40% - Énfasis5 3" xfId="97" xr:uid="{96ABD878-E5DE-4E07-A822-2E33DCC8EA30}"/>
    <cellStyle name="40% - Énfasis5 3 2" xfId="316" xr:uid="{151334E4-ABD9-44F9-86DE-220A88617202}"/>
    <cellStyle name="40% - Énfasis5 3 3" xfId="530" xr:uid="{7F2C1204-C666-49D0-B6DA-8F471DB918F9}"/>
    <cellStyle name="40% - Énfasis5 3 4" xfId="741" xr:uid="{863FA7D3-2E70-4148-8ECD-0B6DCC1F993A}"/>
    <cellStyle name="40% - Énfasis5 4" xfId="165" xr:uid="{6826EFF3-6EC4-4740-9223-9D83C03EF3D8}"/>
    <cellStyle name="40% - Énfasis5 4 2" xfId="379" xr:uid="{250D20A7-80F8-4A50-B809-C4B677A370FD}"/>
    <cellStyle name="40% - Énfasis5 4 3" xfId="591" xr:uid="{C091AFEF-FFA4-4F57-8DD1-E82EF4005BD5}"/>
    <cellStyle name="40% - Énfasis5 4 4" xfId="802" xr:uid="{CC64BF7A-DC42-494D-A330-901D82145C47}"/>
    <cellStyle name="40% - Énfasis5 5" xfId="209" xr:uid="{8462D4B3-47AB-494A-BA40-BFFD5050D16B}"/>
    <cellStyle name="40% - Énfasis5 5 2" xfId="423" xr:uid="{4B4402B5-270C-411F-A772-51E267305BF4}"/>
    <cellStyle name="40% - Énfasis5 5 3" xfId="634" xr:uid="{DBF91C7A-BED8-4E84-A01A-2106985654B3}"/>
    <cellStyle name="40% - Énfasis5 5 4" xfId="845" xr:uid="{BC9CAC84-A3E3-4AEE-9F58-C882F331F2B8}"/>
    <cellStyle name="40% - Énfasis5 6" xfId="272" xr:uid="{B1CC505B-45C1-43E5-AFBE-5E7B512F2E32}"/>
    <cellStyle name="40% - Énfasis5 7" xfId="486" xr:uid="{1912E8EE-2EFD-4618-8F4D-C8241722BEF3}"/>
    <cellStyle name="40% - Énfasis5 8" xfId="697" xr:uid="{A733ABC0-8007-4C8E-A036-71D57CF152F4}"/>
    <cellStyle name="40% - Énfasis6" xfId="50" builtinId="51" customBuiltin="1"/>
    <cellStyle name="40% - Énfasis6 2" xfId="79" xr:uid="{9A5EF98F-453A-42CB-80B3-9446305FFBD6}"/>
    <cellStyle name="40% - Énfasis6 2 2" xfId="121" xr:uid="{C6F327F5-A0DD-41F9-B1B2-B511159F3A5E}"/>
    <cellStyle name="40% - Énfasis6 2 2 2" xfId="340" xr:uid="{C841A311-2929-4339-9C91-0E429C1FFF49}"/>
    <cellStyle name="40% - Énfasis6 2 2 3" xfId="554" xr:uid="{1AF0F937-27D6-4789-B183-4361E0975EFF}"/>
    <cellStyle name="40% - Énfasis6 2 2 4" xfId="765" xr:uid="{303FA38E-2C58-4D01-B795-68FA2BA94409}"/>
    <cellStyle name="40% - Énfasis6 2 3" xfId="189" xr:uid="{75674C7B-2C16-4295-897B-AAB767C0D367}"/>
    <cellStyle name="40% - Énfasis6 2 3 2" xfId="403" xr:uid="{53C7E926-FDA0-4D85-9A07-8B1801AB9E1C}"/>
    <cellStyle name="40% - Énfasis6 2 3 3" xfId="614" xr:uid="{5ACBA5ED-F031-4E2F-8993-1B2A4B15CF33}"/>
    <cellStyle name="40% - Énfasis6 2 3 4" xfId="825" xr:uid="{192E4FFF-365D-44CA-B506-F1AE198E78D0}"/>
    <cellStyle name="40% - Énfasis6 2 4" xfId="233" xr:uid="{877EB37B-154D-47A4-A53E-1D93C542B277}"/>
    <cellStyle name="40% - Énfasis6 2 4 2" xfId="447" xr:uid="{E6A9BA22-FF81-4ED9-A414-F370FFC390FE}"/>
    <cellStyle name="40% - Énfasis6 2 4 3" xfId="658" xr:uid="{C5681203-5EA0-4AA5-B54C-8599F937E707}"/>
    <cellStyle name="40% - Énfasis6 2 4 4" xfId="869" xr:uid="{732C6792-89E7-412D-B0C8-CB4CD04B8E42}"/>
    <cellStyle name="40% - Énfasis6 2 5" xfId="298" xr:uid="{BA9F2F3F-52B4-4E44-9AA0-D61A69E86DDD}"/>
    <cellStyle name="40% - Énfasis6 2 6" xfId="512" xr:uid="{E901A743-2FF1-47B5-8977-6E63C52D2A8C}"/>
    <cellStyle name="40% - Énfasis6 2 7" xfId="723" xr:uid="{9F676DFB-7001-4349-9104-96CD3A529ECB}"/>
    <cellStyle name="40% - Énfasis6 3" xfId="99" xr:uid="{0E844FCD-2B89-4341-A66A-505902309B20}"/>
    <cellStyle name="40% - Énfasis6 3 2" xfId="318" xr:uid="{280652AD-8502-410F-ABD4-0CADC88E6BDB}"/>
    <cellStyle name="40% - Énfasis6 3 3" xfId="532" xr:uid="{FDA17BF6-663E-4AB3-9E02-62226D73EA4A}"/>
    <cellStyle name="40% - Énfasis6 3 4" xfId="743" xr:uid="{0D8E82C1-AC68-47FB-A7FB-45645850399A}"/>
    <cellStyle name="40% - Énfasis6 4" xfId="167" xr:uid="{3FA39864-B974-4508-A640-8456222C673F}"/>
    <cellStyle name="40% - Énfasis6 4 2" xfId="381" xr:uid="{09EBD240-085B-4898-8BFD-D2361402CACD}"/>
    <cellStyle name="40% - Énfasis6 4 3" xfId="593" xr:uid="{9ED5A11A-F0EA-44F2-8B2D-459EFAA7F54D}"/>
    <cellStyle name="40% - Énfasis6 4 4" xfId="804" xr:uid="{68E66773-976D-431A-A1D0-4C473D3C8279}"/>
    <cellStyle name="40% - Énfasis6 5" xfId="211" xr:uid="{9430CB7E-D292-4315-948D-AC7736D78504}"/>
    <cellStyle name="40% - Énfasis6 5 2" xfId="425" xr:uid="{811EB9A0-0412-4BA3-BC8B-07A7EEE79518}"/>
    <cellStyle name="40% - Énfasis6 5 3" xfId="636" xr:uid="{430B515F-85C8-4BFA-B48E-9E15CA21CEAB}"/>
    <cellStyle name="40% - Énfasis6 5 4" xfId="847" xr:uid="{43CBDDBB-3318-4A19-8B1A-C85357330DE9}"/>
    <cellStyle name="40% - Énfasis6 6" xfId="274" xr:uid="{2B9EE51A-2F5F-4642-AD6C-584034303529}"/>
    <cellStyle name="40% - Énfasis6 7" xfId="488" xr:uid="{4B21D4FA-D88A-431F-8F96-A4F0B045DAB7}"/>
    <cellStyle name="40% - Énfasis6 8" xfId="699" xr:uid="{FA9DCB15-C1C9-40B3-A31C-2BFFAAA61413}"/>
    <cellStyle name="60% - Énfasis1 2" xfId="60" xr:uid="{81861CC2-361A-4535-8674-3117FC2BAF65}"/>
    <cellStyle name="60% - Énfasis1 2 2" xfId="80" xr:uid="{4A3BE930-878F-49B4-9651-AA439FCD4907}"/>
    <cellStyle name="60% - Énfasis1 2 2 2" xfId="122" xr:uid="{7AEE21BB-E63F-4969-B4B8-A876918A2B0F}"/>
    <cellStyle name="60% - Énfasis1 2 2 2 2" xfId="341" xr:uid="{F8C557D5-1DC2-4BD6-B36D-CACDC6AFFBBD}"/>
    <cellStyle name="60% - Énfasis1 2 2 2 3" xfId="555" xr:uid="{A6B9239D-1A83-499C-8207-097610230802}"/>
    <cellStyle name="60% - Énfasis1 2 2 2 4" xfId="766" xr:uid="{B349BB00-871B-4FCE-80C0-A87D30D11D58}"/>
    <cellStyle name="60% - Énfasis1 2 2 3" xfId="190" xr:uid="{6BF0CCF3-E712-4B5D-BB40-27D2368FE3B2}"/>
    <cellStyle name="60% - Énfasis1 2 2 3 2" xfId="404" xr:uid="{5E9C790B-FA22-435B-92CD-07CA8B2F4567}"/>
    <cellStyle name="60% - Énfasis1 2 2 3 3" xfId="615" xr:uid="{A3108D80-00BA-4C8E-BAAD-3DB00496B3A4}"/>
    <cellStyle name="60% - Énfasis1 2 2 3 4" xfId="826" xr:uid="{1AF6CAA1-3448-409D-B9B1-92F4B9C1EF4B}"/>
    <cellStyle name="60% - Énfasis1 2 2 4" xfId="234" xr:uid="{4931BC16-9EE1-4A8D-912F-FD5B9B1575ED}"/>
    <cellStyle name="60% - Énfasis1 2 2 4 2" xfId="448" xr:uid="{312F58B2-3B3F-471C-9707-B648A7844604}"/>
    <cellStyle name="60% - Énfasis1 2 2 4 3" xfId="659" xr:uid="{8B3A2FCD-6E0C-48B8-BA54-C3D1D28ABC48}"/>
    <cellStyle name="60% - Énfasis1 2 2 4 4" xfId="870" xr:uid="{544979BC-CB3D-48EA-BDAD-1111C8D1B12F}"/>
    <cellStyle name="60% - Énfasis1 2 2 5" xfId="299" xr:uid="{87899950-6829-4BB3-BD9E-C02C2B1477E7}"/>
    <cellStyle name="60% - Énfasis1 2 2 6" xfId="513" xr:uid="{BDC502C6-375B-4602-B8AA-97FEE4EF5385}"/>
    <cellStyle name="60% - Énfasis1 2 2 7" xfId="724" xr:uid="{FF7D629B-86C7-4A5B-8EF4-85D54D697BC7}"/>
    <cellStyle name="60% - Énfasis1 2 3" xfId="102" xr:uid="{A4F9B311-F141-46DA-9F2D-D81144DEB20D}"/>
    <cellStyle name="60% - Énfasis1 2 3 2" xfId="321" xr:uid="{AAD6D58C-CD68-4845-B4F1-DDBB334CE083}"/>
    <cellStyle name="60% - Énfasis1 2 3 3" xfId="535" xr:uid="{212C3A2B-993D-4743-A08D-F391841D6329}"/>
    <cellStyle name="60% - Énfasis1 2 3 4" xfId="746" xr:uid="{F93BBFC7-E990-4158-A41D-04588104E1E2}"/>
    <cellStyle name="60% - Énfasis1 2 4" xfId="170" xr:uid="{03524FC1-ADC1-4C7B-8FD3-E5E167EFA902}"/>
    <cellStyle name="60% - Énfasis1 2 4 2" xfId="384" xr:uid="{6DC87E06-7456-4A70-BF9C-F63C2C845411}"/>
    <cellStyle name="60% - Énfasis1 2 4 3" xfId="595" xr:uid="{8FD6BBF9-D9A7-42C5-B041-7B81C73C0A71}"/>
    <cellStyle name="60% - Énfasis1 2 4 4" xfId="806" xr:uid="{A638B086-120D-45B2-BF8A-EB6C27035006}"/>
    <cellStyle name="60% - Énfasis1 2 5" xfId="214" xr:uid="{A1D7D455-AEBD-40F0-A02B-672EE6B005EE}"/>
    <cellStyle name="60% - Énfasis1 2 5 2" xfId="428" xr:uid="{DCBBB732-1D34-4F34-99CE-BF2743E2C0C2}"/>
    <cellStyle name="60% - Énfasis1 2 5 3" xfId="639" xr:uid="{1FEE707C-A6CD-489C-939B-712B45664F93}"/>
    <cellStyle name="60% - Énfasis1 2 5 4" xfId="850" xr:uid="{616F8113-1C3B-4F07-BE16-B1439B1EBA0D}"/>
    <cellStyle name="60% - Énfasis1 2 6" xfId="279" xr:uid="{948638D1-D285-4EDC-AE6B-6C86AAAB9657}"/>
    <cellStyle name="60% - Énfasis1 2 7" xfId="493" xr:uid="{5779B08D-6894-4B5E-BA4C-ACC96923CB94}"/>
    <cellStyle name="60% - Énfasis1 2 8" xfId="704" xr:uid="{051435DD-B8E9-4834-997A-ACD873FF170B}"/>
    <cellStyle name="60% - Énfasis2 2" xfId="61" xr:uid="{98FB4BE6-5DA4-4E0B-91D8-2A667C9C787F}"/>
    <cellStyle name="60% - Énfasis2 2 2" xfId="81" xr:uid="{BCA65212-D75B-4BE0-AF6D-151E5E24647A}"/>
    <cellStyle name="60% - Énfasis2 2 2 2" xfId="123" xr:uid="{C9544FC2-4AFF-464E-86A0-57D5F81D4A70}"/>
    <cellStyle name="60% - Énfasis2 2 2 2 2" xfId="342" xr:uid="{8C8B6892-7709-4A3B-885E-E8BDC6B789C4}"/>
    <cellStyle name="60% - Énfasis2 2 2 2 3" xfId="556" xr:uid="{265FD7D0-5983-43C0-887A-27663D3BDF71}"/>
    <cellStyle name="60% - Énfasis2 2 2 2 4" xfId="767" xr:uid="{483D1FC2-266F-4A27-88A6-70EC5A67794B}"/>
    <cellStyle name="60% - Énfasis2 2 2 3" xfId="191" xr:uid="{79D804C0-F7B5-46EE-9F9E-2A6E6BB3E3EB}"/>
    <cellStyle name="60% - Énfasis2 2 2 3 2" xfId="405" xr:uid="{566F0A1F-77D0-4F28-8ECA-8CE33305740C}"/>
    <cellStyle name="60% - Énfasis2 2 2 3 3" xfId="616" xr:uid="{97FF105A-4209-45A6-A259-AA8780310490}"/>
    <cellStyle name="60% - Énfasis2 2 2 3 4" xfId="827" xr:uid="{BBDE9F50-A903-4BF5-B315-1F83CE122052}"/>
    <cellStyle name="60% - Énfasis2 2 2 4" xfId="235" xr:uid="{C2E5836E-6BCF-4163-B78D-A2BC7CC1E29B}"/>
    <cellStyle name="60% - Énfasis2 2 2 4 2" xfId="449" xr:uid="{F0A65F0D-2C79-401F-8B91-C7382EF81696}"/>
    <cellStyle name="60% - Énfasis2 2 2 4 3" xfId="660" xr:uid="{F11F150A-B868-493F-98AE-DFFDB7DF2D5F}"/>
    <cellStyle name="60% - Énfasis2 2 2 4 4" xfId="871" xr:uid="{17F28BC0-7A29-43A9-B7E8-4FAF92A0DC26}"/>
    <cellStyle name="60% - Énfasis2 2 2 5" xfId="300" xr:uid="{FE73E67F-9C8E-4211-AA12-A98BBAF3814D}"/>
    <cellStyle name="60% - Énfasis2 2 2 6" xfId="514" xr:uid="{87D1FD40-B9E8-4A4C-B79A-C7CA4C70A7F5}"/>
    <cellStyle name="60% - Énfasis2 2 2 7" xfId="725" xr:uid="{2199AE75-7761-40AC-83E3-04C7CC411713}"/>
    <cellStyle name="60% - Énfasis2 2 3" xfId="103" xr:uid="{DA2568BC-0204-42C5-A8BA-F7CE63BBFBFC}"/>
    <cellStyle name="60% - Énfasis2 2 3 2" xfId="322" xr:uid="{A1306F5A-95AF-4EF5-B455-E81D0D35F3FC}"/>
    <cellStyle name="60% - Énfasis2 2 3 3" xfId="536" xr:uid="{3080EAE4-BCA0-4F2C-A8E4-C4181995D237}"/>
    <cellStyle name="60% - Énfasis2 2 3 4" xfId="747" xr:uid="{54C9DCCB-6204-45B0-93D4-CB1AE6D1D8F5}"/>
    <cellStyle name="60% - Énfasis2 2 4" xfId="171" xr:uid="{DE4A8514-5DA2-4449-942B-098686048502}"/>
    <cellStyle name="60% - Énfasis2 2 4 2" xfId="385" xr:uid="{3F31C02D-1FDA-4D40-A42C-F5A49BCF7359}"/>
    <cellStyle name="60% - Énfasis2 2 4 3" xfId="596" xr:uid="{FF245FC4-2D15-49D3-9F4B-3E2C741E34CB}"/>
    <cellStyle name="60% - Énfasis2 2 4 4" xfId="807" xr:uid="{CD05EBAA-2685-45DD-ACE6-A849B89C83E4}"/>
    <cellStyle name="60% - Énfasis2 2 5" xfId="215" xr:uid="{A78E7759-0944-42B0-AD45-9720142C42C9}"/>
    <cellStyle name="60% - Énfasis2 2 5 2" xfId="429" xr:uid="{042B9442-697D-4642-BF40-70EAF56D0DCD}"/>
    <cellStyle name="60% - Énfasis2 2 5 3" xfId="640" xr:uid="{E047FC95-4FAD-4114-8B4C-D8D09CD3045C}"/>
    <cellStyle name="60% - Énfasis2 2 5 4" xfId="851" xr:uid="{3741F96A-E83B-4D3D-BAD5-B9A679E534B5}"/>
    <cellStyle name="60% - Énfasis2 2 6" xfId="280" xr:uid="{CD5B58E7-F354-4C3F-9513-0139371145A2}"/>
    <cellStyle name="60% - Énfasis2 2 7" xfId="494" xr:uid="{22750422-B4E4-499A-A226-DA60D06F7F3B}"/>
    <cellStyle name="60% - Énfasis2 2 8" xfId="705" xr:uid="{73C2B684-7095-4DF7-8DA5-BA6ACF0FF2BB}"/>
    <cellStyle name="60% - Énfasis3 2" xfId="62" xr:uid="{68C80591-FFD8-4D78-9758-6DABAABA4515}"/>
    <cellStyle name="60% - Énfasis3 2 2" xfId="82" xr:uid="{DCCFFA91-74AF-4919-A570-D0E9641EE231}"/>
    <cellStyle name="60% - Énfasis3 2 2 2" xfId="124" xr:uid="{3B37187A-3A2E-4743-B7CF-39CC8FBD9D5B}"/>
    <cellStyle name="60% - Énfasis3 2 2 2 2" xfId="343" xr:uid="{5F54DEE1-4687-4644-8C38-11DA67197F8F}"/>
    <cellStyle name="60% - Énfasis3 2 2 2 3" xfId="557" xr:uid="{C0234775-9C70-4E97-88DF-0FB1F7315385}"/>
    <cellStyle name="60% - Énfasis3 2 2 2 4" xfId="768" xr:uid="{214809EE-296A-4E0B-A037-00C233B424DB}"/>
    <cellStyle name="60% - Énfasis3 2 2 3" xfId="192" xr:uid="{741306C0-5FB0-4F58-93DD-D6F4000ED134}"/>
    <cellStyle name="60% - Énfasis3 2 2 3 2" xfId="406" xr:uid="{79E6D4EA-4DB4-4488-A84A-9D24E4C2F6BA}"/>
    <cellStyle name="60% - Énfasis3 2 2 3 3" xfId="617" xr:uid="{762B4CC5-1E59-4742-9204-1304D8E9EAAE}"/>
    <cellStyle name="60% - Énfasis3 2 2 3 4" xfId="828" xr:uid="{437D99AF-DBA1-4B59-8DF7-4C73AB4C2ACB}"/>
    <cellStyle name="60% - Énfasis3 2 2 4" xfId="236" xr:uid="{DD917F0B-1050-4FE9-A810-3B16D2D25A62}"/>
    <cellStyle name="60% - Énfasis3 2 2 4 2" xfId="450" xr:uid="{8EE87780-0315-4E79-9EDC-59B7A3B4CBCA}"/>
    <cellStyle name="60% - Énfasis3 2 2 4 3" xfId="661" xr:uid="{A2352984-3E1C-4A74-BEA7-7CBB2EEB2994}"/>
    <cellStyle name="60% - Énfasis3 2 2 4 4" xfId="872" xr:uid="{95FCA9E1-B7F9-4447-AAF4-935575B45FA6}"/>
    <cellStyle name="60% - Énfasis3 2 2 5" xfId="301" xr:uid="{6F30A391-FAD3-4C6F-8136-7CD7CBA82F8C}"/>
    <cellStyle name="60% - Énfasis3 2 2 6" xfId="515" xr:uid="{6E88F348-BACF-459D-BBB5-B1C49DB257BE}"/>
    <cellStyle name="60% - Énfasis3 2 2 7" xfId="726" xr:uid="{AE5D0506-E496-4775-8E3F-DC6701842E3F}"/>
    <cellStyle name="60% - Énfasis3 2 3" xfId="104" xr:uid="{876B95EF-447B-4A1F-9EAD-204A321A0597}"/>
    <cellStyle name="60% - Énfasis3 2 3 2" xfId="323" xr:uid="{F7E78CCF-5762-4BEC-8BAA-7BF961092D9B}"/>
    <cellStyle name="60% - Énfasis3 2 3 3" xfId="537" xr:uid="{537B7A71-129F-4334-AE8F-90AC1B8965BA}"/>
    <cellStyle name="60% - Énfasis3 2 3 4" xfId="748" xr:uid="{469C51A7-190F-4402-B61C-59C8399608BE}"/>
    <cellStyle name="60% - Énfasis3 2 4" xfId="172" xr:uid="{015421A2-B5A1-4330-ACB1-E65A44433C0A}"/>
    <cellStyle name="60% - Énfasis3 2 4 2" xfId="386" xr:uid="{026A45CD-B0E4-4AA3-BEB2-935FD338809B}"/>
    <cellStyle name="60% - Énfasis3 2 4 3" xfId="597" xr:uid="{7A9E1952-80B9-4B35-AFC1-EAC79BE06F16}"/>
    <cellStyle name="60% - Énfasis3 2 4 4" xfId="808" xr:uid="{D7C44AD8-F75E-4FAC-A706-04128245AB01}"/>
    <cellStyle name="60% - Énfasis3 2 5" xfId="216" xr:uid="{9A7BEE63-367A-4B47-893D-7EA1F61DE9C8}"/>
    <cellStyle name="60% - Énfasis3 2 5 2" xfId="430" xr:uid="{837D8889-6C84-49D5-9804-D37E69F06415}"/>
    <cellStyle name="60% - Énfasis3 2 5 3" xfId="641" xr:uid="{DD012595-41AE-46D0-A03B-5CB6EC920676}"/>
    <cellStyle name="60% - Énfasis3 2 5 4" xfId="852" xr:uid="{0F6A0EDB-2534-42CC-B270-49C85EF5FE6D}"/>
    <cellStyle name="60% - Énfasis3 2 6" xfId="281" xr:uid="{7623C9A1-7073-4ED4-86E0-3154B43B28C4}"/>
    <cellStyle name="60% - Énfasis3 2 7" xfId="495" xr:uid="{1F3C3EFF-DAD0-46A3-8422-02BD1598D5B4}"/>
    <cellStyle name="60% - Énfasis3 2 8" xfId="706" xr:uid="{B93851BB-999B-417E-8EDB-B21FE5A8F995}"/>
    <cellStyle name="60% - Énfasis4 2" xfId="63" xr:uid="{8B1CF004-959F-4F16-9977-58C1002438A0}"/>
    <cellStyle name="60% - Énfasis4 2 2" xfId="83" xr:uid="{49A4BF28-E667-43C4-974C-40F00980A874}"/>
    <cellStyle name="60% - Énfasis4 2 2 2" xfId="125" xr:uid="{68CBA4CF-DAC7-4272-A754-9D843ABA2A85}"/>
    <cellStyle name="60% - Énfasis4 2 2 2 2" xfId="344" xr:uid="{FD714BE0-1CD2-4251-B00B-7134762FE29A}"/>
    <cellStyle name="60% - Énfasis4 2 2 2 3" xfId="558" xr:uid="{2F06426E-0626-4AD1-809D-1BEA3A3D8060}"/>
    <cellStyle name="60% - Énfasis4 2 2 2 4" xfId="769" xr:uid="{4ECA8839-4160-4368-AFC2-6A9DA39A5717}"/>
    <cellStyle name="60% - Énfasis4 2 2 3" xfId="193" xr:uid="{C59B5E59-1144-450A-956F-491C14656F96}"/>
    <cellStyle name="60% - Énfasis4 2 2 3 2" xfId="407" xr:uid="{AE026491-00EE-4410-A180-93403E1060AB}"/>
    <cellStyle name="60% - Énfasis4 2 2 3 3" xfId="618" xr:uid="{3CED24CB-0B95-4659-B67C-497A98557361}"/>
    <cellStyle name="60% - Énfasis4 2 2 3 4" xfId="829" xr:uid="{B6861A1F-9CD3-4E94-98E7-6BC683209796}"/>
    <cellStyle name="60% - Énfasis4 2 2 4" xfId="237" xr:uid="{798894C1-948B-4053-BB80-1D9A3B41275B}"/>
    <cellStyle name="60% - Énfasis4 2 2 4 2" xfId="451" xr:uid="{691D5269-9A39-47D3-8948-B09685FA2474}"/>
    <cellStyle name="60% - Énfasis4 2 2 4 3" xfId="662" xr:uid="{2D37622B-1424-4D34-B895-51D2EF943B0F}"/>
    <cellStyle name="60% - Énfasis4 2 2 4 4" xfId="873" xr:uid="{5E2D7928-0B36-49B8-8471-F625E2F78E30}"/>
    <cellStyle name="60% - Énfasis4 2 2 5" xfId="302" xr:uid="{644E181F-0906-4F1E-AF5C-408BB9C0560C}"/>
    <cellStyle name="60% - Énfasis4 2 2 6" xfId="516" xr:uid="{CF4319BB-5FE8-4226-B22E-1863B5538E39}"/>
    <cellStyle name="60% - Énfasis4 2 2 7" xfId="727" xr:uid="{CD2E935C-9FDE-4AF3-AE43-C2E1081F19BD}"/>
    <cellStyle name="60% - Énfasis4 2 3" xfId="105" xr:uid="{82D5CB8A-F1FC-4A54-AB68-EC7D47C36BD5}"/>
    <cellStyle name="60% - Énfasis4 2 3 2" xfId="324" xr:uid="{086C248E-ED44-4A80-9719-47FF06808C14}"/>
    <cellStyle name="60% - Énfasis4 2 3 3" xfId="538" xr:uid="{E8F8A879-253B-4904-9816-03EE6DD0770B}"/>
    <cellStyle name="60% - Énfasis4 2 3 4" xfId="749" xr:uid="{E9D40A19-0DFA-4CDA-B3EB-D60EC6DBAAD9}"/>
    <cellStyle name="60% - Énfasis4 2 4" xfId="173" xr:uid="{658620AE-0CDF-4A6E-84E1-13342BEC4820}"/>
    <cellStyle name="60% - Énfasis4 2 4 2" xfId="387" xr:uid="{DA6CF5E8-B3D2-44B6-B86B-F472141A5FE0}"/>
    <cellStyle name="60% - Énfasis4 2 4 3" xfId="598" xr:uid="{C8F44B57-DB7B-402F-A52E-66E169316D61}"/>
    <cellStyle name="60% - Énfasis4 2 4 4" xfId="809" xr:uid="{7058E2D0-B66E-4B63-85A9-51E1CB17CDB9}"/>
    <cellStyle name="60% - Énfasis4 2 5" xfId="217" xr:uid="{BF408638-DF35-4A7C-8A3E-211D02B54E4A}"/>
    <cellStyle name="60% - Énfasis4 2 5 2" xfId="431" xr:uid="{EAA929E6-0BA8-4DE3-B582-9484E51F71FC}"/>
    <cellStyle name="60% - Énfasis4 2 5 3" xfId="642" xr:uid="{681D7F2A-2938-4352-B38B-F909B4D891A5}"/>
    <cellStyle name="60% - Énfasis4 2 5 4" xfId="853" xr:uid="{FCC689DF-E5EC-4BB5-AA9A-4F627DD5B03F}"/>
    <cellStyle name="60% - Énfasis4 2 6" xfId="282" xr:uid="{52E41A22-C749-4589-9612-FA138270DDA8}"/>
    <cellStyle name="60% - Énfasis4 2 7" xfId="496" xr:uid="{2AAF4DE7-A828-47A0-B0F4-B8A521AFD538}"/>
    <cellStyle name="60% - Énfasis4 2 8" xfId="707" xr:uid="{C53DDA26-7924-43C7-838D-2BBAD4EC05F5}"/>
    <cellStyle name="60% - Énfasis5 2" xfId="64" xr:uid="{685FAAFA-D1CE-4E1C-A16F-3879C02C43B4}"/>
    <cellStyle name="60% - Énfasis5 2 2" xfId="84" xr:uid="{1E24C20B-F700-44F2-91DC-F3CF515F889F}"/>
    <cellStyle name="60% - Énfasis5 2 2 2" xfId="126" xr:uid="{065809BE-D449-493C-BB7C-5C6982FFD752}"/>
    <cellStyle name="60% - Énfasis5 2 2 2 2" xfId="345" xr:uid="{0227CAA5-9BAF-46D1-AF97-B62E883BDC42}"/>
    <cellStyle name="60% - Énfasis5 2 2 2 3" xfId="559" xr:uid="{CB83DCF5-217D-4C59-99FF-677657C7935E}"/>
    <cellStyle name="60% - Énfasis5 2 2 2 4" xfId="770" xr:uid="{4CFAD34D-D19E-40FC-BF66-632EF1C16D46}"/>
    <cellStyle name="60% - Énfasis5 2 2 3" xfId="194" xr:uid="{F41F4565-8C29-4D17-A33E-0053A34317EE}"/>
    <cellStyle name="60% - Énfasis5 2 2 3 2" xfId="408" xr:uid="{4456D860-323F-439D-8B82-2E5E580E1610}"/>
    <cellStyle name="60% - Énfasis5 2 2 3 3" xfId="619" xr:uid="{6EBC5E3F-FFE2-4CCD-A7AA-A51268491873}"/>
    <cellStyle name="60% - Énfasis5 2 2 3 4" xfId="830" xr:uid="{84AA6066-15DA-4094-970D-231129B8B5FA}"/>
    <cellStyle name="60% - Énfasis5 2 2 4" xfId="238" xr:uid="{654005E4-E301-4981-981B-54D9DFCE2E3D}"/>
    <cellStyle name="60% - Énfasis5 2 2 4 2" xfId="452" xr:uid="{7C727273-1847-411F-A02B-570757EE5F55}"/>
    <cellStyle name="60% - Énfasis5 2 2 4 3" xfId="663" xr:uid="{DF0A5551-686C-4FCA-8B99-CF68C5CB5A96}"/>
    <cellStyle name="60% - Énfasis5 2 2 4 4" xfId="874" xr:uid="{74746BFD-2B62-4DB9-9EE0-2A64BC4F5908}"/>
    <cellStyle name="60% - Énfasis5 2 2 5" xfId="303" xr:uid="{D8D65407-6A29-437C-A714-308BCC1EED73}"/>
    <cellStyle name="60% - Énfasis5 2 2 6" xfId="517" xr:uid="{799B7A33-D7BF-42D3-AB3D-2F1F5AD89F87}"/>
    <cellStyle name="60% - Énfasis5 2 2 7" xfId="728" xr:uid="{911E7524-89AA-4266-BFE1-EA6923726430}"/>
    <cellStyle name="60% - Énfasis5 2 3" xfId="106" xr:uid="{96437530-B70D-43CA-84FE-2A223A8EFA72}"/>
    <cellStyle name="60% - Énfasis5 2 3 2" xfId="325" xr:uid="{0F35D684-F5D3-42C0-ABFA-7170F06B70F9}"/>
    <cellStyle name="60% - Énfasis5 2 3 3" xfId="539" xr:uid="{54EB194E-73FD-485B-AB52-654DF33903A7}"/>
    <cellStyle name="60% - Énfasis5 2 3 4" xfId="750" xr:uid="{E1A45C25-1586-4737-82FE-D4E422409DB7}"/>
    <cellStyle name="60% - Énfasis5 2 4" xfId="174" xr:uid="{D0BBCD8A-45AF-4595-866A-497DAE01066D}"/>
    <cellStyle name="60% - Énfasis5 2 4 2" xfId="388" xr:uid="{C9F71834-E780-4321-B883-8E1C74080065}"/>
    <cellStyle name="60% - Énfasis5 2 4 3" xfId="599" xr:uid="{0C1183D5-47B3-44E5-8456-E0C5C3CE2489}"/>
    <cellStyle name="60% - Énfasis5 2 4 4" xfId="810" xr:uid="{DC83A50B-EE23-4C32-A082-EEFBDBCDF8C1}"/>
    <cellStyle name="60% - Énfasis5 2 5" xfId="218" xr:uid="{D341961E-E924-4FA2-BD65-D019F9987CF4}"/>
    <cellStyle name="60% - Énfasis5 2 5 2" xfId="432" xr:uid="{F45734F3-29DD-4B7E-BC8A-D5DA2D194A15}"/>
    <cellStyle name="60% - Énfasis5 2 5 3" xfId="643" xr:uid="{C0477310-BB4B-4A09-A105-69D4DDA8CFAA}"/>
    <cellStyle name="60% - Énfasis5 2 5 4" xfId="854" xr:uid="{0FA30D59-FBEC-4B1C-874E-B35C7352DFDA}"/>
    <cellStyle name="60% - Énfasis5 2 6" xfId="283" xr:uid="{375F1B1C-17AF-440B-B272-DAA0E664136A}"/>
    <cellStyle name="60% - Énfasis5 2 7" xfId="497" xr:uid="{E628AEC3-FA88-403B-AE8C-399B9E2097CA}"/>
    <cellStyle name="60% - Énfasis5 2 8" xfId="708" xr:uid="{F438DB3D-AD90-48E0-AC43-1FB196FCE604}"/>
    <cellStyle name="60% - Énfasis6 2" xfId="65" xr:uid="{4C7A0BA7-1BB8-46D0-81C9-5CADE85477E1}"/>
    <cellStyle name="60% - Énfasis6 2 2" xfId="85" xr:uid="{D7AD713F-D245-496C-A58D-DAB72D4847C3}"/>
    <cellStyle name="60% - Énfasis6 2 2 2" xfId="127" xr:uid="{B265622C-E204-4D65-B238-7F3921BCBE84}"/>
    <cellStyle name="60% - Énfasis6 2 2 2 2" xfId="346" xr:uid="{BEEB4EDD-4AAD-4AA0-8DCB-928EB11676E9}"/>
    <cellStyle name="60% - Énfasis6 2 2 2 3" xfId="560" xr:uid="{310A2DFC-6894-4026-A34B-282E0C559836}"/>
    <cellStyle name="60% - Énfasis6 2 2 2 4" xfId="771" xr:uid="{717982F3-C5D4-4665-861F-630353618480}"/>
    <cellStyle name="60% - Énfasis6 2 2 3" xfId="195" xr:uid="{E4E7AEA8-F08F-45CF-A425-8BAA7BC3EC7A}"/>
    <cellStyle name="60% - Énfasis6 2 2 3 2" xfId="409" xr:uid="{EBF655B6-1FF9-46C0-A818-96B47F74EAA1}"/>
    <cellStyle name="60% - Énfasis6 2 2 3 3" xfId="620" xr:uid="{AD768293-5654-42A7-A514-8E9EAD1A8FA8}"/>
    <cellStyle name="60% - Énfasis6 2 2 3 4" xfId="831" xr:uid="{971F5C3F-C0CF-4826-89B1-74F08802ECB7}"/>
    <cellStyle name="60% - Énfasis6 2 2 4" xfId="239" xr:uid="{D541AEFA-F1FC-4F01-BB95-A0CBB540DB51}"/>
    <cellStyle name="60% - Énfasis6 2 2 4 2" xfId="453" xr:uid="{D35CBA2A-46CC-44D6-B068-9DA629B46A4C}"/>
    <cellStyle name="60% - Énfasis6 2 2 4 3" xfId="664" xr:uid="{0E695CA8-CEB0-4E49-A14E-1AEBF9B08393}"/>
    <cellStyle name="60% - Énfasis6 2 2 4 4" xfId="875" xr:uid="{4E0ED1D6-38D8-4095-A056-8F3C2C77112E}"/>
    <cellStyle name="60% - Énfasis6 2 2 5" xfId="304" xr:uid="{A17A3D99-38EE-4528-AE25-E48F3F270A25}"/>
    <cellStyle name="60% - Énfasis6 2 2 6" xfId="518" xr:uid="{ACD00683-2A4F-46D6-A5B0-0B805705F463}"/>
    <cellStyle name="60% - Énfasis6 2 2 7" xfId="729" xr:uid="{2BE22364-20F0-42B2-B516-69AC77DC59CC}"/>
    <cellStyle name="60% - Énfasis6 2 3" xfId="107" xr:uid="{C6F77DC6-2B92-4D0B-82F2-F27B67E1E694}"/>
    <cellStyle name="60% - Énfasis6 2 3 2" xfId="326" xr:uid="{8BFFBD04-1400-49AF-B12F-3F77950A886F}"/>
    <cellStyle name="60% - Énfasis6 2 3 3" xfId="540" xr:uid="{0C1E0294-D8A2-41CD-9B80-F46B03F7ACD4}"/>
    <cellStyle name="60% - Énfasis6 2 3 4" xfId="751" xr:uid="{97022B3C-13AC-4C8B-94EE-916925794F39}"/>
    <cellStyle name="60% - Énfasis6 2 4" xfId="175" xr:uid="{58E55956-B9C5-4811-95CA-1ADDA7A2CB43}"/>
    <cellStyle name="60% - Énfasis6 2 4 2" xfId="389" xr:uid="{6D125A3B-29CA-428B-9827-8DF3D077B6A5}"/>
    <cellStyle name="60% - Énfasis6 2 4 3" xfId="600" xr:uid="{C0818445-26F5-4E3C-B0DB-179C8535E896}"/>
    <cellStyle name="60% - Énfasis6 2 4 4" xfId="811" xr:uid="{6BF7223C-238F-402D-84BD-AD0FA39C6A1D}"/>
    <cellStyle name="60% - Énfasis6 2 5" xfId="219" xr:uid="{5406353B-B291-4250-88CC-2CE80D93000B}"/>
    <cellStyle name="60% - Énfasis6 2 5 2" xfId="433" xr:uid="{815BCE5C-BBBF-42A4-BE57-A60A68BEC252}"/>
    <cellStyle name="60% - Énfasis6 2 5 3" xfId="644" xr:uid="{AF7BF1FA-B1C3-4759-A7AC-D72654D61509}"/>
    <cellStyle name="60% - Énfasis6 2 5 4" xfId="855" xr:uid="{45144A91-D01F-4AD4-90A2-1C219B794BD6}"/>
    <cellStyle name="60% - Énfasis6 2 6" xfId="284" xr:uid="{907BCBC5-9852-47DA-9396-0DE0F881156D}"/>
    <cellStyle name="60% - Énfasis6 2 7" xfId="498" xr:uid="{C66C23F7-80BF-4D0C-B0F3-4EDD2A81D301}"/>
    <cellStyle name="60% - Énfasis6 2 8" xfId="709" xr:uid="{ED47C0D9-8097-4B50-8740-716D0B577E3C}"/>
    <cellStyle name="Bueno" xfId="23" builtinId="26" customBuiltin="1"/>
    <cellStyle name="Cálculo" xfId="27" builtinId="22" customBuiltin="1"/>
    <cellStyle name="Celda de comprobación" xfId="29" builtinId="23" customBuiltin="1"/>
    <cellStyle name="Celda vinculada" xfId="28" builtinId="24" customBuiltin="1"/>
    <cellStyle name="Encabezado 1" xfId="19" builtinId="16" customBuiltin="1"/>
    <cellStyle name="Encabezado 4" xfId="22" builtinId="19" customBuiltin="1"/>
    <cellStyle name="Énfasis1" xfId="33" builtinId="29" customBuiltin="1"/>
    <cellStyle name="Énfasis2" xfId="36" builtinId="33" customBuiltin="1"/>
    <cellStyle name="Énfasis3" xfId="39" builtinId="37" customBuiltin="1"/>
    <cellStyle name="Énfasis4" xfId="42" builtinId="41" customBuiltin="1"/>
    <cellStyle name="Énfasis5" xfId="45" builtinId="45" customBuiltin="1"/>
    <cellStyle name="Énfasis6" xfId="48" builtinId="49" customBuiltin="1"/>
    <cellStyle name="Entrada" xfId="25" builtinId="20" customBuiltin="1"/>
    <cellStyle name="Incorrecto" xfId="24" builtinId="27" customBuiltin="1"/>
    <cellStyle name="Millares 2" xfId="1" xr:uid="{00000000-0005-0000-0000-000000000000}"/>
    <cellStyle name="Millares 2 2" xfId="10" xr:uid="{00000000-0005-0000-0000-000001000000}"/>
    <cellStyle name="Millares 2 2 2" xfId="128" xr:uid="{9B7B21B7-5E36-4BC1-A695-2B15F837D669}"/>
    <cellStyle name="Millares 2 2 2 2" xfId="347" xr:uid="{3CBA25B0-05CE-4DAC-974B-27DB42C8240A}"/>
    <cellStyle name="Millares 2 2 2 3" xfId="561" xr:uid="{261CCA18-85A0-4924-BD11-144588243450}"/>
    <cellStyle name="Millares 2 2 2 4" xfId="772" xr:uid="{191A5114-EC38-4A20-A36C-AF9D6CDE0058}"/>
    <cellStyle name="Millares 2 2 3" xfId="135" xr:uid="{F4F76492-494F-4EED-B11F-113FBF72DCB0}"/>
    <cellStyle name="Millares 2 2 3 2" xfId="354" xr:uid="{C8E17689-68F4-4D3D-9B54-6946990CAE51}"/>
    <cellStyle name="Millares 2 2 3 3" xfId="568" xr:uid="{513A8183-9923-469D-AD4B-DABE9BC5305A}"/>
    <cellStyle name="Millares 2 2 3 4" xfId="779" xr:uid="{80384CB8-1F88-4CFB-816F-2CDFB8B5D242}"/>
    <cellStyle name="Millares 2 2 4" xfId="145" xr:uid="{93282EF5-FA48-49A7-A4F4-5F8A2124CBE3}"/>
    <cellStyle name="Millares 2 2 4 2" xfId="363" xr:uid="{CDFEEB29-F764-4EFA-82F8-46CFAFA462D0}"/>
    <cellStyle name="Millares 2 2 4 3" xfId="576" xr:uid="{24032F99-8F79-4BC2-B877-60CD900E9C4A}"/>
    <cellStyle name="Millares 2 2 4 4" xfId="787" xr:uid="{AA9CF93A-E973-474F-B549-7E511B18E8D8}"/>
    <cellStyle name="Millares 2 2 5" xfId="240" xr:uid="{AB888C43-BF8C-4F6B-B936-4AB134899D86}"/>
    <cellStyle name="Millares 2 2 5 2" xfId="454" xr:uid="{FFF1BAC8-565C-450D-9C75-55E721198AD3}"/>
    <cellStyle name="Millares 2 2 5 3" xfId="665" xr:uid="{B0F550D2-405F-46CC-B5F2-15FBAC5BDF67}"/>
    <cellStyle name="Millares 2 2 5 4" xfId="876" xr:uid="{D2DF6D92-665B-4E46-B7AE-E9C684882B5D}"/>
    <cellStyle name="Millares 2 2 6" xfId="247" xr:uid="{F0C82377-B1D3-4473-B17A-A5968C0354E6}"/>
    <cellStyle name="Millares 2 2 6 2" xfId="461" xr:uid="{8B32CFE6-C065-45F0-A8E6-DD429E4BA1B6}"/>
    <cellStyle name="Millares 2 2 6 3" xfId="672" xr:uid="{925F8D1B-ED40-4A64-B326-EF8D6585FEE6}"/>
    <cellStyle name="Millares 2 2 6 4" xfId="883" xr:uid="{A473E8D1-EF51-421E-BF8D-156DA605FFD1}"/>
    <cellStyle name="Millares 2 2 7" xfId="255" xr:uid="{E755D69C-DACE-49D8-BDFC-F22447F56347}"/>
    <cellStyle name="Millares 2 2 8" xfId="469" xr:uid="{700993F3-5241-4C60-AC89-34E40F1836BD}"/>
    <cellStyle name="Millares 2 2 9" xfId="680" xr:uid="{C59065BC-2E50-4FCB-B695-C50B8A8750D6}"/>
    <cellStyle name="Millares 2 3" xfId="52" xr:uid="{7072B5A8-2854-479B-85AA-2C92B7A81521}"/>
    <cellStyle name="Millares 2 4" xfId="144" xr:uid="{086F320D-8110-4E52-95B9-403F4D812AC7}"/>
    <cellStyle name="Millares 2 4 2" xfId="362" xr:uid="{208AE4FC-D0F4-46CD-9C7B-6530FCD6DEC1}"/>
    <cellStyle name="Neutral 2" xfId="59" xr:uid="{F3662F93-9593-4530-857F-2262BA4596A0}"/>
    <cellStyle name="Normal" xfId="0" builtinId="0"/>
    <cellStyle name="Normal 10" xfId="889" xr:uid="{8391E5B5-B69F-40C8-B802-14F46B359E06}"/>
    <cellStyle name="Normal 11" xfId="890" xr:uid="{15B4DB87-FF4D-4F49-AC55-07AB13184CCB}"/>
    <cellStyle name="Normal 12" xfId="891" xr:uid="{C19520C5-0B6E-4A03-9F17-8F075532524C}"/>
    <cellStyle name="Normal 2" xfId="2" xr:uid="{00000000-0005-0000-0000-000003000000}"/>
    <cellStyle name="Normal 2 10" xfId="151" xr:uid="{CD02EF27-0B6A-48AC-9B3A-81CAD5598340}"/>
    <cellStyle name="Normal 2 11" xfId="196" xr:uid="{F7149CDB-F284-45B3-AE17-43B24719211D}"/>
    <cellStyle name="Normal 2 11 2" xfId="410" xr:uid="{EA3E835E-A200-49D4-A596-89699671F6B8}"/>
    <cellStyle name="Normal 2 11 3" xfId="621" xr:uid="{3F6344A2-0345-4C81-86FC-01DD3ADE779B}"/>
    <cellStyle name="Normal 2 11 4" xfId="832" xr:uid="{28889AA5-D284-4D15-AE5E-D2214294E2CC}"/>
    <cellStyle name="Normal 2 12" xfId="198" xr:uid="{2314B1BA-30D2-44F8-87BC-A42D89E9AE09}"/>
    <cellStyle name="Normal 2 12 2" xfId="412" xr:uid="{BF68F60D-4C12-4781-B1A3-EC7A8A41F193}"/>
    <cellStyle name="Normal 2 12 3" xfId="623" xr:uid="{730309A5-B9EE-4A7E-9D06-A487727BF67B}"/>
    <cellStyle name="Normal 2 12 4" xfId="834" xr:uid="{B1BB1A8E-AA14-4102-B78B-228DF4C9BE5A}"/>
    <cellStyle name="Normal 2 13" xfId="245" xr:uid="{A5CA73B8-E782-4DEF-BAA2-F1FFFF0B6CC5}"/>
    <cellStyle name="Normal 2 13 2" xfId="459" xr:uid="{F3D08597-D684-4A5D-8C1A-E4E6C5F96C05}"/>
    <cellStyle name="Normal 2 13 3" xfId="670" xr:uid="{E71B5584-A783-4328-8B17-20439E77339B}"/>
    <cellStyle name="Normal 2 13 4" xfId="881" xr:uid="{E5056EF1-F3DB-4723-86D8-872EEEBF00F2}"/>
    <cellStyle name="Normal 2 14" xfId="253" xr:uid="{66C95A78-74A4-463F-B17C-A1326AA4372E}"/>
    <cellStyle name="Normal 2 15" xfId="467" xr:uid="{52C570BA-F266-4F80-BCA9-CEFE6B25B560}"/>
    <cellStyle name="Normal 2 16" xfId="678" xr:uid="{E2CC3DB1-6C65-460E-9CEA-2A570B5140D1}"/>
    <cellStyle name="Normal 2 2" xfId="3" xr:uid="{00000000-0005-0000-0000-000004000000}"/>
    <cellStyle name="Normal 2 2 2" xfId="154" xr:uid="{AC13B57A-E37D-43B9-8748-60DD6FEB4705}"/>
    <cellStyle name="Normal 2 3" xfId="11" xr:uid="{00000000-0005-0000-0000-000005000000}"/>
    <cellStyle name="Normal 2 3 2" xfId="129" xr:uid="{67DC5CAC-DC65-4F38-98FC-4CD8EEE89A93}"/>
    <cellStyle name="Normal 2 3 2 2" xfId="348" xr:uid="{B29C7C9A-B3E4-45A7-93E3-B5A868998AC5}"/>
    <cellStyle name="Normal 2 3 2 3" xfId="562" xr:uid="{0A515777-A323-4403-ADD8-1F8CAEF3A177}"/>
    <cellStyle name="Normal 2 3 2 4" xfId="773" xr:uid="{6192EC69-A84E-414E-9FC5-1468A98128B6}"/>
    <cellStyle name="Normal 2 3 3" xfId="136" xr:uid="{AA588E50-2FA2-4549-A171-8B36B7F9598D}"/>
    <cellStyle name="Normal 2 3 3 2" xfId="355" xr:uid="{290F17A4-7795-459F-89F6-9DACB1BC5DF5}"/>
    <cellStyle name="Normal 2 3 3 3" xfId="569" xr:uid="{62653925-5E22-42EA-A44A-EFA5E6F4904D}"/>
    <cellStyle name="Normal 2 3 3 4" xfId="780" xr:uid="{28AB9C4E-A5B0-45DE-BF8E-E5D12D2541F1}"/>
    <cellStyle name="Normal 2 3 4" xfId="146" xr:uid="{B17C151D-03AE-4328-9954-8596A05BDADD}"/>
    <cellStyle name="Normal 2 3 4 2" xfId="364" xr:uid="{CFA1EE55-F5D4-4182-B0ED-B2FB752564FD}"/>
    <cellStyle name="Normal 2 3 4 3" xfId="577" xr:uid="{105B656B-B9AE-453D-9601-2BDE491F1C4B}"/>
    <cellStyle name="Normal 2 3 4 4" xfId="788" xr:uid="{E83C0B81-0B2B-41B6-8450-AEF752174AB5}"/>
    <cellStyle name="Normal 2 3 5" xfId="241" xr:uid="{1E81542E-CFB5-497D-AB47-6661B487073D}"/>
    <cellStyle name="Normal 2 3 5 2" xfId="455" xr:uid="{A7926B75-2D22-4185-98CA-859DB2725F5A}"/>
    <cellStyle name="Normal 2 3 5 3" xfId="666" xr:uid="{243448D1-5842-4FA5-B19F-FFDCCAADED09}"/>
    <cellStyle name="Normal 2 3 5 4" xfId="877" xr:uid="{BD46BE5B-9737-4907-BF6C-FC2E957E5056}"/>
    <cellStyle name="Normal 2 3 6" xfId="248" xr:uid="{9E35EA79-DAFF-49A1-98BA-E8035E5866E9}"/>
    <cellStyle name="Normal 2 3 6 2" xfId="462" xr:uid="{79A7E18E-7758-4950-BF88-9C2BB7C2A1E4}"/>
    <cellStyle name="Normal 2 3 6 3" xfId="673" xr:uid="{7D066CC7-DA46-4D4C-B3AF-0E0B2624CA9B}"/>
    <cellStyle name="Normal 2 3 6 4" xfId="884" xr:uid="{526634BB-4B74-46E0-A068-CD98D6EE5E48}"/>
    <cellStyle name="Normal 2 3 7" xfId="256" xr:uid="{537D56BA-3355-4285-B0FF-EF1108201D67}"/>
    <cellStyle name="Normal 2 3 8" xfId="470" xr:uid="{285FB35B-66DE-44CF-8A3D-2FDAD9E10401}"/>
    <cellStyle name="Normal 2 3 9" xfId="681" xr:uid="{F2B5E666-4A02-4295-9D41-8C84EAE656D3}"/>
    <cellStyle name="Normal 2 4" xfId="15" xr:uid="{00000000-0005-0000-0000-000006000000}"/>
    <cellStyle name="Normal 2 4 2" xfId="131" xr:uid="{FB4DF628-4654-4734-A673-41D09C2E0ED8}"/>
    <cellStyle name="Normal 2 4 2 2" xfId="350" xr:uid="{D2C68FFF-5C8B-4D93-BEF1-C1CB23F832FE}"/>
    <cellStyle name="Normal 2 4 2 3" xfId="564" xr:uid="{1A975671-C636-4B27-8122-4B71664EBD0D}"/>
    <cellStyle name="Normal 2 4 2 4" xfId="775" xr:uid="{94191A79-F628-476D-B695-CC22336142E3}"/>
    <cellStyle name="Normal 2 4 3" xfId="139" xr:uid="{A14D9C04-E895-4963-861D-DA1A3E07E9E8}"/>
    <cellStyle name="Normal 2 4 3 2" xfId="358" xr:uid="{B54ABE45-B401-4E91-9E65-8C663B5C9733}"/>
    <cellStyle name="Normal 2 4 3 3" xfId="572" xr:uid="{43BE99D2-0C60-488C-B6E0-8C16169C6F4A}"/>
    <cellStyle name="Normal 2 4 3 4" xfId="783" xr:uid="{4B7C5557-838A-45B1-9E03-B9FA204BB846}"/>
    <cellStyle name="Normal 2 4 4" xfId="149" xr:uid="{DC364D84-3254-4CA6-AD32-67A26B112610}"/>
    <cellStyle name="Normal 2 4 4 2" xfId="367" xr:uid="{CDFF0D47-4725-40C2-9927-5333E420E673}"/>
    <cellStyle name="Normal 2 4 4 3" xfId="580" xr:uid="{92A11460-FD1D-4D37-AFB3-0664A3DAC2C5}"/>
    <cellStyle name="Normal 2 4 4 4" xfId="791" xr:uid="{5DDC0019-A02F-4546-8D26-0C9633771901}"/>
    <cellStyle name="Normal 2 4 5" xfId="243" xr:uid="{D3E502E4-A07C-4FD2-AF6C-204F5D3EB516}"/>
    <cellStyle name="Normal 2 4 5 2" xfId="457" xr:uid="{763B71F8-E404-45DA-B55C-B9438DA22483}"/>
    <cellStyle name="Normal 2 4 5 3" xfId="668" xr:uid="{A02E3C0A-CE36-44B8-A3E1-3C96FAEBF82A}"/>
    <cellStyle name="Normal 2 4 5 4" xfId="879" xr:uid="{F1C0CD50-77C2-4C82-98A1-E3EFFAE1C680}"/>
    <cellStyle name="Normal 2 4 6" xfId="251" xr:uid="{93A11A75-22F6-4A6B-AC3E-DC9F7D1DA68A}"/>
    <cellStyle name="Normal 2 4 6 2" xfId="465" xr:uid="{5C666533-67B0-479E-ACBF-D47FCEFA4164}"/>
    <cellStyle name="Normal 2 4 6 3" xfId="676" xr:uid="{3E6BB060-82C2-4272-8FF9-54CEDF4C5614}"/>
    <cellStyle name="Normal 2 4 6 4" xfId="887" xr:uid="{4B5B4714-122D-4335-886D-F6BA399C2AFC}"/>
    <cellStyle name="Normal 2 4 7" xfId="259" xr:uid="{EAC333DC-3FEC-4C06-92FE-BCC7004E7AE4}"/>
    <cellStyle name="Normal 2 4 8" xfId="473" xr:uid="{EDC688E6-7172-4B91-9AE1-7033E756CA2D}"/>
    <cellStyle name="Normal 2 4 9" xfId="684" xr:uid="{2F645565-76B5-4EF2-9F56-70925969DF4F}"/>
    <cellStyle name="Normal 2 5" xfId="17" xr:uid="{3BA42B08-D7B3-4A2A-9E59-8C623037F6E6}"/>
    <cellStyle name="Normal 2 5 2" xfId="261" xr:uid="{05C80C6E-EE06-4EB3-A025-E9C00197EEB3}"/>
    <cellStyle name="Normal 2 5 3" xfId="475" xr:uid="{3F4C3CF2-482E-4A3E-942A-1DC29FAEED11}"/>
    <cellStyle name="Normal 2 5 4" xfId="686" xr:uid="{F9EEA1F4-18A5-4877-81DC-26852C4C9C87}"/>
    <cellStyle name="Normal 2 6" xfId="54" xr:uid="{9BD85CC1-99F6-4D61-8E42-BDAE8E0ACA53}"/>
    <cellStyle name="Normal 2 6 2" xfId="275" xr:uid="{BDD3CE35-2A28-438C-BC0C-BDC5908CE0A8}"/>
    <cellStyle name="Normal 2 6 3" xfId="489" xr:uid="{12E43F27-06B8-49B7-9F1E-BCAEB7515201}"/>
    <cellStyle name="Normal 2 6 4" xfId="700" xr:uid="{9C529575-EAF0-4E7A-AE79-C4843D3B9CE8}"/>
    <cellStyle name="Normal 2 7" xfId="86" xr:uid="{A264F5E1-3A04-472D-9751-0E9A7DF5F765}"/>
    <cellStyle name="Normal 2 7 2" xfId="305" xr:uid="{0DCD356F-F9AA-4807-995B-B24A5D1F9A8F}"/>
    <cellStyle name="Normal 2 7 3" xfId="519" xr:uid="{8388BDB6-EB65-413A-BBD2-06AA342B43F2}"/>
    <cellStyle name="Normal 2 7 4" xfId="730" xr:uid="{59EF91DD-A5FD-473F-9E56-821B51476646}"/>
    <cellStyle name="Normal 2 8" xfId="133" xr:uid="{45657D93-9C8C-469D-8DE3-928FDE1B4F49}"/>
    <cellStyle name="Normal 2 8 2" xfId="352" xr:uid="{3636E550-BB3C-45D3-9B05-56C35827D015}"/>
    <cellStyle name="Normal 2 8 3" xfId="566" xr:uid="{056BFE0A-2C10-435B-B7E3-98B02CF2651A}"/>
    <cellStyle name="Normal 2 8 4" xfId="777" xr:uid="{28ECF353-5B7B-4C3D-AA89-DCE247E83A58}"/>
    <cellStyle name="Normal 2 9" xfId="141" xr:uid="{6C4F999B-9B81-497B-B47F-876443E82C0A}"/>
    <cellStyle name="Normal 2 9 2" xfId="360" xr:uid="{1695ED7F-ED8B-401F-9362-73B10007CEE4}"/>
    <cellStyle name="Normal 2 9 3" xfId="574" xr:uid="{03E93AEE-165C-4D05-B347-057C517DB03C}"/>
    <cellStyle name="Normal 2 9 4" xfId="785" xr:uid="{95116B06-00B2-4A7E-B619-B11AC4EBD55A}"/>
    <cellStyle name="Normal 3" xfId="4" xr:uid="{00000000-0005-0000-0000-000007000000}"/>
    <cellStyle name="Normal 3 2" xfId="153" xr:uid="{BA06CEA3-E19E-4D8E-9183-6AB74784C0DA}"/>
    <cellStyle name="Normal 4" xfId="5" xr:uid="{00000000-0005-0000-0000-000008000000}"/>
    <cellStyle name="Normal 4 2" xfId="152" xr:uid="{BD90D65D-250F-4BAC-B0A5-7D906059E9E6}"/>
    <cellStyle name="Normal 5" xfId="6" xr:uid="{00000000-0005-0000-0000-000009000000}"/>
    <cellStyle name="Normal 5 10" xfId="197" xr:uid="{62B8CD62-9EB3-404B-AD66-E09B583C98D6}"/>
    <cellStyle name="Normal 5 10 2" xfId="411" xr:uid="{2D1ABAB4-9F1C-4795-BBAD-E76F03DE2DB2}"/>
    <cellStyle name="Normal 5 10 3" xfId="622" xr:uid="{0055E177-17F5-42E6-8C5F-9847753D5091}"/>
    <cellStyle name="Normal 5 10 4" xfId="833" xr:uid="{62A44AEF-9B82-4DF8-852C-3A7B3C57A222}"/>
    <cellStyle name="Normal 5 11" xfId="199" xr:uid="{13E2EFD8-575A-4A49-BCBE-80B5D0BCA11F}"/>
    <cellStyle name="Normal 5 11 2" xfId="413" xr:uid="{353CEFE4-01CA-4193-B4E5-60D10072C91F}"/>
    <cellStyle name="Normal 5 11 3" xfId="624" xr:uid="{5E2E65D3-22AA-4F74-B57C-9FA3A0183851}"/>
    <cellStyle name="Normal 5 11 4" xfId="835" xr:uid="{D7A9AC6B-DB44-4B19-8DAB-20FB31FE1F0D}"/>
    <cellStyle name="Normal 5 12" xfId="246" xr:uid="{4774A76A-264D-4B96-87EF-D6EB29F64182}"/>
    <cellStyle name="Normal 5 12 2" xfId="460" xr:uid="{B1011FC3-B9C4-4BE6-95FE-D339EE78B840}"/>
    <cellStyle name="Normal 5 12 3" xfId="671" xr:uid="{91C0050C-C854-4782-86F2-60920ED5C857}"/>
    <cellStyle name="Normal 5 12 4" xfId="882" xr:uid="{02F983A9-70F8-4E0C-AC1C-8A7EBA253EB4}"/>
    <cellStyle name="Normal 5 13" xfId="254" xr:uid="{D415E23B-7567-4B3B-9AA8-00B24DFC5842}"/>
    <cellStyle name="Normal 5 14" xfId="468" xr:uid="{B9291812-C4B8-4DEA-A91F-63FCB0177E9C}"/>
    <cellStyle name="Normal 5 15" xfId="679" xr:uid="{76FCB80B-7488-44E7-B5AC-E5DF24E8692E}"/>
    <cellStyle name="Normal 5 2" xfId="12" xr:uid="{00000000-0005-0000-0000-00000A000000}"/>
    <cellStyle name="Normal 5 2 2" xfId="130" xr:uid="{8BB6AFCD-407D-4420-9982-793A6F08CE35}"/>
    <cellStyle name="Normal 5 2 2 2" xfId="349" xr:uid="{A35066AC-4A55-4B45-9CC9-0F85A9BF583B}"/>
    <cellStyle name="Normal 5 2 2 3" xfId="563" xr:uid="{B01ACF41-4180-4500-A91A-B7908D9B8895}"/>
    <cellStyle name="Normal 5 2 2 4" xfId="774" xr:uid="{F10E5D92-7ECC-456B-B6DC-6C4AF6D3D101}"/>
    <cellStyle name="Normal 5 2 3" xfId="137" xr:uid="{A207755D-6647-425D-AEFC-D1C213515081}"/>
    <cellStyle name="Normal 5 2 3 2" xfId="356" xr:uid="{E8186128-02C0-4CCE-B993-B4BF80715206}"/>
    <cellStyle name="Normal 5 2 3 3" xfId="570" xr:uid="{7B7BEC33-70E7-488A-8A59-FF42DA34F2B3}"/>
    <cellStyle name="Normal 5 2 3 4" xfId="781" xr:uid="{4807C3B4-E872-4A7B-983A-5A8445E9AB6C}"/>
    <cellStyle name="Normal 5 2 4" xfId="147" xr:uid="{837055C2-F270-42DE-8FFB-3362C3B6FD75}"/>
    <cellStyle name="Normal 5 2 4 2" xfId="365" xr:uid="{53276F59-B0D8-43E3-8535-453190796CF3}"/>
    <cellStyle name="Normal 5 2 4 3" xfId="578" xr:uid="{4BC5E33B-6911-4499-9D3A-23F2028542AE}"/>
    <cellStyle name="Normal 5 2 4 4" xfId="789" xr:uid="{EF3768DE-8298-429B-A7A6-3EE681253A73}"/>
    <cellStyle name="Normal 5 2 5" xfId="242" xr:uid="{D1021954-F7F2-4532-880B-3A7F04C2E9EA}"/>
    <cellStyle name="Normal 5 2 5 2" xfId="456" xr:uid="{D3F1FCC6-0ED3-4048-9C50-1E1496E33415}"/>
    <cellStyle name="Normal 5 2 5 3" xfId="667" xr:uid="{236968D4-F1C8-42E8-9F9C-A82DA1B5B154}"/>
    <cellStyle name="Normal 5 2 5 4" xfId="878" xr:uid="{77EA6601-D97E-4140-9FE3-D28DA7DB3A35}"/>
    <cellStyle name="Normal 5 2 6" xfId="249" xr:uid="{53D1DF6A-1528-4D79-B9B0-E452656619EA}"/>
    <cellStyle name="Normal 5 2 6 2" xfId="463" xr:uid="{C34260A2-7F19-47D0-8B3A-9F0298966AE4}"/>
    <cellStyle name="Normal 5 2 6 3" xfId="674" xr:uid="{2BE23D41-4A28-4EBA-9D0C-1ED5AEAAC0DA}"/>
    <cellStyle name="Normal 5 2 6 4" xfId="885" xr:uid="{49545964-AF95-42CC-8449-F1F1087A4BD7}"/>
    <cellStyle name="Normal 5 2 7" xfId="257" xr:uid="{E9EF394C-75E8-4D57-B944-1FB6AE538BA2}"/>
    <cellStyle name="Normal 5 2 8" xfId="471" xr:uid="{C86345AD-CA1C-4FD7-810D-B49085103C79}"/>
    <cellStyle name="Normal 5 2 9" xfId="682" xr:uid="{36517992-D080-424F-9D40-374B0DFF78D0}"/>
    <cellStyle name="Normal 5 3" xfId="16" xr:uid="{00000000-0005-0000-0000-00000B000000}"/>
    <cellStyle name="Normal 5 3 2" xfId="132" xr:uid="{E32E6221-7618-4DDD-A1E7-8DA9FC9EBD96}"/>
    <cellStyle name="Normal 5 3 2 2" xfId="351" xr:uid="{2357ADB1-7997-4012-A55E-92F3A07C61B1}"/>
    <cellStyle name="Normal 5 3 2 3" xfId="565" xr:uid="{0C8F908F-069E-4BF0-9E03-D145A0A20825}"/>
    <cellStyle name="Normal 5 3 2 4" xfId="776" xr:uid="{E336CFB3-943D-4B0B-9F06-A86C2CACF2F5}"/>
    <cellStyle name="Normal 5 3 3" xfId="140" xr:uid="{10ADDEB5-EEA3-46C2-A566-55D9B9063D2F}"/>
    <cellStyle name="Normal 5 3 3 2" xfId="359" xr:uid="{493FB05B-6123-4B34-BE66-44D0D0E20870}"/>
    <cellStyle name="Normal 5 3 3 3" xfId="573" xr:uid="{F9F8A607-4BAE-4046-B125-885A05400D0D}"/>
    <cellStyle name="Normal 5 3 3 4" xfId="784" xr:uid="{B43FD0A1-1167-48F2-A9EC-5A967B784227}"/>
    <cellStyle name="Normal 5 3 4" xfId="150" xr:uid="{E6D7E0A9-2109-4702-B9C1-C77AC190B3DA}"/>
    <cellStyle name="Normal 5 3 4 2" xfId="368" xr:uid="{20BC4E70-D49F-4213-A59A-E0E18CC9F85A}"/>
    <cellStyle name="Normal 5 3 4 3" xfId="581" xr:uid="{21AA6C8D-7152-4659-A418-C6B20A5664FA}"/>
    <cellStyle name="Normal 5 3 4 4" xfId="792" xr:uid="{9B15807F-3E6E-4233-A088-ADD040DF4ED3}"/>
    <cellStyle name="Normal 5 3 5" xfId="244" xr:uid="{8FB83384-FF33-4540-B709-6324C195EBE3}"/>
    <cellStyle name="Normal 5 3 5 2" xfId="458" xr:uid="{A1D53434-1F54-49AC-8729-FDA62A1B4646}"/>
    <cellStyle name="Normal 5 3 5 3" xfId="669" xr:uid="{ADCA2366-BCEE-43E6-995F-275A2029B822}"/>
    <cellStyle name="Normal 5 3 5 4" xfId="880" xr:uid="{728C7F32-8308-4E25-86CA-2B23EC21AD97}"/>
    <cellStyle name="Normal 5 3 6" xfId="252" xr:uid="{9E371E2E-945E-48D1-B3F8-7CE7A7DA9F1D}"/>
    <cellStyle name="Normal 5 3 6 2" xfId="466" xr:uid="{DD301444-0E86-4E39-8FD8-7A7A3A42098A}"/>
    <cellStyle name="Normal 5 3 6 3" xfId="677" xr:uid="{80F6B93A-06BE-4B3F-B0DD-E7AB12188A22}"/>
    <cellStyle name="Normal 5 3 6 4" xfId="888" xr:uid="{5A945937-E973-4DFB-A64D-CD7DDCC97B2F}"/>
    <cellStyle name="Normal 5 3 7" xfId="260" xr:uid="{7A1A7684-F686-4D42-937A-DEBFA1E520B3}"/>
    <cellStyle name="Normal 5 3 8" xfId="474" xr:uid="{A249879D-36F6-4AF7-8300-EA7096FD192C}"/>
    <cellStyle name="Normal 5 3 9" xfId="685" xr:uid="{092A1802-646F-4F9A-A484-7954F713335E}"/>
    <cellStyle name="Normal 5 4" xfId="18" xr:uid="{13BC0E03-B293-482B-9432-A26C883F5C61}"/>
    <cellStyle name="Normal 5 4 2" xfId="262" xr:uid="{B68EB2A8-3BE2-4D5C-A924-520108A200D4}"/>
    <cellStyle name="Normal 5 4 3" xfId="476" xr:uid="{28D15179-9BCA-4E05-B2CC-04829C1765C3}"/>
    <cellStyle name="Normal 5 4 4" xfId="687" xr:uid="{2CF2AA0A-537A-497B-BF11-5063ECA4B4AD}"/>
    <cellStyle name="Normal 5 5" xfId="55" xr:uid="{4E13C826-1808-4336-959F-A09323428C2A}"/>
    <cellStyle name="Normal 5 5 2" xfId="276" xr:uid="{092E2F3B-BE91-467D-99A0-C1EBC835B1F0}"/>
    <cellStyle name="Normal 5 5 3" xfId="490" xr:uid="{2591D1C1-FADE-4B65-B51D-A8E0A0AF9512}"/>
    <cellStyle name="Normal 5 5 4" xfId="701" xr:uid="{A972C530-24FC-4F3E-800B-9DE9DA6DD333}"/>
    <cellStyle name="Normal 5 6" xfId="87" xr:uid="{0EDAEF95-756E-4BA3-81F1-895A65B00A1B}"/>
    <cellStyle name="Normal 5 6 2" xfId="306" xr:uid="{2F7D5898-4288-42EF-8652-19F55AECE274}"/>
    <cellStyle name="Normal 5 6 3" xfId="520" xr:uid="{71AA0539-01A0-4813-9F41-04E6B57A385C}"/>
    <cellStyle name="Normal 5 6 4" xfId="731" xr:uid="{D24A419A-0AD2-4D2E-AD6C-3A7E8810CF3B}"/>
    <cellStyle name="Normal 5 7" xfId="134" xr:uid="{6B4A2708-28C7-4CBC-97B9-23A353A8CD68}"/>
    <cellStyle name="Normal 5 7 2" xfId="353" xr:uid="{E093EE88-557E-46EC-A571-A96395B9DE42}"/>
    <cellStyle name="Normal 5 7 3" xfId="567" xr:uid="{9C4904A9-27D2-40F0-8849-931245C8DBB1}"/>
    <cellStyle name="Normal 5 7 4" xfId="778" xr:uid="{7EE42FC1-83A0-4C65-B65C-80332DF2CDD9}"/>
    <cellStyle name="Normal 5 8" xfId="143" xr:uid="{413DC411-30C2-4B38-8B00-23BAEFB71CF3}"/>
    <cellStyle name="Normal 5 8 2" xfId="361" xr:uid="{3959FB7B-4A4F-4DBA-82B8-1326742EED54}"/>
    <cellStyle name="Normal 5 8 3" xfId="575" xr:uid="{FCD31340-3B24-4920-808D-56186B830305}"/>
    <cellStyle name="Normal 5 8 4" xfId="786" xr:uid="{67FD1616-9060-4A22-BB80-726E865E45E8}"/>
    <cellStyle name="Normal 5 9" xfId="142" xr:uid="{F94BC13E-1851-438C-9604-BDBC921E4FE1}"/>
    <cellStyle name="Normal 6" xfId="8" xr:uid="{00000000-0005-0000-0000-00000C000000}"/>
    <cellStyle name="Normal 6 2" xfId="53" xr:uid="{BB65EDD3-7396-49E7-A968-F85B5C5C7AD7}"/>
    <cellStyle name="Normal 7" xfId="14" xr:uid="{00000000-0005-0000-0000-00000D000000}"/>
    <cellStyle name="Normal 7 10" xfId="683" xr:uid="{7ED96F40-7134-441D-A390-771C4027F1FC}"/>
    <cellStyle name="Normal 7 2" xfId="56" xr:uid="{42224709-5B39-4478-8A9B-D12CA036E02C}"/>
    <cellStyle name="Normal 7 2 2" xfId="277" xr:uid="{88E1C789-8870-4FEA-88E2-446F2EA3DDDF}"/>
    <cellStyle name="Normal 7 2 3" xfId="491" xr:uid="{138D9B1B-1571-4CD3-8441-D78603B8C1B0}"/>
    <cellStyle name="Normal 7 2 4" xfId="702" xr:uid="{32D85C30-2741-4D14-B25A-70DE01D9E640}"/>
    <cellStyle name="Normal 7 3" xfId="100" xr:uid="{A2ED04CD-07E7-4733-B925-0A19ABAB55E5}"/>
    <cellStyle name="Normal 7 3 2" xfId="319" xr:uid="{922FB6CA-BA4A-4891-8027-50BE1AD8D5A3}"/>
    <cellStyle name="Normal 7 3 3" xfId="533" xr:uid="{89E788BF-FC29-4D62-81DC-6ADB5B9C49D4}"/>
    <cellStyle name="Normal 7 3 4" xfId="744" xr:uid="{4913E87F-33BE-4E33-B7E8-309DBB83ADD7}"/>
    <cellStyle name="Normal 7 4" xfId="138" xr:uid="{7922A75C-C75E-4CAA-AB14-C53C43284272}"/>
    <cellStyle name="Normal 7 4 2" xfId="357" xr:uid="{7E62257C-C360-4E82-BF1F-023A7D47E8D8}"/>
    <cellStyle name="Normal 7 4 3" xfId="571" xr:uid="{5DD1D246-490B-4D43-B0A6-A2FFD49A217A}"/>
    <cellStyle name="Normal 7 4 4" xfId="782" xr:uid="{BA49C297-FF49-4699-AA25-6B2D31843B4A}"/>
    <cellStyle name="Normal 7 5" xfId="148" xr:uid="{B57ACE6B-4E1F-4E72-92F2-C209F37BF47E}"/>
    <cellStyle name="Normal 7 5 2" xfId="366" xr:uid="{F304F5BF-5F37-420B-9AF9-B77B17FAA853}"/>
    <cellStyle name="Normal 7 5 3" xfId="579" xr:uid="{B8407089-B98E-47F4-925C-98077AF4A878}"/>
    <cellStyle name="Normal 7 5 4" xfId="790" xr:uid="{2092387B-38DD-4F64-8B67-93C4B9E0772E}"/>
    <cellStyle name="Normal 7 6" xfId="212" xr:uid="{268BDA14-F605-4C85-9912-580A11545DB1}"/>
    <cellStyle name="Normal 7 6 2" xfId="426" xr:uid="{83A6E01E-5A1C-4975-8B8A-84D2EEC68FA3}"/>
    <cellStyle name="Normal 7 6 3" xfId="637" xr:uid="{E8517E7E-F4BF-4C99-8830-0B0F541702E6}"/>
    <cellStyle name="Normal 7 6 4" xfId="848" xr:uid="{7DA1F579-0E85-459C-923D-18D210F1A8E5}"/>
    <cellStyle name="Normal 7 7" xfId="250" xr:uid="{BAB1E123-A5DB-4D4E-B2F8-DDF0EE5B3273}"/>
    <cellStyle name="Normal 7 7 2" xfId="464" xr:uid="{7D798596-613B-4354-B8FC-C6FBCB107CA3}"/>
    <cellStyle name="Normal 7 7 3" xfId="675" xr:uid="{F0A8CD42-5B11-410B-BD38-DE36EC50A1F5}"/>
    <cellStyle name="Normal 7 7 4" xfId="886" xr:uid="{240BE5AB-6317-4AAC-8B7C-EE74BF861CFD}"/>
    <cellStyle name="Normal 7 8" xfId="258" xr:uid="{FFE56B20-73DF-45F4-956C-F2AAC2DD0088}"/>
    <cellStyle name="Normal 7 9" xfId="472" xr:uid="{7186DAFD-8024-465D-B069-3129E4E3C941}"/>
    <cellStyle name="Normal 8" xfId="51" xr:uid="{127E3DF7-FA81-49F2-9884-4189B382ACFE}"/>
    <cellStyle name="Normal 8 2" xfId="66" xr:uid="{32376DA3-74D2-4818-9331-159ACF4CBD36}"/>
    <cellStyle name="Normal 8 2 2" xfId="285" xr:uid="{9195F498-BB51-4C9F-B3FA-C9D7CB37A003}"/>
    <cellStyle name="Normal 8 2 3" xfId="499" xr:uid="{CB461A66-6366-4BAD-BDEB-4096AC86B4E2}"/>
    <cellStyle name="Normal 8 2 4" xfId="710" xr:uid="{8B9503CD-2332-4F2F-AC79-68233AA9EE22}"/>
    <cellStyle name="Normal 8 3" xfId="108" xr:uid="{EF05B997-6387-4EE8-A37A-D423395B1B76}"/>
    <cellStyle name="Normal 8 3 2" xfId="327" xr:uid="{863C9089-2A0A-4E5A-BB51-BD0ED5CFCAAB}"/>
    <cellStyle name="Normal 8 3 3" xfId="541" xr:uid="{29292196-E6C2-423A-9C26-8108F9FC7B1F}"/>
    <cellStyle name="Normal 8 3 4" xfId="752" xr:uid="{3D10B6FC-B40C-482C-ADEB-3F289F1FD4CF}"/>
    <cellStyle name="Normal 8 4" xfId="176" xr:uid="{6A0002FD-CC3C-4316-B91D-681998161AD0}"/>
    <cellStyle name="Normal 8 4 2" xfId="390" xr:uid="{634BFC87-8244-470C-9B81-606D49C07B29}"/>
    <cellStyle name="Normal 8 4 3" xfId="601" xr:uid="{9973230A-87A0-47E0-B9C0-186157939D80}"/>
    <cellStyle name="Normal 8 4 4" xfId="812" xr:uid="{49763C5F-765E-4FE6-96E5-430308213163}"/>
    <cellStyle name="Normal 8 5" xfId="220" xr:uid="{CF6871CF-32F1-451A-A8FA-59A0EC27A6BB}"/>
    <cellStyle name="Normal 8 5 2" xfId="434" xr:uid="{B71AE7EC-8A9A-49B8-8CFC-C533A21E1FAA}"/>
    <cellStyle name="Normal 8 5 3" xfId="645" xr:uid="{1C62075A-614E-4567-8849-7511FD666B47}"/>
    <cellStyle name="Normal 8 5 4" xfId="856" xr:uid="{22F6AF01-4AAA-4E25-9DBA-69DCE9572FE2}"/>
    <cellStyle name="Normal 9" xfId="155" xr:uid="{387C574F-7B5B-4FA2-9E13-E2810A5FCAD1}"/>
    <cellStyle name="Normal 9 2" xfId="369" xr:uid="{D0D9E344-E3E0-4463-80B7-00CFACBE8793}"/>
    <cellStyle name="Normal_Zac ene 6 del 2000" xfId="7" xr:uid="{00000000-0005-0000-0000-00000E000000}"/>
    <cellStyle name="Notas 2" xfId="57" xr:uid="{F0CC4FF4-28AD-4B51-9021-2174EB0E648A}"/>
    <cellStyle name="Notas 2 2" xfId="101" xr:uid="{913EEC6E-A076-44AF-BE96-9CD19D5F5999}"/>
    <cellStyle name="Notas 2 2 2" xfId="320" xr:uid="{99D63E81-CB54-4B9C-A1A7-89585A8E36CA}"/>
    <cellStyle name="Notas 2 2 3" xfId="534" xr:uid="{A62AA5A1-A19F-4534-B4FC-490DEFCD1029}"/>
    <cellStyle name="Notas 2 2 4" xfId="745" xr:uid="{63F15354-5107-411B-98DF-E473431613EF}"/>
    <cellStyle name="Notas 2 3" xfId="168" xr:uid="{B6EEA939-BE9E-4EAB-900E-86B8391FF169}"/>
    <cellStyle name="Notas 2 3 2" xfId="382" xr:uid="{3092CF05-0916-48C6-A51F-47E99D81A474}"/>
    <cellStyle name="Notas 2 3 3" xfId="594" xr:uid="{BF672EBF-88BD-43C5-B39C-6DC1305DA0C7}"/>
    <cellStyle name="Notas 2 3 4" xfId="805" xr:uid="{50D2CC9A-D324-4D66-B61A-4E91481F83A9}"/>
    <cellStyle name="Notas 2 4" xfId="213" xr:uid="{EE38E3D7-264D-49B3-AE8A-225CA4C3F42C}"/>
    <cellStyle name="Notas 2 4 2" xfId="427" xr:uid="{86BE2195-CE70-4FAD-AFBB-3BD20621D4AD}"/>
    <cellStyle name="Notas 2 4 3" xfId="638" xr:uid="{74764D0F-349A-424A-AE1A-FD2D5B22D2CC}"/>
    <cellStyle name="Notas 2 4 4" xfId="849" xr:uid="{934DB58B-9284-4E5C-8744-C593168284B6}"/>
    <cellStyle name="Notas 2 5" xfId="278" xr:uid="{7735B1C9-34F6-40AD-BD74-BF67793FCD71}"/>
    <cellStyle name="Notas 2 6" xfId="492" xr:uid="{BD74B35B-D00C-4FC9-B1A2-B47AA602E1A8}"/>
    <cellStyle name="Notas 2 7" xfId="703" xr:uid="{7DD41209-3215-4A8B-92D2-CB2A21817282}"/>
    <cellStyle name="Notas 3" xfId="67" xr:uid="{CC39864A-14F5-4FB9-8028-FEB89E156281}"/>
    <cellStyle name="Notas 3 2" xfId="109" xr:uid="{2833EA38-47C3-4D7E-A623-6BD81139BF1E}"/>
    <cellStyle name="Notas 3 2 2" xfId="328" xr:uid="{D954EF70-08B8-4EEE-BD1D-123A37484830}"/>
    <cellStyle name="Notas 3 2 3" xfId="542" xr:uid="{AB875737-7753-4D38-8778-84B9B102FB65}"/>
    <cellStyle name="Notas 3 2 4" xfId="753" xr:uid="{C62B0CA7-3EB1-4F27-8C84-8B6507904224}"/>
    <cellStyle name="Notas 3 3" xfId="177" xr:uid="{EACDC8F4-D998-406C-91AF-6A2172E18CB1}"/>
    <cellStyle name="Notas 3 3 2" xfId="391" xr:uid="{DBD7AC11-DC68-43AF-8571-00A07285EFFE}"/>
    <cellStyle name="Notas 3 3 3" xfId="602" xr:uid="{32FF6C43-E1B3-4ABA-B463-1E698156AB81}"/>
    <cellStyle name="Notas 3 3 4" xfId="813" xr:uid="{7B3A14D7-1340-4DF5-9D50-0E18E893EC32}"/>
    <cellStyle name="Notas 3 4" xfId="221" xr:uid="{42B31B16-376A-4B24-96F6-153C817D783F}"/>
    <cellStyle name="Notas 3 4 2" xfId="435" xr:uid="{3C907D69-EB4B-4F41-9A10-DDB465F91E24}"/>
    <cellStyle name="Notas 3 4 3" xfId="646" xr:uid="{70148F5B-1212-4F8B-BEDB-B4A32E491CE3}"/>
    <cellStyle name="Notas 3 4 4" xfId="857" xr:uid="{7B584B0C-78F1-42E5-AAFF-670A5EE3D11F}"/>
    <cellStyle name="Notas 3 5" xfId="286" xr:uid="{888E7362-D377-4649-96CA-65DDC77F650A}"/>
    <cellStyle name="Notas 3 6" xfId="500" xr:uid="{AE0BAADC-24D1-4716-9CF2-3238F7722E42}"/>
    <cellStyle name="Notas 3 7" xfId="711" xr:uid="{3E916586-D2A2-4287-9B09-6118F61F51AF}"/>
    <cellStyle name="Porcentaje" xfId="9" builtinId="5"/>
    <cellStyle name="Porcentaje 2" xfId="13" xr:uid="{00000000-0005-0000-0000-000010000000}"/>
    <cellStyle name="Porcentaje 3" xfId="169" xr:uid="{586F7D14-1D72-4C4D-BD06-6B62006FD2E0}"/>
    <cellStyle name="Porcentaje 3 2" xfId="383" xr:uid="{4922F100-11CD-48C1-A8E7-F4E093FA3649}"/>
    <cellStyle name="Salida" xfId="26" builtinId="21" customBuiltin="1"/>
    <cellStyle name="Texto de advertencia" xfId="30" builtinId="11" customBuiltin="1"/>
    <cellStyle name="Texto explicativo" xfId="31" builtinId="53" customBuiltin="1"/>
    <cellStyle name="Título 2" xfId="20" builtinId="17" customBuiltin="1"/>
    <cellStyle name="Título 3" xfId="21" builtinId="18" customBuiltin="1"/>
    <cellStyle name="Título 4" xfId="58" xr:uid="{089C64A5-20D6-4247-AC7A-5C1F5908FDB2}"/>
    <cellStyle name="Total" xfId="3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409573</xdr:colOff>
      <xdr:row>2</xdr:row>
      <xdr:rowOff>136843</xdr:rowOff>
    </xdr:from>
    <xdr:to>
      <xdr:col>5</xdr:col>
      <xdr:colOff>180975</xdr:colOff>
      <xdr:row>7</xdr:row>
      <xdr:rowOff>152400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3" y="517843"/>
          <a:ext cx="3248027" cy="9680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419101</xdr:colOff>
      <xdr:row>2</xdr:row>
      <xdr:rowOff>185103</xdr:rowOff>
    </xdr:from>
    <xdr:to>
      <xdr:col>10</xdr:col>
      <xdr:colOff>554357</xdr:colOff>
      <xdr:row>7</xdr:row>
      <xdr:rowOff>247650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745481" y="550863"/>
          <a:ext cx="3274696" cy="976947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71438</xdr:colOff>
      <xdr:row>1</xdr:row>
      <xdr:rowOff>202406</xdr:rowOff>
    </xdr:from>
    <xdr:to>
      <xdr:col>4</xdr:col>
      <xdr:colOff>63818</xdr:colOff>
      <xdr:row>4</xdr:row>
      <xdr:rowOff>81756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02406"/>
          <a:ext cx="2087880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627592</xdr:colOff>
      <xdr:row>1</xdr:row>
      <xdr:rowOff>160709</xdr:rowOff>
    </xdr:from>
    <xdr:to>
      <xdr:col>14</xdr:col>
      <xdr:colOff>591397</xdr:colOff>
      <xdr:row>4</xdr:row>
      <xdr:rowOff>33497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8662459" y="389309"/>
          <a:ext cx="2326005" cy="558588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714089</xdr:colOff>
      <xdr:row>1</xdr:row>
      <xdr:rowOff>30268</xdr:rowOff>
    </xdr:from>
    <xdr:to>
      <xdr:col>3</xdr:col>
      <xdr:colOff>1176981</xdr:colOff>
      <xdr:row>3</xdr:row>
      <xdr:rowOff>150612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089" y="271262"/>
          <a:ext cx="2551506" cy="6023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708177</xdr:colOff>
      <xdr:row>1</xdr:row>
      <xdr:rowOff>96317</xdr:rowOff>
    </xdr:from>
    <xdr:to>
      <xdr:col>14</xdr:col>
      <xdr:colOff>671983</xdr:colOff>
      <xdr:row>3</xdr:row>
      <xdr:rowOff>212522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9585936" y="325835"/>
          <a:ext cx="2258987" cy="575241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131618</xdr:colOff>
      <xdr:row>2</xdr:row>
      <xdr:rowOff>11257</xdr:rowOff>
    </xdr:from>
    <xdr:ext cx="2587336" cy="83820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18" y="340302"/>
          <a:ext cx="2587336" cy="838200"/>
        </a:xfrm>
        <a:prstGeom prst="rect">
          <a:avLst/>
        </a:prstGeom>
      </xdr:spPr>
    </xdr:pic>
    <xdr:clientData/>
  </xdr:oneCellAnchor>
  <xdr:twoCellAnchor>
    <xdr:from>
      <xdr:col>2</xdr:col>
      <xdr:colOff>2064327</xdr:colOff>
      <xdr:row>2</xdr:row>
      <xdr:rowOff>72738</xdr:rowOff>
    </xdr:from>
    <xdr:to>
      <xdr:col>3</xdr:col>
      <xdr:colOff>2254827</xdr:colOff>
      <xdr:row>2</xdr:row>
      <xdr:rowOff>795772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333307" y="408018"/>
          <a:ext cx="1600200" cy="723034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56AF0F8-66CB-406B-85AD-2B389801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A4C9666-3A0B-4BF7-9D90-1961FEE0D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Normal="70" zoomScaleSheetLayoutView="100" zoomScalePageLayoutView="82" workbookViewId="0"/>
  </sheetViews>
  <sheetFormatPr baseColWidth="10" defaultColWidth="11.44140625" defaultRowHeight="14.4"/>
  <cols>
    <col min="1" max="1" width="6.44140625" style="6" customWidth="1"/>
    <col min="2" max="5" width="11.44140625" style="6"/>
    <col min="6" max="6" width="25.44140625" style="6" bestFit="1" customWidth="1"/>
    <col min="7" max="10" width="11.44140625" style="6"/>
    <col min="11" max="12" width="11.44140625" style="6" customWidth="1"/>
    <col min="13" max="16384" width="11.44140625" style="6"/>
  </cols>
  <sheetData>
    <row r="2" spans="2:11">
      <c r="B2" s="107" t="s">
        <v>0</v>
      </c>
    </row>
    <row r="8" spans="2:11" ht="25.8">
      <c r="B8" s="108"/>
      <c r="C8" s="108"/>
      <c r="D8" s="108"/>
      <c r="E8" s="108"/>
      <c r="F8" s="108"/>
      <c r="G8" s="108"/>
      <c r="H8" s="108"/>
      <c r="I8" s="108"/>
      <c r="J8" s="108"/>
      <c r="K8" s="108"/>
    </row>
    <row r="9" spans="2:11" ht="25.8">
      <c r="B9" s="108"/>
      <c r="C9" s="108"/>
      <c r="D9" s="108"/>
      <c r="E9" s="108"/>
      <c r="F9" s="108"/>
      <c r="G9" s="108"/>
      <c r="H9" s="108"/>
      <c r="I9" s="108"/>
      <c r="J9" s="108"/>
      <c r="K9" s="108"/>
    </row>
    <row r="10" spans="2:11" ht="91.8">
      <c r="F10" s="110"/>
      <c r="G10" s="110"/>
    </row>
    <row r="14" spans="2:11">
      <c r="B14" s="109" t="s">
        <v>1</v>
      </c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>
      <c r="B31" s="109"/>
      <c r="C31" s="109"/>
      <c r="D31" s="109"/>
      <c r="E31" s="109"/>
      <c r="F31" s="109"/>
      <c r="G31" s="109"/>
      <c r="H31" s="109"/>
      <c r="I31" s="109"/>
      <c r="J31" s="109"/>
      <c r="K31" s="109"/>
    </row>
    <row r="32" spans="2:11" ht="15" customHeight="1">
      <c r="B32" s="109"/>
      <c r="C32" s="109"/>
      <c r="D32" s="109"/>
      <c r="E32" s="109"/>
      <c r="F32" s="109"/>
      <c r="G32" s="109"/>
      <c r="H32" s="109"/>
      <c r="I32" s="109"/>
      <c r="J32" s="109"/>
      <c r="K32" s="109"/>
    </row>
    <row r="33" spans="9:11" ht="15" customHeight="1"/>
    <row r="40" spans="9:11" ht="23.4">
      <c r="I40" s="7"/>
      <c r="J40" s="7"/>
      <c r="K40" s="8" t="s">
        <v>2</v>
      </c>
    </row>
    <row r="41" spans="9:11" ht="23.4">
      <c r="K41" s="8" t="s">
        <v>3</v>
      </c>
    </row>
    <row r="43" spans="9:11" ht="25.8">
      <c r="K43" s="43">
        <v>2022</v>
      </c>
    </row>
  </sheetData>
  <sheetProtection algorithmName="SHA-512" hashValue="O7h/Wl0fYm2MMmqr2yoz8uXwYZdb/hPJHdYLNlHuECX9K8NOo+OgRMOvM4dsGjL2Ezjq+eO7yKweqtV5qto95A==" saltValue="VNggCPG22wBSjIPIFwUma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" right="0" top="0" bottom="0" header="0" footer="0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3:AD49"/>
  <sheetViews>
    <sheetView showGridLines="0" view="pageBreakPreview" zoomScale="90" zoomScaleNormal="80" zoomScaleSheetLayoutView="90" workbookViewId="0">
      <selection activeCell="B8" sqref="B8:O8"/>
    </sheetView>
  </sheetViews>
  <sheetFormatPr baseColWidth="10" defaultColWidth="11.44140625" defaultRowHeight="18"/>
  <cols>
    <col min="1" max="1" width="5.44140625" style="9" customWidth="1"/>
    <col min="2" max="2" width="4.5546875" style="9" customWidth="1"/>
    <col min="3" max="3" width="15.33203125" style="9" customWidth="1"/>
    <col min="4" max="16384" width="11.44140625" style="9"/>
  </cols>
  <sheetData>
    <row r="3" spans="2:30">
      <c r="B3" s="112" t="s">
        <v>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2:30">
      <c r="B4" s="113" t="s">
        <v>5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30" s="10" customFormat="1" ht="60.75" customHeight="1">
      <c r="B5" s="114" t="s">
        <v>6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30" ht="23.4">
      <c r="B6" s="116" t="s">
        <v>7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</row>
    <row r="8" spans="2:30">
      <c r="B8" s="111" t="s">
        <v>8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2:30" ht="15" customHeight="1">
      <c r="B9" s="119" t="s">
        <v>9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</row>
    <row r="10" spans="2:30" ht="15" customHeight="1"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</row>
    <row r="11" spans="2:30" ht="15" customHeight="1"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</row>
    <row r="12" spans="2:30" ht="15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spans="2:30" ht="18.75" customHeight="1">
      <c r="B13" s="120" t="s">
        <v>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8.75" customHeight="1">
      <c r="B14" s="119" t="s">
        <v>11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ht="18.75" customHeight="1">
      <c r="B20" s="120" t="s">
        <v>12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 t="s">
        <v>13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>
      <c r="B35" s="120" t="s">
        <v>14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ht="18.75" customHeight="1">
      <c r="B36" s="119" t="s">
        <v>15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20" t="s">
        <v>16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19" t="s">
        <v>17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78.75" customHeight="1"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20" t="s">
        <v>18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2:30" ht="54.75" customHeight="1">
      <c r="B48" s="119" t="s">
        <v>19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</row>
    <row r="49" spans="2:1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" right="0" top="0" bottom="0" header="0" footer="0"/>
      <printOptions horizontalCentered="1"/>
      <pageSetup scale="53" fitToHeight="2" orientation="landscape" r:id="rId1"/>
    </customSheetView>
  </customSheetViews>
  <mergeCells count="17">
    <mergeCell ref="Q9:AD14"/>
    <mergeCell ref="B48:O48"/>
    <mergeCell ref="B14:O18"/>
    <mergeCell ref="B21:O34"/>
    <mergeCell ref="B42:O45"/>
    <mergeCell ref="B41:O41"/>
    <mergeCell ref="B47:O47"/>
    <mergeCell ref="B35:O35"/>
    <mergeCell ref="B20:O20"/>
    <mergeCell ref="B13:O13"/>
    <mergeCell ref="B9:O11"/>
    <mergeCell ref="B36:O40"/>
    <mergeCell ref="B8:O8"/>
    <mergeCell ref="B3:O3"/>
    <mergeCell ref="B4:O4"/>
    <mergeCell ref="B5:O5"/>
    <mergeCell ref="B6:O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3:O19"/>
  <sheetViews>
    <sheetView showGridLines="0" view="pageBreakPreview" zoomScale="83" zoomScaleNormal="70" zoomScaleSheetLayoutView="83" workbookViewId="0">
      <selection activeCell="B13" sqref="B13:O13"/>
    </sheetView>
  </sheetViews>
  <sheetFormatPr baseColWidth="10" defaultColWidth="11.44140625" defaultRowHeight="18"/>
  <cols>
    <col min="1" max="1" width="11.44140625" style="9"/>
    <col min="2" max="2" width="4.5546875" style="9" customWidth="1"/>
    <col min="3" max="3" width="15.33203125" style="9" customWidth="1"/>
    <col min="4" max="4" width="18.44140625" style="9" customWidth="1"/>
    <col min="5" max="13" width="11.44140625" style="9"/>
    <col min="14" max="14" width="10.6640625" style="9" customWidth="1"/>
    <col min="15" max="16384" width="11.44140625" style="9"/>
  </cols>
  <sheetData>
    <row r="3" spans="2:15">
      <c r="B3" s="112" t="s">
        <v>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2:15">
      <c r="B4" s="121" t="s">
        <v>5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2:15" ht="19.8">
      <c r="B5" s="114" t="s">
        <v>20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15" ht="23.4">
      <c r="B6" s="116" t="s">
        <v>7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8" spans="2:15" ht="19.8">
      <c r="B8" s="123" t="s">
        <v>21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15" s="10" customFormat="1" ht="46.5" customHeight="1">
      <c r="B9" s="114" t="s">
        <v>22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15" ht="33" customHeight="1">
      <c r="B10" s="26"/>
      <c r="C10" s="127" t="s">
        <v>23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27"/>
    </row>
    <row r="11" spans="2:15" ht="48" customHeight="1">
      <c r="B11" s="26"/>
      <c r="C11" s="128" t="s">
        <v>24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</row>
    <row r="12" spans="2:15" ht="21"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2:15">
      <c r="B13" s="111" t="s">
        <v>25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</row>
    <row r="14" spans="2:15">
      <c r="B14" s="16">
        <v>1</v>
      </c>
      <c r="C14" s="124" t="s">
        <v>26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</row>
    <row r="15" spans="2:15">
      <c r="B15" s="16">
        <v>2</v>
      </c>
      <c r="C15" s="119" t="s">
        <v>27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</row>
    <row r="16" spans="2:15">
      <c r="B16" s="16">
        <v>3</v>
      </c>
      <c r="C16" s="125" t="s">
        <v>28</v>
      </c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2:15">
      <c r="B17" s="16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</row>
    <row r="18" spans="2:15">
      <c r="B18" s="16"/>
      <c r="C18" s="126" t="s">
        <v>29</v>
      </c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</row>
    <row r="19" spans="2:1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" right="0" top="0" bottom="0" header="0" footer="0"/>
      <pageSetup scale="56" orientation="portrait" r:id="rId1"/>
    </customSheetView>
  </customSheetViews>
  <mergeCells count="14">
    <mergeCell ref="C14:O14"/>
    <mergeCell ref="C16:O16"/>
    <mergeCell ref="C18:O18"/>
    <mergeCell ref="B9:O9"/>
    <mergeCell ref="C10:N10"/>
    <mergeCell ref="B13:O13"/>
    <mergeCell ref="C15:O15"/>
    <mergeCell ref="C11:O11"/>
    <mergeCell ref="C17:O17"/>
    <mergeCell ref="B3:O3"/>
    <mergeCell ref="B4:O4"/>
    <mergeCell ref="B5:O5"/>
    <mergeCell ref="B6:O6"/>
    <mergeCell ref="B8:O8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1.44140625" defaultRowHeight="13.2"/>
  <cols>
    <col min="3" max="3" width="21.21875" customWidth="1"/>
    <col min="9" max="9" width="14" customWidth="1"/>
  </cols>
  <sheetData>
    <row r="4" spans="3:9" ht="13.8">
      <c r="C4" s="3" t="s">
        <v>30</v>
      </c>
      <c r="E4" s="2" t="s">
        <v>31</v>
      </c>
      <c r="G4" s="2" t="s">
        <v>32</v>
      </c>
      <c r="I4" s="2" t="s">
        <v>33</v>
      </c>
    </row>
    <row r="5" spans="3:9" ht="13.8">
      <c r="C5" s="5" t="s">
        <v>34</v>
      </c>
      <c r="E5" s="4">
        <v>2010</v>
      </c>
      <c r="G5" s="2" t="s">
        <v>35</v>
      </c>
      <c r="I5" s="2" t="s">
        <v>36</v>
      </c>
    </row>
    <row r="6" spans="3:9" ht="13.8">
      <c r="C6" s="5" t="s">
        <v>37</v>
      </c>
      <c r="E6" s="4">
        <v>2011</v>
      </c>
      <c r="G6" s="2" t="s">
        <v>38</v>
      </c>
      <c r="I6" s="2" t="s">
        <v>39</v>
      </c>
    </row>
    <row r="7" spans="3:9" ht="13.8">
      <c r="C7" s="5" t="s">
        <v>40</v>
      </c>
      <c r="E7" s="4">
        <v>2012</v>
      </c>
      <c r="G7" s="2" t="s">
        <v>41</v>
      </c>
    </row>
    <row r="8" spans="3:9" ht="13.8">
      <c r="C8" s="5" t="s">
        <v>42</v>
      </c>
      <c r="E8" s="4">
        <v>2013</v>
      </c>
      <c r="G8" s="2" t="s">
        <v>43</v>
      </c>
    </row>
    <row r="9" spans="3:9" ht="13.8">
      <c r="C9" s="5" t="s">
        <v>44</v>
      </c>
      <c r="E9" s="4">
        <v>2014</v>
      </c>
      <c r="G9" s="2" t="s">
        <v>45</v>
      </c>
    </row>
    <row r="10" spans="3:9" ht="13.8">
      <c r="C10" s="5" t="s">
        <v>46</v>
      </c>
      <c r="E10" s="4">
        <v>2015</v>
      </c>
      <c r="G10" s="2" t="s">
        <v>47</v>
      </c>
    </row>
    <row r="11" spans="3:9" ht="13.8">
      <c r="C11" s="5" t="s">
        <v>48</v>
      </c>
      <c r="E11" s="4">
        <v>2016</v>
      </c>
      <c r="G11" s="2" t="s">
        <v>49</v>
      </c>
    </row>
    <row r="12" spans="3:9" ht="13.8">
      <c r="C12" s="5" t="s">
        <v>50</v>
      </c>
      <c r="E12" s="4">
        <v>2017</v>
      </c>
      <c r="G12" s="2" t="s">
        <v>51</v>
      </c>
    </row>
    <row r="13" spans="3:9" ht="13.8">
      <c r="C13" s="5" t="s">
        <v>52</v>
      </c>
      <c r="E13" s="4">
        <v>2018</v>
      </c>
      <c r="G13" s="2" t="s">
        <v>53</v>
      </c>
    </row>
    <row r="14" spans="3:9" ht="13.8">
      <c r="C14" s="5" t="s">
        <v>54</v>
      </c>
      <c r="G14" s="2" t="s">
        <v>55</v>
      </c>
    </row>
    <row r="15" spans="3:9" ht="13.8">
      <c r="C15" s="5" t="s">
        <v>56</v>
      </c>
      <c r="G15" s="2" t="s">
        <v>57</v>
      </c>
    </row>
    <row r="16" spans="3:9" ht="13.8">
      <c r="C16" s="5" t="s">
        <v>58</v>
      </c>
      <c r="G16" s="2" t="s">
        <v>59</v>
      </c>
    </row>
    <row r="17" spans="3:3" ht="13.8">
      <c r="C17" s="5" t="s">
        <v>60</v>
      </c>
    </row>
    <row r="18" spans="3:3" ht="13.8">
      <c r="C18" s="5" t="s">
        <v>61</v>
      </c>
    </row>
    <row r="19" spans="3:3" ht="13.8">
      <c r="C19" s="5" t="s">
        <v>62</v>
      </c>
    </row>
    <row r="20" spans="3:3" ht="13.8">
      <c r="C20" s="5" t="s">
        <v>63</v>
      </c>
    </row>
    <row r="21" spans="3:3" ht="13.8">
      <c r="C21" s="5" t="s">
        <v>64</v>
      </c>
    </row>
    <row r="22" spans="3:3" ht="13.8">
      <c r="C22" s="5" t="s">
        <v>65</v>
      </c>
    </row>
    <row r="23" spans="3:3" ht="13.8">
      <c r="C23" s="5" t="s">
        <v>66</v>
      </c>
    </row>
    <row r="24" spans="3:3" ht="13.8">
      <c r="C24" s="5" t="s">
        <v>67</v>
      </c>
    </row>
    <row r="25" spans="3:3" ht="13.8">
      <c r="C25" s="5" t="s">
        <v>68</v>
      </c>
    </row>
    <row r="26" spans="3:3" ht="13.8">
      <c r="C26" s="5" t="s">
        <v>69</v>
      </c>
    </row>
    <row r="27" spans="3:3" ht="13.8">
      <c r="C27" s="5" t="s">
        <v>70</v>
      </c>
    </row>
    <row r="28" spans="3:3" ht="13.8">
      <c r="C28" s="5" t="s">
        <v>71</v>
      </c>
    </row>
    <row r="29" spans="3:3" ht="13.8">
      <c r="C29" s="5" t="s">
        <v>72</v>
      </c>
    </row>
    <row r="30" spans="3:3" ht="13.8">
      <c r="C30" s="5" t="s">
        <v>73</v>
      </c>
    </row>
    <row r="31" spans="3:3" ht="13.8">
      <c r="C31" s="5" t="s">
        <v>74</v>
      </c>
    </row>
    <row r="32" spans="3:3" ht="13.8">
      <c r="C32" s="5" t="s">
        <v>75</v>
      </c>
    </row>
    <row r="33" spans="3:3" ht="13.8">
      <c r="C33" s="5" t="s">
        <v>76</v>
      </c>
    </row>
    <row r="34" spans="3:3" ht="13.8">
      <c r="C34" s="5" t="s">
        <v>77</v>
      </c>
    </row>
    <row r="35" spans="3:3" ht="13.8">
      <c r="C35" s="5" t="s">
        <v>78</v>
      </c>
    </row>
    <row r="36" spans="3:3" ht="13.8">
      <c r="C36" s="5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1.44140625" defaultRowHeight="13.2"/>
  <cols>
    <col min="1" max="1" width="26.88671875" customWidth="1"/>
    <col min="3" max="3" width="20.6640625" customWidth="1"/>
  </cols>
  <sheetData>
    <row r="1" spans="1:3">
      <c r="A1" s="21" t="s">
        <v>80</v>
      </c>
      <c r="B1" s="21" t="s">
        <v>32</v>
      </c>
      <c r="C1" t="s">
        <v>33</v>
      </c>
    </row>
    <row r="2" spans="1:3">
      <c r="A2" t="s">
        <v>81</v>
      </c>
      <c r="B2" s="21" t="s">
        <v>35</v>
      </c>
      <c r="C2" t="s">
        <v>36</v>
      </c>
    </row>
    <row r="3" spans="1:3">
      <c r="A3" t="s">
        <v>82</v>
      </c>
      <c r="B3" s="21" t="s">
        <v>38</v>
      </c>
      <c r="C3" t="s">
        <v>83</v>
      </c>
    </row>
    <row r="4" spans="1:3">
      <c r="A4" t="s">
        <v>84</v>
      </c>
      <c r="B4" s="21" t="s">
        <v>41</v>
      </c>
    </row>
    <row r="5" spans="1:3">
      <c r="A5" t="s">
        <v>85</v>
      </c>
      <c r="B5" s="21" t="s">
        <v>43</v>
      </c>
    </row>
    <row r="6" spans="1:3">
      <c r="A6" t="s">
        <v>86</v>
      </c>
      <c r="B6" s="21" t="s">
        <v>45</v>
      </c>
    </row>
    <row r="7" spans="1:3">
      <c r="A7" t="s">
        <v>87</v>
      </c>
      <c r="B7" s="21" t="s">
        <v>47</v>
      </c>
    </row>
    <row r="8" spans="1:3">
      <c r="A8" t="s">
        <v>88</v>
      </c>
      <c r="B8" s="21" t="s">
        <v>49</v>
      </c>
    </row>
    <row r="9" spans="1:3">
      <c r="A9" t="s">
        <v>89</v>
      </c>
      <c r="B9" s="21" t="s">
        <v>51</v>
      </c>
    </row>
    <row r="10" spans="1:3">
      <c r="A10" t="s">
        <v>90</v>
      </c>
      <c r="B10" s="21" t="s">
        <v>53</v>
      </c>
    </row>
    <row r="11" spans="1:3">
      <c r="A11" t="s">
        <v>91</v>
      </c>
      <c r="B11" s="21" t="s">
        <v>55</v>
      </c>
    </row>
    <row r="12" spans="1:3">
      <c r="A12" t="s">
        <v>92</v>
      </c>
      <c r="B12" s="21" t="s">
        <v>57</v>
      </c>
    </row>
    <row r="13" spans="1:3">
      <c r="A13" t="s">
        <v>93</v>
      </c>
      <c r="B13" s="21" t="s">
        <v>59</v>
      </c>
    </row>
    <row r="14" spans="1:3">
      <c r="A14" t="s">
        <v>94</v>
      </c>
      <c r="B14" s="21" t="s">
        <v>35</v>
      </c>
    </row>
    <row r="15" spans="1:3">
      <c r="A15" t="s">
        <v>95</v>
      </c>
      <c r="B15" s="21" t="s">
        <v>38</v>
      </c>
    </row>
    <row r="16" spans="1:3">
      <c r="A16" t="s">
        <v>96</v>
      </c>
      <c r="B16" s="21" t="s">
        <v>41</v>
      </c>
    </row>
    <row r="17" spans="1:2">
      <c r="A17" t="s">
        <v>97</v>
      </c>
      <c r="B17" s="21" t="s">
        <v>43</v>
      </c>
    </row>
    <row r="18" spans="1:2">
      <c r="A18" t="s">
        <v>98</v>
      </c>
      <c r="B18" s="21" t="s">
        <v>45</v>
      </c>
    </row>
    <row r="19" spans="1:2">
      <c r="A19" t="s">
        <v>99</v>
      </c>
      <c r="B19" s="21" t="s">
        <v>47</v>
      </c>
    </row>
    <row r="20" spans="1:2">
      <c r="A20" t="s">
        <v>100</v>
      </c>
      <c r="B20" s="21" t="s">
        <v>49</v>
      </c>
    </row>
    <row r="21" spans="1:2">
      <c r="A21" t="s">
        <v>101</v>
      </c>
      <c r="B21" s="21" t="s">
        <v>51</v>
      </c>
    </row>
    <row r="22" spans="1:2">
      <c r="A22" t="s">
        <v>102</v>
      </c>
      <c r="B22" s="21" t="s">
        <v>53</v>
      </c>
    </row>
    <row r="23" spans="1:2">
      <c r="A23" t="s">
        <v>103</v>
      </c>
      <c r="B23" s="21" t="s">
        <v>55</v>
      </c>
    </row>
    <row r="24" spans="1:2">
      <c r="A24" t="s">
        <v>104</v>
      </c>
      <c r="B24" s="21" t="s">
        <v>57</v>
      </c>
    </row>
    <row r="25" spans="1:2">
      <c r="A25" t="s">
        <v>105</v>
      </c>
      <c r="B25" s="21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" right="0" top="0" bottom="0" header="0" footer="0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HT21"/>
  <sheetViews>
    <sheetView tabSelected="1" view="pageBreakPreview" topLeftCell="A4" zoomScaleNormal="100" zoomScaleSheetLayoutView="100" workbookViewId="0">
      <selection activeCell="E10" sqref="E10"/>
    </sheetView>
  </sheetViews>
  <sheetFormatPr baseColWidth="10" defaultColWidth="11.44140625" defaultRowHeight="13.2"/>
  <cols>
    <col min="1" max="1" width="23.33203125" style="32" customWidth="1"/>
    <col min="2" max="2" width="26.109375" style="32" customWidth="1"/>
    <col min="3" max="3" width="28.33203125" style="32" customWidth="1"/>
    <col min="4" max="4" width="23.33203125" style="32" customWidth="1"/>
    <col min="5" max="5" width="25.6640625" style="32" customWidth="1"/>
    <col min="6" max="6" width="26.88671875" style="32" customWidth="1"/>
    <col min="7" max="7" width="29.44140625" style="32" customWidth="1"/>
    <col min="8" max="16384" width="11.44140625" style="32"/>
  </cols>
  <sheetData>
    <row r="3" spans="1:228" ht="69.75" customHeight="1">
      <c r="B3" s="33"/>
      <c r="C3" s="33"/>
    </row>
    <row r="4" spans="1:228" ht="21.75" customHeight="1">
      <c r="B4" s="130" t="s">
        <v>114</v>
      </c>
      <c r="C4" s="130"/>
    </row>
    <row r="5" spans="1:228" ht="12.75" customHeight="1">
      <c r="B5" s="41" t="s">
        <v>115</v>
      </c>
      <c r="C5" s="41"/>
    </row>
    <row r="6" spans="1:228" s="17" customFormat="1" ht="18" customHeight="1">
      <c r="A6" s="34"/>
      <c r="B6" s="130" t="s">
        <v>4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ht="13.8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7.399999999999999">
      <c r="A8" s="131" t="s">
        <v>116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4">
      <c r="A10" s="36"/>
      <c r="B10" s="39" t="s">
        <v>117</v>
      </c>
      <c r="C10" s="83" t="s">
        <v>118</v>
      </c>
      <c r="D10" s="36"/>
      <c r="E10" s="36"/>
      <c r="F10" s="36"/>
    </row>
    <row r="11" spans="1:228" ht="17.399999999999999">
      <c r="A11" s="36"/>
      <c r="B11" s="30" t="s">
        <v>119</v>
      </c>
      <c r="C11" s="31">
        <v>2026</v>
      </c>
      <c r="D11" s="36"/>
      <c r="E11" s="36"/>
      <c r="F11" s="36"/>
    </row>
    <row r="12" spans="1:228" ht="17.399999999999999">
      <c r="A12" s="36"/>
      <c r="B12" s="30" t="s">
        <v>120</v>
      </c>
      <c r="C12" s="85" t="s">
        <v>45</v>
      </c>
      <c r="D12" s="36"/>
      <c r="E12" s="36"/>
      <c r="F12" s="36"/>
    </row>
    <row r="13" spans="1:228" ht="17.399999999999999">
      <c r="A13" s="36"/>
      <c r="B13" s="30" t="s">
        <v>121</v>
      </c>
      <c r="C13" s="84">
        <f>A16+B16+C16+D16+E16+F16+G16</f>
        <v>127448</v>
      </c>
    </row>
    <row r="15" spans="1:228" ht="63.6" customHeight="1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126</v>
      </c>
      <c r="F15" s="22" t="s">
        <v>127</v>
      </c>
      <c r="G15" s="22" t="s">
        <v>128</v>
      </c>
    </row>
    <row r="16" spans="1:228" ht="13.8">
      <c r="A16" s="53">
        <f>SUM('C01:C10'!D20:D79)</f>
        <v>4923</v>
      </c>
      <c r="B16" s="53">
        <f>SUM('C01:C10'!D80:D122)</f>
        <v>2093</v>
      </c>
      <c r="C16" s="53">
        <f>SUM('C01:C10'!D123:D263)</f>
        <v>12527</v>
      </c>
      <c r="D16" s="53">
        <f>SUM('C01:C10'!D264:D273)</f>
        <v>183</v>
      </c>
      <c r="E16" s="53">
        <f>SUM('C01:C10'!D274:D290)</f>
        <v>4658</v>
      </c>
      <c r="F16" s="53">
        <f>SUM('C01:C10'!D291:D293)</f>
        <v>813</v>
      </c>
      <c r="G16" s="53">
        <f>SUM('C01:C10'!D294:D301)</f>
        <v>102251</v>
      </c>
    </row>
    <row r="17" spans="1:7" ht="13.8">
      <c r="A17" s="22"/>
      <c r="B17" s="22"/>
      <c r="C17" s="22"/>
      <c r="D17" s="22"/>
      <c r="E17" s="22"/>
      <c r="F17" s="22"/>
      <c r="G17" s="22"/>
    </row>
    <row r="18" spans="1:7" ht="13.8">
      <c r="A18" s="54"/>
      <c r="B18" s="54"/>
      <c r="C18" s="54"/>
      <c r="D18" s="54"/>
      <c r="E18" s="82"/>
      <c r="F18" s="82"/>
    </row>
    <row r="19" spans="1:7" s="42" customFormat="1" ht="39.6">
      <c r="A19" s="55" t="s">
        <v>129</v>
      </c>
      <c r="B19" s="55" t="s">
        <v>130</v>
      </c>
      <c r="C19" s="55" t="s">
        <v>131</v>
      </c>
      <c r="D19" s="55" t="s">
        <v>132</v>
      </c>
      <c r="E19" s="55" t="s">
        <v>133</v>
      </c>
      <c r="F19" s="55" t="s">
        <v>134</v>
      </c>
      <c r="G19" s="55" t="s">
        <v>135</v>
      </c>
    </row>
    <row r="20" spans="1:7" ht="30">
      <c r="A20" s="56">
        <f>IFERROR(A16/$C$13,0)</f>
        <v>3.8627518674282844E-2</v>
      </c>
      <c r="B20" s="56">
        <f>IFERROR(B16/$C$13,0)</f>
        <v>1.6422384031134267E-2</v>
      </c>
      <c r="C20" s="56">
        <f t="shared" ref="C20:G20" si="0">IFERROR(C16/$C$13,0)</f>
        <v>9.8291067729583834E-2</v>
      </c>
      <c r="D20" s="56">
        <f t="shared" si="0"/>
        <v>1.4358797313414099E-3</v>
      </c>
      <c r="E20" s="56">
        <f t="shared" si="0"/>
        <v>3.6548239281903205E-2</v>
      </c>
      <c r="F20" s="56">
        <f t="shared" si="0"/>
        <v>6.3790722490741324E-3</v>
      </c>
      <c r="G20" s="56">
        <f t="shared" si="0"/>
        <v>0.80229583830268036</v>
      </c>
    </row>
    <row r="21" spans="1:7" ht="13.8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" right="0" top="0" bottom="0" header="0" footer="0"/>
      <pageSetup scale="50" orientation="portrait" r:id="rId1"/>
    </customSheetView>
  </customSheetViews>
  <mergeCells count="3">
    <mergeCell ref="B4:C4"/>
    <mergeCell ref="B6:C6"/>
    <mergeCell ref="A8:D8"/>
  </mergeCells>
  <pageMargins left="0.70866141732283472" right="0.70866141732283472" top="0.74803149606299213" bottom="0.74803149606299213" header="0.31496062992125984" footer="0.31496062992125984"/>
  <pageSetup scale="68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5" zoomScale="88" zoomScaleNormal="100" zoomScaleSheetLayoutView="88" workbookViewId="0">
      <selection activeCell="D24" sqref="D24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140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1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200</v>
      </c>
    </row>
    <row r="23" spans="2:7" ht="13.8">
      <c r="B23" s="57">
        <v>10104</v>
      </c>
      <c r="C23" s="58" t="s">
        <v>147</v>
      </c>
      <c r="D23" s="99">
        <v>366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3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3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1</v>
      </c>
    </row>
    <row r="31" spans="2:7" ht="13.8">
      <c r="B31" s="57">
        <v>10112</v>
      </c>
      <c r="C31" s="58" t="s">
        <v>155</v>
      </c>
      <c r="D31" s="99">
        <v>7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58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1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4</v>
      </c>
    </row>
    <row r="42" spans="2:4" ht="13.8">
      <c r="B42" s="67">
        <v>10202</v>
      </c>
      <c r="C42" s="68" t="s">
        <v>166</v>
      </c>
      <c r="D42" s="98">
        <v>6</v>
      </c>
    </row>
    <row r="43" spans="2:4" ht="13.8">
      <c r="B43" s="57">
        <v>10203</v>
      </c>
      <c r="C43" s="58" t="s">
        <v>167</v>
      </c>
      <c r="D43" s="99">
        <v>4</v>
      </c>
    </row>
    <row r="44" spans="2:4" ht="13.8">
      <c r="B44" s="67">
        <v>10204</v>
      </c>
      <c r="C44" s="68" t="s">
        <v>168</v>
      </c>
      <c r="D44" s="98">
        <v>222</v>
      </c>
    </row>
    <row r="45" spans="2:4" ht="13.8">
      <c r="B45" s="57">
        <v>10205</v>
      </c>
      <c r="C45" s="58" t="s">
        <v>169</v>
      </c>
      <c r="D45" s="99">
        <v>1</v>
      </c>
    </row>
    <row r="46" spans="2:4" ht="13.8">
      <c r="B46" s="67">
        <v>10206</v>
      </c>
      <c r="C46" s="68" t="s">
        <v>170</v>
      </c>
      <c r="D46" s="98">
        <v>19</v>
      </c>
    </row>
    <row r="47" spans="2:4" ht="13.8">
      <c r="B47" s="57">
        <v>10207</v>
      </c>
      <c r="C47" s="58" t="s">
        <v>171</v>
      </c>
      <c r="D47" s="99">
        <v>17</v>
      </c>
    </row>
    <row r="48" spans="2:4" ht="13.8">
      <c r="B48" s="67">
        <v>10208</v>
      </c>
      <c r="C48" s="68" t="s">
        <v>172</v>
      </c>
      <c r="D48" s="98">
        <v>13</v>
      </c>
    </row>
    <row r="49" spans="2:4" ht="13.8">
      <c r="B49" s="57">
        <v>10209</v>
      </c>
      <c r="C49" s="58" t="s">
        <v>173</v>
      </c>
      <c r="D49" s="99">
        <v>16</v>
      </c>
    </row>
    <row r="50" spans="2:4" ht="13.8">
      <c r="B50" s="67">
        <v>10210</v>
      </c>
      <c r="C50" s="68" t="s">
        <v>174</v>
      </c>
      <c r="D50" s="98">
        <v>13</v>
      </c>
    </row>
    <row r="51" spans="2:4" ht="13.8">
      <c r="B51" s="57">
        <v>10211</v>
      </c>
      <c r="C51" s="58" t="s">
        <v>175</v>
      </c>
      <c r="D51" s="99">
        <v>4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3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1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1</v>
      </c>
    </row>
    <row r="59" spans="2:4" ht="13.8">
      <c r="B59" s="57">
        <v>10219</v>
      </c>
      <c r="C59" s="58" t="s">
        <v>183</v>
      </c>
      <c r="D59" s="99">
        <v>8</v>
      </c>
    </row>
    <row r="60" spans="2:4" ht="13.8">
      <c r="B60" s="67">
        <v>10220</v>
      </c>
      <c r="C60" s="68" t="s">
        <v>184</v>
      </c>
      <c r="D60" s="98">
        <v>33</v>
      </c>
    </row>
    <row r="61" spans="2:4" ht="13.8">
      <c r="B61" s="57">
        <v>10301</v>
      </c>
      <c r="C61" s="58" t="s">
        <v>185</v>
      </c>
      <c r="D61" s="99">
        <v>8</v>
      </c>
    </row>
    <row r="62" spans="2:4" ht="13.8">
      <c r="B62" s="67">
        <v>10302</v>
      </c>
      <c r="C62" s="68" t="s">
        <v>186</v>
      </c>
      <c r="D62" s="98">
        <v>8</v>
      </c>
    </row>
    <row r="63" spans="2:4" ht="13.8">
      <c r="B63" s="57">
        <v>10303</v>
      </c>
      <c r="C63" s="58" t="s">
        <v>187</v>
      </c>
      <c r="D63" s="99">
        <v>18</v>
      </c>
    </row>
    <row r="64" spans="2:4" ht="13.8">
      <c r="B64" s="67">
        <v>10304</v>
      </c>
      <c r="C64" s="68" t="s">
        <v>188</v>
      </c>
      <c r="D64" s="98">
        <v>14</v>
      </c>
    </row>
    <row r="65" spans="2:4" ht="13.8">
      <c r="B65" s="57">
        <v>10305</v>
      </c>
      <c r="C65" s="58" t="s">
        <v>189</v>
      </c>
      <c r="D65" s="99">
        <v>83</v>
      </c>
    </row>
    <row r="66" spans="2:4" ht="13.8">
      <c r="B66" s="67">
        <v>10306</v>
      </c>
      <c r="C66" s="68" t="s">
        <v>190</v>
      </c>
      <c r="D66" s="98">
        <v>30</v>
      </c>
    </row>
    <row r="67" spans="2:4" ht="13.8">
      <c r="B67" s="57">
        <v>10307</v>
      </c>
      <c r="C67" s="58" t="s">
        <v>191</v>
      </c>
      <c r="D67" s="99">
        <v>93</v>
      </c>
    </row>
    <row r="68" spans="2:4" ht="13.8">
      <c r="B68" s="67">
        <v>10308</v>
      </c>
      <c r="C68" s="68" t="s">
        <v>192</v>
      </c>
      <c r="D68" s="98">
        <v>134</v>
      </c>
    </row>
    <row r="69" spans="2:4" ht="13.8">
      <c r="B69" s="57">
        <v>10309</v>
      </c>
      <c r="C69" s="58" t="s">
        <v>193</v>
      </c>
      <c r="D69" s="99">
        <v>26</v>
      </c>
    </row>
    <row r="70" spans="2:4" ht="13.8">
      <c r="B70" s="67">
        <v>10310</v>
      </c>
      <c r="C70" s="68" t="s">
        <v>194</v>
      </c>
      <c r="D70" s="98">
        <v>7</v>
      </c>
    </row>
    <row r="71" spans="2:4" ht="13.8">
      <c r="B71" s="57">
        <v>10311</v>
      </c>
      <c r="C71" s="58" t="s">
        <v>195</v>
      </c>
      <c r="D71" s="99">
        <v>27</v>
      </c>
    </row>
    <row r="72" spans="2:4" ht="13.8">
      <c r="B72" s="67">
        <v>10312</v>
      </c>
      <c r="C72" s="68" t="s">
        <v>196</v>
      </c>
      <c r="D72" s="98">
        <v>28</v>
      </c>
    </row>
    <row r="73" spans="2:4" ht="13.8">
      <c r="B73" s="57">
        <v>10313</v>
      </c>
      <c r="C73" s="58" t="s">
        <v>197</v>
      </c>
      <c r="D73" s="99">
        <v>2</v>
      </c>
    </row>
    <row r="74" spans="2:4" ht="13.8">
      <c r="B74" s="67">
        <v>10314</v>
      </c>
      <c r="C74" s="68" t="s">
        <v>198</v>
      </c>
      <c r="D74" s="98">
        <v>9</v>
      </c>
    </row>
    <row r="75" spans="2:4" ht="13.8">
      <c r="B75" s="57">
        <v>10315</v>
      </c>
      <c r="C75" s="58" t="s">
        <v>199</v>
      </c>
      <c r="D75" s="99">
        <v>21</v>
      </c>
    </row>
    <row r="76" spans="2:4" ht="13.8">
      <c r="B76" s="67">
        <v>10316</v>
      </c>
      <c r="C76" s="68" t="s">
        <v>200</v>
      </c>
      <c r="D76" s="98">
        <v>345</v>
      </c>
    </row>
    <row r="77" spans="2:4" ht="13.8">
      <c r="B77" s="57">
        <v>10317</v>
      </c>
      <c r="C77" s="58" t="s">
        <v>201</v>
      </c>
      <c r="D77" s="99">
        <v>77</v>
      </c>
    </row>
    <row r="78" spans="2:4" ht="13.8">
      <c r="B78" s="67">
        <v>10318</v>
      </c>
      <c r="C78" s="68" t="s">
        <v>202</v>
      </c>
      <c r="D78" s="98">
        <v>18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1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54</v>
      </c>
    </row>
    <row r="83" spans="2:4" ht="13.8">
      <c r="B83" s="59">
        <v>20104</v>
      </c>
      <c r="C83" s="60" t="s">
        <v>207</v>
      </c>
      <c r="D83" s="101">
        <v>35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2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49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26</v>
      </c>
    </row>
    <row r="90" spans="2:4" ht="13.8">
      <c r="B90" s="69">
        <v>20111</v>
      </c>
      <c r="C90" s="70" t="s">
        <v>214</v>
      </c>
      <c r="D90" s="100">
        <v>2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2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3</v>
      </c>
    </row>
    <row r="95" spans="2:4" ht="13.8">
      <c r="B95" s="59">
        <v>20202</v>
      </c>
      <c r="C95" s="60" t="s">
        <v>219</v>
      </c>
      <c r="D95" s="101">
        <v>2</v>
      </c>
    </row>
    <row r="96" spans="2:4" ht="13.8">
      <c r="B96" s="69">
        <v>20203</v>
      </c>
      <c r="C96" s="70" t="s">
        <v>220</v>
      </c>
      <c r="D96" s="100">
        <v>76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12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33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60</v>
      </c>
    </row>
    <row r="109" spans="2:4" ht="13.8">
      <c r="B109" s="59">
        <v>20302</v>
      </c>
      <c r="C109" s="60" t="s">
        <v>233</v>
      </c>
      <c r="D109" s="101">
        <v>1</v>
      </c>
    </row>
    <row r="110" spans="2:4" ht="13.8">
      <c r="B110" s="69">
        <v>20303</v>
      </c>
      <c r="C110" s="70" t="s">
        <v>234</v>
      </c>
      <c r="D110" s="100">
        <v>28</v>
      </c>
    </row>
    <row r="111" spans="2:4" ht="13.8">
      <c r="B111" s="59">
        <v>20304</v>
      </c>
      <c r="C111" s="60" t="s">
        <v>235</v>
      </c>
      <c r="D111" s="101">
        <v>3</v>
      </c>
    </row>
    <row r="112" spans="2:4" ht="13.8">
      <c r="B112" s="69">
        <v>20305</v>
      </c>
      <c r="C112" s="70" t="s">
        <v>236</v>
      </c>
      <c r="D112" s="100">
        <v>1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30</v>
      </c>
    </row>
    <row r="115" spans="2:4" ht="13.8">
      <c r="B115" s="59">
        <v>20308</v>
      </c>
      <c r="C115" s="60" t="s">
        <v>239</v>
      </c>
      <c r="D115" s="101">
        <v>29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566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5</v>
      </c>
    </row>
    <row r="121" spans="2:4" ht="13.8">
      <c r="B121" s="59">
        <v>20403</v>
      </c>
      <c r="C121" s="60" t="s">
        <v>245</v>
      </c>
      <c r="D121" s="101">
        <v>46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67</v>
      </c>
    </row>
    <row r="124" spans="2:4" ht="13.8">
      <c r="B124" s="61">
        <v>30102</v>
      </c>
      <c r="C124" s="62" t="s">
        <v>248</v>
      </c>
      <c r="D124" s="101">
        <v>17</v>
      </c>
    </row>
    <row r="125" spans="2:4" ht="13.8">
      <c r="B125" s="63">
        <v>30103</v>
      </c>
      <c r="C125" s="64" t="s">
        <v>249</v>
      </c>
      <c r="D125" s="102">
        <v>110</v>
      </c>
    </row>
    <row r="126" spans="2:4" ht="13.8">
      <c r="B126" s="61">
        <v>30201</v>
      </c>
      <c r="C126" s="62" t="s">
        <v>250</v>
      </c>
      <c r="D126" s="101">
        <v>1</v>
      </c>
    </row>
    <row r="127" spans="2:4" ht="13.8">
      <c r="B127" s="63">
        <v>30202</v>
      </c>
      <c r="C127" s="64" t="s">
        <v>251</v>
      </c>
      <c r="D127" s="102">
        <v>22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22</v>
      </c>
    </row>
    <row r="130" spans="2:4" ht="13.8">
      <c r="B130" s="61">
        <v>30205</v>
      </c>
      <c r="C130" s="62" t="s">
        <v>254</v>
      </c>
      <c r="D130" s="101">
        <v>3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79</v>
      </c>
    </row>
    <row r="135" spans="2:4" ht="13.8">
      <c r="B135" s="63">
        <v>30303</v>
      </c>
      <c r="C135" s="64" t="s">
        <v>259</v>
      </c>
      <c r="D135" s="102">
        <v>82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23</v>
      </c>
    </row>
    <row r="138" spans="2:4" ht="13.8">
      <c r="B138" s="61">
        <v>30306</v>
      </c>
      <c r="C138" s="62" t="s">
        <v>262</v>
      </c>
      <c r="D138" s="101">
        <v>44</v>
      </c>
    </row>
    <row r="139" spans="2:4" ht="13.8">
      <c r="B139" s="63">
        <v>30307</v>
      </c>
      <c r="C139" s="64" t="s">
        <v>263</v>
      </c>
      <c r="D139" s="102">
        <v>243</v>
      </c>
    </row>
    <row r="140" spans="2:4" ht="13.8">
      <c r="B140" s="61">
        <v>30308</v>
      </c>
      <c r="C140" s="62" t="s">
        <v>264</v>
      </c>
      <c r="D140" s="101">
        <v>113</v>
      </c>
    </row>
    <row r="141" spans="2:4" ht="13.8">
      <c r="B141" s="63">
        <v>30309</v>
      </c>
      <c r="C141" s="64" t="s">
        <v>265</v>
      </c>
      <c r="D141" s="102">
        <v>631</v>
      </c>
    </row>
    <row r="142" spans="2:4" ht="13.8">
      <c r="B142" s="61">
        <v>30310</v>
      </c>
      <c r="C142" s="62" t="s">
        <v>266</v>
      </c>
      <c r="D142" s="101">
        <v>332</v>
      </c>
    </row>
    <row r="143" spans="2:4" ht="13.8">
      <c r="B143" s="63">
        <v>30401</v>
      </c>
      <c r="C143" s="64" t="s">
        <v>267</v>
      </c>
      <c r="D143" s="102">
        <v>486</v>
      </c>
    </row>
    <row r="144" spans="2:4" ht="13.8">
      <c r="B144" s="61">
        <v>30402</v>
      </c>
      <c r="C144" s="62" t="s">
        <v>268</v>
      </c>
      <c r="D144" s="101">
        <v>2</v>
      </c>
    </row>
    <row r="145" spans="2:4" ht="13.8">
      <c r="B145" s="63">
        <v>30403</v>
      </c>
      <c r="C145" s="64" t="s">
        <v>269</v>
      </c>
      <c r="D145" s="102">
        <v>46</v>
      </c>
    </row>
    <row r="146" spans="2:4" ht="13.8">
      <c r="B146" s="61">
        <v>30404</v>
      </c>
      <c r="C146" s="62" t="s">
        <v>270</v>
      </c>
      <c r="D146" s="101">
        <v>13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3</v>
      </c>
    </row>
    <row r="149" spans="2:4" ht="13.8">
      <c r="B149" s="63">
        <v>30407</v>
      </c>
      <c r="C149" s="64" t="s">
        <v>273</v>
      </c>
      <c r="D149" s="102">
        <v>3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1</v>
      </c>
    </row>
    <row r="154" spans="2:4" ht="13.8">
      <c r="B154" s="61">
        <v>30412</v>
      </c>
      <c r="C154" s="62" t="s">
        <v>278</v>
      </c>
      <c r="D154" s="101">
        <v>1</v>
      </c>
    </row>
    <row r="155" spans="2:4" ht="13.8">
      <c r="B155" s="63">
        <v>30413</v>
      </c>
      <c r="C155" s="64" t="s">
        <v>279</v>
      </c>
      <c r="D155" s="102">
        <v>6</v>
      </c>
    </row>
    <row r="156" spans="2:4" ht="13.8">
      <c r="B156" s="61">
        <v>30414</v>
      </c>
      <c r="C156" s="62" t="s">
        <v>280</v>
      </c>
      <c r="D156" s="101">
        <v>52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4</v>
      </c>
    </row>
    <row r="159" spans="2:4" ht="13.8">
      <c r="B159" s="63">
        <v>30417</v>
      </c>
      <c r="C159" s="64" t="s">
        <v>283</v>
      </c>
      <c r="D159" s="102">
        <v>2</v>
      </c>
    </row>
    <row r="160" spans="2:4" ht="13.8">
      <c r="B160" s="61">
        <v>30418</v>
      </c>
      <c r="C160" s="62" t="s">
        <v>284</v>
      </c>
      <c r="D160" s="101">
        <v>8</v>
      </c>
    </row>
    <row r="161" spans="2:4" ht="13.8">
      <c r="B161" s="63">
        <v>30419</v>
      </c>
      <c r="C161" s="64" t="s">
        <v>285</v>
      </c>
      <c r="D161" s="102">
        <v>43</v>
      </c>
    </row>
    <row r="162" spans="2:4" ht="13.8">
      <c r="B162" s="61">
        <v>30420</v>
      </c>
      <c r="C162" s="62" t="s">
        <v>286</v>
      </c>
      <c r="D162" s="101">
        <v>22</v>
      </c>
    </row>
    <row r="163" spans="2:4" ht="13.8">
      <c r="B163" s="63">
        <v>30421</v>
      </c>
      <c r="C163" s="64" t="s">
        <v>287</v>
      </c>
      <c r="D163" s="102">
        <v>47</v>
      </c>
    </row>
    <row r="164" spans="2:4" ht="13.8">
      <c r="B164" s="61">
        <v>30422</v>
      </c>
      <c r="C164" s="62" t="s">
        <v>288</v>
      </c>
      <c r="D164" s="101">
        <v>19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8</v>
      </c>
    </row>
    <row r="170" spans="2:4" ht="13.8">
      <c r="B170" s="61">
        <v>30428</v>
      </c>
      <c r="C170" s="62" t="s">
        <v>294</v>
      </c>
      <c r="D170" s="101">
        <v>2</v>
      </c>
    </row>
    <row r="171" spans="2:4" ht="13.8">
      <c r="B171" s="63">
        <v>30429</v>
      </c>
      <c r="C171" s="64" t="s">
        <v>295</v>
      </c>
      <c r="D171" s="102">
        <v>68</v>
      </c>
    </row>
    <row r="172" spans="2:4" ht="13.8">
      <c r="B172" s="61">
        <v>30430</v>
      </c>
      <c r="C172" s="62" t="s">
        <v>296</v>
      </c>
      <c r="D172" s="101">
        <v>206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2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6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8</v>
      </c>
    </row>
    <row r="189" spans="2:4" ht="13.8">
      <c r="B189" s="63">
        <v>30501</v>
      </c>
      <c r="C189" s="64" t="s">
        <v>313</v>
      </c>
      <c r="D189" s="102">
        <v>4</v>
      </c>
    </row>
    <row r="190" spans="2:4" ht="13.8">
      <c r="B190" s="61">
        <v>30502</v>
      </c>
      <c r="C190" s="62" t="s">
        <v>314</v>
      </c>
      <c r="D190" s="101">
        <v>189</v>
      </c>
    </row>
    <row r="191" spans="2:4" ht="13.8">
      <c r="B191" s="63">
        <v>30503</v>
      </c>
      <c r="C191" s="64" t="s">
        <v>315</v>
      </c>
      <c r="D191" s="102">
        <v>347</v>
      </c>
    </row>
    <row r="192" spans="2:4" ht="13.8">
      <c r="B192" s="61">
        <v>30504</v>
      </c>
      <c r="C192" s="62" t="s">
        <v>316</v>
      </c>
      <c r="D192" s="101">
        <v>99</v>
      </c>
    </row>
    <row r="193" spans="2:4" ht="13.8">
      <c r="B193" s="63">
        <v>30505</v>
      </c>
      <c r="C193" s="64" t="s">
        <v>317</v>
      </c>
      <c r="D193" s="102">
        <v>34</v>
      </c>
    </row>
    <row r="194" spans="2:4" ht="13.8">
      <c r="B194" s="61">
        <v>30601</v>
      </c>
      <c r="C194" s="62" t="s">
        <v>318</v>
      </c>
      <c r="D194" s="101">
        <v>20</v>
      </c>
    </row>
    <row r="195" spans="2:4" ht="13.8">
      <c r="B195" s="63">
        <v>30602</v>
      </c>
      <c r="C195" s="64" t="s">
        <v>319</v>
      </c>
      <c r="D195" s="102">
        <v>144</v>
      </c>
    </row>
    <row r="196" spans="2:4" ht="13.8">
      <c r="B196" s="61">
        <v>30603</v>
      </c>
      <c r="C196" s="62" t="s">
        <v>320</v>
      </c>
      <c r="D196" s="101">
        <v>2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359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6</v>
      </c>
    </row>
    <row r="203" spans="2:4" ht="13.8">
      <c r="B203" s="63">
        <v>30610</v>
      </c>
      <c r="C203" s="64" t="s">
        <v>327</v>
      </c>
      <c r="D203" s="102">
        <v>8</v>
      </c>
    </row>
    <row r="204" spans="2:4" ht="13.8">
      <c r="B204" s="61">
        <v>30611</v>
      </c>
      <c r="C204" s="62" t="s">
        <v>328</v>
      </c>
      <c r="D204" s="101">
        <v>358</v>
      </c>
    </row>
    <row r="205" spans="2:4" ht="13.8">
      <c r="B205" s="63">
        <v>30701</v>
      </c>
      <c r="C205" s="64" t="s">
        <v>329</v>
      </c>
      <c r="D205" s="102">
        <v>2</v>
      </c>
    </row>
    <row r="206" spans="2:4" ht="13.8">
      <c r="B206" s="61">
        <v>30702</v>
      </c>
      <c r="C206" s="62" t="s">
        <v>330</v>
      </c>
      <c r="D206" s="101">
        <v>14</v>
      </c>
    </row>
    <row r="207" spans="2:4" ht="13.8">
      <c r="B207" s="63">
        <v>30703</v>
      </c>
      <c r="C207" s="64" t="s">
        <v>331</v>
      </c>
      <c r="D207" s="102">
        <v>11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1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1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1</v>
      </c>
    </row>
    <row r="227" spans="2:4" ht="13.8">
      <c r="B227" s="63">
        <v>30902</v>
      </c>
      <c r="C227" s="64" t="s">
        <v>351</v>
      </c>
      <c r="D227" s="102">
        <v>1</v>
      </c>
    </row>
    <row r="228" spans="2:4" ht="13.8">
      <c r="B228" s="61">
        <v>30903</v>
      </c>
      <c r="C228" s="62" t="s">
        <v>352</v>
      </c>
      <c r="D228" s="101">
        <v>304</v>
      </c>
    </row>
    <row r="229" spans="2:4" ht="13.8">
      <c r="B229" s="63">
        <v>30904</v>
      </c>
      <c r="C229" s="64" t="s">
        <v>353</v>
      </c>
      <c r="D229" s="102">
        <v>512</v>
      </c>
    </row>
    <row r="230" spans="2:4" ht="13.8">
      <c r="B230" s="61">
        <v>30905</v>
      </c>
      <c r="C230" s="62" t="s">
        <v>354</v>
      </c>
      <c r="D230" s="101">
        <v>43</v>
      </c>
    </row>
    <row r="231" spans="2:4" ht="13.8">
      <c r="B231" s="63">
        <v>30906</v>
      </c>
      <c r="C231" s="64" t="s">
        <v>355</v>
      </c>
      <c r="D231" s="102">
        <v>19</v>
      </c>
    </row>
    <row r="232" spans="2:4" ht="13.8">
      <c r="B232" s="61">
        <v>30907</v>
      </c>
      <c r="C232" s="62" t="s">
        <v>356</v>
      </c>
      <c r="D232" s="101">
        <v>858</v>
      </c>
    </row>
    <row r="233" spans="2:4" ht="13.8">
      <c r="B233" s="63">
        <v>30908</v>
      </c>
      <c r="C233" s="64" t="s">
        <v>357</v>
      </c>
      <c r="D233" s="102">
        <v>8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29</v>
      </c>
    </row>
    <row r="236" spans="2:4" ht="13.8">
      <c r="B236" s="61">
        <v>31002</v>
      </c>
      <c r="C236" s="62" t="s">
        <v>360</v>
      </c>
      <c r="D236" s="101">
        <v>35</v>
      </c>
    </row>
    <row r="237" spans="2:4" ht="13.8">
      <c r="B237" s="63">
        <v>31003</v>
      </c>
      <c r="C237" s="64" t="s">
        <v>361</v>
      </c>
      <c r="D237" s="102">
        <v>2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5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1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1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349</v>
      </c>
    </row>
    <row r="251" spans="2:4" ht="13.8">
      <c r="B251" s="63">
        <v>31102</v>
      </c>
      <c r="C251" s="64" t="s">
        <v>375</v>
      </c>
      <c r="D251" s="102">
        <v>52</v>
      </c>
    </row>
    <row r="252" spans="2:4" ht="13.8">
      <c r="B252" s="61">
        <v>31103</v>
      </c>
      <c r="C252" s="62" t="s">
        <v>376</v>
      </c>
      <c r="D252" s="101">
        <v>47</v>
      </c>
    </row>
    <row r="253" spans="2:4" ht="13.8">
      <c r="B253" s="63">
        <v>31104</v>
      </c>
      <c r="C253" s="64" t="s">
        <v>377</v>
      </c>
      <c r="D253" s="102">
        <v>68</v>
      </c>
    </row>
    <row r="254" spans="2:4" ht="13.8">
      <c r="B254" s="61">
        <v>31105</v>
      </c>
      <c r="C254" s="62" t="s">
        <v>378</v>
      </c>
      <c r="D254" s="101">
        <v>72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5</v>
      </c>
    </row>
    <row r="258" spans="2:4" ht="13.8">
      <c r="B258" s="61">
        <v>31109</v>
      </c>
      <c r="C258" s="62" t="s">
        <v>382</v>
      </c>
      <c r="D258" s="101">
        <v>8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1</v>
      </c>
    </row>
    <row r="261" spans="2:4" ht="13.8">
      <c r="B261" s="63">
        <v>31112</v>
      </c>
      <c r="C261" s="64" t="s">
        <v>385</v>
      </c>
      <c r="D261" s="102">
        <v>201</v>
      </c>
    </row>
    <row r="262" spans="2:4" ht="13.8">
      <c r="B262" s="61">
        <v>31113</v>
      </c>
      <c r="C262" s="62" t="s">
        <v>386</v>
      </c>
      <c r="D262" s="101">
        <v>3</v>
      </c>
    </row>
    <row r="263" spans="2:4" ht="13.8">
      <c r="B263" s="63">
        <v>31114</v>
      </c>
      <c r="C263" s="64" t="s">
        <v>387</v>
      </c>
      <c r="D263" s="102">
        <v>14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8</v>
      </c>
    </row>
    <row r="266" spans="2:4" ht="13.8">
      <c r="B266" s="65">
        <v>40103</v>
      </c>
      <c r="C266" s="66" t="s">
        <v>390</v>
      </c>
      <c r="D266" s="103">
        <v>6</v>
      </c>
    </row>
    <row r="267" spans="2:4" ht="13.8">
      <c r="B267" s="61">
        <v>40104</v>
      </c>
      <c r="C267" s="62" t="s">
        <v>391</v>
      </c>
      <c r="D267" s="101">
        <v>30</v>
      </c>
    </row>
    <row r="268" spans="2:4" ht="13.8">
      <c r="B268" s="65">
        <v>40105</v>
      </c>
      <c r="C268" s="66" t="s">
        <v>392</v>
      </c>
      <c r="D268" s="103">
        <v>3</v>
      </c>
    </row>
    <row r="269" spans="2:4" ht="13.8">
      <c r="B269" s="61">
        <v>40106</v>
      </c>
      <c r="C269" s="62" t="s">
        <v>393</v>
      </c>
      <c r="D269" s="101">
        <v>22</v>
      </c>
    </row>
    <row r="270" spans="2:4" ht="13.8">
      <c r="B270" s="65">
        <v>40107</v>
      </c>
      <c r="C270" s="66" t="s">
        <v>394</v>
      </c>
      <c r="D270" s="103">
        <v>34</v>
      </c>
    </row>
    <row r="271" spans="2:4" ht="13.8">
      <c r="B271" s="61">
        <v>40108</v>
      </c>
      <c r="C271" s="62" t="s">
        <v>395</v>
      </c>
      <c r="D271" s="101">
        <v>2</v>
      </c>
    </row>
    <row r="272" spans="2:4" ht="13.8">
      <c r="B272" s="65">
        <v>40109</v>
      </c>
      <c r="C272" s="66" t="s">
        <v>396</v>
      </c>
      <c r="D272" s="103">
        <v>3</v>
      </c>
    </row>
    <row r="273" spans="2:4" ht="13.8">
      <c r="B273" s="61">
        <v>40110</v>
      </c>
      <c r="C273" s="62" t="s">
        <v>397</v>
      </c>
      <c r="D273" s="101">
        <v>2</v>
      </c>
    </row>
    <row r="274" spans="2:4" ht="13.8">
      <c r="B274" s="71">
        <v>50101</v>
      </c>
      <c r="C274" s="72" t="s">
        <v>398</v>
      </c>
      <c r="D274" s="104">
        <v>44</v>
      </c>
    </row>
    <row r="275" spans="2:4" ht="13.8">
      <c r="B275" s="61">
        <v>50102</v>
      </c>
      <c r="C275" s="62" t="s">
        <v>399</v>
      </c>
      <c r="D275" s="101">
        <v>116</v>
      </c>
    </row>
    <row r="276" spans="2:4" ht="13.8">
      <c r="B276" s="71">
        <v>50103</v>
      </c>
      <c r="C276" s="72" t="s">
        <v>400</v>
      </c>
      <c r="D276" s="104">
        <v>12</v>
      </c>
    </row>
    <row r="277" spans="2:4" ht="13.8">
      <c r="B277" s="61">
        <v>50104</v>
      </c>
      <c r="C277" s="62" t="s">
        <v>401</v>
      </c>
      <c r="D277" s="101">
        <v>4</v>
      </c>
    </row>
    <row r="278" spans="2:4" ht="13.8">
      <c r="B278" s="71">
        <v>50105</v>
      </c>
      <c r="C278" s="72" t="s">
        <v>402</v>
      </c>
      <c r="D278" s="104">
        <v>601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40</v>
      </c>
    </row>
    <row r="281" spans="2:4" ht="13.8">
      <c r="B281" s="61">
        <v>50108</v>
      </c>
      <c r="C281" s="62" t="s">
        <v>405</v>
      </c>
      <c r="D281" s="101">
        <v>23</v>
      </c>
    </row>
    <row r="282" spans="2:4" ht="13.8">
      <c r="B282" s="71">
        <v>50201</v>
      </c>
      <c r="C282" s="72" t="s">
        <v>406</v>
      </c>
      <c r="D282" s="104">
        <v>2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149</v>
      </c>
    </row>
    <row r="285" spans="2:4" ht="13.8">
      <c r="B285" s="61">
        <v>50301</v>
      </c>
      <c r="C285" s="62" t="s">
        <v>409</v>
      </c>
      <c r="D285" s="101">
        <v>1708</v>
      </c>
    </row>
    <row r="286" spans="2:4" ht="13.8">
      <c r="B286" s="71">
        <v>50302</v>
      </c>
      <c r="C286" s="72" t="s">
        <v>410</v>
      </c>
      <c r="D286" s="104">
        <v>36</v>
      </c>
    </row>
    <row r="287" spans="2:4" ht="13.8">
      <c r="B287" s="61">
        <v>50303</v>
      </c>
      <c r="C287" s="62" t="s">
        <v>411</v>
      </c>
      <c r="D287" s="101">
        <v>38</v>
      </c>
    </row>
    <row r="288" spans="2:4" ht="13.8">
      <c r="B288" s="71">
        <v>50304</v>
      </c>
      <c r="C288" s="72" t="s">
        <v>412</v>
      </c>
      <c r="D288" s="104">
        <v>38</v>
      </c>
    </row>
    <row r="289" spans="2:4" ht="13.8">
      <c r="B289" s="61">
        <v>50305</v>
      </c>
      <c r="C289" s="62" t="s">
        <v>413</v>
      </c>
      <c r="D289" s="101">
        <v>23</v>
      </c>
    </row>
    <row r="290" spans="2:4" ht="13.8">
      <c r="B290" s="71">
        <v>50306</v>
      </c>
      <c r="C290" s="72" t="s">
        <v>414</v>
      </c>
      <c r="D290" s="104">
        <v>12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13</v>
      </c>
    </row>
    <row r="293" spans="2:4" ht="13.8">
      <c r="B293" s="73">
        <v>60103</v>
      </c>
      <c r="C293" s="74" t="s">
        <v>417</v>
      </c>
      <c r="D293" s="94">
        <v>6</v>
      </c>
    </row>
    <row r="294" spans="2:4" ht="13.8">
      <c r="B294" s="75">
        <v>70101</v>
      </c>
      <c r="C294" s="76" t="s">
        <v>418</v>
      </c>
      <c r="D294" s="105">
        <v>1283</v>
      </c>
    </row>
    <row r="295" spans="2:4" ht="13.8">
      <c r="B295" s="61">
        <v>70102</v>
      </c>
      <c r="C295" s="62" t="s">
        <v>419</v>
      </c>
      <c r="D295" s="101">
        <v>25</v>
      </c>
    </row>
    <row r="296" spans="2:4" ht="13.8">
      <c r="B296" s="75">
        <v>70103</v>
      </c>
      <c r="C296" s="76" t="s">
        <v>420</v>
      </c>
      <c r="D296" s="105">
        <v>607</v>
      </c>
    </row>
    <row r="297" spans="2:4" ht="13.8">
      <c r="B297" s="61">
        <v>70104</v>
      </c>
      <c r="C297" s="62" t="s">
        <v>421</v>
      </c>
      <c r="D297" s="101">
        <v>18704</v>
      </c>
    </row>
    <row r="298" spans="2:4" ht="13.8">
      <c r="B298" s="75">
        <v>70105</v>
      </c>
      <c r="C298" s="76" t="s">
        <v>422</v>
      </c>
      <c r="D298" s="105">
        <v>676</v>
      </c>
    </row>
    <row r="299" spans="2:4" ht="13.8">
      <c r="B299" s="61">
        <v>70106</v>
      </c>
      <c r="C299" s="62" t="s">
        <v>423</v>
      </c>
      <c r="D299" s="101">
        <v>51</v>
      </c>
    </row>
    <row r="300" spans="2:4" ht="13.8">
      <c r="B300" s="75">
        <v>70107</v>
      </c>
      <c r="C300" s="76" t="s">
        <v>424</v>
      </c>
      <c r="D300" s="105">
        <v>621</v>
      </c>
    </row>
    <row r="301" spans="2:4" ht="14.4" thickBot="1">
      <c r="B301" s="77">
        <v>70108</v>
      </c>
      <c r="C301" s="78" t="s">
        <v>425</v>
      </c>
      <c r="D301" s="106">
        <v>2832</v>
      </c>
    </row>
    <row r="302" spans="2:4" ht="19.95" customHeight="1" thickBot="1">
      <c r="B302" s="79" t="s">
        <v>426</v>
      </c>
      <c r="C302" s="80"/>
      <c r="D302" s="81">
        <f>SUM(D20:D301)</f>
        <v>37879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" right="0" top="0" bottom="0" header="0" footer="0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scale="71" fitToHeight="5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B275" zoomScale="74" zoomScaleNormal="100" zoomScaleSheetLayoutView="74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427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107</v>
      </c>
    </row>
    <row r="23" spans="2:7" ht="13.8">
      <c r="B23" s="57">
        <v>10104</v>
      </c>
      <c r="C23" s="58" t="s">
        <v>147</v>
      </c>
      <c r="D23" s="95">
        <v>61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1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1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0</v>
      </c>
    </row>
    <row r="31" spans="2:7" ht="13.8">
      <c r="B31" s="57">
        <v>10112</v>
      </c>
      <c r="C31" s="58" t="s">
        <v>155</v>
      </c>
      <c r="D31" s="95">
        <v>2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19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1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40</v>
      </c>
    </row>
    <row r="45" spans="2:4" ht="13.8">
      <c r="B45" s="57">
        <v>10205</v>
      </c>
      <c r="C45" s="58" t="s">
        <v>169</v>
      </c>
      <c r="D45" s="95">
        <v>0</v>
      </c>
    </row>
    <row r="46" spans="2:4" ht="13.8">
      <c r="B46" s="67">
        <v>10206</v>
      </c>
      <c r="C46" s="68" t="s">
        <v>170</v>
      </c>
      <c r="D46" s="90">
        <v>1</v>
      </c>
    </row>
    <row r="47" spans="2:4" ht="13.8">
      <c r="B47" s="57">
        <v>10207</v>
      </c>
      <c r="C47" s="58" t="s">
        <v>171</v>
      </c>
      <c r="D47" s="95">
        <v>5</v>
      </c>
    </row>
    <row r="48" spans="2:4" ht="13.8">
      <c r="B48" s="67">
        <v>10208</v>
      </c>
      <c r="C48" s="68" t="s">
        <v>172</v>
      </c>
      <c r="D48" s="90">
        <v>4</v>
      </c>
    </row>
    <row r="49" spans="2:4" ht="13.8">
      <c r="B49" s="57">
        <v>10209</v>
      </c>
      <c r="C49" s="58" t="s">
        <v>173</v>
      </c>
      <c r="D49" s="95">
        <v>5</v>
      </c>
    </row>
    <row r="50" spans="2:4" ht="13.8">
      <c r="B50" s="67">
        <v>10210</v>
      </c>
      <c r="C50" s="68" t="s">
        <v>174</v>
      </c>
      <c r="D50" s="90">
        <v>4</v>
      </c>
    </row>
    <row r="51" spans="2:4" ht="13.8">
      <c r="B51" s="57">
        <v>10211</v>
      </c>
      <c r="C51" s="58" t="s">
        <v>175</v>
      </c>
      <c r="D51" s="95">
        <v>1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1</v>
      </c>
    </row>
    <row r="60" spans="2:4" ht="13.8">
      <c r="B60" s="67">
        <v>10220</v>
      </c>
      <c r="C60" s="68" t="s">
        <v>184</v>
      </c>
      <c r="D60" s="90">
        <v>2</v>
      </c>
    </row>
    <row r="61" spans="2:4" ht="13.8">
      <c r="B61" s="57">
        <v>10301</v>
      </c>
      <c r="C61" s="58" t="s">
        <v>185</v>
      </c>
      <c r="D61" s="95">
        <v>3</v>
      </c>
    </row>
    <row r="62" spans="2:4" ht="13.8">
      <c r="B62" s="67">
        <v>10302</v>
      </c>
      <c r="C62" s="68" t="s">
        <v>186</v>
      </c>
      <c r="D62" s="90">
        <v>1</v>
      </c>
    </row>
    <row r="63" spans="2:4" ht="13.8">
      <c r="B63" s="57">
        <v>10303</v>
      </c>
      <c r="C63" s="58" t="s">
        <v>187</v>
      </c>
      <c r="D63" s="95">
        <v>3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22</v>
      </c>
    </row>
    <row r="66" spans="2:4" ht="13.8">
      <c r="B66" s="67">
        <v>10306</v>
      </c>
      <c r="C66" s="68" t="s">
        <v>190</v>
      </c>
      <c r="D66" s="90">
        <v>2</v>
      </c>
    </row>
    <row r="67" spans="2:4" ht="13.8">
      <c r="B67" s="57">
        <v>10307</v>
      </c>
      <c r="C67" s="58" t="s">
        <v>191</v>
      </c>
      <c r="D67" s="95">
        <v>26</v>
      </c>
    </row>
    <row r="68" spans="2:4" ht="13.8">
      <c r="B68" s="67">
        <v>10308</v>
      </c>
      <c r="C68" s="68" t="s">
        <v>192</v>
      </c>
      <c r="D68" s="90">
        <v>36</v>
      </c>
    </row>
    <row r="69" spans="2:4" ht="13.8">
      <c r="B69" s="57">
        <v>10309</v>
      </c>
      <c r="C69" s="58" t="s">
        <v>193</v>
      </c>
      <c r="D69" s="95">
        <v>3</v>
      </c>
    </row>
    <row r="70" spans="2:4" ht="13.8">
      <c r="B70" s="67">
        <v>10310</v>
      </c>
      <c r="C70" s="68" t="s">
        <v>194</v>
      </c>
      <c r="D70" s="90">
        <v>0</v>
      </c>
    </row>
    <row r="71" spans="2:4" ht="13.8">
      <c r="B71" s="57">
        <v>10311</v>
      </c>
      <c r="C71" s="58" t="s">
        <v>195</v>
      </c>
      <c r="D71" s="95">
        <v>0</v>
      </c>
    </row>
    <row r="72" spans="2:4" ht="13.8">
      <c r="B72" s="67">
        <v>10312</v>
      </c>
      <c r="C72" s="68" t="s">
        <v>196</v>
      </c>
      <c r="D72" s="90">
        <v>4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0</v>
      </c>
    </row>
    <row r="75" spans="2:4" ht="13.8">
      <c r="B75" s="57">
        <v>10315</v>
      </c>
      <c r="C75" s="58" t="s">
        <v>199</v>
      </c>
      <c r="D75" s="95">
        <v>5</v>
      </c>
    </row>
    <row r="76" spans="2:4" ht="13.8">
      <c r="B76" s="67">
        <v>10316</v>
      </c>
      <c r="C76" s="68" t="s">
        <v>200</v>
      </c>
      <c r="D76" s="90">
        <v>81</v>
      </c>
    </row>
    <row r="77" spans="2:4" ht="13.8">
      <c r="B77" s="57">
        <v>10317</v>
      </c>
      <c r="C77" s="58" t="s">
        <v>201</v>
      </c>
      <c r="D77" s="95">
        <v>6</v>
      </c>
    </row>
    <row r="78" spans="2:4" ht="13.8">
      <c r="B78" s="67">
        <v>10318</v>
      </c>
      <c r="C78" s="68" t="s">
        <v>202</v>
      </c>
      <c r="D78" s="90">
        <v>1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5</v>
      </c>
    </row>
    <row r="83" spans="2:4" ht="13.8">
      <c r="B83" s="59">
        <v>20104</v>
      </c>
      <c r="C83" s="60" t="s">
        <v>207</v>
      </c>
      <c r="D83" s="93">
        <v>1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3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4</v>
      </c>
    </row>
    <row r="90" spans="2:4" ht="13.8">
      <c r="B90" s="69">
        <v>20111</v>
      </c>
      <c r="C90" s="70" t="s">
        <v>214</v>
      </c>
      <c r="D90" s="96">
        <v>5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2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0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2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17</v>
      </c>
    </row>
    <row r="109" spans="2:4" ht="13.8">
      <c r="B109" s="59">
        <v>20302</v>
      </c>
      <c r="C109" s="60" t="s">
        <v>233</v>
      </c>
      <c r="D109" s="93">
        <v>1</v>
      </c>
    </row>
    <row r="110" spans="2:4" ht="13.8">
      <c r="B110" s="69">
        <v>20303</v>
      </c>
      <c r="C110" s="70" t="s">
        <v>234</v>
      </c>
      <c r="D110" s="96">
        <v>9</v>
      </c>
    </row>
    <row r="111" spans="2:4" ht="13.8">
      <c r="B111" s="59">
        <v>20304</v>
      </c>
      <c r="C111" s="60" t="s">
        <v>235</v>
      </c>
      <c r="D111" s="93">
        <v>1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26</v>
      </c>
    </row>
    <row r="115" spans="2:4" ht="13.8">
      <c r="B115" s="59">
        <v>20308</v>
      </c>
      <c r="C115" s="60" t="s">
        <v>239</v>
      </c>
      <c r="D115" s="93">
        <v>15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57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1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10</v>
      </c>
    </row>
    <row r="124" spans="2:4" ht="13.8">
      <c r="B124" s="61">
        <v>30102</v>
      </c>
      <c r="C124" s="62" t="s">
        <v>248</v>
      </c>
      <c r="D124" s="93">
        <v>2</v>
      </c>
    </row>
    <row r="125" spans="2:4" ht="13.8">
      <c r="B125" s="63">
        <v>30103</v>
      </c>
      <c r="C125" s="64" t="s">
        <v>249</v>
      </c>
      <c r="D125" s="91">
        <v>22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16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2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6</v>
      </c>
    </row>
    <row r="135" spans="2:4" ht="13.8">
      <c r="B135" s="63">
        <v>30303</v>
      </c>
      <c r="C135" s="64" t="s">
        <v>259</v>
      </c>
      <c r="D135" s="91">
        <v>4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1</v>
      </c>
    </row>
    <row r="139" spans="2:4" ht="13.8">
      <c r="B139" s="63">
        <v>30307</v>
      </c>
      <c r="C139" s="64" t="s">
        <v>263</v>
      </c>
      <c r="D139" s="91">
        <v>29</v>
      </c>
    </row>
    <row r="140" spans="2:4" ht="13.8">
      <c r="B140" s="61">
        <v>30308</v>
      </c>
      <c r="C140" s="62" t="s">
        <v>264</v>
      </c>
      <c r="D140" s="93">
        <v>2</v>
      </c>
    </row>
    <row r="141" spans="2:4" ht="13.8">
      <c r="B141" s="63">
        <v>30309</v>
      </c>
      <c r="C141" s="64" t="s">
        <v>265</v>
      </c>
      <c r="D141" s="91">
        <v>55</v>
      </c>
    </row>
    <row r="142" spans="2:4" ht="13.8">
      <c r="B142" s="61">
        <v>30310</v>
      </c>
      <c r="C142" s="62" t="s">
        <v>266</v>
      </c>
      <c r="D142" s="93">
        <v>16</v>
      </c>
    </row>
    <row r="143" spans="2:4" ht="13.8">
      <c r="B143" s="63">
        <v>30401</v>
      </c>
      <c r="C143" s="64" t="s">
        <v>267</v>
      </c>
      <c r="D143" s="91">
        <v>175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1</v>
      </c>
    </row>
    <row r="146" spans="2:4" ht="13.8">
      <c r="B146" s="61">
        <v>30404</v>
      </c>
      <c r="C146" s="62" t="s">
        <v>270</v>
      </c>
      <c r="D146" s="93">
        <v>1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2</v>
      </c>
    </row>
    <row r="150" spans="2:4" ht="13.8">
      <c r="B150" s="61">
        <v>30408</v>
      </c>
      <c r="C150" s="62" t="s">
        <v>274</v>
      </c>
      <c r="D150" s="93">
        <v>1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1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1</v>
      </c>
    </row>
    <row r="156" spans="2:4" ht="13.8">
      <c r="B156" s="61">
        <v>30414</v>
      </c>
      <c r="C156" s="62" t="s">
        <v>280</v>
      </c>
      <c r="D156" s="93">
        <v>3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3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19</v>
      </c>
    </row>
    <row r="162" spans="2:4" ht="13.8">
      <c r="B162" s="61">
        <v>30420</v>
      </c>
      <c r="C162" s="62" t="s">
        <v>286</v>
      </c>
      <c r="D162" s="93">
        <v>7</v>
      </c>
    </row>
    <row r="163" spans="2:4" ht="13.8">
      <c r="B163" s="63">
        <v>30421</v>
      </c>
      <c r="C163" s="64" t="s">
        <v>287</v>
      </c>
      <c r="D163" s="91">
        <v>13</v>
      </c>
    </row>
    <row r="164" spans="2:4" ht="13.8">
      <c r="B164" s="61">
        <v>30422</v>
      </c>
      <c r="C164" s="62" t="s">
        <v>288</v>
      </c>
      <c r="D164" s="93">
        <v>3</v>
      </c>
    </row>
    <row r="165" spans="2:4" ht="13.8">
      <c r="B165" s="63">
        <v>30423</v>
      </c>
      <c r="C165" s="64" t="s">
        <v>289</v>
      </c>
      <c r="D165" s="91">
        <v>1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5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30</v>
      </c>
    </row>
    <row r="172" spans="2:4" ht="13.8">
      <c r="B172" s="61">
        <v>30430</v>
      </c>
      <c r="C172" s="62" t="s">
        <v>296</v>
      </c>
      <c r="D172" s="93">
        <v>37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1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40</v>
      </c>
    </row>
    <row r="191" spans="2:4" ht="13.8">
      <c r="B191" s="63">
        <v>30503</v>
      </c>
      <c r="C191" s="64" t="s">
        <v>315</v>
      </c>
      <c r="D191" s="91">
        <v>115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3</v>
      </c>
    </row>
    <row r="194" spans="2:4" ht="13.8">
      <c r="B194" s="61">
        <v>30601</v>
      </c>
      <c r="C194" s="62" t="s">
        <v>318</v>
      </c>
      <c r="D194" s="93">
        <v>4</v>
      </c>
    </row>
    <row r="195" spans="2:4" ht="13.8">
      <c r="B195" s="63">
        <v>30602</v>
      </c>
      <c r="C195" s="64" t="s">
        <v>319</v>
      </c>
      <c r="D195" s="91">
        <v>4</v>
      </c>
    </row>
    <row r="196" spans="2:4" ht="13.8">
      <c r="B196" s="61">
        <v>30603</v>
      </c>
      <c r="C196" s="62" t="s">
        <v>320</v>
      </c>
      <c r="D196" s="93">
        <v>1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32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1</v>
      </c>
    </row>
    <row r="206" spans="2:4" ht="13.8">
      <c r="B206" s="61">
        <v>30702</v>
      </c>
      <c r="C206" s="62" t="s">
        <v>330</v>
      </c>
      <c r="D206" s="93">
        <v>2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1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1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39</v>
      </c>
    </row>
    <row r="229" spans="2:4" ht="13.8">
      <c r="B229" s="63">
        <v>30904</v>
      </c>
      <c r="C229" s="64" t="s">
        <v>353</v>
      </c>
      <c r="D229" s="91">
        <v>125</v>
      </c>
    </row>
    <row r="230" spans="2:4" ht="13.8">
      <c r="B230" s="61">
        <v>30905</v>
      </c>
      <c r="C230" s="62" t="s">
        <v>354</v>
      </c>
      <c r="D230" s="93">
        <v>8</v>
      </c>
    </row>
    <row r="231" spans="2:4" ht="13.8">
      <c r="B231" s="63">
        <v>30906</v>
      </c>
      <c r="C231" s="64" t="s">
        <v>355</v>
      </c>
      <c r="D231" s="91">
        <v>14</v>
      </c>
    </row>
    <row r="232" spans="2:4" ht="13.8">
      <c r="B232" s="61">
        <v>30907</v>
      </c>
      <c r="C232" s="62" t="s">
        <v>356</v>
      </c>
      <c r="D232" s="93">
        <v>175</v>
      </c>
    </row>
    <row r="233" spans="2:4" ht="13.8">
      <c r="B233" s="63">
        <v>30908</v>
      </c>
      <c r="C233" s="64" t="s">
        <v>357</v>
      </c>
      <c r="D233" s="91">
        <v>2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8</v>
      </c>
    </row>
    <row r="236" spans="2:4" ht="13.8">
      <c r="B236" s="61">
        <v>31002</v>
      </c>
      <c r="C236" s="62" t="s">
        <v>360</v>
      </c>
      <c r="D236" s="93">
        <v>2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4</v>
      </c>
    </row>
    <row r="245" spans="2:4" ht="13.8">
      <c r="B245" s="63">
        <v>31011</v>
      </c>
      <c r="C245" s="64" t="s">
        <v>369</v>
      </c>
      <c r="D245" s="91">
        <v>1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16</v>
      </c>
    </row>
    <row r="251" spans="2:4" ht="13.8">
      <c r="B251" s="63">
        <v>31102</v>
      </c>
      <c r="C251" s="64" t="s">
        <v>375</v>
      </c>
      <c r="D251" s="91">
        <v>3</v>
      </c>
    </row>
    <row r="252" spans="2:4" ht="13.8">
      <c r="B252" s="61">
        <v>31103</v>
      </c>
      <c r="C252" s="62" t="s">
        <v>376</v>
      </c>
      <c r="D252" s="93">
        <v>2</v>
      </c>
    </row>
    <row r="253" spans="2:4" ht="13.8">
      <c r="B253" s="63">
        <v>31104</v>
      </c>
      <c r="C253" s="64" t="s">
        <v>377</v>
      </c>
      <c r="D253" s="91">
        <v>0</v>
      </c>
    </row>
    <row r="254" spans="2:4" ht="13.8">
      <c r="B254" s="61">
        <v>31105</v>
      </c>
      <c r="C254" s="62" t="s">
        <v>378</v>
      </c>
      <c r="D254" s="93">
        <v>3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40</v>
      </c>
    </row>
    <row r="262" spans="2:4" ht="13.8">
      <c r="B262" s="61">
        <v>31113</v>
      </c>
      <c r="C262" s="62" t="s">
        <v>386</v>
      </c>
      <c r="D262" s="93">
        <v>3</v>
      </c>
    </row>
    <row r="263" spans="2:4" ht="13.8">
      <c r="B263" s="63">
        <v>31114</v>
      </c>
      <c r="C263" s="64" t="s">
        <v>387</v>
      </c>
      <c r="D263" s="91">
        <v>0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1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5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9</v>
      </c>
    </row>
    <row r="270" spans="2:4" ht="13.8">
      <c r="B270" s="65">
        <v>40107</v>
      </c>
      <c r="C270" s="66" t="s">
        <v>394</v>
      </c>
      <c r="D270" s="89">
        <v>4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2</v>
      </c>
    </row>
    <row r="275" spans="2:4" ht="13.8">
      <c r="B275" s="61">
        <v>50102</v>
      </c>
      <c r="C275" s="62" t="s">
        <v>399</v>
      </c>
      <c r="D275" s="93">
        <v>0</v>
      </c>
    </row>
    <row r="276" spans="2:4" ht="13.8">
      <c r="B276" s="71">
        <v>50103</v>
      </c>
      <c r="C276" s="72" t="s">
        <v>400</v>
      </c>
      <c r="D276" s="94">
        <v>3</v>
      </c>
    </row>
    <row r="277" spans="2:4" ht="13.8">
      <c r="B277" s="61">
        <v>50104</v>
      </c>
      <c r="C277" s="62" t="s">
        <v>401</v>
      </c>
      <c r="D277" s="93">
        <v>1</v>
      </c>
    </row>
    <row r="278" spans="2:4" ht="13.8">
      <c r="B278" s="71">
        <v>50105</v>
      </c>
      <c r="C278" s="72" t="s">
        <v>402</v>
      </c>
      <c r="D278" s="94">
        <v>4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2</v>
      </c>
    </row>
    <row r="281" spans="2:4" ht="13.8">
      <c r="B281" s="61">
        <v>50108</v>
      </c>
      <c r="C281" s="62" t="s">
        <v>405</v>
      </c>
      <c r="D281" s="93">
        <v>0</v>
      </c>
    </row>
    <row r="282" spans="2:4" ht="13.8">
      <c r="B282" s="71">
        <v>50201</v>
      </c>
      <c r="C282" s="72" t="s">
        <v>406</v>
      </c>
      <c r="D282" s="94">
        <v>2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30</v>
      </c>
    </row>
    <row r="285" spans="2:4" ht="13.8">
      <c r="B285" s="61">
        <v>50301</v>
      </c>
      <c r="C285" s="62" t="s">
        <v>409</v>
      </c>
      <c r="D285" s="93">
        <v>165</v>
      </c>
    </row>
    <row r="286" spans="2:4" ht="13.8">
      <c r="B286" s="71">
        <v>50302</v>
      </c>
      <c r="C286" s="72" t="s">
        <v>410</v>
      </c>
      <c r="D286" s="94">
        <v>2</v>
      </c>
    </row>
    <row r="287" spans="2:4" ht="13.8">
      <c r="B287" s="61">
        <v>50303</v>
      </c>
      <c r="C287" s="62" t="s">
        <v>411</v>
      </c>
      <c r="D287" s="93">
        <v>2</v>
      </c>
    </row>
    <row r="288" spans="2:4" ht="13.8">
      <c r="B288" s="71">
        <v>50304</v>
      </c>
      <c r="C288" s="72" t="s">
        <v>412</v>
      </c>
      <c r="D288" s="94">
        <v>0</v>
      </c>
    </row>
    <row r="289" spans="2:4" ht="13.8">
      <c r="B289" s="61">
        <v>50305</v>
      </c>
      <c r="C289" s="62" t="s">
        <v>413</v>
      </c>
      <c r="D289" s="93">
        <v>0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4</v>
      </c>
    </row>
    <row r="294" spans="2:4" ht="13.8">
      <c r="B294" s="75">
        <v>70101</v>
      </c>
      <c r="C294" s="76" t="s">
        <v>418</v>
      </c>
      <c r="D294" s="97">
        <v>560</v>
      </c>
    </row>
    <row r="295" spans="2:4" ht="13.8">
      <c r="B295" s="61">
        <v>70102</v>
      </c>
      <c r="C295" s="62" t="s">
        <v>419</v>
      </c>
      <c r="D295" s="93">
        <v>14</v>
      </c>
    </row>
    <row r="296" spans="2:4" ht="13.8">
      <c r="B296" s="75">
        <v>70103</v>
      </c>
      <c r="C296" s="76" t="s">
        <v>420</v>
      </c>
      <c r="D296" s="97">
        <v>233</v>
      </c>
    </row>
    <row r="297" spans="2:4" ht="13.8">
      <c r="B297" s="61">
        <v>70104</v>
      </c>
      <c r="C297" s="62" t="s">
        <v>421</v>
      </c>
      <c r="D297" s="93">
        <v>8817</v>
      </c>
    </row>
    <row r="298" spans="2:4" ht="13.8">
      <c r="B298" s="75">
        <v>70105</v>
      </c>
      <c r="C298" s="76" t="s">
        <v>422</v>
      </c>
      <c r="D298" s="97">
        <v>84</v>
      </c>
    </row>
    <row r="299" spans="2:4" ht="13.8">
      <c r="B299" s="61">
        <v>70106</v>
      </c>
      <c r="C299" s="62" t="s">
        <v>423</v>
      </c>
      <c r="D299" s="93">
        <v>51</v>
      </c>
    </row>
    <row r="300" spans="2:4" ht="13.8">
      <c r="B300" s="75">
        <v>70107</v>
      </c>
      <c r="C300" s="76" t="s">
        <v>424</v>
      </c>
      <c r="D300" s="97">
        <v>2334</v>
      </c>
    </row>
    <row r="301" spans="2:4" ht="14.4" thickBot="1">
      <c r="B301" s="77">
        <v>70108</v>
      </c>
      <c r="C301" s="78" t="s">
        <v>425</v>
      </c>
      <c r="D301" s="93">
        <v>4783</v>
      </c>
    </row>
    <row r="302" spans="2:4" ht="19.95" customHeight="1" thickBot="1">
      <c r="B302" s="79" t="s">
        <v>426</v>
      </c>
      <c r="C302" s="80"/>
      <c r="D302" s="81">
        <f>SUM(D20:D301)</f>
        <v>18827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D278" sqref="D278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428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38</v>
      </c>
    </row>
    <row r="23" spans="2:7" ht="13.8">
      <c r="B23" s="57">
        <v>10104</v>
      </c>
      <c r="C23" s="58" t="s">
        <v>147</v>
      </c>
      <c r="D23" s="93">
        <v>28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3</v>
      </c>
    </row>
    <row r="31" spans="2:7" ht="13.8">
      <c r="B31" s="57">
        <v>10112</v>
      </c>
      <c r="C31" s="58" t="s">
        <v>155</v>
      </c>
      <c r="D31" s="95">
        <v>3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3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1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37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0</v>
      </c>
    </row>
    <row r="47" spans="2:4" ht="13.8">
      <c r="B47" s="57">
        <v>10207</v>
      </c>
      <c r="C47" s="58" t="s">
        <v>171</v>
      </c>
      <c r="D47" s="95">
        <v>1</v>
      </c>
    </row>
    <row r="48" spans="2:4" ht="13.8">
      <c r="B48" s="67">
        <v>10208</v>
      </c>
      <c r="C48" s="68" t="s">
        <v>172</v>
      </c>
      <c r="D48" s="90">
        <v>1</v>
      </c>
    </row>
    <row r="49" spans="2:4" ht="13.8">
      <c r="B49" s="57">
        <v>10209</v>
      </c>
      <c r="C49" s="58" t="s">
        <v>173</v>
      </c>
      <c r="D49" s="95">
        <v>0</v>
      </c>
    </row>
    <row r="50" spans="2:4" ht="13.8">
      <c r="B50" s="67">
        <v>10210</v>
      </c>
      <c r="C50" s="68" t="s">
        <v>174</v>
      </c>
      <c r="D50" s="90">
        <v>2</v>
      </c>
    </row>
    <row r="51" spans="2:4" ht="13.8">
      <c r="B51" s="57">
        <v>10211</v>
      </c>
      <c r="C51" s="58" t="s">
        <v>175</v>
      </c>
      <c r="D51" s="95">
        <v>1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2</v>
      </c>
    </row>
    <row r="60" spans="2:4" ht="13.8">
      <c r="B60" s="67">
        <v>10220</v>
      </c>
      <c r="C60" s="68" t="s">
        <v>184</v>
      </c>
      <c r="D60" s="90">
        <v>0</v>
      </c>
    </row>
    <row r="61" spans="2:4" ht="13.8">
      <c r="B61" s="57">
        <v>10301</v>
      </c>
      <c r="C61" s="58" t="s">
        <v>185</v>
      </c>
      <c r="D61" s="95">
        <v>3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1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5</v>
      </c>
    </row>
    <row r="66" spans="2:4" ht="13.8">
      <c r="B66" s="67">
        <v>10306</v>
      </c>
      <c r="C66" s="68" t="s">
        <v>190</v>
      </c>
      <c r="D66" s="90">
        <v>0</v>
      </c>
    </row>
    <row r="67" spans="2:4" ht="13.8">
      <c r="B67" s="57">
        <v>10307</v>
      </c>
      <c r="C67" s="58" t="s">
        <v>191</v>
      </c>
      <c r="D67" s="95">
        <v>12</v>
      </c>
    </row>
    <row r="68" spans="2:4" ht="13.8">
      <c r="B68" s="67">
        <v>10308</v>
      </c>
      <c r="C68" s="68" t="s">
        <v>192</v>
      </c>
      <c r="D68" s="90">
        <v>20</v>
      </c>
    </row>
    <row r="69" spans="2:4" ht="13.8">
      <c r="B69" s="57">
        <v>10309</v>
      </c>
      <c r="C69" s="58" t="s">
        <v>193</v>
      </c>
      <c r="D69" s="95">
        <v>4</v>
      </c>
    </row>
    <row r="70" spans="2:4" ht="13.8">
      <c r="B70" s="67">
        <v>10310</v>
      </c>
      <c r="C70" s="68" t="s">
        <v>194</v>
      </c>
      <c r="D70" s="90">
        <v>39</v>
      </c>
    </row>
    <row r="71" spans="2:4" ht="13.8">
      <c r="B71" s="57">
        <v>10311</v>
      </c>
      <c r="C71" s="58" t="s">
        <v>195</v>
      </c>
      <c r="D71" s="95">
        <v>4</v>
      </c>
    </row>
    <row r="72" spans="2:4" ht="13.8">
      <c r="B72" s="67">
        <v>10312</v>
      </c>
      <c r="C72" s="68" t="s">
        <v>196</v>
      </c>
      <c r="D72" s="90">
        <v>0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3</v>
      </c>
    </row>
    <row r="75" spans="2:4" ht="13.8">
      <c r="B75" s="57">
        <v>10315</v>
      </c>
      <c r="C75" s="58" t="s">
        <v>199</v>
      </c>
      <c r="D75" s="95">
        <v>6</v>
      </c>
    </row>
    <row r="76" spans="2:4" ht="13.8">
      <c r="B76" s="67">
        <v>10316</v>
      </c>
      <c r="C76" s="68" t="s">
        <v>200</v>
      </c>
      <c r="D76" s="90">
        <v>1</v>
      </c>
    </row>
    <row r="77" spans="2:4" ht="13.8">
      <c r="B77" s="57">
        <v>10317</v>
      </c>
      <c r="C77" s="58" t="s">
        <v>201</v>
      </c>
      <c r="D77" s="95">
        <v>7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1</v>
      </c>
    </row>
    <row r="83" spans="2:4" ht="13.8">
      <c r="B83" s="59">
        <v>20104</v>
      </c>
      <c r="C83" s="60" t="s">
        <v>207</v>
      </c>
      <c r="D83" s="93">
        <v>3</v>
      </c>
    </row>
    <row r="84" spans="2:4" ht="13.8">
      <c r="B84" s="69">
        <v>20105</v>
      </c>
      <c r="C84" s="70" t="s">
        <v>208</v>
      </c>
      <c r="D84" s="96">
        <v>1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1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0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9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0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1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2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4</v>
      </c>
    </row>
    <row r="111" spans="2:4" ht="13.8">
      <c r="B111" s="59">
        <v>20304</v>
      </c>
      <c r="C111" s="60" t="s">
        <v>235</v>
      </c>
      <c r="D111" s="93">
        <v>1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0</v>
      </c>
    </row>
    <row r="115" spans="2:4" ht="13.8">
      <c r="B115" s="59">
        <v>20308</v>
      </c>
      <c r="C115" s="60" t="s">
        <v>239</v>
      </c>
      <c r="D115" s="93">
        <v>49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3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1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4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12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1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0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0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2</v>
      </c>
    </row>
    <row r="138" spans="2:4" ht="13.8">
      <c r="B138" s="61">
        <v>30306</v>
      </c>
      <c r="C138" s="62" t="s">
        <v>262</v>
      </c>
      <c r="D138" s="93">
        <v>1</v>
      </c>
    </row>
    <row r="139" spans="2:4" ht="13.8">
      <c r="B139" s="63">
        <v>30307</v>
      </c>
      <c r="C139" s="64" t="s">
        <v>263</v>
      </c>
      <c r="D139" s="91">
        <v>5</v>
      </c>
    </row>
    <row r="140" spans="2:4" ht="13.8">
      <c r="B140" s="61">
        <v>30308</v>
      </c>
      <c r="C140" s="62" t="s">
        <v>264</v>
      </c>
      <c r="D140" s="93">
        <v>3</v>
      </c>
    </row>
    <row r="141" spans="2:4" ht="13.8">
      <c r="B141" s="63">
        <v>30309</v>
      </c>
      <c r="C141" s="64" t="s">
        <v>265</v>
      </c>
      <c r="D141" s="91">
        <v>38</v>
      </c>
    </row>
    <row r="142" spans="2:4" ht="13.8">
      <c r="B142" s="61">
        <v>30310</v>
      </c>
      <c r="C142" s="62" t="s">
        <v>266</v>
      </c>
      <c r="D142" s="93">
        <v>17</v>
      </c>
    </row>
    <row r="143" spans="2:4" ht="13.8">
      <c r="B143" s="63">
        <v>30401</v>
      </c>
      <c r="C143" s="64" t="s">
        <v>267</v>
      </c>
      <c r="D143" s="91">
        <v>149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0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0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2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2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1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1</v>
      </c>
    </row>
    <row r="162" spans="2:4" ht="13.8">
      <c r="B162" s="61">
        <v>30420</v>
      </c>
      <c r="C162" s="62" t="s">
        <v>286</v>
      </c>
      <c r="D162" s="93">
        <v>0</v>
      </c>
    </row>
    <row r="163" spans="2:4" ht="13.8">
      <c r="B163" s="63">
        <v>30421</v>
      </c>
      <c r="C163" s="64" t="s">
        <v>287</v>
      </c>
      <c r="D163" s="91">
        <v>0</v>
      </c>
    </row>
    <row r="164" spans="2:4" ht="13.8">
      <c r="B164" s="61">
        <v>30422</v>
      </c>
      <c r="C164" s="62" t="s">
        <v>288</v>
      </c>
      <c r="D164" s="93">
        <v>0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3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16</v>
      </c>
    </row>
    <row r="172" spans="2:4" ht="13.8">
      <c r="B172" s="61">
        <v>30430</v>
      </c>
      <c r="C172" s="62" t="s">
        <v>296</v>
      </c>
      <c r="D172" s="93">
        <v>14</v>
      </c>
    </row>
    <row r="173" spans="2:4" ht="13.8">
      <c r="B173" s="63">
        <v>30431</v>
      </c>
      <c r="C173" s="64" t="s">
        <v>297</v>
      </c>
      <c r="D173" s="91">
        <v>1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1</v>
      </c>
    </row>
    <row r="190" spans="2:4" ht="13.8">
      <c r="B190" s="61">
        <v>30502</v>
      </c>
      <c r="C190" s="62" t="s">
        <v>314</v>
      </c>
      <c r="D190" s="93">
        <v>17</v>
      </c>
    </row>
    <row r="191" spans="2:4" ht="13.8">
      <c r="B191" s="63">
        <v>30503</v>
      </c>
      <c r="C191" s="64" t="s">
        <v>315</v>
      </c>
      <c r="D191" s="91">
        <v>28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0</v>
      </c>
    </row>
    <row r="194" spans="2:4" ht="13.8">
      <c r="B194" s="61">
        <v>30601</v>
      </c>
      <c r="C194" s="62" t="s">
        <v>318</v>
      </c>
      <c r="D194" s="93">
        <v>0</v>
      </c>
    </row>
    <row r="195" spans="2:4" ht="13.8">
      <c r="B195" s="63">
        <v>30602</v>
      </c>
      <c r="C195" s="64" t="s">
        <v>319</v>
      </c>
      <c r="D195" s="91">
        <v>3</v>
      </c>
    </row>
    <row r="196" spans="2:4" ht="13.8">
      <c r="B196" s="61">
        <v>30603</v>
      </c>
      <c r="C196" s="62" t="s">
        <v>320</v>
      </c>
      <c r="D196" s="93">
        <v>0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98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1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1</v>
      </c>
    </row>
    <row r="228" spans="2:4" ht="13.8">
      <c r="B228" s="61">
        <v>30903</v>
      </c>
      <c r="C228" s="62" t="s">
        <v>352</v>
      </c>
      <c r="D228" s="93">
        <v>1</v>
      </c>
    </row>
    <row r="229" spans="2:4" ht="13.8">
      <c r="B229" s="63">
        <v>30904</v>
      </c>
      <c r="C229" s="64" t="s">
        <v>353</v>
      </c>
      <c r="D229" s="91">
        <v>14</v>
      </c>
    </row>
    <row r="230" spans="2:4" ht="13.8">
      <c r="B230" s="61">
        <v>30905</v>
      </c>
      <c r="C230" s="62" t="s">
        <v>354</v>
      </c>
      <c r="D230" s="93">
        <v>3</v>
      </c>
    </row>
    <row r="231" spans="2:4" ht="13.8">
      <c r="B231" s="63">
        <v>30906</v>
      </c>
      <c r="C231" s="64" t="s">
        <v>355</v>
      </c>
      <c r="D231" s="91">
        <v>1</v>
      </c>
    </row>
    <row r="232" spans="2:4" ht="13.8">
      <c r="B232" s="61">
        <v>30907</v>
      </c>
      <c r="C232" s="62" t="s">
        <v>356</v>
      </c>
      <c r="D232" s="93">
        <v>44</v>
      </c>
    </row>
    <row r="233" spans="2:4" ht="13.8">
      <c r="B233" s="63">
        <v>30908</v>
      </c>
      <c r="C233" s="64" t="s">
        <v>357</v>
      </c>
      <c r="D233" s="91">
        <v>3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0</v>
      </c>
    </row>
    <row r="236" spans="2:4" ht="13.8">
      <c r="B236" s="61">
        <v>31002</v>
      </c>
      <c r="C236" s="62" t="s">
        <v>360</v>
      </c>
      <c r="D236" s="93">
        <v>0</v>
      </c>
    </row>
    <row r="237" spans="2:4" ht="13.8">
      <c r="B237" s="63">
        <v>31003</v>
      </c>
      <c r="C237" s="64" t="s">
        <v>361</v>
      </c>
      <c r="D237" s="91">
        <v>1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2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0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23</v>
      </c>
    </row>
    <row r="251" spans="2:4" ht="13.8">
      <c r="B251" s="63">
        <v>31102</v>
      </c>
      <c r="C251" s="64" t="s">
        <v>375</v>
      </c>
      <c r="D251" s="91">
        <v>1</v>
      </c>
    </row>
    <row r="252" spans="2:4" ht="13.8">
      <c r="B252" s="61">
        <v>31103</v>
      </c>
      <c r="C252" s="62" t="s">
        <v>376</v>
      </c>
      <c r="D252" s="93">
        <v>13</v>
      </c>
    </row>
    <row r="253" spans="2:4" ht="13.8">
      <c r="B253" s="63">
        <v>31104</v>
      </c>
      <c r="C253" s="64" t="s">
        <v>377</v>
      </c>
      <c r="D253" s="91">
        <v>1</v>
      </c>
    </row>
    <row r="254" spans="2:4" ht="13.8">
      <c r="B254" s="61">
        <v>31105</v>
      </c>
      <c r="C254" s="62" t="s">
        <v>378</v>
      </c>
      <c r="D254" s="93">
        <v>2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1</v>
      </c>
    </row>
    <row r="258" spans="2:4" ht="13.8">
      <c r="B258" s="61">
        <v>31109</v>
      </c>
      <c r="C258" s="62" t="s">
        <v>382</v>
      </c>
      <c r="D258" s="93">
        <v>2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8</v>
      </c>
    </row>
    <row r="262" spans="2:4" ht="13.8">
      <c r="B262" s="61">
        <v>31113</v>
      </c>
      <c r="C262" s="62" t="s">
        <v>386</v>
      </c>
      <c r="D262" s="93">
        <v>1</v>
      </c>
    </row>
    <row r="263" spans="2:4" ht="13.8">
      <c r="B263" s="63">
        <v>31114</v>
      </c>
      <c r="C263" s="64" t="s">
        <v>387</v>
      </c>
      <c r="D263" s="91">
        <v>21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0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0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0</v>
      </c>
    </row>
    <row r="270" spans="2:4" ht="13.8">
      <c r="B270" s="65">
        <v>40107</v>
      </c>
      <c r="C270" s="66" t="s">
        <v>394</v>
      </c>
      <c r="D270" s="89">
        <v>0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5</v>
      </c>
    </row>
    <row r="275" spans="2:4" ht="13.8">
      <c r="B275" s="61">
        <v>50102</v>
      </c>
      <c r="C275" s="62" t="s">
        <v>399</v>
      </c>
      <c r="D275" s="93">
        <v>0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5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0</v>
      </c>
    </row>
    <row r="281" spans="2:4" ht="13.8">
      <c r="B281" s="61">
        <v>50108</v>
      </c>
      <c r="C281" s="62" t="s">
        <v>405</v>
      </c>
      <c r="D281" s="93">
        <v>0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8</v>
      </c>
    </row>
    <row r="285" spans="2:4" ht="13.8">
      <c r="B285" s="61">
        <v>50301</v>
      </c>
      <c r="C285" s="62" t="s">
        <v>409</v>
      </c>
      <c r="D285" s="93">
        <v>204</v>
      </c>
    </row>
    <row r="286" spans="2:4" ht="13.8">
      <c r="B286" s="71">
        <v>50302</v>
      </c>
      <c r="C286" s="72" t="s">
        <v>410</v>
      </c>
      <c r="D286" s="94">
        <v>2</v>
      </c>
    </row>
    <row r="287" spans="2:4" ht="13.8">
      <c r="B287" s="61">
        <v>50303</v>
      </c>
      <c r="C287" s="62" t="s">
        <v>411</v>
      </c>
      <c r="D287" s="93">
        <v>1</v>
      </c>
    </row>
    <row r="288" spans="2:4" ht="13.8">
      <c r="B288" s="71">
        <v>50304</v>
      </c>
      <c r="C288" s="72" t="s">
        <v>412</v>
      </c>
      <c r="D288" s="94">
        <v>2</v>
      </c>
    </row>
    <row r="289" spans="2:4" ht="13.8">
      <c r="B289" s="61">
        <v>50305</v>
      </c>
      <c r="C289" s="62" t="s">
        <v>413</v>
      </c>
      <c r="D289" s="93">
        <v>1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97">
        <v>112</v>
      </c>
    </row>
    <row r="295" spans="2:4" ht="13.8">
      <c r="B295" s="61">
        <v>70102</v>
      </c>
      <c r="C295" s="62" t="s">
        <v>419</v>
      </c>
      <c r="D295" s="93">
        <v>14</v>
      </c>
    </row>
    <row r="296" spans="2:4" ht="13.8">
      <c r="B296" s="75">
        <v>70103</v>
      </c>
      <c r="C296" s="76" t="s">
        <v>420</v>
      </c>
      <c r="D296" s="97">
        <v>170</v>
      </c>
    </row>
    <row r="297" spans="2:4" ht="13.8">
      <c r="B297" s="61">
        <v>70104</v>
      </c>
      <c r="C297" s="62" t="s">
        <v>421</v>
      </c>
      <c r="D297" s="93">
        <v>6253</v>
      </c>
    </row>
    <row r="298" spans="2:4" ht="13.8">
      <c r="B298" s="75">
        <v>70105</v>
      </c>
      <c r="C298" s="76" t="s">
        <v>422</v>
      </c>
      <c r="D298" s="97">
        <v>409</v>
      </c>
    </row>
    <row r="299" spans="2:4" ht="13.8">
      <c r="B299" s="61">
        <v>70106</v>
      </c>
      <c r="C299" s="62" t="s">
        <v>423</v>
      </c>
      <c r="D299" s="93">
        <v>299</v>
      </c>
    </row>
    <row r="300" spans="2:4" ht="13.8">
      <c r="B300" s="75">
        <v>70107</v>
      </c>
      <c r="C300" s="76" t="s">
        <v>424</v>
      </c>
      <c r="D300" s="97">
        <v>73</v>
      </c>
    </row>
    <row r="301" spans="2:4" ht="14.4" thickBot="1">
      <c r="B301" s="77">
        <v>70108</v>
      </c>
      <c r="C301" s="78" t="s">
        <v>425</v>
      </c>
      <c r="D301" s="92">
        <v>453</v>
      </c>
    </row>
    <row r="302" spans="2:4" ht="19.95" customHeight="1" thickBot="1">
      <c r="B302" s="79" t="s">
        <v>426</v>
      </c>
      <c r="C302" s="80"/>
      <c r="D302" s="81">
        <f>SUM(D20:D301)</f>
        <v>8876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D279" sqref="D279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429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87</v>
      </c>
    </row>
    <row r="23" spans="2:7" ht="13.8">
      <c r="B23" s="57">
        <v>10104</v>
      </c>
      <c r="C23" s="58" t="s">
        <v>147</v>
      </c>
      <c r="D23" s="95">
        <v>20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2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1</v>
      </c>
    </row>
    <row r="31" spans="2:7" ht="13.8">
      <c r="B31" s="57">
        <v>10112</v>
      </c>
      <c r="C31" s="58" t="s">
        <v>155</v>
      </c>
      <c r="D31" s="95">
        <v>2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11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2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38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1</v>
      </c>
    </row>
    <row r="47" spans="2:4" ht="13.8">
      <c r="B47" s="57">
        <v>10207</v>
      </c>
      <c r="C47" s="58" t="s">
        <v>171</v>
      </c>
      <c r="D47" s="95">
        <v>0</v>
      </c>
    </row>
    <row r="48" spans="2:4" ht="13.8">
      <c r="B48" s="67">
        <v>10208</v>
      </c>
      <c r="C48" s="68" t="s">
        <v>172</v>
      </c>
      <c r="D48" s="90">
        <v>1</v>
      </c>
    </row>
    <row r="49" spans="2:4" ht="13.8">
      <c r="B49" s="57">
        <v>10209</v>
      </c>
      <c r="C49" s="58" t="s">
        <v>173</v>
      </c>
      <c r="D49" s="95">
        <v>3</v>
      </c>
    </row>
    <row r="50" spans="2:4" ht="13.8">
      <c r="B50" s="67">
        <v>10210</v>
      </c>
      <c r="C50" s="68" t="s">
        <v>174</v>
      </c>
      <c r="D50" s="90">
        <v>1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1</v>
      </c>
    </row>
    <row r="60" spans="2:4" ht="13.8">
      <c r="B60" s="67">
        <v>10220</v>
      </c>
      <c r="C60" s="68" t="s">
        <v>184</v>
      </c>
      <c r="D60" s="90">
        <v>11</v>
      </c>
    </row>
    <row r="61" spans="2:4" ht="13.8">
      <c r="B61" s="57">
        <v>10301</v>
      </c>
      <c r="C61" s="58" t="s">
        <v>185</v>
      </c>
      <c r="D61" s="95">
        <v>2</v>
      </c>
    </row>
    <row r="62" spans="2:4" ht="13.8">
      <c r="B62" s="67">
        <v>10302</v>
      </c>
      <c r="C62" s="68" t="s">
        <v>186</v>
      </c>
      <c r="D62" s="90">
        <v>2</v>
      </c>
    </row>
    <row r="63" spans="2:4" ht="13.8">
      <c r="B63" s="57">
        <v>10303</v>
      </c>
      <c r="C63" s="58" t="s">
        <v>187</v>
      </c>
      <c r="D63" s="95">
        <v>0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20</v>
      </c>
    </row>
    <row r="66" spans="2:4" ht="13.8">
      <c r="B66" s="67">
        <v>10306</v>
      </c>
      <c r="C66" s="68" t="s">
        <v>190</v>
      </c>
      <c r="D66" s="90">
        <v>2</v>
      </c>
    </row>
    <row r="67" spans="2:4" ht="13.8">
      <c r="B67" s="57">
        <v>10307</v>
      </c>
      <c r="C67" s="58" t="s">
        <v>191</v>
      </c>
      <c r="D67" s="95">
        <v>9</v>
      </c>
    </row>
    <row r="68" spans="2:4" ht="13.8">
      <c r="B68" s="67">
        <v>10308</v>
      </c>
      <c r="C68" s="68" t="s">
        <v>192</v>
      </c>
      <c r="D68" s="90">
        <v>18</v>
      </c>
    </row>
    <row r="69" spans="2:4" ht="13.8">
      <c r="B69" s="57">
        <v>10309</v>
      </c>
      <c r="C69" s="58" t="s">
        <v>193</v>
      </c>
      <c r="D69" s="95">
        <v>1</v>
      </c>
    </row>
    <row r="70" spans="2:4" ht="13.8">
      <c r="B70" s="67">
        <v>10310</v>
      </c>
      <c r="C70" s="68" t="s">
        <v>194</v>
      </c>
      <c r="D70" s="90">
        <v>0</v>
      </c>
    </row>
    <row r="71" spans="2:4" ht="13.8">
      <c r="B71" s="57">
        <v>10311</v>
      </c>
      <c r="C71" s="58" t="s">
        <v>195</v>
      </c>
      <c r="D71" s="95">
        <v>1</v>
      </c>
    </row>
    <row r="72" spans="2:4" ht="13.8">
      <c r="B72" s="67">
        <v>10312</v>
      </c>
      <c r="C72" s="68" t="s">
        <v>196</v>
      </c>
      <c r="D72" s="90">
        <v>3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5</v>
      </c>
    </row>
    <row r="75" spans="2:4" ht="13.8">
      <c r="B75" s="57">
        <v>10315</v>
      </c>
      <c r="C75" s="58" t="s">
        <v>199</v>
      </c>
      <c r="D75" s="95">
        <v>4</v>
      </c>
    </row>
    <row r="76" spans="2:4" ht="13.8">
      <c r="B76" s="67">
        <v>10316</v>
      </c>
      <c r="C76" s="68" t="s">
        <v>200</v>
      </c>
      <c r="D76" s="90">
        <v>73</v>
      </c>
    </row>
    <row r="77" spans="2:4" ht="13.8">
      <c r="B77" s="57">
        <v>10317</v>
      </c>
      <c r="C77" s="58" t="s">
        <v>201</v>
      </c>
      <c r="D77" s="95">
        <v>13</v>
      </c>
    </row>
    <row r="78" spans="2:4" ht="13.8">
      <c r="B78" s="67">
        <v>10318</v>
      </c>
      <c r="C78" s="68" t="s">
        <v>202</v>
      </c>
      <c r="D78" s="90">
        <v>1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5">
        <v>0</v>
      </c>
    </row>
    <row r="82" spans="2:4" ht="13.8">
      <c r="B82" s="69">
        <v>20103</v>
      </c>
      <c r="C82" s="70" t="s">
        <v>206</v>
      </c>
      <c r="D82" s="96">
        <v>9</v>
      </c>
    </row>
    <row r="83" spans="2:4" ht="13.8">
      <c r="B83" s="59">
        <v>20104</v>
      </c>
      <c r="C83" s="60" t="s">
        <v>207</v>
      </c>
      <c r="D83" s="95">
        <v>5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5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5">
        <v>5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5">
        <v>8</v>
      </c>
    </row>
    <row r="90" spans="2:4" ht="13.8">
      <c r="B90" s="69">
        <v>20111</v>
      </c>
      <c r="C90" s="70" t="s">
        <v>214</v>
      </c>
      <c r="D90" s="96">
        <v>4</v>
      </c>
    </row>
    <row r="91" spans="2:4" ht="13.8">
      <c r="B91" s="59">
        <v>20112</v>
      </c>
      <c r="C91" s="60" t="s">
        <v>215</v>
      </c>
      <c r="D91" s="95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5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5">
        <v>1</v>
      </c>
    </row>
    <row r="96" spans="2:4" ht="13.8">
      <c r="B96" s="69">
        <v>20203</v>
      </c>
      <c r="C96" s="70" t="s">
        <v>220</v>
      </c>
      <c r="D96" s="96">
        <v>13</v>
      </c>
    </row>
    <row r="97" spans="2:4" ht="13.8">
      <c r="B97" s="59">
        <v>20204</v>
      </c>
      <c r="C97" s="60" t="s">
        <v>221</v>
      </c>
      <c r="D97" s="95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5">
        <v>0</v>
      </c>
    </row>
    <row r="100" spans="2:4" ht="13.8">
      <c r="B100" s="69">
        <v>20207</v>
      </c>
      <c r="C100" s="70" t="s">
        <v>224</v>
      </c>
      <c r="D100" s="96">
        <v>0</v>
      </c>
    </row>
    <row r="101" spans="2:4" ht="13.8">
      <c r="B101" s="59">
        <v>20208</v>
      </c>
      <c r="C101" s="60" t="s">
        <v>225</v>
      </c>
      <c r="D101" s="95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5">
        <v>3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5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5">
        <v>0</v>
      </c>
    </row>
    <row r="108" spans="2:4" ht="13.8">
      <c r="B108" s="69">
        <v>20301</v>
      </c>
      <c r="C108" s="70" t="s">
        <v>232</v>
      </c>
      <c r="D108" s="96">
        <v>4</v>
      </c>
    </row>
    <row r="109" spans="2:4" ht="13.8">
      <c r="B109" s="59">
        <v>20302</v>
      </c>
      <c r="C109" s="60" t="s">
        <v>233</v>
      </c>
      <c r="D109" s="95">
        <v>0</v>
      </c>
    </row>
    <row r="110" spans="2:4" ht="13.8">
      <c r="B110" s="69">
        <v>20303</v>
      </c>
      <c r="C110" s="70" t="s">
        <v>234</v>
      </c>
      <c r="D110" s="96">
        <v>3</v>
      </c>
    </row>
    <row r="111" spans="2:4" ht="13.8">
      <c r="B111" s="59">
        <v>20304</v>
      </c>
      <c r="C111" s="60" t="s">
        <v>235</v>
      </c>
      <c r="D111" s="95">
        <v>0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5">
        <v>0</v>
      </c>
    </row>
    <row r="114" spans="2:4" ht="13.8">
      <c r="B114" s="69">
        <v>20307</v>
      </c>
      <c r="C114" s="70" t="s">
        <v>238</v>
      </c>
      <c r="D114" s="96">
        <v>2</v>
      </c>
    </row>
    <row r="115" spans="2:4" ht="13.8">
      <c r="B115" s="59">
        <v>20308</v>
      </c>
      <c r="C115" s="60" t="s">
        <v>239</v>
      </c>
      <c r="D115" s="95">
        <v>34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5">
        <v>0</v>
      </c>
    </row>
    <row r="118" spans="2:4" ht="13.8">
      <c r="B118" s="69">
        <v>20311</v>
      </c>
      <c r="C118" s="70" t="s">
        <v>242</v>
      </c>
      <c r="D118" s="96">
        <v>74</v>
      </c>
    </row>
    <row r="119" spans="2:4" ht="13.8">
      <c r="B119" s="59">
        <v>20401</v>
      </c>
      <c r="C119" s="60" t="s">
        <v>243</v>
      </c>
      <c r="D119" s="95">
        <v>1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5">
        <v>0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18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15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4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1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3</v>
      </c>
    </row>
    <row r="135" spans="2:4" ht="13.8">
      <c r="B135" s="63">
        <v>30303</v>
      </c>
      <c r="C135" s="64" t="s">
        <v>259</v>
      </c>
      <c r="D135" s="91">
        <v>1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5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10</v>
      </c>
    </row>
    <row r="140" spans="2:4" ht="13.8">
      <c r="B140" s="61">
        <v>30308</v>
      </c>
      <c r="C140" s="62" t="s">
        <v>264</v>
      </c>
      <c r="D140" s="93">
        <v>5</v>
      </c>
    </row>
    <row r="141" spans="2:4" ht="13.8">
      <c r="B141" s="63">
        <v>30309</v>
      </c>
      <c r="C141" s="64" t="s">
        <v>265</v>
      </c>
      <c r="D141" s="91">
        <v>76</v>
      </c>
    </row>
    <row r="142" spans="2:4" ht="13.8">
      <c r="B142" s="61">
        <v>30310</v>
      </c>
      <c r="C142" s="62" t="s">
        <v>266</v>
      </c>
      <c r="D142" s="93">
        <v>46</v>
      </c>
    </row>
    <row r="143" spans="2:4" ht="13.8">
      <c r="B143" s="63">
        <v>30401</v>
      </c>
      <c r="C143" s="64" t="s">
        <v>267</v>
      </c>
      <c r="D143" s="91">
        <v>80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6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1</v>
      </c>
    </row>
    <row r="150" spans="2:4" ht="13.8">
      <c r="B150" s="61">
        <v>30408</v>
      </c>
      <c r="C150" s="62" t="s">
        <v>274</v>
      </c>
      <c r="D150" s="93">
        <v>1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2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5</v>
      </c>
    </row>
    <row r="162" spans="2:4" ht="13.8">
      <c r="B162" s="61">
        <v>30420</v>
      </c>
      <c r="C162" s="62" t="s">
        <v>286</v>
      </c>
      <c r="D162" s="93">
        <v>6</v>
      </c>
    </row>
    <row r="163" spans="2:4" ht="13.8">
      <c r="B163" s="63">
        <v>30421</v>
      </c>
      <c r="C163" s="64" t="s">
        <v>287</v>
      </c>
      <c r="D163" s="91">
        <v>2</v>
      </c>
    </row>
    <row r="164" spans="2:4" ht="13.8">
      <c r="B164" s="61">
        <v>30422</v>
      </c>
      <c r="C164" s="62" t="s">
        <v>288</v>
      </c>
      <c r="D164" s="93">
        <v>3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0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5</v>
      </c>
    </row>
    <row r="172" spans="2:4" ht="13.8">
      <c r="B172" s="61">
        <v>30430</v>
      </c>
      <c r="C172" s="62" t="s">
        <v>296</v>
      </c>
      <c r="D172" s="93">
        <v>36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1</v>
      </c>
    </row>
    <row r="189" spans="2:4" ht="13.8">
      <c r="B189" s="63">
        <v>30501</v>
      </c>
      <c r="C189" s="64" t="s">
        <v>313</v>
      </c>
      <c r="D189" s="91">
        <v>1</v>
      </c>
    </row>
    <row r="190" spans="2:4" ht="13.8">
      <c r="B190" s="61">
        <v>30502</v>
      </c>
      <c r="C190" s="62" t="s">
        <v>314</v>
      </c>
      <c r="D190" s="93">
        <v>10</v>
      </c>
    </row>
    <row r="191" spans="2:4" ht="13.8">
      <c r="B191" s="63">
        <v>30503</v>
      </c>
      <c r="C191" s="64" t="s">
        <v>315</v>
      </c>
      <c r="D191" s="91">
        <v>19</v>
      </c>
    </row>
    <row r="192" spans="2:4" ht="13.8">
      <c r="B192" s="61">
        <v>30504</v>
      </c>
      <c r="C192" s="62" t="s">
        <v>316</v>
      </c>
      <c r="D192" s="93">
        <v>12</v>
      </c>
    </row>
    <row r="193" spans="2:4" ht="13.8">
      <c r="B193" s="63">
        <v>30505</v>
      </c>
      <c r="C193" s="64" t="s">
        <v>317</v>
      </c>
      <c r="D193" s="91">
        <v>2</v>
      </c>
    </row>
    <row r="194" spans="2:4" ht="13.8">
      <c r="B194" s="61">
        <v>30601</v>
      </c>
      <c r="C194" s="62" t="s">
        <v>318</v>
      </c>
      <c r="D194" s="93">
        <v>3</v>
      </c>
    </row>
    <row r="195" spans="2:4" ht="13.8">
      <c r="B195" s="63">
        <v>30602</v>
      </c>
      <c r="C195" s="64" t="s">
        <v>319</v>
      </c>
      <c r="D195" s="91">
        <v>4</v>
      </c>
    </row>
    <row r="196" spans="2:4" ht="13.8">
      <c r="B196" s="61">
        <v>30603</v>
      </c>
      <c r="C196" s="62" t="s">
        <v>320</v>
      </c>
      <c r="D196" s="93">
        <v>1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6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3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31</v>
      </c>
    </row>
    <row r="229" spans="2:4" ht="13.8">
      <c r="B229" s="63">
        <v>30904</v>
      </c>
      <c r="C229" s="64" t="s">
        <v>353</v>
      </c>
      <c r="D229" s="91">
        <v>23</v>
      </c>
    </row>
    <row r="230" spans="2:4" ht="13.8">
      <c r="B230" s="61">
        <v>30905</v>
      </c>
      <c r="C230" s="62" t="s">
        <v>354</v>
      </c>
      <c r="D230" s="93">
        <v>2</v>
      </c>
    </row>
    <row r="231" spans="2:4" ht="13.8">
      <c r="B231" s="63">
        <v>30906</v>
      </c>
      <c r="C231" s="64" t="s">
        <v>355</v>
      </c>
      <c r="D231" s="91">
        <v>1</v>
      </c>
    </row>
    <row r="232" spans="2:4" ht="13.8">
      <c r="B232" s="61">
        <v>30907</v>
      </c>
      <c r="C232" s="62" t="s">
        <v>356</v>
      </c>
      <c r="D232" s="93">
        <v>143</v>
      </c>
    </row>
    <row r="233" spans="2:4" ht="13.8">
      <c r="B233" s="63">
        <v>30908</v>
      </c>
      <c r="C233" s="64" t="s">
        <v>357</v>
      </c>
      <c r="D233" s="91">
        <v>0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1</v>
      </c>
    </row>
    <row r="236" spans="2:4" ht="13.8">
      <c r="B236" s="61">
        <v>31002</v>
      </c>
      <c r="C236" s="62" t="s">
        <v>360</v>
      </c>
      <c r="D236" s="93">
        <v>3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3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0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38</v>
      </c>
    </row>
    <row r="251" spans="2:4" ht="13.8">
      <c r="B251" s="63">
        <v>31102</v>
      </c>
      <c r="C251" s="64" t="s">
        <v>375</v>
      </c>
      <c r="D251" s="91">
        <v>17</v>
      </c>
    </row>
    <row r="252" spans="2:4" ht="13.8">
      <c r="B252" s="61">
        <v>31103</v>
      </c>
      <c r="C252" s="62" t="s">
        <v>376</v>
      </c>
      <c r="D252" s="93">
        <v>4</v>
      </c>
    </row>
    <row r="253" spans="2:4" ht="13.8">
      <c r="B253" s="63">
        <v>31104</v>
      </c>
      <c r="C253" s="64" t="s">
        <v>377</v>
      </c>
      <c r="D253" s="91">
        <v>2</v>
      </c>
    </row>
    <row r="254" spans="2:4" ht="13.8">
      <c r="B254" s="61">
        <v>31105</v>
      </c>
      <c r="C254" s="62" t="s">
        <v>378</v>
      </c>
      <c r="D254" s="93">
        <v>5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1</v>
      </c>
    </row>
    <row r="257" spans="2:4" ht="13.8">
      <c r="B257" s="63">
        <v>31108</v>
      </c>
      <c r="C257" s="64" t="s">
        <v>381</v>
      </c>
      <c r="D257" s="91">
        <v>1</v>
      </c>
    </row>
    <row r="258" spans="2:4" ht="13.8">
      <c r="B258" s="61">
        <v>31109</v>
      </c>
      <c r="C258" s="62" t="s">
        <v>382</v>
      </c>
      <c r="D258" s="93">
        <v>1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17</v>
      </c>
    </row>
    <row r="262" spans="2:4" ht="13.8">
      <c r="B262" s="61">
        <v>31113</v>
      </c>
      <c r="C262" s="62" t="s">
        <v>386</v>
      </c>
      <c r="D262" s="93">
        <v>3</v>
      </c>
    </row>
    <row r="263" spans="2:4" ht="13.8">
      <c r="B263" s="63">
        <v>31114</v>
      </c>
      <c r="C263" s="64" t="s">
        <v>387</v>
      </c>
      <c r="D263" s="91">
        <v>21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2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2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3</v>
      </c>
    </row>
    <row r="270" spans="2:4" ht="13.8">
      <c r="B270" s="65">
        <v>40107</v>
      </c>
      <c r="C270" s="66" t="s">
        <v>394</v>
      </c>
      <c r="D270" s="89">
        <v>5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8</v>
      </c>
    </row>
    <row r="275" spans="2:4" ht="13.8">
      <c r="B275" s="61">
        <v>50102</v>
      </c>
      <c r="C275" s="62" t="s">
        <v>399</v>
      </c>
      <c r="D275" s="93">
        <v>15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108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4</v>
      </c>
    </row>
    <row r="281" spans="2:4" ht="13.8">
      <c r="B281" s="61">
        <v>50108</v>
      </c>
      <c r="C281" s="62" t="s">
        <v>405</v>
      </c>
      <c r="D281" s="93">
        <v>0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15</v>
      </c>
    </row>
    <row r="285" spans="2:4" ht="13.8">
      <c r="B285" s="61">
        <v>50301</v>
      </c>
      <c r="C285" s="62" t="s">
        <v>409</v>
      </c>
      <c r="D285" s="93">
        <v>219</v>
      </c>
    </row>
    <row r="286" spans="2:4" ht="13.8">
      <c r="B286" s="71">
        <v>50302</v>
      </c>
      <c r="C286" s="72" t="s">
        <v>410</v>
      </c>
      <c r="D286" s="94">
        <v>0</v>
      </c>
    </row>
    <row r="287" spans="2:4" ht="13.8">
      <c r="B287" s="61">
        <v>50303</v>
      </c>
      <c r="C287" s="62" t="s">
        <v>411</v>
      </c>
      <c r="D287" s="93">
        <v>1</v>
      </c>
    </row>
    <row r="288" spans="2:4" ht="13.8">
      <c r="B288" s="71">
        <v>50304</v>
      </c>
      <c r="C288" s="72" t="s">
        <v>412</v>
      </c>
      <c r="D288" s="94">
        <v>0</v>
      </c>
    </row>
    <row r="289" spans="2:4" ht="13.8">
      <c r="B289" s="61">
        <v>50305</v>
      </c>
      <c r="C289" s="62" t="s">
        <v>413</v>
      </c>
      <c r="D289" s="93">
        <v>2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219</v>
      </c>
    </row>
    <row r="294" spans="2:4" ht="13.8">
      <c r="B294" s="75">
        <v>70101</v>
      </c>
      <c r="C294" s="76" t="s">
        <v>418</v>
      </c>
      <c r="D294" s="97">
        <v>204</v>
      </c>
    </row>
    <row r="295" spans="2:4" ht="13.8">
      <c r="B295" s="61">
        <v>70102</v>
      </c>
      <c r="C295" s="62" t="s">
        <v>419</v>
      </c>
      <c r="D295" s="93">
        <v>11</v>
      </c>
    </row>
    <row r="296" spans="2:4" ht="13.8">
      <c r="B296" s="75">
        <v>70103</v>
      </c>
      <c r="C296" s="76" t="s">
        <v>420</v>
      </c>
      <c r="D296" s="97">
        <v>108</v>
      </c>
    </row>
    <row r="297" spans="2:4" ht="13.8">
      <c r="B297" s="61">
        <v>70104</v>
      </c>
      <c r="C297" s="62" t="s">
        <v>421</v>
      </c>
      <c r="D297" s="93">
        <v>4707</v>
      </c>
    </row>
    <row r="298" spans="2:4" ht="13.8">
      <c r="B298" s="75">
        <v>70105</v>
      </c>
      <c r="C298" s="76" t="s">
        <v>422</v>
      </c>
      <c r="D298" s="97">
        <v>180</v>
      </c>
    </row>
    <row r="299" spans="2:4" ht="13.8">
      <c r="B299" s="61">
        <v>70106</v>
      </c>
      <c r="C299" s="62" t="s">
        <v>423</v>
      </c>
      <c r="D299" s="93">
        <v>13</v>
      </c>
    </row>
    <row r="300" spans="2:4" ht="13.8">
      <c r="B300" s="75">
        <v>70107</v>
      </c>
      <c r="C300" s="76" t="s">
        <v>424</v>
      </c>
      <c r="D300" s="97">
        <v>87</v>
      </c>
    </row>
    <row r="301" spans="2:4" ht="14.4" thickBot="1">
      <c r="B301" s="77">
        <v>70108</v>
      </c>
      <c r="C301" s="78" t="s">
        <v>425</v>
      </c>
      <c r="D301" s="93">
        <v>513</v>
      </c>
    </row>
    <row r="302" spans="2:4" ht="19.95" customHeight="1" thickBot="1">
      <c r="B302" s="79" t="s">
        <v>426</v>
      </c>
      <c r="C302" s="80"/>
      <c r="D302" s="81">
        <f>SUM(D20:D301)</f>
        <v>7638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267" zoomScale="80" zoomScaleNormal="100" zoomScaleSheetLayoutView="8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430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65</v>
      </c>
    </row>
    <row r="23" spans="2:7" ht="13.8">
      <c r="B23" s="57">
        <v>10104</v>
      </c>
      <c r="C23" s="58" t="s">
        <v>147</v>
      </c>
      <c r="D23" s="95">
        <v>42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1</v>
      </c>
    </row>
    <row r="31" spans="2:7" ht="13.8">
      <c r="B31" s="57">
        <v>10112</v>
      </c>
      <c r="C31" s="58" t="s">
        <v>155</v>
      </c>
      <c r="D31" s="95">
        <v>2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14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4</v>
      </c>
    </row>
    <row r="41" spans="2:4" ht="13.8">
      <c r="B41" s="57">
        <v>10201</v>
      </c>
      <c r="C41" s="58" t="s">
        <v>165</v>
      </c>
      <c r="D41" s="95">
        <v>1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1</v>
      </c>
    </row>
    <row r="44" spans="2:4" ht="13.8">
      <c r="B44" s="67">
        <v>10204</v>
      </c>
      <c r="C44" s="68" t="s">
        <v>168</v>
      </c>
      <c r="D44" s="90">
        <v>31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2</v>
      </c>
    </row>
    <row r="47" spans="2:4" ht="13.8">
      <c r="B47" s="57">
        <v>10207</v>
      </c>
      <c r="C47" s="58" t="s">
        <v>171</v>
      </c>
      <c r="D47" s="95">
        <v>3</v>
      </c>
    </row>
    <row r="48" spans="2:4" ht="13.8">
      <c r="B48" s="67">
        <v>10208</v>
      </c>
      <c r="C48" s="68" t="s">
        <v>172</v>
      </c>
      <c r="D48" s="90">
        <v>1</v>
      </c>
    </row>
    <row r="49" spans="2:4" ht="13.8">
      <c r="B49" s="57">
        <v>10209</v>
      </c>
      <c r="C49" s="58" t="s">
        <v>173</v>
      </c>
      <c r="D49" s="95">
        <v>0</v>
      </c>
    </row>
    <row r="50" spans="2:4" ht="13.8">
      <c r="B50" s="67">
        <v>10210</v>
      </c>
      <c r="C50" s="68" t="s">
        <v>174</v>
      </c>
      <c r="D50" s="90">
        <v>1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2</v>
      </c>
    </row>
    <row r="60" spans="2:4" ht="13.8">
      <c r="B60" s="67">
        <v>10220</v>
      </c>
      <c r="C60" s="68" t="s">
        <v>184</v>
      </c>
      <c r="D60" s="90">
        <v>2</v>
      </c>
    </row>
    <row r="61" spans="2:4" ht="13.8">
      <c r="B61" s="57">
        <v>10301</v>
      </c>
      <c r="C61" s="58" t="s">
        <v>185</v>
      </c>
      <c r="D61" s="95">
        <v>2</v>
      </c>
    </row>
    <row r="62" spans="2:4" ht="13.8">
      <c r="B62" s="67">
        <v>10302</v>
      </c>
      <c r="C62" s="68" t="s">
        <v>186</v>
      </c>
      <c r="D62" s="90">
        <v>2</v>
      </c>
    </row>
    <row r="63" spans="2:4" ht="13.8">
      <c r="B63" s="57">
        <v>10303</v>
      </c>
      <c r="C63" s="58" t="s">
        <v>187</v>
      </c>
      <c r="D63" s="95">
        <v>0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9</v>
      </c>
    </row>
    <row r="66" spans="2:4" ht="13.8">
      <c r="B66" s="67">
        <v>10306</v>
      </c>
      <c r="C66" s="68" t="s">
        <v>190</v>
      </c>
      <c r="D66" s="90">
        <v>1</v>
      </c>
    </row>
    <row r="67" spans="2:4" ht="13.8">
      <c r="B67" s="57">
        <v>10307</v>
      </c>
      <c r="C67" s="58" t="s">
        <v>191</v>
      </c>
      <c r="D67" s="95">
        <v>14</v>
      </c>
    </row>
    <row r="68" spans="2:4" ht="13.8">
      <c r="B68" s="67">
        <v>10308</v>
      </c>
      <c r="C68" s="68" t="s">
        <v>192</v>
      </c>
      <c r="D68" s="90">
        <v>22</v>
      </c>
    </row>
    <row r="69" spans="2:4" ht="13.8">
      <c r="B69" s="57">
        <v>10309</v>
      </c>
      <c r="C69" s="58" t="s">
        <v>193</v>
      </c>
      <c r="D69" s="95">
        <v>2</v>
      </c>
    </row>
    <row r="70" spans="2:4" ht="13.8">
      <c r="B70" s="67">
        <v>10310</v>
      </c>
      <c r="C70" s="68" t="s">
        <v>194</v>
      </c>
      <c r="D70" s="90">
        <v>37</v>
      </c>
    </row>
    <row r="71" spans="2:4" ht="13.8">
      <c r="B71" s="57">
        <v>10311</v>
      </c>
      <c r="C71" s="58" t="s">
        <v>195</v>
      </c>
      <c r="D71" s="95">
        <v>4</v>
      </c>
    </row>
    <row r="72" spans="2:4" ht="13.8">
      <c r="B72" s="67">
        <v>10312</v>
      </c>
      <c r="C72" s="68" t="s">
        <v>196</v>
      </c>
      <c r="D72" s="90">
        <v>0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1</v>
      </c>
    </row>
    <row r="75" spans="2:4" ht="13.8">
      <c r="B75" s="57">
        <v>10315</v>
      </c>
      <c r="C75" s="58" t="s">
        <v>199</v>
      </c>
      <c r="D75" s="95">
        <v>3</v>
      </c>
    </row>
    <row r="76" spans="2:4" ht="13.8">
      <c r="B76" s="67">
        <v>10316</v>
      </c>
      <c r="C76" s="68" t="s">
        <v>200</v>
      </c>
      <c r="D76" s="90">
        <v>1</v>
      </c>
    </row>
    <row r="77" spans="2:4" ht="13.8">
      <c r="B77" s="57">
        <v>10317</v>
      </c>
      <c r="C77" s="58" t="s">
        <v>201</v>
      </c>
      <c r="D77" s="95">
        <v>9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0</v>
      </c>
    </row>
    <row r="83" spans="2:4" ht="13.8">
      <c r="B83" s="59">
        <v>20104</v>
      </c>
      <c r="C83" s="60" t="s">
        <v>207</v>
      </c>
      <c r="D83" s="93">
        <v>1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4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0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2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0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6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6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5</v>
      </c>
    </row>
    <row r="111" spans="2:4" ht="13.8">
      <c r="B111" s="59">
        <v>20304</v>
      </c>
      <c r="C111" s="60" t="s">
        <v>235</v>
      </c>
      <c r="D111" s="93">
        <v>7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17</v>
      </c>
    </row>
    <row r="115" spans="2:4" ht="13.8">
      <c r="B115" s="59">
        <v>20308</v>
      </c>
      <c r="C115" s="60" t="s">
        <v>239</v>
      </c>
      <c r="D115" s="93">
        <v>1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33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1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5</v>
      </c>
    </row>
    <row r="124" spans="2:4" ht="13.8">
      <c r="B124" s="61">
        <v>30102</v>
      </c>
      <c r="C124" s="62" t="s">
        <v>248</v>
      </c>
      <c r="D124" s="93">
        <v>2</v>
      </c>
    </row>
    <row r="125" spans="2:4" ht="13.8">
      <c r="B125" s="63">
        <v>30103</v>
      </c>
      <c r="C125" s="64" t="s">
        <v>249</v>
      </c>
      <c r="D125" s="91">
        <v>25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8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10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1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2</v>
      </c>
    </row>
    <row r="140" spans="2:4" ht="13.8">
      <c r="B140" s="61">
        <v>30308</v>
      </c>
      <c r="C140" s="62" t="s">
        <v>264</v>
      </c>
      <c r="D140" s="93">
        <v>3</v>
      </c>
    </row>
    <row r="141" spans="2:4" ht="13.8">
      <c r="B141" s="63">
        <v>30309</v>
      </c>
      <c r="C141" s="64" t="s">
        <v>265</v>
      </c>
      <c r="D141" s="91">
        <v>34</v>
      </c>
    </row>
    <row r="142" spans="2:4" ht="13.8">
      <c r="B142" s="61">
        <v>30310</v>
      </c>
      <c r="C142" s="62" t="s">
        <v>266</v>
      </c>
      <c r="D142" s="93">
        <v>4</v>
      </c>
    </row>
    <row r="143" spans="2:4" ht="13.8">
      <c r="B143" s="63">
        <v>30401</v>
      </c>
      <c r="C143" s="64" t="s">
        <v>267</v>
      </c>
      <c r="D143" s="91">
        <v>186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1</v>
      </c>
    </row>
    <row r="146" spans="2:4" ht="13.8">
      <c r="B146" s="61">
        <v>30404</v>
      </c>
      <c r="C146" s="62" t="s">
        <v>270</v>
      </c>
      <c r="D146" s="93">
        <v>1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1</v>
      </c>
    </row>
    <row r="150" spans="2:4" ht="13.8">
      <c r="B150" s="61">
        <v>30408</v>
      </c>
      <c r="C150" s="62" t="s">
        <v>274</v>
      </c>
      <c r="D150" s="93">
        <v>1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1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5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1</v>
      </c>
    </row>
    <row r="161" spans="2:4" ht="13.8">
      <c r="B161" s="63">
        <v>30419</v>
      </c>
      <c r="C161" s="64" t="s">
        <v>285</v>
      </c>
      <c r="D161" s="91">
        <v>2</v>
      </c>
    </row>
    <row r="162" spans="2:4" ht="13.8">
      <c r="B162" s="61">
        <v>30420</v>
      </c>
      <c r="C162" s="62" t="s">
        <v>286</v>
      </c>
      <c r="D162" s="93">
        <v>2</v>
      </c>
    </row>
    <row r="163" spans="2:4" ht="13.8">
      <c r="B163" s="63">
        <v>30421</v>
      </c>
      <c r="C163" s="64" t="s">
        <v>287</v>
      </c>
      <c r="D163" s="91">
        <v>2</v>
      </c>
    </row>
    <row r="164" spans="2:4" ht="13.8">
      <c r="B164" s="61">
        <v>30422</v>
      </c>
      <c r="C164" s="62" t="s">
        <v>288</v>
      </c>
      <c r="D164" s="93">
        <v>2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0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11</v>
      </c>
    </row>
    <row r="172" spans="2:4" ht="13.8">
      <c r="B172" s="61">
        <v>30430</v>
      </c>
      <c r="C172" s="62" t="s">
        <v>296</v>
      </c>
      <c r="D172" s="93">
        <v>19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23</v>
      </c>
    </row>
    <row r="191" spans="2:4" ht="13.8">
      <c r="B191" s="63">
        <v>30503</v>
      </c>
      <c r="C191" s="64" t="s">
        <v>315</v>
      </c>
      <c r="D191" s="91">
        <v>15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1</v>
      </c>
    </row>
    <row r="194" spans="2:4" ht="13.8">
      <c r="B194" s="61">
        <v>30601</v>
      </c>
      <c r="C194" s="62" t="s">
        <v>318</v>
      </c>
      <c r="D194" s="93">
        <v>1</v>
      </c>
    </row>
    <row r="195" spans="2:4" ht="13.8">
      <c r="B195" s="63">
        <v>30602</v>
      </c>
      <c r="C195" s="64" t="s">
        <v>319</v>
      </c>
      <c r="D195" s="91">
        <v>6</v>
      </c>
    </row>
    <row r="196" spans="2:4" ht="13.8">
      <c r="B196" s="61">
        <v>30603</v>
      </c>
      <c r="C196" s="62" t="s">
        <v>320</v>
      </c>
      <c r="D196" s="93">
        <v>0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201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2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1</v>
      </c>
    </row>
    <row r="206" spans="2:4" ht="13.8">
      <c r="B206" s="61">
        <v>30702</v>
      </c>
      <c r="C206" s="62" t="s">
        <v>330</v>
      </c>
      <c r="D206" s="93">
        <v>1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5</v>
      </c>
    </row>
    <row r="229" spans="2:4" ht="13.8">
      <c r="B229" s="63">
        <v>30904</v>
      </c>
      <c r="C229" s="64" t="s">
        <v>353</v>
      </c>
      <c r="D229" s="91">
        <v>20</v>
      </c>
    </row>
    <row r="230" spans="2:4" ht="13.8">
      <c r="B230" s="61">
        <v>30905</v>
      </c>
      <c r="C230" s="62" t="s">
        <v>354</v>
      </c>
      <c r="D230" s="93">
        <v>2</v>
      </c>
    </row>
    <row r="231" spans="2:4" ht="13.8">
      <c r="B231" s="63">
        <v>30906</v>
      </c>
      <c r="C231" s="64" t="s">
        <v>355</v>
      </c>
      <c r="D231" s="91">
        <v>1</v>
      </c>
    </row>
    <row r="232" spans="2:4" ht="13.8">
      <c r="B232" s="61">
        <v>30907</v>
      </c>
      <c r="C232" s="62" t="s">
        <v>356</v>
      </c>
      <c r="D232" s="93">
        <v>78</v>
      </c>
    </row>
    <row r="233" spans="2:4" ht="13.8">
      <c r="B233" s="63">
        <v>30908</v>
      </c>
      <c r="C233" s="64" t="s">
        <v>357</v>
      </c>
      <c r="D233" s="91">
        <v>1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2</v>
      </c>
    </row>
    <row r="236" spans="2:4" ht="13.8">
      <c r="B236" s="61">
        <v>31002</v>
      </c>
      <c r="C236" s="62" t="s">
        <v>360</v>
      </c>
      <c r="D236" s="93">
        <v>1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5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27</v>
      </c>
    </row>
    <row r="251" spans="2:4" ht="13.8">
      <c r="B251" s="63">
        <v>31102</v>
      </c>
      <c r="C251" s="64" t="s">
        <v>375</v>
      </c>
      <c r="D251" s="91">
        <v>3</v>
      </c>
    </row>
    <row r="252" spans="2:4" ht="13.8">
      <c r="B252" s="61">
        <v>31103</v>
      </c>
      <c r="C252" s="62" t="s">
        <v>376</v>
      </c>
      <c r="D252" s="93">
        <v>0</v>
      </c>
    </row>
    <row r="253" spans="2:4" ht="13.8">
      <c r="B253" s="63">
        <v>31104</v>
      </c>
      <c r="C253" s="64" t="s">
        <v>377</v>
      </c>
      <c r="D253" s="91">
        <v>0</v>
      </c>
    </row>
    <row r="254" spans="2:4" ht="13.8">
      <c r="B254" s="61">
        <v>31105</v>
      </c>
      <c r="C254" s="62" t="s">
        <v>378</v>
      </c>
      <c r="D254" s="93">
        <v>1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28</v>
      </c>
    </row>
    <row r="262" spans="2:4" ht="13.8">
      <c r="B262" s="61">
        <v>31113</v>
      </c>
      <c r="C262" s="62" t="s">
        <v>386</v>
      </c>
      <c r="D262" s="93">
        <v>0</v>
      </c>
    </row>
    <row r="263" spans="2:4" ht="13.8">
      <c r="B263" s="63">
        <v>31114</v>
      </c>
      <c r="C263" s="64" t="s">
        <v>387</v>
      </c>
      <c r="D263" s="91">
        <v>2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1</v>
      </c>
    </row>
    <row r="266" spans="2:4" ht="13.8">
      <c r="B266" s="65">
        <v>40103</v>
      </c>
      <c r="C266" s="66" t="s">
        <v>390</v>
      </c>
      <c r="D266" s="89">
        <v>1</v>
      </c>
    </row>
    <row r="267" spans="2:4" ht="13.8">
      <c r="B267" s="61">
        <v>40104</v>
      </c>
      <c r="C267" s="62" t="s">
        <v>391</v>
      </c>
      <c r="D267" s="93">
        <v>0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2</v>
      </c>
    </row>
    <row r="270" spans="2:4" ht="13.8">
      <c r="B270" s="65">
        <v>40107</v>
      </c>
      <c r="C270" s="66" t="s">
        <v>394</v>
      </c>
      <c r="D270" s="89">
        <v>0</v>
      </c>
    </row>
    <row r="271" spans="2:4" ht="13.8">
      <c r="B271" s="61">
        <v>40108</v>
      </c>
      <c r="C271" s="62" t="s">
        <v>395</v>
      </c>
      <c r="D271" s="93">
        <v>1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9</v>
      </c>
    </row>
    <row r="275" spans="2:4" ht="13.8">
      <c r="B275" s="61">
        <v>50102</v>
      </c>
      <c r="C275" s="62" t="s">
        <v>399</v>
      </c>
      <c r="D275" s="93">
        <v>3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6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1</v>
      </c>
    </row>
    <row r="281" spans="2:4" ht="13.8">
      <c r="B281" s="61">
        <v>50108</v>
      </c>
      <c r="C281" s="62" t="s">
        <v>405</v>
      </c>
      <c r="D281" s="93">
        <v>1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9</v>
      </c>
    </row>
    <row r="285" spans="2:4" ht="13.8">
      <c r="B285" s="61">
        <v>50301</v>
      </c>
      <c r="C285" s="62" t="s">
        <v>409</v>
      </c>
      <c r="D285" s="93">
        <v>120</v>
      </c>
    </row>
    <row r="286" spans="2:4" ht="13.8">
      <c r="B286" s="71">
        <v>50302</v>
      </c>
      <c r="C286" s="72" t="s">
        <v>410</v>
      </c>
      <c r="D286" s="94">
        <v>5</v>
      </c>
    </row>
    <row r="287" spans="2:4" ht="13.8">
      <c r="B287" s="61">
        <v>50303</v>
      </c>
      <c r="C287" s="62" t="s">
        <v>411</v>
      </c>
      <c r="D287" s="93">
        <v>0</v>
      </c>
    </row>
    <row r="288" spans="2:4" ht="13.8">
      <c r="B288" s="71">
        <v>50304</v>
      </c>
      <c r="C288" s="72" t="s">
        <v>412</v>
      </c>
      <c r="D288" s="94">
        <v>0</v>
      </c>
    </row>
    <row r="289" spans="2:4" ht="13.8">
      <c r="B289" s="61">
        <v>50305</v>
      </c>
      <c r="C289" s="62" t="s">
        <v>413</v>
      </c>
      <c r="D289" s="93">
        <v>1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255</v>
      </c>
    </row>
    <row r="294" spans="2:4" ht="13.8">
      <c r="B294" s="75">
        <v>70101</v>
      </c>
      <c r="C294" s="76" t="s">
        <v>418</v>
      </c>
      <c r="D294" s="97">
        <v>874</v>
      </c>
    </row>
    <row r="295" spans="2:4" ht="13.8">
      <c r="B295" s="61">
        <v>70102</v>
      </c>
      <c r="C295" s="62" t="s">
        <v>419</v>
      </c>
      <c r="D295" s="93">
        <v>11</v>
      </c>
    </row>
    <row r="296" spans="2:4" ht="13.8">
      <c r="B296" s="75">
        <v>70103</v>
      </c>
      <c r="C296" s="76" t="s">
        <v>420</v>
      </c>
      <c r="D296" s="97">
        <v>118</v>
      </c>
    </row>
    <row r="297" spans="2:4" ht="13.8">
      <c r="B297" s="61">
        <v>70104</v>
      </c>
      <c r="C297" s="62" t="s">
        <v>421</v>
      </c>
      <c r="D297" s="93">
        <v>7444</v>
      </c>
    </row>
    <row r="298" spans="2:4" ht="13.8">
      <c r="B298" s="75">
        <v>70105</v>
      </c>
      <c r="C298" s="76" t="s">
        <v>422</v>
      </c>
      <c r="D298" s="97">
        <v>105</v>
      </c>
    </row>
    <row r="299" spans="2:4" ht="13.8">
      <c r="B299" s="61">
        <v>70106</v>
      </c>
      <c r="C299" s="62" t="s">
        <v>423</v>
      </c>
      <c r="D299" s="93">
        <v>33</v>
      </c>
    </row>
    <row r="300" spans="2:4" ht="13.8">
      <c r="B300" s="75">
        <v>70107</v>
      </c>
      <c r="C300" s="76" t="s">
        <v>424</v>
      </c>
      <c r="D300" s="97">
        <v>568</v>
      </c>
    </row>
    <row r="301" spans="2:4" ht="14.4" thickBot="1">
      <c r="B301" s="77">
        <v>70108</v>
      </c>
      <c r="C301" s="78" t="s">
        <v>425</v>
      </c>
      <c r="D301" s="92">
        <v>4150</v>
      </c>
    </row>
    <row r="302" spans="2:4" ht="19.95" customHeight="1" thickBot="1">
      <c r="B302" s="79" t="s">
        <v>426</v>
      </c>
      <c r="C302" s="80"/>
      <c r="D302" s="81">
        <f>SUM(D20:D301)</f>
        <v>14837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="90" zoomScaleNormal="100" zoomScaleSheetLayoutView="90" workbookViewId="0">
      <selection activeCell="F295" sqref="F295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431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93</v>
      </c>
    </row>
    <row r="23" spans="2:7" ht="13.8">
      <c r="B23" s="57">
        <v>10104</v>
      </c>
      <c r="C23" s="58" t="s">
        <v>147</v>
      </c>
      <c r="D23" s="99">
        <v>63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1</v>
      </c>
    </row>
    <row r="31" spans="2:7" ht="13.8">
      <c r="B31" s="57">
        <v>10112</v>
      </c>
      <c r="C31" s="58" t="s">
        <v>155</v>
      </c>
      <c r="D31" s="99">
        <v>4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10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1</v>
      </c>
    </row>
    <row r="41" spans="2:4" ht="13.8">
      <c r="B41" s="57">
        <v>10201</v>
      </c>
      <c r="C41" s="58" t="s">
        <v>165</v>
      </c>
      <c r="D41" s="99">
        <v>1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2</v>
      </c>
    </row>
    <row r="44" spans="2:4" ht="13.8">
      <c r="B44" s="67">
        <v>10204</v>
      </c>
      <c r="C44" s="68" t="s">
        <v>168</v>
      </c>
      <c r="D44" s="98">
        <v>75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2</v>
      </c>
    </row>
    <row r="47" spans="2:4" ht="13.8">
      <c r="B47" s="57">
        <v>10207</v>
      </c>
      <c r="C47" s="58" t="s">
        <v>171</v>
      </c>
      <c r="D47" s="99">
        <v>4</v>
      </c>
    </row>
    <row r="48" spans="2:4" ht="13.8">
      <c r="B48" s="67">
        <v>10208</v>
      </c>
      <c r="C48" s="68" t="s">
        <v>172</v>
      </c>
      <c r="D48" s="98">
        <v>8</v>
      </c>
    </row>
    <row r="49" spans="2:4" ht="13.8">
      <c r="B49" s="57">
        <v>10209</v>
      </c>
      <c r="C49" s="58" t="s">
        <v>173</v>
      </c>
      <c r="D49" s="99">
        <v>6</v>
      </c>
    </row>
    <row r="50" spans="2:4" ht="13.8">
      <c r="B50" s="67">
        <v>10210</v>
      </c>
      <c r="C50" s="68" t="s">
        <v>174</v>
      </c>
      <c r="D50" s="98">
        <v>3</v>
      </c>
    </row>
    <row r="51" spans="2:4" ht="13.8">
      <c r="B51" s="57">
        <v>10211</v>
      </c>
      <c r="C51" s="58" t="s">
        <v>175</v>
      </c>
      <c r="D51" s="99">
        <v>2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3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1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4</v>
      </c>
    </row>
    <row r="60" spans="2:4" ht="13.8">
      <c r="B60" s="67">
        <v>10220</v>
      </c>
      <c r="C60" s="68" t="s">
        <v>184</v>
      </c>
      <c r="D60" s="98">
        <v>55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3</v>
      </c>
    </row>
    <row r="64" spans="2:4" ht="13.8">
      <c r="B64" s="67">
        <v>10304</v>
      </c>
      <c r="C64" s="68" t="s">
        <v>188</v>
      </c>
      <c r="D64" s="98">
        <v>1</v>
      </c>
    </row>
    <row r="65" spans="2:4" ht="13.8">
      <c r="B65" s="57">
        <v>10305</v>
      </c>
      <c r="C65" s="58" t="s">
        <v>189</v>
      </c>
      <c r="D65" s="99">
        <v>26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25</v>
      </c>
    </row>
    <row r="68" spans="2:4" ht="13.8">
      <c r="B68" s="67">
        <v>10308</v>
      </c>
      <c r="C68" s="68" t="s">
        <v>192</v>
      </c>
      <c r="D68" s="98">
        <v>43</v>
      </c>
    </row>
    <row r="69" spans="2:4" ht="13.8">
      <c r="B69" s="57">
        <v>10309</v>
      </c>
      <c r="C69" s="58" t="s">
        <v>193</v>
      </c>
      <c r="D69" s="99">
        <v>4</v>
      </c>
    </row>
    <row r="70" spans="2:4" ht="13.8">
      <c r="B70" s="67">
        <v>10310</v>
      </c>
      <c r="C70" s="68" t="s">
        <v>194</v>
      </c>
      <c r="D70" s="98">
        <v>150</v>
      </c>
    </row>
    <row r="71" spans="2:4" ht="13.8">
      <c r="B71" s="57">
        <v>10311</v>
      </c>
      <c r="C71" s="58" t="s">
        <v>195</v>
      </c>
      <c r="D71" s="99">
        <v>9</v>
      </c>
    </row>
    <row r="72" spans="2:4" ht="13.8">
      <c r="B72" s="67">
        <v>10312</v>
      </c>
      <c r="C72" s="68" t="s">
        <v>196</v>
      </c>
      <c r="D72" s="98">
        <v>8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3</v>
      </c>
    </row>
    <row r="75" spans="2:4" ht="13.8">
      <c r="B75" s="57">
        <v>10315</v>
      </c>
      <c r="C75" s="58" t="s">
        <v>199</v>
      </c>
      <c r="D75" s="99">
        <v>7</v>
      </c>
    </row>
    <row r="76" spans="2:4" ht="13.8">
      <c r="B76" s="67">
        <v>10316</v>
      </c>
      <c r="C76" s="68" t="s">
        <v>200</v>
      </c>
      <c r="D76" s="98">
        <v>25</v>
      </c>
    </row>
    <row r="77" spans="2:4" ht="13.8">
      <c r="B77" s="57">
        <v>10317</v>
      </c>
      <c r="C77" s="58" t="s">
        <v>201</v>
      </c>
      <c r="D77" s="99">
        <v>24</v>
      </c>
    </row>
    <row r="78" spans="2:4" ht="13.8">
      <c r="B78" s="67">
        <v>10318</v>
      </c>
      <c r="C78" s="68" t="s">
        <v>202</v>
      </c>
      <c r="D78" s="98">
        <v>3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5</v>
      </c>
    </row>
    <row r="83" spans="2:4" ht="13.8">
      <c r="B83" s="59">
        <v>20104</v>
      </c>
      <c r="C83" s="60" t="s">
        <v>207</v>
      </c>
      <c r="D83" s="101">
        <v>2</v>
      </c>
    </row>
    <row r="84" spans="2:4" ht="13.8">
      <c r="B84" s="69">
        <v>20105</v>
      </c>
      <c r="C84" s="70" t="s">
        <v>208</v>
      </c>
      <c r="D84" s="100">
        <v>1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7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6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18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3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19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7</v>
      </c>
    </row>
    <row r="109" spans="2:4" ht="13.8">
      <c r="B109" s="59">
        <v>20302</v>
      </c>
      <c r="C109" s="60" t="s">
        <v>233</v>
      </c>
      <c r="D109" s="101">
        <v>1</v>
      </c>
    </row>
    <row r="110" spans="2:4" ht="13.8">
      <c r="B110" s="69">
        <v>20303</v>
      </c>
      <c r="C110" s="70" t="s">
        <v>234</v>
      </c>
      <c r="D110" s="100">
        <v>4</v>
      </c>
    </row>
    <row r="111" spans="2:4" ht="13.8">
      <c r="B111" s="59">
        <v>20304</v>
      </c>
      <c r="C111" s="60" t="s">
        <v>235</v>
      </c>
      <c r="D111" s="101">
        <v>3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29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82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3</v>
      </c>
    </row>
    <row r="122" spans="2:4" ht="13.8">
      <c r="B122" s="69">
        <v>20404</v>
      </c>
      <c r="C122" s="70" t="s">
        <v>246</v>
      </c>
      <c r="D122" s="100">
        <v>1</v>
      </c>
    </row>
    <row r="123" spans="2:4" ht="13.8">
      <c r="B123" s="63">
        <v>30101</v>
      </c>
      <c r="C123" s="64" t="s">
        <v>247</v>
      </c>
      <c r="D123" s="102">
        <v>6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24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7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5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8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6</v>
      </c>
    </row>
    <row r="139" spans="2:4" ht="13.8">
      <c r="B139" s="63">
        <v>30307</v>
      </c>
      <c r="C139" s="64" t="s">
        <v>263</v>
      </c>
      <c r="D139" s="102">
        <v>20</v>
      </c>
    </row>
    <row r="140" spans="2:4" ht="13.8">
      <c r="B140" s="61">
        <v>30308</v>
      </c>
      <c r="C140" s="62" t="s">
        <v>264</v>
      </c>
      <c r="D140" s="101">
        <v>6</v>
      </c>
    </row>
    <row r="141" spans="2:4" ht="13.8">
      <c r="B141" s="63">
        <v>30309</v>
      </c>
      <c r="C141" s="64" t="s">
        <v>265</v>
      </c>
      <c r="D141" s="102">
        <v>46</v>
      </c>
    </row>
    <row r="142" spans="2:4" ht="13.8">
      <c r="B142" s="61">
        <v>30310</v>
      </c>
      <c r="C142" s="62" t="s">
        <v>266</v>
      </c>
      <c r="D142" s="101">
        <v>13</v>
      </c>
    </row>
    <row r="143" spans="2:4" ht="13.8">
      <c r="B143" s="63">
        <v>30401</v>
      </c>
      <c r="C143" s="64" t="s">
        <v>267</v>
      </c>
      <c r="D143" s="102">
        <v>51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2</v>
      </c>
    </row>
    <row r="146" spans="2:4" ht="13.8">
      <c r="B146" s="61">
        <v>30404</v>
      </c>
      <c r="C146" s="62" t="s">
        <v>270</v>
      </c>
      <c r="D146" s="101">
        <v>2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3</v>
      </c>
    </row>
    <row r="149" spans="2:4" ht="13.8">
      <c r="B149" s="63">
        <v>30407</v>
      </c>
      <c r="C149" s="64" t="s">
        <v>273</v>
      </c>
      <c r="D149" s="102">
        <v>8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1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2</v>
      </c>
    </row>
    <row r="159" spans="2:4" ht="13.8">
      <c r="B159" s="63">
        <v>30417</v>
      </c>
      <c r="C159" s="64" t="s">
        <v>283</v>
      </c>
      <c r="D159" s="102">
        <v>1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3</v>
      </c>
    </row>
    <row r="162" spans="2:4" ht="13.8">
      <c r="B162" s="61">
        <v>30420</v>
      </c>
      <c r="C162" s="62" t="s">
        <v>286</v>
      </c>
      <c r="D162" s="101">
        <v>1</v>
      </c>
    </row>
    <row r="163" spans="2:4" ht="13.8">
      <c r="B163" s="63">
        <v>30421</v>
      </c>
      <c r="C163" s="64" t="s">
        <v>287</v>
      </c>
      <c r="D163" s="102">
        <v>0</v>
      </c>
    </row>
    <row r="164" spans="2:4" ht="13.8">
      <c r="B164" s="61">
        <v>30422</v>
      </c>
      <c r="C164" s="62" t="s">
        <v>288</v>
      </c>
      <c r="D164" s="101">
        <v>1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2</v>
      </c>
    </row>
    <row r="170" spans="2:4" ht="13.8">
      <c r="B170" s="61">
        <v>30428</v>
      </c>
      <c r="C170" s="62" t="s">
        <v>294</v>
      </c>
      <c r="D170" s="101">
        <v>1</v>
      </c>
    </row>
    <row r="171" spans="2:4" ht="13.8">
      <c r="B171" s="63">
        <v>30429</v>
      </c>
      <c r="C171" s="64" t="s">
        <v>295</v>
      </c>
      <c r="D171" s="102">
        <v>28</v>
      </c>
    </row>
    <row r="172" spans="2:4" ht="13.8">
      <c r="B172" s="61">
        <v>30430</v>
      </c>
      <c r="C172" s="62" t="s">
        <v>296</v>
      </c>
      <c r="D172" s="101">
        <v>39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1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15</v>
      </c>
    </row>
    <row r="191" spans="2:4" ht="13.8">
      <c r="B191" s="63">
        <v>30503</v>
      </c>
      <c r="C191" s="64" t="s">
        <v>315</v>
      </c>
      <c r="D191" s="102">
        <v>35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1</v>
      </c>
    </row>
    <row r="194" spans="2:4" ht="13.8">
      <c r="B194" s="61">
        <v>30601</v>
      </c>
      <c r="C194" s="62" t="s">
        <v>318</v>
      </c>
      <c r="D194" s="101">
        <v>2</v>
      </c>
    </row>
    <row r="195" spans="2:4" ht="13.8">
      <c r="B195" s="63">
        <v>30602</v>
      </c>
      <c r="C195" s="64" t="s">
        <v>319</v>
      </c>
      <c r="D195" s="102">
        <v>6</v>
      </c>
    </row>
    <row r="196" spans="2:4" ht="13.8">
      <c r="B196" s="61">
        <v>30603</v>
      </c>
      <c r="C196" s="62" t="s">
        <v>320</v>
      </c>
      <c r="D196" s="101">
        <v>2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175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2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2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1</v>
      </c>
    </row>
    <row r="212" spans="2:4" ht="13.8">
      <c r="B212" s="61">
        <v>30708</v>
      </c>
      <c r="C212" s="62" t="s">
        <v>336</v>
      </c>
      <c r="D212" s="101">
        <v>2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1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2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27</v>
      </c>
    </row>
    <row r="229" spans="2:4" ht="13.8">
      <c r="B229" s="63">
        <v>30904</v>
      </c>
      <c r="C229" s="64" t="s">
        <v>353</v>
      </c>
      <c r="D229" s="102">
        <v>24</v>
      </c>
    </row>
    <row r="230" spans="2:4" ht="13.8">
      <c r="B230" s="61">
        <v>30905</v>
      </c>
      <c r="C230" s="62" t="s">
        <v>354</v>
      </c>
      <c r="D230" s="101">
        <v>6</v>
      </c>
    </row>
    <row r="231" spans="2:4" ht="13.8">
      <c r="B231" s="63">
        <v>30906</v>
      </c>
      <c r="C231" s="64" t="s">
        <v>355</v>
      </c>
      <c r="D231" s="102">
        <v>3</v>
      </c>
    </row>
    <row r="232" spans="2:4" ht="13.8">
      <c r="B232" s="61">
        <v>30907</v>
      </c>
      <c r="C232" s="62" t="s">
        <v>356</v>
      </c>
      <c r="D232" s="101">
        <v>96</v>
      </c>
    </row>
    <row r="233" spans="2:4" ht="13.8">
      <c r="B233" s="63">
        <v>30908</v>
      </c>
      <c r="C233" s="64" t="s">
        <v>357</v>
      </c>
      <c r="D233" s="102">
        <v>3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6</v>
      </c>
    </row>
    <row r="236" spans="2:4" ht="13.8">
      <c r="B236" s="61">
        <v>31002</v>
      </c>
      <c r="C236" s="62" t="s">
        <v>360</v>
      </c>
      <c r="D236" s="101">
        <v>1</v>
      </c>
    </row>
    <row r="237" spans="2:4" ht="13.8">
      <c r="B237" s="63">
        <v>31003</v>
      </c>
      <c r="C237" s="64" t="s">
        <v>361</v>
      </c>
      <c r="D237" s="102">
        <v>2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1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4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14</v>
      </c>
    </row>
    <row r="251" spans="2:4" ht="13.8">
      <c r="B251" s="63">
        <v>31102</v>
      </c>
      <c r="C251" s="64" t="s">
        <v>375</v>
      </c>
      <c r="D251" s="102">
        <v>5</v>
      </c>
    </row>
    <row r="252" spans="2:4" ht="13.8">
      <c r="B252" s="61">
        <v>31103</v>
      </c>
      <c r="C252" s="62" t="s">
        <v>376</v>
      </c>
      <c r="D252" s="101">
        <v>1</v>
      </c>
    </row>
    <row r="253" spans="2:4" ht="13.8">
      <c r="B253" s="63">
        <v>31104</v>
      </c>
      <c r="C253" s="64" t="s">
        <v>377</v>
      </c>
      <c r="D253" s="102">
        <v>6</v>
      </c>
    </row>
    <row r="254" spans="2:4" ht="13.8">
      <c r="B254" s="61">
        <v>31105</v>
      </c>
      <c r="C254" s="62" t="s">
        <v>378</v>
      </c>
      <c r="D254" s="101">
        <v>2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1</v>
      </c>
    </row>
    <row r="259" spans="2:4" ht="13.8">
      <c r="B259" s="63">
        <v>31110</v>
      </c>
      <c r="C259" s="64" t="s">
        <v>383</v>
      </c>
      <c r="D259" s="102">
        <v>1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28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2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1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5</v>
      </c>
    </row>
    <row r="270" spans="2:4" ht="13.8">
      <c r="B270" s="65">
        <v>40107</v>
      </c>
      <c r="C270" s="66" t="s">
        <v>394</v>
      </c>
      <c r="D270" s="103">
        <v>3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1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10</v>
      </c>
    </row>
    <row r="275" spans="2:4" ht="13.8">
      <c r="B275" s="61">
        <v>50102</v>
      </c>
      <c r="C275" s="62" t="s">
        <v>399</v>
      </c>
      <c r="D275" s="101">
        <v>9</v>
      </c>
    </row>
    <row r="276" spans="2:4" ht="13.8">
      <c r="B276" s="71">
        <v>50103</v>
      </c>
      <c r="C276" s="72" t="s">
        <v>400</v>
      </c>
      <c r="D276" s="104">
        <v>1</v>
      </c>
    </row>
    <row r="277" spans="2:4" ht="13.8">
      <c r="B277" s="61">
        <v>50104</v>
      </c>
      <c r="C277" s="62" t="s">
        <v>401</v>
      </c>
      <c r="D277" s="101">
        <v>1</v>
      </c>
    </row>
    <row r="278" spans="2:4" ht="13.8">
      <c r="B278" s="71">
        <v>50105</v>
      </c>
      <c r="C278" s="72" t="s">
        <v>402</v>
      </c>
      <c r="D278" s="104">
        <v>7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2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29</v>
      </c>
    </row>
    <row r="285" spans="2:4" ht="13.8">
      <c r="B285" s="61">
        <v>50301</v>
      </c>
      <c r="C285" s="62" t="s">
        <v>409</v>
      </c>
      <c r="D285" s="101">
        <v>154</v>
      </c>
    </row>
    <row r="286" spans="2:4" ht="13.8">
      <c r="B286" s="71">
        <v>50302</v>
      </c>
      <c r="C286" s="72" t="s">
        <v>410</v>
      </c>
      <c r="D286" s="104">
        <v>5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1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1</v>
      </c>
    </row>
    <row r="293" spans="2:4" ht="13.8">
      <c r="B293" s="73">
        <v>60103</v>
      </c>
      <c r="C293" s="74" t="s">
        <v>417</v>
      </c>
      <c r="D293" s="94">
        <v>298</v>
      </c>
    </row>
    <row r="294" spans="2:4" ht="13.8">
      <c r="B294" s="75">
        <v>70101</v>
      </c>
      <c r="C294" s="76" t="s">
        <v>418</v>
      </c>
      <c r="D294" s="105">
        <v>528</v>
      </c>
    </row>
    <row r="295" spans="2:4" ht="13.8">
      <c r="B295" s="61">
        <v>70102</v>
      </c>
      <c r="C295" s="62" t="s">
        <v>419</v>
      </c>
      <c r="D295" s="101">
        <v>21</v>
      </c>
    </row>
    <row r="296" spans="2:4" ht="13.8">
      <c r="B296" s="75">
        <v>70103</v>
      </c>
      <c r="C296" s="76" t="s">
        <v>420</v>
      </c>
      <c r="D296" s="105">
        <v>421</v>
      </c>
    </row>
    <row r="297" spans="2:4" ht="13.8">
      <c r="B297" s="61">
        <v>70104</v>
      </c>
      <c r="C297" s="62" t="s">
        <v>421</v>
      </c>
      <c r="D297" s="101">
        <v>5506</v>
      </c>
    </row>
    <row r="298" spans="2:4" ht="13.8">
      <c r="B298" s="75">
        <v>70105</v>
      </c>
      <c r="C298" s="76" t="s">
        <v>422</v>
      </c>
      <c r="D298" s="105">
        <v>106</v>
      </c>
    </row>
    <row r="299" spans="2:4" ht="13.8">
      <c r="B299" s="61">
        <v>70106</v>
      </c>
      <c r="C299" s="62" t="s">
        <v>423</v>
      </c>
      <c r="D299" s="101">
        <v>78</v>
      </c>
    </row>
    <row r="300" spans="2:4" ht="13.8">
      <c r="B300" s="75">
        <v>70107</v>
      </c>
      <c r="C300" s="76" t="s">
        <v>424</v>
      </c>
      <c r="D300" s="105">
        <v>81</v>
      </c>
    </row>
    <row r="301" spans="2:4" ht="14.4" thickBot="1">
      <c r="B301" s="77">
        <v>70108</v>
      </c>
      <c r="C301" s="78" t="s">
        <v>425</v>
      </c>
      <c r="D301" s="106">
        <v>1304</v>
      </c>
    </row>
    <row r="302" spans="2:4" ht="19.95" customHeight="1" thickBot="1">
      <c r="B302" s="79" t="s">
        <v>426</v>
      </c>
      <c r="C302" s="80"/>
      <c r="D302" s="81">
        <f>SUM(D20:D301)</f>
        <v>10201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A7" zoomScale="90" zoomScaleNormal="100" zoomScaleSheetLayoutView="9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432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93</v>
      </c>
    </row>
    <row r="23" spans="2:7" ht="13.8">
      <c r="B23" s="57">
        <v>10104</v>
      </c>
      <c r="C23" s="58" t="s">
        <v>147</v>
      </c>
      <c r="D23" s="99">
        <v>38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1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21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3</v>
      </c>
    </row>
    <row r="44" spans="2:4" ht="13.8">
      <c r="B44" s="67">
        <v>10204</v>
      </c>
      <c r="C44" s="68" t="s">
        <v>168</v>
      </c>
      <c r="D44" s="98">
        <v>94</v>
      </c>
    </row>
    <row r="45" spans="2:4" ht="13.8">
      <c r="B45" s="57">
        <v>10205</v>
      </c>
      <c r="C45" s="58" t="s">
        <v>169</v>
      </c>
      <c r="D45" s="99">
        <v>2</v>
      </c>
    </row>
    <row r="46" spans="2:4" ht="13.8">
      <c r="B46" s="67">
        <v>10206</v>
      </c>
      <c r="C46" s="68" t="s">
        <v>170</v>
      </c>
      <c r="D46" s="98">
        <v>2</v>
      </c>
    </row>
    <row r="47" spans="2:4" ht="13.8">
      <c r="B47" s="57">
        <v>10207</v>
      </c>
      <c r="C47" s="58" t="s">
        <v>171</v>
      </c>
      <c r="D47" s="99">
        <v>4</v>
      </c>
    </row>
    <row r="48" spans="2:4" ht="13.8">
      <c r="B48" s="67">
        <v>10208</v>
      </c>
      <c r="C48" s="68" t="s">
        <v>172</v>
      </c>
      <c r="D48" s="98">
        <v>5</v>
      </c>
    </row>
    <row r="49" spans="2:4" ht="13.8">
      <c r="B49" s="57">
        <v>10209</v>
      </c>
      <c r="C49" s="58" t="s">
        <v>173</v>
      </c>
      <c r="D49" s="99">
        <v>4</v>
      </c>
    </row>
    <row r="50" spans="2:4" ht="13.8">
      <c r="B50" s="67">
        <v>10210</v>
      </c>
      <c r="C50" s="68" t="s">
        <v>174</v>
      </c>
      <c r="D50" s="98">
        <v>1</v>
      </c>
    </row>
    <row r="51" spans="2:4" ht="13.8">
      <c r="B51" s="57">
        <v>10211</v>
      </c>
      <c r="C51" s="58" t="s">
        <v>175</v>
      </c>
      <c r="D51" s="99">
        <v>1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4</v>
      </c>
    </row>
    <row r="60" spans="2:4" ht="13.8">
      <c r="B60" s="67">
        <v>10220</v>
      </c>
      <c r="C60" s="68" t="s">
        <v>184</v>
      </c>
      <c r="D60" s="98">
        <v>23</v>
      </c>
    </row>
    <row r="61" spans="2:4" ht="13.8">
      <c r="B61" s="57">
        <v>10301</v>
      </c>
      <c r="C61" s="58" t="s">
        <v>185</v>
      </c>
      <c r="D61" s="99">
        <v>1</v>
      </c>
    </row>
    <row r="62" spans="2:4" ht="13.8">
      <c r="B62" s="67">
        <v>10302</v>
      </c>
      <c r="C62" s="68" t="s">
        <v>186</v>
      </c>
      <c r="D62" s="98">
        <v>1</v>
      </c>
    </row>
    <row r="63" spans="2:4" ht="13.8">
      <c r="B63" s="57">
        <v>10303</v>
      </c>
      <c r="C63" s="58" t="s">
        <v>187</v>
      </c>
      <c r="D63" s="99">
        <v>3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27</v>
      </c>
    </row>
    <row r="66" spans="2:4" ht="13.8">
      <c r="B66" s="67">
        <v>10306</v>
      </c>
      <c r="C66" s="68" t="s">
        <v>190</v>
      </c>
      <c r="D66" s="98">
        <v>2</v>
      </c>
    </row>
    <row r="67" spans="2:4" ht="13.8">
      <c r="B67" s="57">
        <v>10307</v>
      </c>
      <c r="C67" s="58" t="s">
        <v>191</v>
      </c>
      <c r="D67" s="99">
        <v>24</v>
      </c>
    </row>
    <row r="68" spans="2:4" ht="13.8">
      <c r="B68" s="67">
        <v>10308</v>
      </c>
      <c r="C68" s="68" t="s">
        <v>192</v>
      </c>
      <c r="D68" s="98">
        <v>57</v>
      </c>
    </row>
    <row r="69" spans="2:4" ht="13.8">
      <c r="B69" s="57">
        <v>10309</v>
      </c>
      <c r="C69" s="58" t="s">
        <v>193</v>
      </c>
      <c r="D69" s="99">
        <v>8</v>
      </c>
    </row>
    <row r="70" spans="2:4" ht="13.8">
      <c r="B70" s="67">
        <v>10310</v>
      </c>
      <c r="C70" s="68" t="s">
        <v>194</v>
      </c>
      <c r="D70" s="98">
        <v>166</v>
      </c>
    </row>
    <row r="71" spans="2:4" ht="13.8">
      <c r="B71" s="57">
        <v>10311</v>
      </c>
      <c r="C71" s="58" t="s">
        <v>195</v>
      </c>
      <c r="D71" s="99">
        <v>7</v>
      </c>
    </row>
    <row r="72" spans="2:4" ht="13.8">
      <c r="B72" s="67">
        <v>10312</v>
      </c>
      <c r="C72" s="68" t="s">
        <v>196</v>
      </c>
      <c r="D72" s="98">
        <v>18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9</v>
      </c>
    </row>
    <row r="76" spans="2:4" ht="13.8">
      <c r="B76" s="67">
        <v>10316</v>
      </c>
      <c r="C76" s="68" t="s">
        <v>200</v>
      </c>
      <c r="D76" s="98">
        <v>4</v>
      </c>
    </row>
    <row r="77" spans="2:4" ht="13.8">
      <c r="B77" s="57">
        <v>10317</v>
      </c>
      <c r="C77" s="58" t="s">
        <v>201</v>
      </c>
      <c r="D77" s="99">
        <v>18</v>
      </c>
    </row>
    <row r="78" spans="2:4" ht="13.8">
      <c r="B78" s="67">
        <v>10318</v>
      </c>
      <c r="C78" s="68" t="s">
        <v>202</v>
      </c>
      <c r="D78" s="98">
        <v>6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5</v>
      </c>
    </row>
    <row r="83" spans="2:4" ht="13.8">
      <c r="B83" s="59">
        <v>20104</v>
      </c>
      <c r="C83" s="60" t="s">
        <v>207</v>
      </c>
      <c r="D83" s="101">
        <v>0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22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1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18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12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10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5</v>
      </c>
    </row>
    <row r="111" spans="2:4" ht="13.8">
      <c r="B111" s="59">
        <v>20304</v>
      </c>
      <c r="C111" s="60" t="s">
        <v>235</v>
      </c>
      <c r="D111" s="101">
        <v>2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6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1</v>
      </c>
    </row>
    <row r="118" spans="2:4" ht="13.8">
      <c r="B118" s="69">
        <v>20311</v>
      </c>
      <c r="C118" s="70" t="s">
        <v>242</v>
      </c>
      <c r="D118" s="100">
        <v>108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8</v>
      </c>
    </row>
    <row r="122" spans="2:4" ht="13.8">
      <c r="B122" s="69">
        <v>20404</v>
      </c>
      <c r="C122" s="70" t="s">
        <v>246</v>
      </c>
      <c r="D122" s="100">
        <v>1</v>
      </c>
    </row>
    <row r="123" spans="2:4" ht="13.8">
      <c r="B123" s="63">
        <v>30101</v>
      </c>
      <c r="C123" s="64" t="s">
        <v>247</v>
      </c>
      <c r="D123" s="102">
        <v>5</v>
      </c>
    </row>
    <row r="124" spans="2:4" ht="13.8">
      <c r="B124" s="61">
        <v>30102</v>
      </c>
      <c r="C124" s="62" t="s">
        <v>248</v>
      </c>
      <c r="D124" s="101">
        <v>2</v>
      </c>
    </row>
    <row r="125" spans="2:4" ht="13.8">
      <c r="B125" s="63">
        <v>30103</v>
      </c>
      <c r="C125" s="64" t="s">
        <v>249</v>
      </c>
      <c r="D125" s="102">
        <v>14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13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0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3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0</v>
      </c>
    </row>
    <row r="139" spans="2:4" ht="13.8">
      <c r="B139" s="63">
        <v>30307</v>
      </c>
      <c r="C139" s="64" t="s">
        <v>263</v>
      </c>
      <c r="D139" s="102">
        <v>9</v>
      </c>
    </row>
    <row r="140" spans="2:4" ht="13.8">
      <c r="B140" s="61">
        <v>30308</v>
      </c>
      <c r="C140" s="62" t="s">
        <v>264</v>
      </c>
      <c r="D140" s="101">
        <v>1</v>
      </c>
    </row>
    <row r="141" spans="2:4" ht="13.8">
      <c r="B141" s="63">
        <v>30309</v>
      </c>
      <c r="C141" s="64" t="s">
        <v>265</v>
      </c>
      <c r="D141" s="102">
        <v>33</v>
      </c>
    </row>
    <row r="142" spans="2:4" ht="13.8">
      <c r="B142" s="61">
        <v>30310</v>
      </c>
      <c r="C142" s="62" t="s">
        <v>266</v>
      </c>
      <c r="D142" s="101">
        <v>0</v>
      </c>
    </row>
    <row r="143" spans="2:4" ht="13.8">
      <c r="B143" s="63">
        <v>30401</v>
      </c>
      <c r="C143" s="64" t="s">
        <v>267</v>
      </c>
      <c r="D143" s="102">
        <v>108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3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2</v>
      </c>
    </row>
    <row r="156" spans="2:4" ht="13.8">
      <c r="B156" s="61">
        <v>30414</v>
      </c>
      <c r="C156" s="62" t="s">
        <v>280</v>
      </c>
      <c r="D156" s="101">
        <v>5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2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10</v>
      </c>
    </row>
    <row r="162" spans="2:4" ht="13.8">
      <c r="B162" s="61">
        <v>30420</v>
      </c>
      <c r="C162" s="62" t="s">
        <v>286</v>
      </c>
      <c r="D162" s="101">
        <v>5</v>
      </c>
    </row>
    <row r="163" spans="2:4" ht="13.8">
      <c r="B163" s="63">
        <v>30421</v>
      </c>
      <c r="C163" s="64" t="s">
        <v>287</v>
      </c>
      <c r="D163" s="102">
        <v>6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1</v>
      </c>
    </row>
    <row r="170" spans="2:4" ht="13.8">
      <c r="B170" s="61">
        <v>30428</v>
      </c>
      <c r="C170" s="62" t="s">
        <v>294</v>
      </c>
      <c r="D170" s="101">
        <v>2</v>
      </c>
    </row>
    <row r="171" spans="2:4" ht="13.8">
      <c r="B171" s="63">
        <v>30429</v>
      </c>
      <c r="C171" s="64" t="s">
        <v>295</v>
      </c>
      <c r="D171" s="102">
        <v>47</v>
      </c>
    </row>
    <row r="172" spans="2:4" ht="13.8">
      <c r="B172" s="61">
        <v>30430</v>
      </c>
      <c r="C172" s="62" t="s">
        <v>296</v>
      </c>
      <c r="D172" s="101">
        <v>32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1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1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15</v>
      </c>
    </row>
    <row r="191" spans="2:4" ht="13.8">
      <c r="B191" s="63">
        <v>30503</v>
      </c>
      <c r="C191" s="64" t="s">
        <v>315</v>
      </c>
      <c r="D191" s="102">
        <v>28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0</v>
      </c>
    </row>
    <row r="194" spans="2:4" ht="13.8">
      <c r="B194" s="61">
        <v>30601</v>
      </c>
      <c r="C194" s="62" t="s">
        <v>318</v>
      </c>
      <c r="D194" s="101">
        <v>2</v>
      </c>
    </row>
    <row r="195" spans="2:4" ht="13.8">
      <c r="B195" s="63">
        <v>30602</v>
      </c>
      <c r="C195" s="64" t="s">
        <v>319</v>
      </c>
      <c r="D195" s="102">
        <v>6</v>
      </c>
    </row>
    <row r="196" spans="2:4" ht="13.8">
      <c r="B196" s="61">
        <v>30603</v>
      </c>
      <c r="C196" s="62" t="s">
        <v>320</v>
      </c>
      <c r="D196" s="101">
        <v>2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56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2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19</v>
      </c>
    </row>
    <row r="229" spans="2:4" ht="13.8">
      <c r="B229" s="63">
        <v>30904</v>
      </c>
      <c r="C229" s="64" t="s">
        <v>353</v>
      </c>
      <c r="D229" s="102">
        <v>25</v>
      </c>
    </row>
    <row r="230" spans="2:4" ht="13.8">
      <c r="B230" s="61">
        <v>30905</v>
      </c>
      <c r="C230" s="62" t="s">
        <v>354</v>
      </c>
      <c r="D230" s="101">
        <v>3</v>
      </c>
    </row>
    <row r="231" spans="2:4" ht="13.8">
      <c r="B231" s="63">
        <v>30906</v>
      </c>
      <c r="C231" s="64" t="s">
        <v>355</v>
      </c>
      <c r="D231" s="102">
        <v>12</v>
      </c>
    </row>
    <row r="232" spans="2:4" ht="13.8">
      <c r="B232" s="61">
        <v>30907</v>
      </c>
      <c r="C232" s="62" t="s">
        <v>356</v>
      </c>
      <c r="D232" s="101">
        <v>68</v>
      </c>
    </row>
    <row r="233" spans="2:4" ht="13.8">
      <c r="B233" s="63">
        <v>30908</v>
      </c>
      <c r="C233" s="64" t="s">
        <v>357</v>
      </c>
      <c r="D233" s="102">
        <v>3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3</v>
      </c>
    </row>
    <row r="236" spans="2:4" ht="13.8">
      <c r="B236" s="61">
        <v>31002</v>
      </c>
      <c r="C236" s="62" t="s">
        <v>360</v>
      </c>
      <c r="D236" s="101">
        <v>2</v>
      </c>
    </row>
    <row r="237" spans="2:4" ht="13.8">
      <c r="B237" s="63">
        <v>31003</v>
      </c>
      <c r="C237" s="64" t="s">
        <v>361</v>
      </c>
      <c r="D237" s="102">
        <v>1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9</v>
      </c>
    </row>
    <row r="251" spans="2:4" ht="13.8">
      <c r="B251" s="63">
        <v>31102</v>
      </c>
      <c r="C251" s="64" t="s">
        <v>375</v>
      </c>
      <c r="D251" s="102">
        <v>4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1</v>
      </c>
    </row>
    <row r="254" spans="2:4" ht="13.8">
      <c r="B254" s="61">
        <v>31105</v>
      </c>
      <c r="C254" s="62" t="s">
        <v>378</v>
      </c>
      <c r="D254" s="101">
        <v>0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3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18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4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5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9</v>
      </c>
    </row>
    <row r="270" spans="2:4" ht="13.8">
      <c r="B270" s="65">
        <v>40107</v>
      </c>
      <c r="C270" s="66" t="s">
        <v>394</v>
      </c>
      <c r="D270" s="103">
        <v>2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1</v>
      </c>
    </row>
    <row r="275" spans="2:4" ht="13.8">
      <c r="B275" s="61">
        <v>50102</v>
      </c>
      <c r="C275" s="62" t="s">
        <v>399</v>
      </c>
      <c r="D275" s="101">
        <v>8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0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2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1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26</v>
      </c>
    </row>
    <row r="285" spans="2:4" ht="13.8">
      <c r="B285" s="61">
        <v>50301</v>
      </c>
      <c r="C285" s="62" t="s">
        <v>409</v>
      </c>
      <c r="D285" s="101">
        <v>42</v>
      </c>
    </row>
    <row r="286" spans="2:4" ht="13.8">
      <c r="B286" s="71">
        <v>50302</v>
      </c>
      <c r="C286" s="72" t="s">
        <v>410</v>
      </c>
      <c r="D286" s="104">
        <v>2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1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105">
        <v>1978</v>
      </c>
    </row>
    <row r="295" spans="2:4" ht="13.8">
      <c r="B295" s="61">
        <v>70102</v>
      </c>
      <c r="C295" s="62" t="s">
        <v>419</v>
      </c>
      <c r="D295" s="101">
        <v>21</v>
      </c>
    </row>
    <row r="296" spans="2:4" ht="13.8">
      <c r="B296" s="75">
        <v>70103</v>
      </c>
      <c r="C296" s="76" t="s">
        <v>420</v>
      </c>
      <c r="D296" s="105">
        <v>562</v>
      </c>
    </row>
    <row r="297" spans="2:4" ht="13.8">
      <c r="B297" s="61">
        <v>70104</v>
      </c>
      <c r="C297" s="62" t="s">
        <v>421</v>
      </c>
      <c r="D297" s="101">
        <v>3542</v>
      </c>
    </row>
    <row r="298" spans="2:4" ht="13.8">
      <c r="B298" s="75">
        <v>70105</v>
      </c>
      <c r="C298" s="76" t="s">
        <v>422</v>
      </c>
      <c r="D298" s="105">
        <v>124</v>
      </c>
    </row>
    <row r="299" spans="2:4" ht="13.8">
      <c r="B299" s="61">
        <v>70106</v>
      </c>
      <c r="C299" s="62" t="s">
        <v>423</v>
      </c>
      <c r="D299" s="101">
        <v>12</v>
      </c>
    </row>
    <row r="300" spans="2:4" ht="13.8">
      <c r="B300" s="75">
        <v>70107</v>
      </c>
      <c r="C300" s="76" t="s">
        <v>424</v>
      </c>
      <c r="D300" s="105">
        <v>1166</v>
      </c>
    </row>
    <row r="301" spans="2:4" ht="14.4" thickBot="1">
      <c r="B301" s="77">
        <v>70108</v>
      </c>
      <c r="C301" s="78" t="s">
        <v>425</v>
      </c>
      <c r="D301" s="106">
        <v>2097</v>
      </c>
    </row>
    <row r="302" spans="2:4" ht="19.95" customHeight="1" thickBot="1">
      <c r="B302" s="79" t="s">
        <v>426</v>
      </c>
      <c r="C302" s="80"/>
      <c r="D302" s="81">
        <f>SUM(D20:D301)</f>
        <v>11039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view="pageBreakPreview" zoomScale="86" zoomScaleNormal="100" zoomScaleSheetLayoutView="86" workbookViewId="0">
      <selection activeCell="H296" sqref="H296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433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27</v>
      </c>
    </row>
    <row r="23" spans="2:7" ht="13.8">
      <c r="B23" s="57">
        <v>10104</v>
      </c>
      <c r="C23" s="58" t="s">
        <v>147</v>
      </c>
      <c r="D23" s="99">
        <v>17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1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1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6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1</v>
      </c>
    </row>
    <row r="44" spans="2:4" ht="13.8">
      <c r="B44" s="67">
        <v>10204</v>
      </c>
      <c r="C44" s="68" t="s">
        <v>168</v>
      </c>
      <c r="D44" s="98">
        <v>9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2</v>
      </c>
    </row>
    <row r="47" spans="2:4" ht="13.8">
      <c r="B47" s="57">
        <v>10207</v>
      </c>
      <c r="C47" s="58" t="s">
        <v>171</v>
      </c>
      <c r="D47" s="99">
        <v>1</v>
      </c>
    </row>
    <row r="48" spans="2:4" ht="13.8">
      <c r="B48" s="67">
        <v>10208</v>
      </c>
      <c r="C48" s="68" t="s">
        <v>172</v>
      </c>
      <c r="D48" s="98">
        <v>3</v>
      </c>
    </row>
    <row r="49" spans="2:4" ht="13.8">
      <c r="B49" s="57">
        <v>10209</v>
      </c>
      <c r="C49" s="58" t="s">
        <v>173</v>
      </c>
      <c r="D49" s="99">
        <v>2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1</v>
      </c>
    </row>
    <row r="60" spans="2:4" ht="13.8">
      <c r="B60" s="67">
        <v>10220</v>
      </c>
      <c r="C60" s="68" t="s">
        <v>184</v>
      </c>
      <c r="D60" s="98">
        <v>1</v>
      </c>
    </row>
    <row r="61" spans="2:4" ht="13.8">
      <c r="B61" s="57">
        <v>10301</v>
      </c>
      <c r="C61" s="58" t="s">
        <v>185</v>
      </c>
      <c r="D61" s="99">
        <v>1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4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5</v>
      </c>
    </row>
    <row r="68" spans="2:4" ht="13.8">
      <c r="B68" s="67">
        <v>10308</v>
      </c>
      <c r="C68" s="68" t="s">
        <v>192</v>
      </c>
      <c r="D68" s="98">
        <v>4</v>
      </c>
    </row>
    <row r="69" spans="2:4" ht="13.8">
      <c r="B69" s="57">
        <v>10309</v>
      </c>
      <c r="C69" s="58" t="s">
        <v>193</v>
      </c>
      <c r="D69" s="99">
        <v>1</v>
      </c>
    </row>
    <row r="70" spans="2:4" ht="13.8">
      <c r="B70" s="67">
        <v>10310</v>
      </c>
      <c r="C70" s="68" t="s">
        <v>194</v>
      </c>
      <c r="D70" s="98">
        <v>6</v>
      </c>
    </row>
    <row r="71" spans="2:4" ht="13.8">
      <c r="B71" s="57">
        <v>10311</v>
      </c>
      <c r="C71" s="58" t="s">
        <v>195</v>
      </c>
      <c r="D71" s="99">
        <v>0</v>
      </c>
    </row>
    <row r="72" spans="2:4" ht="13.8">
      <c r="B72" s="67">
        <v>10312</v>
      </c>
      <c r="C72" s="68" t="s">
        <v>196</v>
      </c>
      <c r="D72" s="98">
        <v>2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0</v>
      </c>
    </row>
    <row r="76" spans="2:4" ht="13.8">
      <c r="B76" s="67">
        <v>10316</v>
      </c>
      <c r="C76" s="68" t="s">
        <v>200</v>
      </c>
      <c r="D76" s="98">
        <v>8</v>
      </c>
    </row>
    <row r="77" spans="2:4" ht="13.8">
      <c r="B77" s="57">
        <v>10317</v>
      </c>
      <c r="C77" s="58" t="s">
        <v>201</v>
      </c>
      <c r="D77" s="99">
        <v>13</v>
      </c>
    </row>
    <row r="78" spans="2:4" ht="13.8">
      <c r="B78" s="67">
        <v>10318</v>
      </c>
      <c r="C78" s="68" t="s">
        <v>202</v>
      </c>
      <c r="D78" s="98">
        <v>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1</v>
      </c>
    </row>
    <row r="83" spans="2:4" ht="13.8">
      <c r="B83" s="59">
        <v>20104</v>
      </c>
      <c r="C83" s="60" t="s">
        <v>207</v>
      </c>
      <c r="D83" s="101">
        <v>0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0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2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1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8</v>
      </c>
    </row>
    <row r="109" spans="2:4" ht="13.8">
      <c r="B109" s="59">
        <v>20302</v>
      </c>
      <c r="C109" s="60" t="s">
        <v>233</v>
      </c>
      <c r="D109" s="101">
        <v>1</v>
      </c>
    </row>
    <row r="110" spans="2:4" ht="13.8">
      <c r="B110" s="69">
        <v>20303</v>
      </c>
      <c r="C110" s="70" t="s">
        <v>234</v>
      </c>
      <c r="D110" s="100">
        <v>3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1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2</v>
      </c>
    </row>
    <row r="115" spans="2:4" ht="13.8">
      <c r="B115" s="59">
        <v>20308</v>
      </c>
      <c r="C115" s="60" t="s">
        <v>239</v>
      </c>
      <c r="D115" s="101">
        <v>3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19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3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2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3</v>
      </c>
    </row>
    <row r="126" spans="2:4" ht="13.8">
      <c r="B126" s="61">
        <v>30201</v>
      </c>
      <c r="C126" s="62" t="s">
        <v>250</v>
      </c>
      <c r="D126" s="101">
        <v>2</v>
      </c>
    </row>
    <row r="127" spans="2:4" ht="13.8">
      <c r="B127" s="63">
        <v>30202</v>
      </c>
      <c r="C127" s="64" t="s">
        <v>251</v>
      </c>
      <c r="D127" s="102">
        <v>4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5</v>
      </c>
    </row>
    <row r="130" spans="2:4" ht="13.8">
      <c r="B130" s="61">
        <v>30205</v>
      </c>
      <c r="C130" s="62" t="s">
        <v>254</v>
      </c>
      <c r="D130" s="101">
        <v>1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2</v>
      </c>
    </row>
    <row r="135" spans="2:4" ht="13.8">
      <c r="B135" s="63">
        <v>30303</v>
      </c>
      <c r="C135" s="64" t="s">
        <v>259</v>
      </c>
      <c r="D135" s="102">
        <v>1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4</v>
      </c>
    </row>
    <row r="138" spans="2:4" ht="13.8">
      <c r="B138" s="61">
        <v>30306</v>
      </c>
      <c r="C138" s="62" t="s">
        <v>262</v>
      </c>
      <c r="D138" s="101">
        <v>4</v>
      </c>
    </row>
    <row r="139" spans="2:4" ht="13.8">
      <c r="B139" s="63">
        <v>30307</v>
      </c>
      <c r="C139" s="64" t="s">
        <v>263</v>
      </c>
      <c r="D139" s="102">
        <v>5</v>
      </c>
    </row>
    <row r="140" spans="2:4" ht="13.8">
      <c r="B140" s="61">
        <v>30308</v>
      </c>
      <c r="C140" s="62" t="s">
        <v>264</v>
      </c>
      <c r="D140" s="101">
        <v>8</v>
      </c>
    </row>
    <row r="141" spans="2:4" ht="13.8">
      <c r="B141" s="63">
        <v>30309</v>
      </c>
      <c r="C141" s="64" t="s">
        <v>265</v>
      </c>
      <c r="D141" s="102">
        <v>32</v>
      </c>
    </row>
    <row r="142" spans="2:4" ht="13.8">
      <c r="B142" s="61">
        <v>30310</v>
      </c>
      <c r="C142" s="62" t="s">
        <v>266</v>
      </c>
      <c r="D142" s="101">
        <v>10</v>
      </c>
    </row>
    <row r="143" spans="2:4" ht="13.8">
      <c r="B143" s="63">
        <v>30401</v>
      </c>
      <c r="C143" s="64" t="s">
        <v>267</v>
      </c>
      <c r="D143" s="102">
        <v>86</v>
      </c>
    </row>
    <row r="144" spans="2:4" ht="13.8">
      <c r="B144" s="61">
        <v>30402</v>
      </c>
      <c r="C144" s="62" t="s">
        <v>268</v>
      </c>
      <c r="D144" s="101">
        <v>2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2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1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1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1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7</v>
      </c>
    </row>
    <row r="162" spans="2:4" ht="13.8">
      <c r="B162" s="61">
        <v>30420</v>
      </c>
      <c r="C162" s="62" t="s">
        <v>286</v>
      </c>
      <c r="D162" s="101">
        <v>1</v>
      </c>
    </row>
    <row r="163" spans="2:4" ht="13.8">
      <c r="B163" s="63">
        <v>30421</v>
      </c>
      <c r="C163" s="64" t="s">
        <v>287</v>
      </c>
      <c r="D163" s="102">
        <v>2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0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21</v>
      </c>
    </row>
    <row r="172" spans="2:4" ht="13.8">
      <c r="B172" s="61">
        <v>30430</v>
      </c>
      <c r="C172" s="62" t="s">
        <v>296</v>
      </c>
      <c r="D172" s="101">
        <v>16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6</v>
      </c>
    </row>
    <row r="189" spans="2:4" ht="13.8">
      <c r="B189" s="63">
        <v>30501</v>
      </c>
      <c r="C189" s="64" t="s">
        <v>313</v>
      </c>
      <c r="D189" s="102">
        <v>1</v>
      </c>
    </row>
    <row r="190" spans="2:4" ht="13.8">
      <c r="B190" s="61">
        <v>30502</v>
      </c>
      <c r="C190" s="62" t="s">
        <v>314</v>
      </c>
      <c r="D190" s="101">
        <v>2</v>
      </c>
    </row>
    <row r="191" spans="2:4" ht="13.8">
      <c r="B191" s="63">
        <v>30503</v>
      </c>
      <c r="C191" s="64" t="s">
        <v>315</v>
      </c>
      <c r="D191" s="102">
        <v>11</v>
      </c>
    </row>
    <row r="192" spans="2:4" ht="13.8">
      <c r="B192" s="61">
        <v>30504</v>
      </c>
      <c r="C192" s="62" t="s">
        <v>316</v>
      </c>
      <c r="D192" s="101">
        <v>2</v>
      </c>
    </row>
    <row r="193" spans="2:4" ht="13.8">
      <c r="B193" s="63">
        <v>30505</v>
      </c>
      <c r="C193" s="64" t="s">
        <v>317</v>
      </c>
      <c r="D193" s="102">
        <v>1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70</v>
      </c>
    </row>
    <row r="196" spans="2:4" ht="13.8">
      <c r="B196" s="61">
        <v>30603</v>
      </c>
      <c r="C196" s="62" t="s">
        <v>320</v>
      </c>
      <c r="D196" s="101">
        <v>3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5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2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1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1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1</v>
      </c>
    </row>
    <row r="228" spans="2:4" ht="13.8">
      <c r="B228" s="61">
        <v>30903</v>
      </c>
      <c r="C228" s="62" t="s">
        <v>352</v>
      </c>
      <c r="D228" s="101">
        <v>28</v>
      </c>
    </row>
    <row r="229" spans="2:4" ht="13.8">
      <c r="B229" s="63">
        <v>30904</v>
      </c>
      <c r="C229" s="64" t="s">
        <v>353</v>
      </c>
      <c r="D229" s="102">
        <v>34</v>
      </c>
    </row>
    <row r="230" spans="2:4" ht="13.8">
      <c r="B230" s="61">
        <v>30905</v>
      </c>
      <c r="C230" s="62" t="s">
        <v>354</v>
      </c>
      <c r="D230" s="101">
        <v>0</v>
      </c>
    </row>
    <row r="231" spans="2:4" ht="13.8">
      <c r="B231" s="63">
        <v>30906</v>
      </c>
      <c r="C231" s="64" t="s">
        <v>355</v>
      </c>
      <c r="D231" s="102">
        <v>12</v>
      </c>
    </row>
    <row r="232" spans="2:4" ht="13.8">
      <c r="B232" s="61">
        <v>30907</v>
      </c>
      <c r="C232" s="62" t="s">
        <v>356</v>
      </c>
      <c r="D232" s="101">
        <v>103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2</v>
      </c>
    </row>
    <row r="236" spans="2:4" ht="13.8">
      <c r="B236" s="61">
        <v>31002</v>
      </c>
      <c r="C236" s="62" t="s">
        <v>360</v>
      </c>
      <c r="D236" s="101">
        <v>3</v>
      </c>
    </row>
    <row r="237" spans="2:4" ht="13.8">
      <c r="B237" s="63">
        <v>31003</v>
      </c>
      <c r="C237" s="64" t="s">
        <v>361</v>
      </c>
      <c r="D237" s="102">
        <v>1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15</v>
      </c>
    </row>
    <row r="251" spans="2:4" ht="13.8">
      <c r="B251" s="63">
        <v>31102</v>
      </c>
      <c r="C251" s="64" t="s">
        <v>375</v>
      </c>
      <c r="D251" s="102">
        <v>2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3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8</v>
      </c>
    </row>
    <row r="262" spans="2:4" ht="13.8">
      <c r="B262" s="61">
        <v>31113</v>
      </c>
      <c r="C262" s="62" t="s">
        <v>386</v>
      </c>
      <c r="D262" s="101">
        <v>3</v>
      </c>
    </row>
    <row r="263" spans="2:4" ht="13.8">
      <c r="B263" s="63">
        <v>31114</v>
      </c>
      <c r="C263" s="64" t="s">
        <v>387</v>
      </c>
      <c r="D263" s="102">
        <v>12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0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2</v>
      </c>
    </row>
    <row r="270" spans="2:4" ht="13.8">
      <c r="B270" s="65">
        <v>40107</v>
      </c>
      <c r="C270" s="66" t="s">
        <v>394</v>
      </c>
      <c r="D270" s="103">
        <v>2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10</v>
      </c>
    </row>
    <row r="275" spans="2:4" ht="13.8">
      <c r="B275" s="61">
        <v>50102</v>
      </c>
      <c r="C275" s="62" t="s">
        <v>399</v>
      </c>
      <c r="D275" s="101">
        <v>2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73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4</v>
      </c>
    </row>
    <row r="281" spans="2:4" ht="13.8">
      <c r="B281" s="61">
        <v>50108</v>
      </c>
      <c r="C281" s="62" t="s">
        <v>405</v>
      </c>
      <c r="D281" s="101">
        <v>3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13</v>
      </c>
    </row>
    <row r="285" spans="2:4" ht="13.8">
      <c r="B285" s="61">
        <v>50301</v>
      </c>
      <c r="C285" s="62" t="s">
        <v>409</v>
      </c>
      <c r="D285" s="101">
        <v>104</v>
      </c>
    </row>
    <row r="286" spans="2:4" ht="13.8">
      <c r="B286" s="71">
        <v>50302</v>
      </c>
      <c r="C286" s="72" t="s">
        <v>410</v>
      </c>
      <c r="D286" s="104">
        <v>2</v>
      </c>
    </row>
    <row r="287" spans="2:4" ht="13.8">
      <c r="B287" s="61">
        <v>50303</v>
      </c>
      <c r="C287" s="62" t="s">
        <v>411</v>
      </c>
      <c r="D287" s="101">
        <v>1</v>
      </c>
    </row>
    <row r="288" spans="2:4" ht="13.8">
      <c r="B288" s="71">
        <v>50304</v>
      </c>
      <c r="C288" s="72" t="s">
        <v>412</v>
      </c>
      <c r="D288" s="104">
        <v>1</v>
      </c>
    </row>
    <row r="289" spans="2:4" ht="13.8">
      <c r="B289" s="61">
        <v>50305</v>
      </c>
      <c r="C289" s="62" t="s">
        <v>413</v>
      </c>
      <c r="D289" s="101">
        <v>4</v>
      </c>
    </row>
    <row r="290" spans="2:4" ht="13.8">
      <c r="B290" s="71">
        <v>50306</v>
      </c>
      <c r="C290" s="72" t="s">
        <v>414</v>
      </c>
      <c r="D290" s="104">
        <v>1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1</v>
      </c>
    </row>
    <row r="294" spans="2:4" ht="13.8">
      <c r="B294" s="75">
        <v>70101</v>
      </c>
      <c r="C294" s="76" t="s">
        <v>418</v>
      </c>
      <c r="D294" s="105">
        <v>286</v>
      </c>
    </row>
    <row r="295" spans="2:4" ht="13.8">
      <c r="B295" s="61">
        <v>70102</v>
      </c>
      <c r="C295" s="62" t="s">
        <v>419</v>
      </c>
      <c r="D295" s="101">
        <v>6</v>
      </c>
    </row>
    <row r="296" spans="2:4" ht="13.8">
      <c r="B296" s="75">
        <v>70103</v>
      </c>
      <c r="C296" s="76" t="s">
        <v>420</v>
      </c>
      <c r="D296" s="105">
        <v>40</v>
      </c>
    </row>
    <row r="297" spans="2:4" ht="13.8">
      <c r="B297" s="61">
        <v>70104</v>
      </c>
      <c r="C297" s="62" t="s">
        <v>421</v>
      </c>
      <c r="D297" s="101">
        <v>3867</v>
      </c>
    </row>
    <row r="298" spans="2:4" ht="13.8">
      <c r="B298" s="75">
        <v>70105</v>
      </c>
      <c r="C298" s="76" t="s">
        <v>422</v>
      </c>
      <c r="D298" s="105">
        <v>129</v>
      </c>
    </row>
    <row r="299" spans="2:4" ht="13.8">
      <c r="B299" s="61">
        <v>70106</v>
      </c>
      <c r="C299" s="62" t="s">
        <v>423</v>
      </c>
      <c r="D299" s="101">
        <v>662</v>
      </c>
    </row>
    <row r="300" spans="2:4" ht="13.8">
      <c r="B300" s="75">
        <v>70107</v>
      </c>
      <c r="C300" s="76" t="s">
        <v>424</v>
      </c>
      <c r="D300" s="105">
        <v>1807</v>
      </c>
    </row>
    <row r="301" spans="2:4" ht="14.4" thickBot="1">
      <c r="B301" s="77">
        <v>70108</v>
      </c>
      <c r="C301" s="78" t="s">
        <v>425</v>
      </c>
      <c r="D301" s="106">
        <v>838</v>
      </c>
    </row>
    <row r="302" spans="2:4" ht="19.95" customHeight="1" thickBot="1">
      <c r="B302" s="79" t="s">
        <v>426</v>
      </c>
      <c r="C302" s="80"/>
      <c r="D302" s="81">
        <f>SUM(D20:D301)</f>
        <v>8574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92A9-E1F0-42E6-8FB1-67F5997FA9BF}">
  <sheetPr>
    <pageSetUpPr fitToPage="1"/>
  </sheetPr>
  <dimension ref="B1:HR302"/>
  <sheetViews>
    <sheetView showGridLines="0" view="pageBreakPreview" topLeftCell="A6" zoomScale="90" zoomScaleNormal="100" zoomScaleSheetLayoutView="90" workbookViewId="0">
      <selection activeCell="D26" sqref="D26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434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13</v>
      </c>
    </row>
    <row r="23" spans="2:7" ht="13.8">
      <c r="B23" s="57">
        <v>10104</v>
      </c>
      <c r="C23" s="58" t="s">
        <v>147</v>
      </c>
      <c r="D23" s="99">
        <v>12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1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1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0</v>
      </c>
    </row>
    <row r="44" spans="2:4" ht="13.8">
      <c r="B44" s="67">
        <v>10204</v>
      </c>
      <c r="C44" s="68" t="s">
        <v>168</v>
      </c>
      <c r="D44" s="98">
        <v>13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2</v>
      </c>
    </row>
    <row r="47" spans="2:4" ht="13.8">
      <c r="B47" s="57">
        <v>10207</v>
      </c>
      <c r="C47" s="58" t="s">
        <v>171</v>
      </c>
      <c r="D47" s="99">
        <v>1</v>
      </c>
    </row>
    <row r="48" spans="2:4" ht="13.8">
      <c r="B48" s="67">
        <v>10208</v>
      </c>
      <c r="C48" s="68" t="s">
        <v>172</v>
      </c>
      <c r="D48" s="98">
        <v>0</v>
      </c>
    </row>
    <row r="49" spans="2:4" ht="13.8">
      <c r="B49" s="57">
        <v>10209</v>
      </c>
      <c r="C49" s="58" t="s">
        <v>173</v>
      </c>
      <c r="D49" s="99">
        <v>0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0</v>
      </c>
    </row>
    <row r="60" spans="2:4" ht="13.8">
      <c r="B60" s="67">
        <v>10220</v>
      </c>
      <c r="C60" s="68" t="s">
        <v>184</v>
      </c>
      <c r="D60" s="98">
        <v>0</v>
      </c>
    </row>
    <row r="61" spans="2:4" ht="13.8">
      <c r="B61" s="57">
        <v>10301</v>
      </c>
      <c r="C61" s="58" t="s">
        <v>185</v>
      </c>
      <c r="D61" s="99">
        <v>1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1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4</v>
      </c>
    </row>
    <row r="68" spans="2:4" ht="13.8">
      <c r="B68" s="67">
        <v>10308</v>
      </c>
      <c r="C68" s="68" t="s">
        <v>192</v>
      </c>
      <c r="D68" s="98">
        <v>13</v>
      </c>
    </row>
    <row r="69" spans="2:4" ht="13.8">
      <c r="B69" s="57">
        <v>10309</v>
      </c>
      <c r="C69" s="58" t="s">
        <v>193</v>
      </c>
      <c r="D69" s="99">
        <v>2</v>
      </c>
    </row>
    <row r="70" spans="2:4" ht="13.8">
      <c r="B70" s="67">
        <v>10310</v>
      </c>
      <c r="C70" s="68" t="s">
        <v>194</v>
      </c>
      <c r="D70" s="98">
        <v>39</v>
      </c>
    </row>
    <row r="71" spans="2:4" ht="13.8">
      <c r="B71" s="57">
        <v>10311</v>
      </c>
      <c r="C71" s="58" t="s">
        <v>195</v>
      </c>
      <c r="D71" s="99">
        <v>2</v>
      </c>
    </row>
    <row r="72" spans="2:4" ht="13.8">
      <c r="B72" s="67">
        <v>10312</v>
      </c>
      <c r="C72" s="68" t="s">
        <v>196</v>
      </c>
      <c r="D72" s="98">
        <v>1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1</v>
      </c>
    </row>
    <row r="76" spans="2:4" ht="13.8">
      <c r="B76" s="67">
        <v>10316</v>
      </c>
      <c r="C76" s="68" t="s">
        <v>200</v>
      </c>
      <c r="D76" s="98">
        <v>0</v>
      </c>
    </row>
    <row r="77" spans="2:4" ht="13.8">
      <c r="B77" s="57">
        <v>10317</v>
      </c>
      <c r="C77" s="58" t="s">
        <v>201</v>
      </c>
      <c r="D77" s="99">
        <v>1</v>
      </c>
    </row>
    <row r="78" spans="2:4" ht="13.8">
      <c r="B78" s="67">
        <v>10318</v>
      </c>
      <c r="C78" s="68" t="s">
        <v>202</v>
      </c>
      <c r="D78" s="98">
        <v>1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2</v>
      </c>
    </row>
    <row r="83" spans="2:4" ht="13.8">
      <c r="B83" s="59">
        <v>20104</v>
      </c>
      <c r="C83" s="60" t="s">
        <v>207</v>
      </c>
      <c r="D83" s="101">
        <v>1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3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3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20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1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0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1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4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23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1</v>
      </c>
    </row>
    <row r="121" spans="2:4" ht="13.8">
      <c r="B121" s="59">
        <v>20403</v>
      </c>
      <c r="C121" s="60" t="s">
        <v>245</v>
      </c>
      <c r="D121" s="101">
        <v>1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0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1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0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3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2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1</v>
      </c>
    </row>
    <row r="139" spans="2:4" ht="13.8">
      <c r="B139" s="63">
        <v>30307</v>
      </c>
      <c r="C139" s="64" t="s">
        <v>263</v>
      </c>
      <c r="D139" s="102">
        <v>3</v>
      </c>
    </row>
    <row r="140" spans="2:4" ht="13.8">
      <c r="B140" s="61">
        <v>30308</v>
      </c>
      <c r="C140" s="62" t="s">
        <v>264</v>
      </c>
      <c r="D140" s="101">
        <v>1</v>
      </c>
    </row>
    <row r="141" spans="2:4" ht="13.8">
      <c r="B141" s="63">
        <v>30309</v>
      </c>
      <c r="C141" s="64" t="s">
        <v>265</v>
      </c>
      <c r="D141" s="102">
        <v>4</v>
      </c>
    </row>
    <row r="142" spans="2:4" ht="13.8">
      <c r="B142" s="61">
        <v>30310</v>
      </c>
      <c r="C142" s="62" t="s">
        <v>266</v>
      </c>
      <c r="D142" s="101">
        <v>4</v>
      </c>
    </row>
    <row r="143" spans="2:4" ht="13.8">
      <c r="B143" s="63">
        <v>30401</v>
      </c>
      <c r="C143" s="64" t="s">
        <v>267</v>
      </c>
      <c r="D143" s="102">
        <v>81</v>
      </c>
    </row>
    <row r="144" spans="2:4" ht="13.8">
      <c r="B144" s="61">
        <v>30402</v>
      </c>
      <c r="C144" s="62" t="s">
        <v>268</v>
      </c>
      <c r="D144" s="101">
        <v>1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1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0</v>
      </c>
    </row>
    <row r="163" spans="2:4" ht="13.8">
      <c r="B163" s="63">
        <v>30421</v>
      </c>
      <c r="C163" s="64" t="s">
        <v>287</v>
      </c>
      <c r="D163" s="102">
        <v>0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0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2</v>
      </c>
    </row>
    <row r="172" spans="2:4" ht="13.8">
      <c r="B172" s="61">
        <v>30430</v>
      </c>
      <c r="C172" s="62" t="s">
        <v>296</v>
      </c>
      <c r="D172" s="101">
        <v>2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0</v>
      </c>
    </row>
    <row r="191" spans="2:4" ht="13.8">
      <c r="B191" s="63">
        <v>30503</v>
      </c>
      <c r="C191" s="64" t="s">
        <v>315</v>
      </c>
      <c r="D191" s="102">
        <v>3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1</v>
      </c>
    </row>
    <row r="194" spans="2:4" ht="13.8">
      <c r="B194" s="61">
        <v>30601</v>
      </c>
      <c r="C194" s="62" t="s">
        <v>318</v>
      </c>
      <c r="D194" s="101">
        <v>2</v>
      </c>
    </row>
    <row r="195" spans="2:4" ht="13.8">
      <c r="B195" s="63">
        <v>30602</v>
      </c>
      <c r="C195" s="64" t="s">
        <v>319</v>
      </c>
      <c r="D195" s="102">
        <v>1</v>
      </c>
    </row>
    <row r="196" spans="2:4" ht="13.8">
      <c r="B196" s="61">
        <v>30603</v>
      </c>
      <c r="C196" s="62" t="s">
        <v>320</v>
      </c>
      <c r="D196" s="101">
        <v>1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1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1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5</v>
      </c>
    </row>
    <row r="229" spans="2:4" ht="13.8">
      <c r="B229" s="63">
        <v>30904</v>
      </c>
      <c r="C229" s="64" t="s">
        <v>353</v>
      </c>
      <c r="D229" s="102">
        <v>1</v>
      </c>
    </row>
    <row r="230" spans="2:4" ht="13.8">
      <c r="B230" s="61">
        <v>30905</v>
      </c>
      <c r="C230" s="62" t="s">
        <v>354</v>
      </c>
      <c r="D230" s="101">
        <v>0</v>
      </c>
    </row>
    <row r="231" spans="2:4" ht="13.8">
      <c r="B231" s="63">
        <v>30906</v>
      </c>
      <c r="C231" s="64" t="s">
        <v>355</v>
      </c>
      <c r="D231" s="102">
        <v>1</v>
      </c>
    </row>
    <row r="232" spans="2:4" ht="13.8">
      <c r="B232" s="61">
        <v>30907</v>
      </c>
      <c r="C232" s="62" t="s">
        <v>356</v>
      </c>
      <c r="D232" s="101">
        <v>19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3</v>
      </c>
    </row>
    <row r="236" spans="2:4" ht="13.8">
      <c r="B236" s="61">
        <v>31002</v>
      </c>
      <c r="C236" s="62" t="s">
        <v>360</v>
      </c>
      <c r="D236" s="101">
        <v>0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2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13</v>
      </c>
    </row>
    <row r="251" spans="2:4" ht="13.8">
      <c r="B251" s="63">
        <v>31102</v>
      </c>
      <c r="C251" s="64" t="s">
        <v>375</v>
      </c>
      <c r="D251" s="102">
        <v>1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2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1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1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9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1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0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3</v>
      </c>
    </row>
    <row r="270" spans="2:4" ht="13.8">
      <c r="B270" s="65">
        <v>40107</v>
      </c>
      <c r="C270" s="66" t="s">
        <v>394</v>
      </c>
      <c r="D270" s="103">
        <v>4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0</v>
      </c>
    </row>
    <row r="275" spans="2:4" ht="13.8">
      <c r="B275" s="61">
        <v>50102</v>
      </c>
      <c r="C275" s="62" t="s">
        <v>399</v>
      </c>
      <c r="D275" s="101">
        <v>0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5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1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2</v>
      </c>
    </row>
    <row r="285" spans="2:4" ht="13.8">
      <c r="B285" s="61">
        <v>50301</v>
      </c>
      <c r="C285" s="62" t="s">
        <v>409</v>
      </c>
      <c r="D285" s="101">
        <v>171</v>
      </c>
    </row>
    <row r="286" spans="2:4" ht="13.8">
      <c r="B286" s="71">
        <v>50302</v>
      </c>
      <c r="C286" s="72" t="s">
        <v>410</v>
      </c>
      <c r="D286" s="104">
        <v>0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3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1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105">
        <v>224</v>
      </c>
    </row>
    <row r="295" spans="2:4" ht="13.8">
      <c r="B295" s="61">
        <v>70102</v>
      </c>
      <c r="C295" s="62" t="s">
        <v>419</v>
      </c>
      <c r="D295" s="101">
        <v>65</v>
      </c>
    </row>
    <row r="296" spans="2:4" ht="13.8">
      <c r="B296" s="75">
        <v>70103</v>
      </c>
      <c r="C296" s="76" t="s">
        <v>420</v>
      </c>
      <c r="D296" s="105">
        <v>430</v>
      </c>
    </row>
    <row r="297" spans="2:4" ht="13.8">
      <c r="B297" s="61">
        <v>70104</v>
      </c>
      <c r="C297" s="62" t="s">
        <v>421</v>
      </c>
      <c r="D297" s="101">
        <v>1154</v>
      </c>
    </row>
    <row r="298" spans="2:4" ht="13.8">
      <c r="B298" s="75">
        <v>70105</v>
      </c>
      <c r="C298" s="76" t="s">
        <v>422</v>
      </c>
      <c r="D298" s="105">
        <v>29</v>
      </c>
    </row>
    <row r="299" spans="2:4" ht="13.8">
      <c r="B299" s="61">
        <v>70106</v>
      </c>
      <c r="C299" s="62" t="s">
        <v>423</v>
      </c>
      <c r="D299" s="101">
        <v>23</v>
      </c>
    </row>
    <row r="300" spans="2:4" ht="13.8">
      <c r="B300" s="75">
        <v>70107</v>
      </c>
      <c r="C300" s="76" t="s">
        <v>424</v>
      </c>
      <c r="D300" s="105">
        <v>51</v>
      </c>
    </row>
    <row r="301" spans="2:4" ht="14.4" thickBot="1">
      <c r="B301" s="77">
        <v>70108</v>
      </c>
      <c r="C301" s="78" t="s">
        <v>425</v>
      </c>
      <c r="D301" s="106">
        <v>67</v>
      </c>
    </row>
    <row r="302" spans="2:4" ht="19.95" customHeight="1" thickBot="1">
      <c r="B302" s="79" t="s">
        <v>426</v>
      </c>
      <c r="C302" s="80"/>
      <c r="D302" s="81">
        <f>SUM(D20:D301)</f>
        <v>2578</v>
      </c>
    </row>
  </sheetData>
  <protectedRanges>
    <protectedRange password="CC15" sqref="D20:D301" name="Rango1_7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E58A-06F6-4537-98C1-5EB50DFA06F5}">
  <sheetPr>
    <pageSetUpPr fitToPage="1"/>
  </sheetPr>
  <dimension ref="B1:HR302"/>
  <sheetViews>
    <sheetView showGridLines="0" view="pageBreakPreview" topLeftCell="B1" zoomScale="80" zoomScaleNormal="100" zoomScaleSheetLayoutView="80" workbookViewId="0">
      <selection activeCell="G284" sqref="G284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Mayo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435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45</v>
      </c>
    </row>
    <row r="23" spans="2:7" ht="13.8">
      <c r="B23" s="57">
        <v>10104</v>
      </c>
      <c r="C23" s="58" t="s">
        <v>147</v>
      </c>
      <c r="D23" s="99">
        <v>13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1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1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1</v>
      </c>
    </row>
    <row r="44" spans="2:4" ht="13.8">
      <c r="B44" s="67">
        <v>10204</v>
      </c>
      <c r="C44" s="68" t="s">
        <v>168</v>
      </c>
      <c r="D44" s="98">
        <v>16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0</v>
      </c>
    </row>
    <row r="47" spans="2:4" ht="13.8">
      <c r="B47" s="57">
        <v>10207</v>
      </c>
      <c r="C47" s="58" t="s">
        <v>171</v>
      </c>
      <c r="D47" s="99">
        <v>0</v>
      </c>
    </row>
    <row r="48" spans="2:4" ht="13.8">
      <c r="B48" s="67">
        <v>10208</v>
      </c>
      <c r="C48" s="68" t="s">
        <v>172</v>
      </c>
      <c r="D48" s="98">
        <v>0</v>
      </c>
    </row>
    <row r="49" spans="2:4" ht="13.8">
      <c r="B49" s="57">
        <v>10209</v>
      </c>
      <c r="C49" s="58" t="s">
        <v>173</v>
      </c>
      <c r="D49" s="99">
        <v>1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2</v>
      </c>
    </row>
    <row r="60" spans="2:4" ht="13.8">
      <c r="B60" s="67">
        <v>10220</v>
      </c>
      <c r="C60" s="68" t="s">
        <v>184</v>
      </c>
      <c r="D60" s="98">
        <v>0</v>
      </c>
    </row>
    <row r="61" spans="2:4" ht="13.8">
      <c r="B61" s="57">
        <v>10301</v>
      </c>
      <c r="C61" s="58" t="s">
        <v>185</v>
      </c>
      <c r="D61" s="99">
        <v>1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6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7</v>
      </c>
    </row>
    <row r="68" spans="2:4" ht="13.8">
      <c r="B68" s="67">
        <v>10308</v>
      </c>
      <c r="C68" s="68" t="s">
        <v>192</v>
      </c>
      <c r="D68" s="98">
        <v>14</v>
      </c>
    </row>
    <row r="69" spans="2:4" ht="13.8">
      <c r="B69" s="57">
        <v>10309</v>
      </c>
      <c r="C69" s="58" t="s">
        <v>193</v>
      </c>
      <c r="D69" s="99">
        <v>3</v>
      </c>
    </row>
    <row r="70" spans="2:4" ht="13.8">
      <c r="B70" s="67">
        <v>10310</v>
      </c>
      <c r="C70" s="68" t="s">
        <v>194</v>
      </c>
      <c r="D70" s="98">
        <v>17</v>
      </c>
    </row>
    <row r="71" spans="2:4" ht="13.8">
      <c r="B71" s="57">
        <v>10311</v>
      </c>
      <c r="C71" s="58" t="s">
        <v>195</v>
      </c>
      <c r="D71" s="99">
        <v>1</v>
      </c>
    </row>
    <row r="72" spans="2:4" ht="13.8">
      <c r="B72" s="67">
        <v>10312</v>
      </c>
      <c r="C72" s="68" t="s">
        <v>196</v>
      </c>
      <c r="D72" s="98">
        <v>1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1</v>
      </c>
    </row>
    <row r="75" spans="2:4" ht="13.8">
      <c r="B75" s="57">
        <v>10315</v>
      </c>
      <c r="C75" s="58" t="s">
        <v>199</v>
      </c>
      <c r="D75" s="99">
        <v>0</v>
      </c>
    </row>
    <row r="76" spans="2:4" ht="13.8">
      <c r="B76" s="67">
        <v>10316</v>
      </c>
      <c r="C76" s="68" t="s">
        <v>200</v>
      </c>
      <c r="D76" s="98">
        <v>2</v>
      </c>
    </row>
    <row r="77" spans="2:4" ht="13.8">
      <c r="B77" s="57">
        <v>10317</v>
      </c>
      <c r="C77" s="58" t="s">
        <v>201</v>
      </c>
      <c r="D77" s="99">
        <v>6</v>
      </c>
    </row>
    <row r="78" spans="2:4" ht="13.8">
      <c r="B78" s="67">
        <v>10318</v>
      </c>
      <c r="C78" s="68" t="s">
        <v>202</v>
      </c>
      <c r="D78" s="98">
        <v>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1</v>
      </c>
    </row>
    <row r="83" spans="2:4" ht="13.8">
      <c r="B83" s="59">
        <v>20104</v>
      </c>
      <c r="C83" s="60" t="s">
        <v>207</v>
      </c>
      <c r="D83" s="101">
        <v>0</v>
      </c>
    </row>
    <row r="84" spans="2:4" ht="13.8">
      <c r="B84" s="69">
        <v>20105</v>
      </c>
      <c r="C84" s="70" t="s">
        <v>208</v>
      </c>
      <c r="D84" s="100">
        <v>1</v>
      </c>
    </row>
    <row r="85" spans="2:4" ht="13.8">
      <c r="B85" s="59">
        <v>20106</v>
      </c>
      <c r="C85" s="60" t="s">
        <v>209</v>
      </c>
      <c r="D85" s="101">
        <v>1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1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2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1</v>
      </c>
    </row>
    <row r="96" spans="2:4" ht="13.8">
      <c r="B96" s="69">
        <v>20203</v>
      </c>
      <c r="C96" s="70" t="s">
        <v>220</v>
      </c>
      <c r="D96" s="100">
        <v>1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6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0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2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43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0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1</v>
      </c>
    </row>
    <row r="126" spans="2:4" ht="13.8">
      <c r="B126" s="61">
        <v>30201</v>
      </c>
      <c r="C126" s="62" t="s">
        <v>250</v>
      </c>
      <c r="D126" s="101">
        <v>1</v>
      </c>
    </row>
    <row r="127" spans="2:4" ht="13.8">
      <c r="B127" s="63">
        <v>30202</v>
      </c>
      <c r="C127" s="64" t="s">
        <v>251</v>
      </c>
      <c r="D127" s="102">
        <v>3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3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16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1</v>
      </c>
    </row>
    <row r="138" spans="2:4" ht="13.8">
      <c r="B138" s="61">
        <v>30306</v>
      </c>
      <c r="C138" s="62" t="s">
        <v>262</v>
      </c>
      <c r="D138" s="101">
        <v>1</v>
      </c>
    </row>
    <row r="139" spans="2:4" ht="13.8">
      <c r="B139" s="63">
        <v>30307</v>
      </c>
      <c r="C139" s="64" t="s">
        <v>263</v>
      </c>
      <c r="D139" s="102">
        <v>3</v>
      </c>
    </row>
    <row r="140" spans="2:4" ht="13.8">
      <c r="B140" s="61">
        <v>30308</v>
      </c>
      <c r="C140" s="62" t="s">
        <v>264</v>
      </c>
      <c r="D140" s="101">
        <v>4</v>
      </c>
    </row>
    <row r="141" spans="2:4" ht="13.8">
      <c r="B141" s="63">
        <v>30309</v>
      </c>
      <c r="C141" s="64" t="s">
        <v>265</v>
      </c>
      <c r="D141" s="102">
        <v>11</v>
      </c>
    </row>
    <row r="142" spans="2:4" ht="13.8">
      <c r="B142" s="61">
        <v>30310</v>
      </c>
      <c r="C142" s="62" t="s">
        <v>266</v>
      </c>
      <c r="D142" s="101">
        <v>0</v>
      </c>
    </row>
    <row r="143" spans="2:4" ht="13.8">
      <c r="B143" s="63">
        <v>30401</v>
      </c>
      <c r="C143" s="64" t="s">
        <v>267</v>
      </c>
      <c r="D143" s="102">
        <v>46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0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2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0</v>
      </c>
    </row>
    <row r="163" spans="2:4" ht="13.8">
      <c r="B163" s="63">
        <v>30421</v>
      </c>
      <c r="C163" s="64" t="s">
        <v>287</v>
      </c>
      <c r="D163" s="102">
        <v>1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2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13</v>
      </c>
    </row>
    <row r="172" spans="2:4" ht="13.8">
      <c r="B172" s="61">
        <v>30430</v>
      </c>
      <c r="C172" s="62" t="s">
        <v>296</v>
      </c>
      <c r="D172" s="101">
        <v>3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9</v>
      </c>
    </row>
    <row r="191" spans="2:4" ht="13.8">
      <c r="B191" s="63">
        <v>30503</v>
      </c>
      <c r="C191" s="64" t="s">
        <v>315</v>
      </c>
      <c r="D191" s="102">
        <v>6</v>
      </c>
    </row>
    <row r="192" spans="2:4" ht="13.8">
      <c r="B192" s="61">
        <v>30504</v>
      </c>
      <c r="C192" s="62" t="s">
        <v>316</v>
      </c>
      <c r="D192" s="101">
        <v>1</v>
      </c>
    </row>
    <row r="193" spans="2:4" ht="13.8">
      <c r="B193" s="63">
        <v>30505</v>
      </c>
      <c r="C193" s="64" t="s">
        <v>317</v>
      </c>
      <c r="D193" s="102">
        <v>0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0</v>
      </c>
    </row>
    <row r="196" spans="2:4" ht="13.8">
      <c r="B196" s="61">
        <v>30603</v>
      </c>
      <c r="C196" s="62" t="s">
        <v>320</v>
      </c>
      <c r="D196" s="101">
        <v>1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7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1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6</v>
      </c>
    </row>
    <row r="229" spans="2:4" ht="13.8">
      <c r="B229" s="63">
        <v>30904</v>
      </c>
      <c r="C229" s="64" t="s">
        <v>353</v>
      </c>
      <c r="D229" s="102">
        <v>2</v>
      </c>
    </row>
    <row r="230" spans="2:4" ht="13.8">
      <c r="B230" s="61">
        <v>30905</v>
      </c>
      <c r="C230" s="62" t="s">
        <v>354</v>
      </c>
      <c r="D230" s="101">
        <v>0</v>
      </c>
    </row>
    <row r="231" spans="2:4" ht="13.8">
      <c r="B231" s="63">
        <v>30906</v>
      </c>
      <c r="C231" s="64" t="s">
        <v>355</v>
      </c>
      <c r="D231" s="102">
        <v>2</v>
      </c>
    </row>
    <row r="232" spans="2:4" ht="13.8">
      <c r="B232" s="61">
        <v>30907</v>
      </c>
      <c r="C232" s="62" t="s">
        <v>356</v>
      </c>
      <c r="D232" s="101">
        <v>27</v>
      </c>
    </row>
    <row r="233" spans="2:4" ht="13.8">
      <c r="B233" s="63">
        <v>30908</v>
      </c>
      <c r="C233" s="64" t="s">
        <v>357</v>
      </c>
      <c r="D233" s="102">
        <v>4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4</v>
      </c>
    </row>
    <row r="236" spans="2:4" ht="13.8">
      <c r="B236" s="61">
        <v>31002</v>
      </c>
      <c r="C236" s="62" t="s">
        <v>360</v>
      </c>
      <c r="D236" s="101">
        <v>2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1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1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2</v>
      </c>
    </row>
    <row r="251" spans="2:4" ht="13.8">
      <c r="B251" s="63">
        <v>31102</v>
      </c>
      <c r="C251" s="64" t="s">
        <v>375</v>
      </c>
      <c r="D251" s="102">
        <v>1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1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9</v>
      </c>
    </row>
    <row r="262" spans="2:4" ht="13.8">
      <c r="B262" s="61">
        <v>31113</v>
      </c>
      <c r="C262" s="62" t="s">
        <v>386</v>
      </c>
      <c r="D262" s="101">
        <v>0</v>
      </c>
    </row>
    <row r="263" spans="2:4" ht="13.8">
      <c r="B263" s="63">
        <v>31114</v>
      </c>
      <c r="C263" s="64" t="s">
        <v>387</v>
      </c>
      <c r="D263" s="102">
        <v>4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0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0</v>
      </c>
    </row>
    <row r="270" spans="2:4" ht="13.8">
      <c r="B270" s="65">
        <v>40107</v>
      </c>
      <c r="C270" s="66" t="s">
        <v>394</v>
      </c>
      <c r="D270" s="103">
        <v>0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14</v>
      </c>
    </row>
    <row r="275" spans="2:4" ht="13.8">
      <c r="B275" s="61">
        <v>50102</v>
      </c>
      <c r="C275" s="62" t="s">
        <v>399</v>
      </c>
      <c r="D275" s="101">
        <v>0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3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8</v>
      </c>
    </row>
    <row r="285" spans="2:4" ht="13.8">
      <c r="B285" s="61">
        <v>50301</v>
      </c>
      <c r="C285" s="62" t="s">
        <v>409</v>
      </c>
      <c r="D285" s="101">
        <v>112</v>
      </c>
    </row>
    <row r="286" spans="2:4" ht="13.8">
      <c r="B286" s="71">
        <v>50302</v>
      </c>
      <c r="C286" s="72" t="s">
        <v>410</v>
      </c>
      <c r="D286" s="104">
        <v>0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1</v>
      </c>
    </row>
    <row r="289" spans="2:4" ht="13.8">
      <c r="B289" s="61">
        <v>50305</v>
      </c>
      <c r="C289" s="62" t="s">
        <v>413</v>
      </c>
      <c r="D289" s="101">
        <v>4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2</v>
      </c>
    </row>
    <row r="293" spans="2:4" ht="13.8">
      <c r="B293" s="73">
        <v>60103</v>
      </c>
      <c r="C293" s="74" t="s">
        <v>417</v>
      </c>
      <c r="D293" s="94">
        <v>13</v>
      </c>
    </row>
    <row r="294" spans="2:4" ht="13.8">
      <c r="B294" s="75">
        <v>70101</v>
      </c>
      <c r="C294" s="76" t="s">
        <v>418</v>
      </c>
      <c r="D294" s="105">
        <v>247</v>
      </c>
    </row>
    <row r="295" spans="2:4" ht="13.8">
      <c r="B295" s="61">
        <v>70102</v>
      </c>
      <c r="C295" s="62" t="s">
        <v>419</v>
      </c>
      <c r="D295" s="101">
        <v>40</v>
      </c>
    </row>
    <row r="296" spans="2:4" ht="13.8">
      <c r="B296" s="75">
        <v>70103</v>
      </c>
      <c r="C296" s="76" t="s">
        <v>420</v>
      </c>
      <c r="D296" s="105">
        <v>281</v>
      </c>
    </row>
    <row r="297" spans="2:4" ht="13.8">
      <c r="B297" s="61">
        <v>70104</v>
      </c>
      <c r="C297" s="62" t="s">
        <v>421</v>
      </c>
      <c r="D297" s="101">
        <v>4768</v>
      </c>
    </row>
    <row r="298" spans="2:4" ht="13.8">
      <c r="B298" s="75">
        <v>70105</v>
      </c>
      <c r="C298" s="76" t="s">
        <v>422</v>
      </c>
      <c r="D298" s="105">
        <v>472</v>
      </c>
    </row>
    <row r="299" spans="2:4" ht="13.8">
      <c r="B299" s="61">
        <v>70106</v>
      </c>
      <c r="C299" s="62" t="s">
        <v>423</v>
      </c>
      <c r="D299" s="101">
        <v>19</v>
      </c>
    </row>
    <row r="300" spans="2:4" ht="13.8">
      <c r="B300" s="75">
        <v>70107</v>
      </c>
      <c r="C300" s="76" t="s">
        <v>424</v>
      </c>
      <c r="D300" s="105">
        <v>100</v>
      </c>
    </row>
    <row r="301" spans="2:4" ht="14.4" thickBot="1">
      <c r="B301" s="77">
        <v>70108</v>
      </c>
      <c r="C301" s="78" t="s">
        <v>425</v>
      </c>
      <c r="D301" s="106">
        <v>515</v>
      </c>
    </row>
    <row r="302" spans="2:4" ht="19.95" customHeight="1" thickBot="1">
      <c r="B302" s="79" t="s">
        <v>426</v>
      </c>
      <c r="C302" s="80"/>
      <c r="D302" s="81">
        <f>SUM(D20:D301)</f>
        <v>6999</v>
      </c>
    </row>
  </sheetData>
  <protectedRanges>
    <protectedRange password="CC15" sqref="D20:D301" name="Rango1_8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C10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'C10'!Área_de_impresión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Manager/>
  <Company>Sistema Nacional de Seguridad Pública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katya</cp:lastModifiedBy>
  <cp:revision/>
  <dcterms:created xsi:type="dcterms:W3CDTF">1999-03-11T18:07:10Z</dcterms:created>
  <dcterms:modified xsi:type="dcterms:W3CDTF">2026-06-03T17:35:32Z</dcterms:modified>
  <cp:category/>
  <cp:contentStatus/>
</cp:coreProperties>
</file>