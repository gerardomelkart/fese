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OneDrive\Documentos\REPORTE FESE 2023\REPORTE FESE Año 2026\05 Mayo FESE 2026\"/>
    </mc:Choice>
  </mc:AlternateContent>
  <xr:revisionPtr revIDLastSave="0" documentId="13_ncr:1_{1A08FFB1-DB71-4969-BDD3-325EA81534F3}" xr6:coauthVersionLast="47" xr6:coauthVersionMax="47" xr10:uidLastSave="{00000000-0000-0000-0000-000000000000}"/>
  <bookViews>
    <workbookView xWindow="28680" yWindow="1350" windowWidth="24240" windowHeight="13140" tabRatio="778" firstSheet="1" activeTab="1" xr2:uid="{00000000-000D-0000-FFFF-FFFF00000000}"/>
  </bookViews>
  <sheets>
    <sheet name="PORTADA" sheetId="1" r:id="rId1"/>
    <sheet name="PRESENTACIÓN" sheetId="2" r:id="rId2"/>
    <sheet name="RESUMEN" sheetId="7" r:id="rId3"/>
    <sheet name="INSTRUCCIONES" sheetId="3" r:id="rId4"/>
    <sheet name="C01" sheetId="4" r:id="rId5"/>
    <sheet name="Lista" sheetId="5" state="hidden" r:id="rId6"/>
    <sheet name="Datos" sheetId="6" state="hidden" r:id="rId7"/>
    <sheet name="C02" sheetId="8" r:id="rId8"/>
    <sheet name="C03" sheetId="9" r:id="rId9"/>
    <sheet name="C04" sheetId="10" r:id="rId10"/>
  </sheets>
  <definedNames>
    <definedName name="_xlnm.Print_Area" localSheetId="4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3">INSTRUCCIONES!$B$1:$O$24</definedName>
    <definedName name="_xlnm.Print_Area" localSheetId="0">PORTADA!$B$2:$K$41</definedName>
    <definedName name="_xlnm.Print_Area" localSheetId="1">PRESENTACIÓN!$B$2:$O$52</definedName>
    <definedName name="_xlnm.Print_Area" localSheetId="2">RESUMEN!$A$1:$G$22</definedName>
    <definedName name="Z_857CB3B9_618A_49FD_8D38_75EE2A4021B4_.wvu.PrintArea" localSheetId="4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3" hidden="1">INSTRUCCIONES!$B$5:$O$24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PRESENTACIÓN!$B$2:$O$52</definedName>
    <definedName name="Z_857CB3B9_618A_49FD_8D38_75EE2A4021B4_.wvu.PrintArea" localSheetId="2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7" l="1"/>
  <c r="D16" i="7"/>
  <c r="F16" i="7"/>
  <c r="E16" i="7"/>
  <c r="C16" i="7"/>
  <c r="B16" i="7"/>
  <c r="G16" i="7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/>
  <c r="D13" i="4"/>
  <c r="D12" i="4"/>
  <c r="D302" i="4"/>
  <c r="C13" i="7" l="1"/>
  <c r="E20" i="7" s="1"/>
  <c r="D20" i="7" l="1"/>
  <c r="F20" i="7"/>
  <c r="G20" i="7"/>
  <c r="B20" i="7"/>
  <c r="A20" i="7"/>
  <c r="C20" i="7"/>
</calcChain>
</file>

<file path=xl/sharedStrings.xml><?xml version="1.0" encoding="utf-8"?>
<sst xmlns="http://schemas.openxmlformats.org/spreadsheetml/2006/main" count="1360" uniqueCount="429">
  <si>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</si>
  <si>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</si>
  <si>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</si>
  <si>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</si>
  <si>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</si>
  <si>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</si>
  <si>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</si>
  <si>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</si>
  <si>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</si>
  <si>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</si>
  <si>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</si>
  <si>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</si>
  <si>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</si>
  <si>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</si>
  <si>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</si>
  <si>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</si>
  <si>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</si>
  <si>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</si>
  <si>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</si>
  <si>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</si>
  <si>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</si>
  <si>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</si>
  <si>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</si>
  <si>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</si>
  <si>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</si>
  <si>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</si>
  <si>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</si>
  <si>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</si>
  <si>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</si>
  <si>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</si>
  <si>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</si>
  <si>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</si>
  <si>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</si>
  <si>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</si>
  <si>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</si>
  <si>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</si>
  <si>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</si>
  <si>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</si>
  <si>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</si>
  <si>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</si>
  <si>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</si>
  <si>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</si>
  <si>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</si>
  <si>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</si>
  <si>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</si>
  <si>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</si>
  <si>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</si>
  <si>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</si>
  <si>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</si>
  <si>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</si>
  <si>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</si>
  <si>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</si>
  <si>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</si>
  <si>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</si>
  <si>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</si>
  <si>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</si>
  <si>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</si>
  <si>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</si>
  <si>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</si>
  <si>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</si>
  <si>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</si>
  <si>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</si>
  <si>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</si>
  <si>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</si>
  <si>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</si>
  <si>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</si>
  <si>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</si>
  <si>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</si>
  <si>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</si>
  <si>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</si>
  <si>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</si>
  <si>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</si>
  <si>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</si>
  <si>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</si>
  <si>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</si>
  <si>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</si>
  <si>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</si>
  <si>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</si>
  <si>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</si>
  <si>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</si>
  <si>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</si>
  <si>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</si>
  <si>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</si>
  <si>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</si>
  <si>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</si>
  <si>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</si>
  <si>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</si>
  <si>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</si>
  <si>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</si>
  <si>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</si>
  <si>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</si>
  <si>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</si>
  <si>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</si>
  <si>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</si>
  <si>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</si>
  <si>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</si>
  <si>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</si>
  <si>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</si>
  <si>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</si>
  <si>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</si>
  <si>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</si>
  <si>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</si>
  <si>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</si>
  <si>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</si>
  <si>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</si>
  <si>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</si>
  <si>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</si>
  <si>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</si>
  <si>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</si>
  <si>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</si>
  <si>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</si>
  <si>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</si>
  <si>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</si>
  <si>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</si>
  <si>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</si>
  <si>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</si>
  <si>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</si>
  <si>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</si>
  <si>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</si>
  <si>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</si>
  <si>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</si>
  <si>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</si>
  <si>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</si>
  <si>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</si>
  <si>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</si>
  <si>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</si>
  <si>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</si>
  <si>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</si>
  <si>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</si>
  <si>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</si>
  <si>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</si>
  <si>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</si>
  <si>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</si>
  <si>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</si>
  <si>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</si>
  <si>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</si>
  <si>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</si>
  <si>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</si>
  <si>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</si>
  <si>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</si>
  <si>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</si>
  <si>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</si>
  <si>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</si>
  <si>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</si>
  <si>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</si>
  <si>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</si>
  <si>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</si>
  <si>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</si>
  <si>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</si>
  <si>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</si>
  <si>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</si>
  <si>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</si>
  <si>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</si>
  <si>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</si>
  <si>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</si>
  <si>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</si>
  <si>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</si>
  <si>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</si>
  <si>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</si>
  <si>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</si>
  <si>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</si>
  <si>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</si>
  <si>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</si>
  <si>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</si>
  <si>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</si>
  <si>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</si>
  <si>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</si>
  <si>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</si>
  <si>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</si>
  <si>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</si>
  <si>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</si>
  <si>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</si>
  <si>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</si>
  <si>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</si>
  <si>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</si>
  <si>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</si>
  <si>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</si>
  <si>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</si>
  <si>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</si>
  <si>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</si>
  <si>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</si>
  <si>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</si>
  <si>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</si>
  <si>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</si>
  <si>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</si>
  <si>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</si>
  <si>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</si>
  <si>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</si>
  <si>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</si>
  <si>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</si>
  <si>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</si>
  <si>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</si>
  <si>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</si>
  <si>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</si>
  <si>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</si>
  <si>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</si>
  <si>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</si>
  <si>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</si>
  <si>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</si>
  <si>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</si>
  <si>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</si>
  <si>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</si>
  <si>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</si>
  <si>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</si>
  <si>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</si>
  <si>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</si>
  <si>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</si>
  <si>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</si>
  <si>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</si>
  <si>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</si>
  <si>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</si>
  <si>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</si>
  <si>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</si>
  <si>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</si>
  <si>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</si>
  <si>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</si>
  <si>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</si>
  <si>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</si>
  <si>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</si>
  <si>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</si>
  <si>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</si>
  <si>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</si>
  <si>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</si>
  <si>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</si>
  <si>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</si>
  <si>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</si>
  <si>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</si>
  <si>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</si>
  <si>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</si>
  <si>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</si>
  <si>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</si>
  <si>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</si>
  <si>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</si>
  <si>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</si>
  <si>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</si>
  <si>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</si>
  <si>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</si>
  <si>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</si>
  <si>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</si>
  <si>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</si>
  <si>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</si>
  <si>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</si>
  <si>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</si>
  <si>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</si>
  <si>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</si>
  <si>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</si>
  <si>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</si>
  <si>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</si>
  <si>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</si>
  <si>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</si>
  <si>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</si>
  <si>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</si>
  <si>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</si>
  <si>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</si>
  <si>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</si>
  <si>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</si>
  <si>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</si>
  <si>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</si>
  <si>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</si>
  <si>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</si>
  <si>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</si>
  <si>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</si>
  <si>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</si>
  <si>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</si>
  <si>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</si>
  <si>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</si>
  <si>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</si>
  <si>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</si>
  <si>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</si>
  <si>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</si>
  <si>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</si>
  <si>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</si>
  <si>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</si>
  <si>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</si>
  <si>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</si>
  <si>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</si>
  <si>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</si>
  <si>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</si>
  <si>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</si>
  <si>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</si>
  <si>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</si>
  <si>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</si>
  <si>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</si>
  <si>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</si>
  <si>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</si>
  <si>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</si>
  <si>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</si>
  <si>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</si>
  <si>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</si>
  <si>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</si>
  <si>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</si>
  <si>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</si>
  <si>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</si>
  <si>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</si>
  <si>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</si>
  <si>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</si>
  <si>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</si>
  <si>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</si>
  <si>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</si>
  <si>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</si>
  <si>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</si>
  <si>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</si>
  <si>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</si>
  <si>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</si>
  <si>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</si>
  <si>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</si>
  <si>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</si>
  <si>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</si>
  <si>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</si>
  <si>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</si>
  <si>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</si>
  <si>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</si>
  <si>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</si>
  <si>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</si>
  <si>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</si>
  <si>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</si>
  <si>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</si>
  <si>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</si>
  <si>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</si>
  <si>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</si>
  <si>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</si>
  <si>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</si>
  <si>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</si>
  <si>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</si>
  <si>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</si>
  <si>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</si>
  <si>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</si>
  <si>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</si>
  <si>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</si>
  <si>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</si>
  <si>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</si>
  <si>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</si>
  <si>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</si>
  <si>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</si>
  <si>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</si>
  <si>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</si>
  <si>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</si>
  <si>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</si>
  <si>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</si>
  <si>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</si>
  <si>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</si>
  <si>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</si>
  <si>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</si>
  <si>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</si>
  <si>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</si>
  <si>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</si>
  <si>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</si>
  <si>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</si>
  <si>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</si>
  <si>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</si>
  <si>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</si>
  <si>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</si>
  <si>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</si>
  <si>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</si>
  <si>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</si>
  <si>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</si>
  <si>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</si>
  <si>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</si>
  <si>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</si>
  <si>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</si>
  <si>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</si>
  <si>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</si>
  <si>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</si>
  <si>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</si>
  <si>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</si>
  <si>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</si>
  <si>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</si>
  <si>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</si>
  <si>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</si>
  <si>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</si>
  <si>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</si>
  <si>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</si>
  <si>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</si>
  <si>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</si>
  <si>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</si>
  <si>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</si>
  <si>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</si>
  <si>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</si>
  <si>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</si>
  <si>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</si>
  <si>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</si>
  <si>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</si>
  <si>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</si>
  <si>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</si>
  <si>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</si>
  <si>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</si>
  <si>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</si>
  <si>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</si>
  <si>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</si>
  <si>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</si>
  <si>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</si>
  <si>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</si>
  <si>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</si>
  <si>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</si>
  <si>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</si>
  <si>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</si>
  <si>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</si>
  <si>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</si>
  <si>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</si>
  <si>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</si>
  <si>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</si>
  <si>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</si>
  <si>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</si>
  <si>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</si>
  <si>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</si>
  <si>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</si>
  <si>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</si>
  <si>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</si>
  <si>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</si>
  <si>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</si>
  <si>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</si>
  <si>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</si>
  <si>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</si>
  <si>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</si>
  <si>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</si>
  <si>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</si>
  <si>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</si>
  <si>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</si>
  <si>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</si>
  <si>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</si>
  <si>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</si>
  <si>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</si>
  <si>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</si>
  <si>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</si>
  <si>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Quintana Roo</t>
  </si>
  <si>
    <t>Subcentro C4 Cancun</t>
  </si>
  <si>
    <t>Subcentro C4 Playa del Carmen</t>
  </si>
  <si>
    <t>C4 Cozumel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</si>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</sst>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thin">
        <color theme="0" tint="-0.14996795556505021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1" fillId="0" borderId="0" applyFont="0" applyFill="0" applyBorder="0" applyAlignment="0" applyProtection="0"/>
  </cellStyleXfs>
  <cellXfs count="146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4" fillId="6" borderId="0" xfId="6" applyFont="1" applyFill="1" applyAlignment="1">
      <alignment vertical="top"/>
    </xf>
    <xf numFmtId="0" fontId="29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19" fillId="2" borderId="0" xfId="8" applyFont="1" applyFill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8" fillId="2" borderId="0" xfId="0" applyFont="1" applyFill="1"/>
    <xf numFmtId="0" fontId="5" fillId="2" borderId="0" xfId="8" applyFill="1"/>
    <xf numFmtId="165" fontId="20" fillId="2" borderId="0" xfId="1" applyNumberFormat="1" applyFont="1" applyFill="1" applyBorder="1" applyAlignment="1"/>
    <xf numFmtId="0" fontId="34" fillId="2" borderId="0" xfId="7" applyFont="1" applyFill="1" applyAlignment="1" applyProtection="1">
      <alignment horizontal="center" vertical="top" wrapText="1"/>
      <protection hidden="1"/>
    </xf>
    <xf numFmtId="46" fontId="37" fillId="2" borderId="0" xfId="0" applyNumberFormat="1" applyFont="1" applyFill="1" applyAlignment="1">
      <alignment horizontal="center" vertical="center" wrapText="1"/>
    </xf>
    <xf numFmtId="21" fontId="37" fillId="2" borderId="0" xfId="0" applyNumberFormat="1" applyFont="1" applyFill="1" applyAlignment="1">
      <alignment horizontal="center" vertical="center" wrapText="1"/>
    </xf>
    <xf numFmtId="0" fontId="20" fillId="2" borderId="0" xfId="8" applyFont="1" applyFill="1" applyAlignment="1">
      <alignment horizontal="right" wrapText="1" indent="1"/>
    </xf>
    <xf numFmtId="0" fontId="19" fillId="2" borderId="0" xfId="8" applyFont="1" applyFill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0" fillId="0" borderId="0" xfId="2" applyFont="1" applyAlignment="1">
      <alignment horizontal="right"/>
    </xf>
    <xf numFmtId="0" fontId="36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Border="1" applyAlignment="1">
      <alignment horizontal="left" wrapText="1" indent="3"/>
    </xf>
    <xf numFmtId="0" fontId="21" fillId="5" borderId="6" xfId="8" applyFont="1" applyFill="1" applyBorder="1" applyAlignment="1">
      <alignment horizontal="center" wrapText="1"/>
    </xf>
    <xf numFmtId="0" fontId="21" fillId="5" borderId="9" xfId="8" applyFont="1" applyFill="1" applyBorder="1" applyAlignment="1">
      <alignment horizontal="left" wrapText="1" indent="6"/>
    </xf>
    <xf numFmtId="0" fontId="21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1" fillId="2" borderId="1" xfId="8" applyFont="1" applyFill="1" applyBorder="1" applyAlignment="1">
      <alignment horizontal="center" wrapText="1"/>
    </xf>
    <xf numFmtId="0" fontId="39" fillId="6" borderId="1" xfId="8" applyFont="1" applyFill="1" applyBorder="1" applyAlignment="1">
      <alignment horizontal="center" wrapText="1"/>
    </xf>
    <xf numFmtId="9" fontId="37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3" fillId="11" borderId="17" xfId="8" applyFont="1" applyFill="1" applyBorder="1" applyAlignment="1">
      <alignment horizontal="center" vertical="center"/>
    </xf>
    <xf numFmtId="0" fontId="43" fillId="11" borderId="18" xfId="8" applyFont="1" applyFill="1" applyBorder="1" applyAlignment="1">
      <alignment horizontal="left" vertical="center" indent="1"/>
    </xf>
    <xf numFmtId="0" fontId="43" fillId="11" borderId="13" xfId="8" applyFont="1" applyFill="1" applyBorder="1" applyAlignment="1" applyProtection="1">
      <alignment horizontal="center" vertical="center"/>
      <protection locked="0"/>
    </xf>
    <xf numFmtId="0" fontId="43" fillId="12" borderId="17" xfId="8" applyFont="1" applyFill="1" applyBorder="1" applyAlignment="1">
      <alignment horizontal="center" vertical="center"/>
    </xf>
    <xf numFmtId="0" fontId="43" fillId="12" borderId="18" xfId="8" applyFont="1" applyFill="1" applyBorder="1" applyAlignment="1">
      <alignment horizontal="left" vertical="center" indent="1"/>
    </xf>
    <xf numFmtId="0" fontId="43" fillId="12" borderId="13" xfId="8" applyFont="1" applyFill="1" applyBorder="1" applyAlignment="1" applyProtection="1">
      <alignment horizontal="center" vertical="center"/>
      <protection locked="0"/>
    </xf>
    <xf numFmtId="0" fontId="43" fillId="9" borderId="11" xfId="8" applyFont="1" applyFill="1" applyBorder="1" applyAlignment="1">
      <alignment horizontal="center" vertical="center"/>
    </xf>
    <xf numFmtId="0" fontId="43" fillId="9" borderId="12" xfId="8" applyFont="1" applyFill="1" applyBorder="1" applyAlignment="1">
      <alignment horizontal="left" vertical="center" indent="1"/>
    </xf>
    <xf numFmtId="0" fontId="43" fillId="9" borderId="13" xfId="8" applyFont="1" applyFill="1" applyBorder="1" applyAlignment="1" applyProtection="1">
      <alignment horizontal="center" vertical="center"/>
      <protection locked="0"/>
    </xf>
    <xf numFmtId="167" fontId="43" fillId="10" borderId="15" xfId="8" applyNumberFormat="1" applyFont="1" applyFill="1" applyBorder="1" applyAlignment="1">
      <alignment horizontal="center" vertical="top"/>
    </xf>
    <xf numFmtId="0" fontId="43" fillId="10" borderId="16" xfId="8" applyFont="1" applyFill="1" applyBorder="1" applyAlignment="1">
      <alignment horizontal="left" vertical="top" indent="1"/>
    </xf>
    <xf numFmtId="0" fontId="43" fillId="10" borderId="13" xfId="8" applyFont="1" applyFill="1" applyBorder="1" applyAlignment="1" applyProtection="1">
      <alignment horizontal="center"/>
      <protection locked="0"/>
    </xf>
    <xf numFmtId="0" fontId="43" fillId="13" borderId="17" xfId="8" applyFont="1" applyFill="1" applyBorder="1" applyAlignment="1">
      <alignment horizontal="center" vertical="center"/>
    </xf>
    <xf numFmtId="0" fontId="43" fillId="13" borderId="18" xfId="8" applyFont="1" applyFill="1" applyBorder="1" applyAlignment="1">
      <alignment horizontal="left" vertical="center" indent="1"/>
    </xf>
    <xf numFmtId="0" fontId="43" fillId="13" borderId="13" xfId="8" applyFont="1" applyFill="1" applyBorder="1" applyAlignment="1" applyProtection="1">
      <alignment horizontal="center" vertical="center"/>
      <protection locked="0"/>
    </xf>
    <xf numFmtId="0" fontId="43" fillId="14" borderId="17" xfId="8" applyFont="1" applyFill="1" applyBorder="1" applyAlignment="1">
      <alignment horizontal="center" vertical="center"/>
    </xf>
    <xf numFmtId="0" fontId="43" fillId="14" borderId="18" xfId="8" applyFont="1" applyFill="1" applyBorder="1" applyAlignment="1">
      <alignment horizontal="left" vertical="center" indent="1"/>
    </xf>
    <xf numFmtId="0" fontId="43" fillId="14" borderId="13" xfId="8" applyFont="1" applyFill="1" applyBorder="1" applyAlignment="1" applyProtection="1">
      <alignment horizontal="center" vertical="center"/>
      <protection locked="0"/>
    </xf>
    <xf numFmtId="0" fontId="43" fillId="15" borderId="17" xfId="8" applyFont="1" applyFill="1" applyBorder="1" applyAlignment="1">
      <alignment horizontal="center" vertical="center"/>
    </xf>
    <xf numFmtId="0" fontId="43" fillId="15" borderId="18" xfId="8" applyFont="1" applyFill="1" applyBorder="1" applyAlignment="1">
      <alignment horizontal="left" vertical="center" indent="1"/>
    </xf>
    <xf numFmtId="0" fontId="43" fillId="15" borderId="13" xfId="8" applyFont="1" applyFill="1" applyBorder="1" applyAlignment="1" applyProtection="1">
      <alignment horizontal="center" vertical="center"/>
      <protection locked="0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21" fillId="5" borderId="22" xfId="8" applyFont="1" applyFill="1" applyBorder="1" applyAlignment="1">
      <alignment horizontal="center" wrapText="1"/>
    </xf>
    <xf numFmtId="0" fontId="21" fillId="5" borderId="23" xfId="8" applyFont="1" applyFill="1" applyBorder="1" applyAlignment="1">
      <alignment horizontal="left" wrapText="1"/>
    </xf>
    <xf numFmtId="0" fontId="21" fillId="5" borderId="23" xfId="8" applyFont="1" applyFill="1" applyBorder="1" applyAlignment="1">
      <alignment horizontal="center" wrapText="1"/>
    </xf>
    <xf numFmtId="0" fontId="21" fillId="2" borderId="0" xfId="8" applyFont="1" applyFill="1" applyAlignment="1">
      <alignment horizontal="center" wrapText="1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4" xfId="8" applyFont="1" applyFill="1" applyBorder="1" applyAlignment="1" applyProtection="1">
      <alignment horizontal="center" vertical="center"/>
      <protection locked="0"/>
    </xf>
    <xf numFmtId="3" fontId="43" fillId="14" borderId="13" xfId="8" applyNumberFormat="1" applyFont="1" applyFill="1" applyBorder="1" applyAlignment="1" applyProtection="1">
      <alignment horizontal="center" vertical="center"/>
      <protection locked="0"/>
    </xf>
    <xf numFmtId="3" fontId="43" fillId="15" borderId="13" xfId="8" applyNumberFormat="1" applyFont="1" applyFill="1" applyBorder="1" applyAlignment="1" applyProtection="1">
      <alignment horizontal="center" vertical="center"/>
      <protection locked="0"/>
    </xf>
    <xf numFmtId="3" fontId="7" fillId="8" borderId="13" xfId="8" applyNumberFormat="1" applyFont="1" applyFill="1" applyBorder="1" applyAlignment="1" applyProtection="1">
      <alignment horizontal="center" vertical="center"/>
      <protection locked="0"/>
    </xf>
    <xf numFmtId="3" fontId="7" fillId="8" borderId="21" xfId="8" applyNumberFormat="1" applyFont="1" applyFill="1" applyBorder="1" applyAlignment="1" applyProtection="1">
      <alignment horizontal="center" vertical="center"/>
      <protection locked="0"/>
    </xf>
    <xf numFmtId="3" fontId="43" fillId="13" borderId="13" xfId="8" applyNumberFormat="1" applyFont="1" applyFill="1" applyBorder="1" applyAlignment="1" applyProtection="1">
      <alignment horizontal="center" vertical="center"/>
      <protection locked="0"/>
    </xf>
    <xf numFmtId="3" fontId="27" fillId="9" borderId="24" xfId="8" applyNumberFormat="1" applyFont="1" applyFill="1" applyBorder="1" applyAlignment="1" applyProtection="1">
      <alignment horizontal="center" vertical="center"/>
      <protection locked="0"/>
    </xf>
    <xf numFmtId="3" fontId="4" fillId="8" borderId="14" xfId="8" applyNumberFormat="1" applyFont="1" applyFill="1" applyBorder="1" applyAlignment="1" applyProtection="1">
      <alignment horizontal="center" vertical="center"/>
      <protection locked="0"/>
    </xf>
    <xf numFmtId="3" fontId="27" fillId="9" borderId="13" xfId="8" applyNumberFormat="1" applyFont="1" applyFill="1" applyBorder="1" applyAlignment="1" applyProtection="1">
      <alignment horizontal="center" vertical="center"/>
      <protection locked="0"/>
    </xf>
    <xf numFmtId="3" fontId="27" fillId="10" borderId="13" xfId="8" applyNumberFormat="1" applyFont="1" applyFill="1" applyBorder="1" applyAlignment="1" applyProtection="1">
      <alignment horizontal="center"/>
      <protection locked="0"/>
    </xf>
    <xf numFmtId="3" fontId="4" fillId="8" borderId="13" xfId="8" applyNumberFormat="1" applyFont="1" applyFill="1" applyBorder="1" applyAlignment="1" applyProtection="1">
      <alignment horizontal="center" vertical="center"/>
      <protection locked="0"/>
    </xf>
    <xf numFmtId="3" fontId="27" fillId="11" borderId="13" xfId="8" applyNumberFormat="1" applyFont="1" applyFill="1" applyBorder="1" applyAlignment="1" applyProtection="1">
      <alignment horizontal="center" vertical="center"/>
      <protection locked="0"/>
    </xf>
    <xf numFmtId="3" fontId="27" fillId="12" borderId="13" xfId="8" applyNumberFormat="1" applyFont="1" applyFill="1" applyBorder="1" applyAlignment="1" applyProtection="1">
      <alignment horizontal="center" vertical="center"/>
      <protection locked="0"/>
    </xf>
    <xf numFmtId="3" fontId="27" fillId="13" borderId="13" xfId="8" applyNumberFormat="1" applyFont="1" applyFill="1" applyBorder="1" applyAlignment="1" applyProtection="1">
      <alignment horizontal="center" vertical="center"/>
      <protection locked="0"/>
    </xf>
    <xf numFmtId="3" fontId="27" fillId="14" borderId="13" xfId="8" applyNumberFormat="1" applyFont="1" applyFill="1" applyBorder="1" applyAlignment="1" applyProtection="1">
      <alignment horizontal="center" vertical="center"/>
      <protection locked="0"/>
    </xf>
    <xf numFmtId="3" fontId="27" fillId="15" borderId="13" xfId="8" applyNumberFormat="1" applyFont="1" applyFill="1" applyBorder="1" applyAlignment="1" applyProtection="1">
      <alignment horizontal="center" vertical="center"/>
      <protection locked="0"/>
    </xf>
    <xf numFmtId="3" fontId="4" fillId="8" borderId="21" xfId="8" applyNumberFormat="1" applyFont="1" applyFill="1" applyBorder="1" applyAlignment="1" applyProtection="1">
      <alignment horizontal="center" vertical="center"/>
      <protection locked="0"/>
    </xf>
    <xf numFmtId="0" fontId="5" fillId="0" borderId="0" xfId="8" applyAlignment="1">
      <alignment horizontal="center"/>
    </xf>
    <xf numFmtId="0" fontId="23" fillId="0" borderId="3" xfId="8" applyFont="1" applyBorder="1" applyAlignment="1">
      <alignment horizontal="right" wrapText="1" indent="2"/>
    </xf>
    <xf numFmtId="0" fontId="23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0" fontId="27" fillId="7" borderId="0" xfId="0" applyFont="1" applyFill="1" applyAlignment="1">
      <alignment horizontal="center" vertical="center" wrapText="1"/>
    </xf>
    <xf numFmtId="165" fontId="35" fillId="0" borderId="0" xfId="1" applyNumberFormat="1" applyFont="1" applyBorder="1" applyAlignment="1" applyProtection="1">
      <alignment horizontal="center"/>
    </xf>
    <xf numFmtId="0" fontId="21" fillId="5" borderId="5" xfId="8" applyFont="1" applyFill="1" applyBorder="1" applyAlignment="1">
      <alignment horizontal="center" wrapText="1"/>
    </xf>
    <xf numFmtId="0" fontId="21" fillId="5" borderId="4" xfId="8" applyFont="1" applyFill="1" applyBorder="1" applyAlignment="1">
      <alignment horizontal="center" wrapText="1"/>
    </xf>
    <xf numFmtId="0" fontId="21" fillId="5" borderId="7" xfId="8" applyFont="1" applyFill="1" applyBorder="1" applyAlignment="1">
      <alignment horizontal="center" wrapText="1"/>
    </xf>
    <xf numFmtId="0" fontId="23" fillId="0" borderId="5" xfId="8" applyFont="1" applyBorder="1" applyAlignment="1">
      <alignment horizontal="right" wrapText="1" indent="2"/>
    </xf>
    <xf numFmtId="0" fontId="23" fillId="0" borderId="7" xfId="8" applyFont="1" applyBorder="1" applyAlignment="1">
      <alignment horizontal="right" wrapText="1" indent="2"/>
    </xf>
    <xf numFmtId="0" fontId="26" fillId="0" borderId="0" xfId="2" applyFont="1" applyAlignment="1">
      <alignment horizontal="center" vertical="center" wrapText="1"/>
    </xf>
    <xf numFmtId="0" fontId="24" fillId="0" borderId="0" xfId="2" applyFont="1" applyAlignment="1">
      <alignment horizontal="center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8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1" fillId="0" borderId="0" xfId="7" applyFont="1" applyAlignment="1">
      <alignment horizontal="center" vertical="top" wrapText="1"/>
    </xf>
    <xf numFmtId="0" fontId="33" fillId="0" borderId="0" xfId="6" applyFont="1" applyAlignment="1">
      <alignment horizontal="center" vertical="top" wrapText="1"/>
    </xf>
    <xf numFmtId="165" fontId="5" fillId="2" borderId="0" xfId="1" applyNumberFormat="1" applyFont="1" applyFill="1" applyBorder="1" applyAlignment="1">
      <alignment horizontal="center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2" fillId="0" borderId="0" xfId="6" applyFont="1" applyAlignment="1">
      <alignment horizontal="left" vertical="top" wrapText="1"/>
    </xf>
    <xf numFmtId="0" fontId="29" fillId="6" borderId="0" xfId="6" applyFont="1" applyFill="1" applyAlignment="1">
      <alignment horizontal="left" vertical="top"/>
    </xf>
    <xf numFmtId="0" fontId="29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3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</cellXfs>
  <cellStyles count="10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_Zac ene 6 del 2000" xfId="7" xr:uid="{00000000-0005-0000-0000-000008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514350</xdr:colOff>
      <xdr:row>1</xdr:row>
      <xdr:rowOff>104775</xdr:rowOff>
    </xdr:from>
    <xdr:to>
      <xdr:col>10</xdr:col>
      <xdr:colOff>78043</xdr:colOff>
      <xdr:row>6</xdr:row>
      <xdr:rowOff>171450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29527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560916</xdr:colOff>
      <xdr:row>1</xdr:row>
      <xdr:rowOff>116416</xdr:rowOff>
    </xdr:from>
    <xdr:to>
      <xdr:col>12</xdr:col>
      <xdr:colOff>21166</xdr:colOff>
      <xdr:row>5</xdr:row>
      <xdr:rowOff>157691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3666" y="359833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28575</xdr:rowOff>
    </xdr:from>
    <xdr:to>
      <xdr:col>5</xdr:col>
      <xdr:colOff>1275979</xdr:colOff>
      <xdr:row>3</xdr:row>
      <xdr:rowOff>96035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28575"/>
          <a:ext cx="7806319" cy="12657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0</xdr:row>
      <xdr:rowOff>76200</xdr:rowOff>
    </xdr:from>
    <xdr:to>
      <xdr:col>13</xdr:col>
      <xdr:colOff>573682</xdr:colOff>
      <xdr:row>6</xdr:row>
      <xdr:rowOff>76200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975" y="76200"/>
          <a:ext cx="9041407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485775</xdr:colOff>
      <xdr:row>0</xdr:row>
      <xdr:rowOff>76200</xdr:rowOff>
    </xdr:from>
    <xdr:to>
      <xdr:col>3</xdr:col>
      <xdr:colOff>1771015</xdr:colOff>
      <xdr:row>4</xdr:row>
      <xdr:rowOff>173593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3525" y="76200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66675</xdr:rowOff>
    </xdr:from>
    <xdr:to>
      <xdr:col>3</xdr:col>
      <xdr:colOff>1959610</xdr:colOff>
      <xdr:row>4</xdr:row>
      <xdr:rowOff>171688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666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676275</xdr:colOff>
      <xdr:row>0</xdr:row>
      <xdr:rowOff>114300</xdr:rowOff>
    </xdr:from>
    <xdr:to>
      <xdr:col>3</xdr:col>
      <xdr:colOff>1965325</xdr:colOff>
      <xdr:row>4</xdr:row>
      <xdr:rowOff>207883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114300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0</xdr:row>
      <xdr:rowOff>76200</xdr:rowOff>
    </xdr:from>
    <xdr:to>
      <xdr:col>3</xdr:col>
      <xdr:colOff>1809115</xdr:colOff>
      <xdr:row>4</xdr:row>
      <xdr:rowOff>173593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7620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A6" zoomScaleNormal="70" zoomScaleSheetLayoutView="10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124"/>
      <c r="G8" s="124"/>
    </row>
    <row r="12" spans="2:11">
      <c r="B12" s="123" t="s">
        <v>262</v>
      </c>
      <c r="C12" s="123"/>
      <c r="D12" s="123"/>
      <c r="E12" s="123"/>
      <c r="F12" s="123"/>
      <c r="G12" s="123"/>
      <c r="H12" s="123"/>
      <c r="I12" s="123"/>
      <c r="J12" s="123"/>
      <c r="K12" s="123"/>
    </row>
    <row r="13" spans="2:11">
      <c r="B13" s="123"/>
      <c r="C13" s="123"/>
      <c r="D13" s="123"/>
      <c r="E13" s="123"/>
      <c r="F13" s="123"/>
      <c r="G13" s="123"/>
      <c r="H13" s="123"/>
      <c r="I13" s="123"/>
      <c r="J13" s="123"/>
      <c r="K13" s="123"/>
    </row>
    <row r="14" spans="2:11" ht="15" customHeight="1">
      <c r="B14" s="123"/>
      <c r="C14" s="123"/>
      <c r="D14" s="123"/>
      <c r="E14" s="123"/>
      <c r="F14" s="123"/>
      <c r="G14" s="123"/>
      <c r="H14" s="123"/>
      <c r="I14" s="123"/>
      <c r="J14" s="123"/>
      <c r="K14" s="123"/>
    </row>
    <row r="15" spans="2:11" ht="15" customHeight="1">
      <c r="B15" s="123"/>
      <c r="C15" s="123"/>
      <c r="D15" s="123"/>
      <c r="E15" s="123"/>
      <c r="F15" s="123"/>
      <c r="G15" s="123"/>
      <c r="H15" s="123"/>
      <c r="I15" s="123"/>
      <c r="J15" s="123"/>
      <c r="K15" s="123"/>
    </row>
    <row r="16" spans="2:11" ht="15" customHeight="1">
      <c r="B16" s="123"/>
      <c r="C16" s="123"/>
      <c r="D16" s="123"/>
      <c r="E16" s="123"/>
      <c r="F16" s="123"/>
      <c r="G16" s="123"/>
      <c r="H16" s="123"/>
      <c r="I16" s="123"/>
      <c r="J16" s="123"/>
      <c r="K16" s="123"/>
    </row>
    <row r="17" spans="2:11" ht="15" customHeight="1">
      <c r="B17" s="123"/>
      <c r="C17" s="123"/>
      <c r="D17" s="123"/>
      <c r="E17" s="123"/>
      <c r="F17" s="123"/>
      <c r="G17" s="123"/>
      <c r="H17" s="123"/>
      <c r="I17" s="123"/>
      <c r="J17" s="123"/>
      <c r="K17" s="123"/>
    </row>
    <row r="18" spans="2:11" ht="15" customHeight="1">
      <c r="B18" s="123"/>
      <c r="C18" s="123"/>
      <c r="D18" s="123"/>
      <c r="E18" s="123"/>
      <c r="F18" s="123"/>
      <c r="G18" s="123"/>
      <c r="H18" s="123"/>
      <c r="I18" s="123"/>
      <c r="J18" s="123"/>
      <c r="K18" s="123"/>
    </row>
    <row r="19" spans="2:11" ht="15" customHeight="1">
      <c r="B19" s="123"/>
      <c r="C19" s="123"/>
      <c r="D19" s="123"/>
      <c r="E19" s="123"/>
      <c r="F19" s="123"/>
      <c r="G19" s="123"/>
      <c r="H19" s="123"/>
      <c r="I19" s="123"/>
      <c r="J19" s="123"/>
      <c r="K19" s="123"/>
    </row>
    <row r="20" spans="2:11" ht="15" customHeight="1">
      <c r="B20" s="123"/>
      <c r="C20" s="123"/>
      <c r="D20" s="123"/>
      <c r="E20" s="123"/>
      <c r="F20" s="123"/>
      <c r="G20" s="123"/>
      <c r="H20" s="123"/>
      <c r="I20" s="123"/>
      <c r="J20" s="123"/>
      <c r="K20" s="123"/>
    </row>
    <row r="21" spans="2:11" ht="15" customHeight="1">
      <c r="B21" s="123"/>
      <c r="C21" s="123"/>
      <c r="D21" s="123"/>
      <c r="E21" s="123"/>
      <c r="F21" s="123"/>
      <c r="G21" s="123"/>
      <c r="H21" s="123"/>
      <c r="I21" s="123"/>
      <c r="J21" s="123"/>
      <c r="K21" s="123"/>
    </row>
    <row r="22" spans="2:11" ht="15" customHeight="1">
      <c r="B22" s="123"/>
      <c r="C22" s="123"/>
      <c r="D22" s="123"/>
      <c r="E22" s="123"/>
      <c r="F22" s="123"/>
      <c r="G22" s="123"/>
      <c r="H22" s="123"/>
      <c r="I22" s="123"/>
      <c r="J22" s="123"/>
      <c r="K22" s="123"/>
    </row>
    <row r="23" spans="2:11" ht="15" customHeight="1">
      <c r="B23" s="123"/>
      <c r="C23" s="123"/>
      <c r="D23" s="123"/>
      <c r="E23" s="123"/>
      <c r="F23" s="123"/>
      <c r="G23" s="123"/>
      <c r="H23" s="123"/>
      <c r="I23" s="123"/>
      <c r="J23" s="123"/>
      <c r="K23" s="123"/>
    </row>
    <row r="24" spans="2:11" ht="15" customHeight="1">
      <c r="B24" s="123"/>
      <c r="C24" s="123"/>
      <c r="D24" s="123"/>
      <c r="E24" s="123"/>
      <c r="F24" s="123"/>
      <c r="G24" s="123"/>
      <c r="H24" s="123"/>
      <c r="I24" s="123"/>
      <c r="J24" s="123"/>
      <c r="K24" s="123"/>
    </row>
    <row r="25" spans="2:11" ht="15" customHeight="1">
      <c r="B25" s="123"/>
      <c r="C25" s="123"/>
      <c r="D25" s="123"/>
      <c r="E25" s="123"/>
      <c r="F25" s="123"/>
      <c r="G25" s="123"/>
      <c r="H25" s="123"/>
      <c r="I25" s="123"/>
      <c r="J25" s="123"/>
      <c r="K25" s="123"/>
    </row>
    <row r="26" spans="2:11" ht="15" customHeight="1">
      <c r="B26" s="123"/>
      <c r="C26" s="123"/>
      <c r="D26" s="123"/>
      <c r="E26" s="123"/>
      <c r="F26" s="123"/>
      <c r="G26" s="123"/>
      <c r="H26" s="123"/>
      <c r="I26" s="123"/>
      <c r="J26" s="123"/>
      <c r="K26" s="123"/>
    </row>
    <row r="27" spans="2:11" ht="15" customHeight="1">
      <c r="B27" s="123"/>
      <c r="C27" s="123"/>
      <c r="D27" s="123"/>
      <c r="E27" s="123"/>
      <c r="F27" s="123"/>
      <c r="G27" s="123"/>
      <c r="H27" s="123"/>
      <c r="I27" s="123"/>
      <c r="J27" s="123"/>
      <c r="K27" s="123"/>
    </row>
    <row r="28" spans="2:11" ht="15" customHeight="1">
      <c r="B28" s="123"/>
      <c r="C28" s="123"/>
      <c r="D28" s="123"/>
      <c r="E28" s="123"/>
      <c r="F28" s="123"/>
      <c r="G28" s="123"/>
      <c r="H28" s="123"/>
      <c r="I28" s="123"/>
      <c r="J28" s="123"/>
      <c r="K28" s="123"/>
    </row>
    <row r="29" spans="2:11" ht="15" customHeight="1">
      <c r="B29" s="123"/>
      <c r="C29" s="123"/>
      <c r="D29" s="123"/>
      <c r="E29" s="123"/>
      <c r="F29" s="123"/>
      <c r="G29" s="123"/>
      <c r="H29" s="123"/>
      <c r="I29" s="123"/>
      <c r="J29" s="123"/>
      <c r="K29" s="123"/>
    </row>
    <row r="30" spans="2:11" ht="15" customHeight="1">
      <c r="B30" s="123"/>
      <c r="C30" s="123"/>
      <c r="D30" s="123"/>
      <c r="E30" s="123"/>
      <c r="F30" s="123"/>
      <c r="G30" s="123"/>
      <c r="H30" s="123"/>
      <c r="I30" s="123"/>
      <c r="J30" s="123"/>
      <c r="K30" s="123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2022</v>
      </c>
    </row>
  </sheetData>
  <sheetProtection algorithmName="SHA-512" hashValue="3mn5R6l5X1POw7d62udJ5FSfJo4q5VIUDaku3WOz66EORWjU4V246z5gKUsFVAOTs1g5CKT6Q3Ee49QETVIKDA==" saltValue="K/T22d+eqP8reR+MeQ4F8w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tabSelected="1" view="pageBreakPreview" zoomScale="90" zoomScaleNormal="80" zoomScaleSheetLayoutView="90" workbookViewId="0">
      <selection activeCell="R6" sqref="R6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29" t="s">
        <v>0</v>
      </c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</row>
    <row r="8" spans="2:30">
      <c r="B8" s="130" t="s">
        <v>55</v>
      </c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</row>
    <row r="9" spans="2:30" s="10" customFormat="1" ht="60.75" customHeight="1">
      <c r="B9" s="131" t="s">
        <v>234</v>
      </c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</row>
    <row r="10" spans="2:30" ht="23.25">
      <c r="B10" s="133" t="s">
        <v>261</v>
      </c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</row>
    <row r="12" spans="2:30">
      <c r="B12" s="128" t="s">
        <v>56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</row>
    <row r="13" spans="2:30" ht="15" customHeight="1">
      <c r="B13" s="126" t="s">
        <v>66</v>
      </c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</row>
    <row r="14" spans="2:30" ht="15" customHeight="1"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</row>
    <row r="15" spans="2:30" ht="15" customHeight="1"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</row>
    <row r="17" spans="2:30" ht="18.75" customHeight="1">
      <c r="B17" s="127" t="s">
        <v>58</v>
      </c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</row>
    <row r="18" spans="2:30" ht="18.75" customHeight="1">
      <c r="B18" s="126" t="s">
        <v>67</v>
      </c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</row>
    <row r="19" spans="2:30"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7" t="s">
        <v>59</v>
      </c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6" t="s">
        <v>236</v>
      </c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27" t="s">
        <v>60</v>
      </c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6" t="s">
        <v>263</v>
      </c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7" t="s">
        <v>61</v>
      </c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6" t="s">
        <v>69</v>
      </c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7" t="s">
        <v>62</v>
      </c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</row>
    <row r="52" spans="2:30" ht="54.75" customHeight="1">
      <c r="B52" s="126" t="s">
        <v>68</v>
      </c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view="pageBreakPreview" topLeftCell="A6" zoomScale="85" zoomScaleNormal="100" zoomScaleSheetLayoutView="85" workbookViewId="0">
      <selection activeCell="C12" sqref="C12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35" t="s">
        <v>428</v>
      </c>
      <c r="C4" s="135"/>
      <c r="D4" s="135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35" t="s">
        <v>0</v>
      </c>
      <c r="C6" s="135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36" t="s">
        <v>249</v>
      </c>
      <c r="B8" s="136"/>
      <c r="C8" s="136"/>
      <c r="D8" s="136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6.25">
      <c r="A10" s="36"/>
      <c r="B10" s="39" t="s">
        <v>243</v>
      </c>
      <c r="C10" s="23" t="s">
        <v>223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94" t="s">
        <v>14</v>
      </c>
      <c r="D12" s="36"/>
      <c r="E12" s="36"/>
      <c r="F12" s="36"/>
    </row>
    <row r="13" spans="1:228" ht="18">
      <c r="A13" s="36"/>
      <c r="B13" s="30" t="s">
        <v>250</v>
      </c>
      <c r="C13" s="93">
        <f>A16+B16+C16+D16+E16+F16+G16</f>
        <v>111952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SUM('C01'!D20:'C01'!D79,'C02'!D20:'C02'!D79,'C03'!D20:'C03'!D79,'C04'!D20:'C04'!D79)</f>
        <v>5365</v>
      </c>
      <c r="B16" s="54">
        <f>SUM('C01'!D80:'C01'!D122,'C02'!D80:'C02'!D122,'C03'!D80:'C03'!D122,'C04'!D80:'C04'!D122)</f>
        <v>2693</v>
      </c>
      <c r="C16" s="54">
        <f>SUM('C01'!D123:'C01'!D263,'C02'!D123:'C02'!D263,'C03'!D123:'C03'!D263,'C04'!D123:'C04'!D263)</f>
        <v>24700</v>
      </c>
      <c r="D16" s="54">
        <f>SUM('C01'!D264:D273,'C02'!D264:D273,'C03'!D264:D273,'C04'!D264:D273)</f>
        <v>628</v>
      </c>
      <c r="E16" s="54">
        <f>SUM('C01'!D274:'C01'!D290,'C02'!D274:'C02'!D290,'C03'!D274:'C03'!D290,'C04'!D274:'C04'!D290)</f>
        <v>5767</v>
      </c>
      <c r="F16" s="54">
        <f>SUM('C01'!D291:'C01'!D293,'C02'!D291:'C02'!D293,'C03'!D291:'C03'!D293, 'C04'!D291:'C04'!D293)</f>
        <v>664</v>
      </c>
      <c r="G16" s="54">
        <f>SUM('C01'!D294:'C01'!D301,'C02'!D294:'C02'!D301,'C03'!D294:'C03'!D301, 'C04'!D294:'C04'!D301)</f>
        <v>72135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92"/>
      <c r="F18" s="92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>IFERROR(A16/$C$13,0)</f>
        <v>4.7922323853079894E-2</v>
      </c>
      <c r="B20" s="57">
        <f>IFERROR(B16/$C$13,0)</f>
        <v>2.4054952122338144E-2</v>
      </c>
      <c r="C20" s="57">
        <f t="shared" ref="C20:G20" si="0">IFERROR(C16/$C$13,0)</f>
        <v>0.22063027011576389</v>
      </c>
      <c r="D20" s="57">
        <f t="shared" si="0"/>
        <v>5.6095469486922966E-3</v>
      </c>
      <c r="E20" s="57">
        <f t="shared" si="0"/>
        <v>5.1513148492210947E-2</v>
      </c>
      <c r="F20" s="57">
        <f t="shared" si="0"/>
        <v>5.9311133342861222E-3</v>
      </c>
      <c r="G20" s="57">
        <f t="shared" si="0"/>
        <v>0.64433864513362871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topLeftCell="A12" zoomScaleNormal="70" zoomScaleSheetLayoutView="100" workbookViewId="0">
      <selection activeCell="Q9" sqref="Q9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>
      <c r="B7" s="129" t="s">
        <v>0</v>
      </c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</row>
    <row r="8" spans="2:15">
      <c r="B8" s="143" t="s">
        <v>55</v>
      </c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</row>
    <row r="9" spans="2:15" ht="19.5">
      <c r="B9" s="131" t="s">
        <v>57</v>
      </c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</row>
    <row r="10" spans="2:15" ht="23.25">
      <c r="B10" s="133" t="s">
        <v>261</v>
      </c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</row>
    <row r="12" spans="2:15" ht="19.5">
      <c r="B12" s="145" t="s">
        <v>64</v>
      </c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</row>
    <row r="13" spans="2:15" s="10" customFormat="1" ht="46.5" customHeight="1">
      <c r="B13" s="131" t="s">
        <v>237</v>
      </c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</row>
    <row r="14" spans="2:15" ht="33" customHeight="1">
      <c r="B14" s="26"/>
      <c r="C14" s="140" t="s">
        <v>238</v>
      </c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27"/>
    </row>
    <row r="15" spans="2:15" ht="48" customHeight="1">
      <c r="B15" s="26"/>
      <c r="C15" s="141" t="s">
        <v>235</v>
      </c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</row>
    <row r="16" spans="2:15" ht="21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28" t="s">
        <v>65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</row>
    <row r="18" spans="2:15">
      <c r="B18" s="16">
        <v>1</v>
      </c>
      <c r="C18" s="137" t="s">
        <v>241</v>
      </c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</row>
    <row r="19" spans="2:15">
      <c r="B19" s="16">
        <v>2</v>
      </c>
      <c r="C19" s="126" t="s">
        <v>242</v>
      </c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</row>
    <row r="20" spans="2:15">
      <c r="B20" s="16">
        <v>3</v>
      </c>
      <c r="C20" s="138" t="s">
        <v>239</v>
      </c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2:15">
      <c r="B21" s="16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</row>
    <row r="22" spans="2:15">
      <c r="B22" s="16"/>
      <c r="C22" s="139" t="s">
        <v>240</v>
      </c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7:O7"/>
    <mergeCell ref="B8:O8"/>
    <mergeCell ref="B9:O9"/>
    <mergeCell ref="B10:O10"/>
    <mergeCell ref="B12:O12"/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</mergeCells>
  <pageMargins left="0.7" right="0.7" top="0.75" bottom="0.75" header="0.3" footer="0.3"/>
  <pageSetup scale="56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A290" zoomScale="70" zoomScaleNormal="100" zoomScaleSheetLayoutView="70" workbookViewId="0">
      <selection activeCell="D309" sqref="D309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1" t="s">
        <v>428</v>
      </c>
      <c r="C6" s="111"/>
      <c r="D6" s="111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4" t="s">
        <v>248</v>
      </c>
      <c r="C7" s="115"/>
      <c r="D7" s="11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4" t="s">
        <v>0</v>
      </c>
      <c r="C8" s="115"/>
      <c r="D8" s="115"/>
      <c r="E8" s="1"/>
      <c r="F8" s="116"/>
      <c r="G8" s="116"/>
      <c r="H8" s="116"/>
      <c r="I8" s="116"/>
      <c r="J8" s="116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4"/>
      <c r="C9" s="115"/>
      <c r="D9" s="11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7" t="s">
        <v>419</v>
      </c>
      <c r="C10" s="117"/>
      <c r="D10" s="11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Quintana Roo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8" t="s">
        <v>2</v>
      </c>
      <c r="C16" s="119"/>
      <c r="D16" s="120"/>
    </row>
    <row r="17" spans="2:7" ht="15">
      <c r="B17" s="121" t="s">
        <v>246</v>
      </c>
      <c r="C17" s="122"/>
      <c r="D17" s="50" t="s">
        <v>4</v>
      </c>
    </row>
    <row r="18" spans="2:7" ht="15">
      <c r="B18" s="112" t="s">
        <v>247</v>
      </c>
      <c r="C18" s="113"/>
      <c r="D18" s="50" t="s">
        <v>424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408</v>
      </c>
    </row>
    <row r="23" spans="2:7" ht="16.5">
      <c r="B23" s="58">
        <v>10104</v>
      </c>
      <c r="C23" s="59" t="s">
        <v>268</v>
      </c>
      <c r="D23" s="65">
        <v>76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7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6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2</v>
      </c>
    </row>
    <row r="31" spans="2:7" ht="16.5">
      <c r="B31" s="58">
        <v>10112</v>
      </c>
      <c r="C31" s="59" t="s">
        <v>276</v>
      </c>
      <c r="D31" s="65">
        <v>14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19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1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1</v>
      </c>
    </row>
    <row r="43" spans="2:4" ht="16.5">
      <c r="B43" s="58">
        <v>10203</v>
      </c>
      <c r="C43" s="59" t="s">
        <v>288</v>
      </c>
      <c r="D43" s="65">
        <v>0</v>
      </c>
    </row>
    <row r="44" spans="2:4" ht="16.5">
      <c r="B44" s="72">
        <v>10204</v>
      </c>
      <c r="C44" s="73" t="s">
        <v>289</v>
      </c>
      <c r="D44" s="74">
        <v>64</v>
      </c>
    </row>
    <row r="45" spans="2:4" ht="16.5">
      <c r="B45" s="58">
        <v>10205</v>
      </c>
      <c r="C45" s="59" t="s">
        <v>290</v>
      </c>
      <c r="D45" s="65">
        <v>1</v>
      </c>
    </row>
    <row r="46" spans="2:4" ht="16.5">
      <c r="B46" s="72">
        <v>10206</v>
      </c>
      <c r="C46" s="73" t="s">
        <v>291</v>
      </c>
      <c r="D46" s="74">
        <v>2</v>
      </c>
    </row>
    <row r="47" spans="2:4" ht="16.5">
      <c r="B47" s="58">
        <v>10207</v>
      </c>
      <c r="C47" s="59" t="s">
        <v>292</v>
      </c>
      <c r="D47" s="65">
        <v>0</v>
      </c>
    </row>
    <row r="48" spans="2:4" ht="16.5">
      <c r="B48" s="72">
        <v>10208</v>
      </c>
      <c r="C48" s="73" t="s">
        <v>293</v>
      </c>
      <c r="D48" s="74">
        <v>3</v>
      </c>
    </row>
    <row r="49" spans="2:4" ht="16.5">
      <c r="B49" s="58">
        <v>10209</v>
      </c>
      <c r="C49" s="59" t="s">
        <v>294</v>
      </c>
      <c r="D49" s="65">
        <v>1</v>
      </c>
    </row>
    <row r="50" spans="2:4" ht="16.5">
      <c r="B50" s="72">
        <v>10210</v>
      </c>
      <c r="C50" s="73" t="s">
        <v>295</v>
      </c>
      <c r="D50" s="74">
        <v>10</v>
      </c>
    </row>
    <row r="51" spans="2:4" ht="16.5">
      <c r="B51" s="58">
        <v>10211</v>
      </c>
      <c r="C51" s="59" t="s">
        <v>77</v>
      </c>
      <c r="D51" s="65">
        <v>3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2</v>
      </c>
    </row>
    <row r="60" spans="2:4" ht="16.5">
      <c r="B60" s="72">
        <v>10220</v>
      </c>
      <c r="C60" s="73" t="s">
        <v>304</v>
      </c>
      <c r="D60" s="74">
        <v>44</v>
      </c>
    </row>
    <row r="61" spans="2:4" ht="16.5">
      <c r="B61" s="58">
        <v>10301</v>
      </c>
      <c r="C61" s="59" t="s">
        <v>305</v>
      </c>
      <c r="D61" s="65">
        <v>3</v>
      </c>
    </row>
    <row r="62" spans="2:4" ht="16.5">
      <c r="B62" s="72">
        <v>10302</v>
      </c>
      <c r="C62" s="73" t="s">
        <v>306</v>
      </c>
      <c r="D62" s="74">
        <v>3</v>
      </c>
    </row>
    <row r="63" spans="2:4" ht="16.5">
      <c r="B63" s="58">
        <v>10303</v>
      </c>
      <c r="C63" s="59" t="s">
        <v>307</v>
      </c>
      <c r="D63" s="65">
        <v>16</v>
      </c>
    </row>
    <row r="64" spans="2:4" ht="16.5">
      <c r="B64" s="72">
        <v>10304</v>
      </c>
      <c r="C64" s="73" t="s">
        <v>308</v>
      </c>
      <c r="D64" s="74">
        <v>2</v>
      </c>
    </row>
    <row r="65" spans="2:4" ht="16.5">
      <c r="B65" s="58">
        <v>10305</v>
      </c>
      <c r="C65" s="59" t="s">
        <v>309</v>
      </c>
      <c r="D65" s="65">
        <v>8</v>
      </c>
    </row>
    <row r="66" spans="2:4" ht="16.5">
      <c r="B66" s="72">
        <v>10306</v>
      </c>
      <c r="C66" s="73" t="s">
        <v>310</v>
      </c>
      <c r="D66" s="74">
        <v>3</v>
      </c>
    </row>
    <row r="67" spans="2:4" ht="16.5">
      <c r="B67" s="58">
        <v>10307</v>
      </c>
      <c r="C67" s="59" t="s">
        <v>75</v>
      </c>
      <c r="D67" s="65">
        <v>26</v>
      </c>
    </row>
    <row r="68" spans="2:4" ht="16.5">
      <c r="B68" s="72">
        <v>10308</v>
      </c>
      <c r="C68" s="73" t="s">
        <v>311</v>
      </c>
      <c r="D68" s="74">
        <v>31</v>
      </c>
    </row>
    <row r="69" spans="2:4" ht="16.5">
      <c r="B69" s="58">
        <v>10309</v>
      </c>
      <c r="C69" s="59" t="s">
        <v>312</v>
      </c>
      <c r="D69" s="65">
        <v>7</v>
      </c>
    </row>
    <row r="70" spans="2:4" ht="16.5">
      <c r="B70" s="72">
        <v>10310</v>
      </c>
      <c r="C70" s="73" t="s">
        <v>313</v>
      </c>
      <c r="D70" s="74">
        <v>104</v>
      </c>
    </row>
    <row r="71" spans="2:4" ht="16.5">
      <c r="B71" s="58">
        <v>10311</v>
      </c>
      <c r="C71" s="59" t="s">
        <v>314</v>
      </c>
      <c r="D71" s="65">
        <v>0</v>
      </c>
    </row>
    <row r="72" spans="2:4" ht="16.5">
      <c r="B72" s="72">
        <v>10312</v>
      </c>
      <c r="C72" s="73" t="s">
        <v>315</v>
      </c>
      <c r="D72" s="74">
        <v>6</v>
      </c>
    </row>
    <row r="73" spans="2:4" ht="16.5">
      <c r="B73" s="58">
        <v>10313</v>
      </c>
      <c r="C73" s="59" t="s">
        <v>316</v>
      </c>
      <c r="D73" s="65">
        <v>1</v>
      </c>
    </row>
    <row r="74" spans="2:4" ht="16.5">
      <c r="B74" s="72">
        <v>10314</v>
      </c>
      <c r="C74" s="73" t="s">
        <v>317</v>
      </c>
      <c r="D74" s="74">
        <v>4</v>
      </c>
    </row>
    <row r="75" spans="2:4" ht="16.5">
      <c r="B75" s="58">
        <v>10315</v>
      </c>
      <c r="C75" s="59" t="s">
        <v>318</v>
      </c>
      <c r="D75" s="65">
        <v>10</v>
      </c>
    </row>
    <row r="76" spans="2:4" ht="16.5">
      <c r="B76" s="72">
        <v>10316</v>
      </c>
      <c r="C76" s="73" t="s">
        <v>319</v>
      </c>
      <c r="D76" s="74">
        <v>147</v>
      </c>
    </row>
    <row r="77" spans="2:4" ht="16.5">
      <c r="B77" s="58">
        <v>10317</v>
      </c>
      <c r="C77" s="59" t="s">
        <v>320</v>
      </c>
      <c r="D77" s="65">
        <v>31</v>
      </c>
    </row>
    <row r="78" spans="2:4" ht="16.5">
      <c r="B78" s="72">
        <v>10318</v>
      </c>
      <c r="C78" s="73" t="s">
        <v>321</v>
      </c>
      <c r="D78" s="74">
        <v>86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36</v>
      </c>
    </row>
    <row r="83" spans="2:4" ht="16.5">
      <c r="B83" s="61">
        <v>20104</v>
      </c>
      <c r="C83" s="62" t="s">
        <v>80</v>
      </c>
      <c r="D83" s="60">
        <v>8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0</v>
      </c>
    </row>
    <row r="87" spans="2:4" ht="16.5">
      <c r="B87" s="61">
        <v>20108</v>
      </c>
      <c r="C87" s="62" t="s">
        <v>325</v>
      </c>
      <c r="D87" s="60">
        <v>32</v>
      </c>
    </row>
    <row r="88" spans="2:4" ht="16.5">
      <c r="B88" s="75">
        <v>20109</v>
      </c>
      <c r="C88" s="76" t="s">
        <v>326</v>
      </c>
      <c r="D88" s="77">
        <v>2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2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1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152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266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30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32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20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7</v>
      </c>
    </row>
    <row r="111" spans="2:4" ht="16.5">
      <c r="B111" s="61">
        <v>20304</v>
      </c>
      <c r="C111" s="62" t="s">
        <v>335</v>
      </c>
      <c r="D111" s="60">
        <v>4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4</v>
      </c>
    </row>
    <row r="115" spans="2:4" ht="16.5">
      <c r="B115" s="61">
        <v>20308</v>
      </c>
      <c r="C115" s="62" t="s">
        <v>339</v>
      </c>
      <c r="D115" s="60">
        <v>4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215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36</v>
      </c>
    </row>
    <row r="122" spans="2:4" ht="16.5">
      <c r="B122" s="75">
        <v>20404</v>
      </c>
      <c r="C122" s="76" t="s">
        <v>346</v>
      </c>
      <c r="D122" s="77">
        <v>9</v>
      </c>
    </row>
    <row r="123" spans="2:4" ht="16.5">
      <c r="B123" s="66">
        <v>30101</v>
      </c>
      <c r="C123" s="67" t="s">
        <v>347</v>
      </c>
      <c r="D123" s="68">
        <v>59</v>
      </c>
    </row>
    <row r="124" spans="2:4" ht="16.5">
      <c r="B124" s="63">
        <v>30102</v>
      </c>
      <c r="C124" s="64" t="s">
        <v>96</v>
      </c>
      <c r="D124" s="60">
        <v>6</v>
      </c>
    </row>
    <row r="125" spans="2:4" ht="16.5">
      <c r="B125" s="66">
        <v>30103</v>
      </c>
      <c r="C125" s="67" t="s">
        <v>76</v>
      </c>
      <c r="D125" s="68">
        <v>27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8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19</v>
      </c>
    </row>
    <row r="130" spans="2:4" ht="16.5">
      <c r="B130" s="63">
        <v>30205</v>
      </c>
      <c r="C130" s="64" t="s">
        <v>349</v>
      </c>
      <c r="D130" s="60">
        <v>2</v>
      </c>
    </row>
    <row r="131" spans="2:4" ht="16.5">
      <c r="B131" s="66">
        <v>30206</v>
      </c>
      <c r="C131" s="67" t="s">
        <v>350</v>
      </c>
      <c r="D131" s="68">
        <v>1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18</v>
      </c>
    </row>
    <row r="135" spans="2:4" ht="16.5">
      <c r="B135" s="66">
        <v>30303</v>
      </c>
      <c r="C135" s="67" t="s">
        <v>352</v>
      </c>
      <c r="D135" s="68">
        <v>0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29</v>
      </c>
    </row>
    <row r="138" spans="2:4" ht="16.5">
      <c r="B138" s="63">
        <v>30306</v>
      </c>
      <c r="C138" s="64" t="s">
        <v>104</v>
      </c>
      <c r="D138" s="60">
        <v>60</v>
      </c>
    </row>
    <row r="139" spans="2:4" ht="16.5">
      <c r="B139" s="66">
        <v>30307</v>
      </c>
      <c r="C139" s="67" t="s">
        <v>105</v>
      </c>
      <c r="D139" s="68">
        <v>78</v>
      </c>
    </row>
    <row r="140" spans="2:4" ht="16.5">
      <c r="B140" s="63">
        <v>30308</v>
      </c>
      <c r="C140" s="64" t="s">
        <v>353</v>
      </c>
      <c r="D140" s="60">
        <v>65</v>
      </c>
    </row>
    <row r="141" spans="2:4" ht="16.5">
      <c r="B141" s="66">
        <v>30309</v>
      </c>
      <c r="C141" s="67" t="s">
        <v>354</v>
      </c>
      <c r="D141" s="68">
        <v>204</v>
      </c>
    </row>
    <row r="142" spans="2:4" ht="16.5">
      <c r="B142" s="63">
        <v>30310</v>
      </c>
      <c r="C142" s="64" t="s">
        <v>355</v>
      </c>
      <c r="D142" s="60">
        <v>157</v>
      </c>
    </row>
    <row r="143" spans="2:4" ht="16.5">
      <c r="B143" s="66">
        <v>30401</v>
      </c>
      <c r="C143" s="67" t="s">
        <v>356</v>
      </c>
      <c r="D143" s="68">
        <v>462</v>
      </c>
    </row>
    <row r="144" spans="2:4" ht="16.5">
      <c r="B144" s="63">
        <v>30402</v>
      </c>
      <c r="C144" s="64" t="s">
        <v>357</v>
      </c>
      <c r="D144" s="60">
        <v>134</v>
      </c>
    </row>
    <row r="145" spans="2:4" ht="16.5">
      <c r="B145" s="66">
        <v>30403</v>
      </c>
      <c r="C145" s="67" t="s">
        <v>358</v>
      </c>
      <c r="D145" s="68">
        <v>2</v>
      </c>
    </row>
    <row r="146" spans="2:4" ht="16.5">
      <c r="B146" s="63">
        <v>30404</v>
      </c>
      <c r="C146" s="64" t="s">
        <v>106</v>
      </c>
      <c r="D146" s="60">
        <v>20</v>
      </c>
    </row>
    <row r="147" spans="2:4" ht="16.5">
      <c r="B147" s="66">
        <v>30405</v>
      </c>
      <c r="C147" s="67" t="s">
        <v>107</v>
      </c>
      <c r="D147" s="68">
        <v>4</v>
      </c>
    </row>
    <row r="148" spans="2:4" ht="16.5">
      <c r="B148" s="63">
        <v>30406</v>
      </c>
      <c r="C148" s="64" t="s">
        <v>108</v>
      </c>
      <c r="D148" s="60">
        <v>2</v>
      </c>
    </row>
    <row r="149" spans="2:4" ht="16.5">
      <c r="B149" s="66">
        <v>30407</v>
      </c>
      <c r="C149" s="67" t="s">
        <v>359</v>
      </c>
      <c r="D149" s="68">
        <v>46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0</v>
      </c>
    </row>
    <row r="156" spans="2:4" ht="16.5">
      <c r="B156" s="63">
        <v>30414</v>
      </c>
      <c r="C156" s="64" t="s">
        <v>114</v>
      </c>
      <c r="D156" s="60">
        <v>11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0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1</v>
      </c>
    </row>
    <row r="162" spans="2:4" ht="16.5">
      <c r="B162" s="63">
        <v>30420</v>
      </c>
      <c r="C162" s="64" t="s">
        <v>120</v>
      </c>
      <c r="D162" s="60">
        <v>6</v>
      </c>
    </row>
    <row r="163" spans="2:4" ht="16.5">
      <c r="B163" s="66">
        <v>30421</v>
      </c>
      <c r="C163" s="67" t="s">
        <v>121</v>
      </c>
      <c r="D163" s="68">
        <v>1</v>
      </c>
    </row>
    <row r="164" spans="2:4" ht="16.5">
      <c r="B164" s="63">
        <v>30422</v>
      </c>
      <c r="C164" s="64" t="s">
        <v>122</v>
      </c>
      <c r="D164" s="60">
        <v>1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18</v>
      </c>
    </row>
    <row r="172" spans="2:4" ht="16.5">
      <c r="B172" s="63">
        <v>30430</v>
      </c>
      <c r="C172" s="64" t="s">
        <v>130</v>
      </c>
      <c r="D172" s="60">
        <v>213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17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83</v>
      </c>
    </row>
    <row r="189" spans="2:4" ht="16.5">
      <c r="B189" s="66">
        <v>30501</v>
      </c>
      <c r="C189" s="67" t="s">
        <v>140</v>
      </c>
      <c r="D189" s="68">
        <v>3</v>
      </c>
    </row>
    <row r="190" spans="2:4" ht="16.5">
      <c r="B190" s="63">
        <v>30502</v>
      </c>
      <c r="C190" s="64" t="s">
        <v>141</v>
      </c>
      <c r="D190" s="60">
        <v>634</v>
      </c>
    </row>
    <row r="191" spans="2:4" ht="16.5">
      <c r="B191" s="66">
        <v>30503</v>
      </c>
      <c r="C191" s="67" t="s">
        <v>142</v>
      </c>
      <c r="D191" s="68">
        <v>404</v>
      </c>
    </row>
    <row r="192" spans="2:4" ht="16.5">
      <c r="B192" s="63">
        <v>30504</v>
      </c>
      <c r="C192" s="64" t="s">
        <v>369</v>
      </c>
      <c r="D192" s="60">
        <v>71</v>
      </c>
    </row>
    <row r="193" spans="2:4" ht="16.5">
      <c r="B193" s="66">
        <v>30505</v>
      </c>
      <c r="C193" s="67" t="s">
        <v>370</v>
      </c>
      <c r="D193" s="68">
        <v>16</v>
      </c>
    </row>
    <row r="194" spans="2:4" ht="16.5">
      <c r="B194" s="63">
        <v>30601</v>
      </c>
      <c r="C194" s="64" t="s">
        <v>143</v>
      </c>
      <c r="D194" s="60">
        <v>16</v>
      </c>
    </row>
    <row r="195" spans="2:4" ht="16.5">
      <c r="B195" s="66">
        <v>30602</v>
      </c>
      <c r="C195" s="67" t="s">
        <v>144</v>
      </c>
      <c r="D195" s="68">
        <v>23</v>
      </c>
    </row>
    <row r="196" spans="2:4" ht="16.5">
      <c r="B196" s="63">
        <v>30603</v>
      </c>
      <c r="C196" s="64" t="s">
        <v>145</v>
      </c>
      <c r="D196" s="60">
        <v>2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3</v>
      </c>
    </row>
    <row r="200" spans="2:4" ht="16.5">
      <c r="B200" s="63">
        <v>30607</v>
      </c>
      <c r="C200" s="64" t="s">
        <v>147</v>
      </c>
      <c r="D200" s="60">
        <v>0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1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14</v>
      </c>
    </row>
    <row r="205" spans="2:4" ht="16.5">
      <c r="B205" s="66">
        <v>30701</v>
      </c>
      <c r="C205" s="67" t="s">
        <v>149</v>
      </c>
      <c r="D205" s="68">
        <v>5</v>
      </c>
    </row>
    <row r="206" spans="2:4" ht="16.5">
      <c r="B206" s="63">
        <v>30702</v>
      </c>
      <c r="C206" s="64" t="s">
        <v>150</v>
      </c>
      <c r="D206" s="60">
        <v>4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3</v>
      </c>
    </row>
    <row r="212" spans="2:4" ht="16.5">
      <c r="B212" s="63">
        <v>30708</v>
      </c>
      <c r="C212" s="64" t="s">
        <v>376</v>
      </c>
      <c r="D212" s="60">
        <v>4</v>
      </c>
    </row>
    <row r="213" spans="2:4" ht="16.5">
      <c r="B213" s="66">
        <v>30709</v>
      </c>
      <c r="C213" s="67" t="s">
        <v>159</v>
      </c>
      <c r="D213" s="68">
        <v>1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5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1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16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20</v>
      </c>
    </row>
    <row r="229" spans="2:4" ht="16.5">
      <c r="B229" s="66">
        <v>30904</v>
      </c>
      <c r="C229" s="67" t="s">
        <v>184</v>
      </c>
      <c r="D229" s="68">
        <v>166</v>
      </c>
    </row>
    <row r="230" spans="2:4" ht="16.5">
      <c r="B230" s="63">
        <v>30905</v>
      </c>
      <c r="C230" s="64" t="s">
        <v>160</v>
      </c>
      <c r="D230" s="60">
        <v>1</v>
      </c>
    </row>
    <row r="231" spans="2:4" ht="16.5">
      <c r="B231" s="66">
        <v>30906</v>
      </c>
      <c r="C231" s="67" t="s">
        <v>161</v>
      </c>
      <c r="D231" s="68">
        <v>1</v>
      </c>
    </row>
    <row r="232" spans="2:4" ht="16.5">
      <c r="B232" s="63">
        <v>30907</v>
      </c>
      <c r="C232" s="64" t="s">
        <v>162</v>
      </c>
      <c r="D232" s="97">
        <v>365</v>
      </c>
    </row>
    <row r="233" spans="2:4" ht="16.5">
      <c r="B233" s="66">
        <v>30908</v>
      </c>
      <c r="C233" s="67" t="s">
        <v>163</v>
      </c>
      <c r="D233" s="68">
        <v>1</v>
      </c>
    </row>
    <row r="234" spans="2:4" ht="16.5">
      <c r="B234" s="63">
        <v>30909</v>
      </c>
      <c r="C234" s="64" t="s">
        <v>384</v>
      </c>
      <c r="D234" s="60">
        <v>19</v>
      </c>
    </row>
    <row r="235" spans="2:4" ht="16.5">
      <c r="B235" s="66">
        <v>31001</v>
      </c>
      <c r="C235" s="67" t="s">
        <v>165</v>
      </c>
      <c r="D235" s="68">
        <v>74</v>
      </c>
    </row>
    <row r="236" spans="2:4" ht="16.5">
      <c r="B236" s="63">
        <v>31002</v>
      </c>
      <c r="C236" s="64" t="s">
        <v>385</v>
      </c>
      <c r="D236" s="60">
        <v>10</v>
      </c>
    </row>
    <row r="237" spans="2:4" ht="16.5">
      <c r="B237" s="66">
        <v>31003</v>
      </c>
      <c r="C237" s="67" t="s">
        <v>166</v>
      </c>
      <c r="D237" s="68">
        <v>7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2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225</v>
      </c>
    </row>
    <row r="251" spans="2:4" ht="16.5">
      <c r="B251" s="66">
        <v>31102</v>
      </c>
      <c r="C251" s="67" t="s">
        <v>174</v>
      </c>
      <c r="D251" s="68">
        <v>19</v>
      </c>
    </row>
    <row r="252" spans="2:4" ht="16.5">
      <c r="B252" s="63">
        <v>31103</v>
      </c>
      <c r="C252" s="64" t="s">
        <v>176</v>
      </c>
      <c r="D252" s="60">
        <v>43</v>
      </c>
    </row>
    <row r="253" spans="2:4" ht="16.5">
      <c r="B253" s="66">
        <v>31104</v>
      </c>
      <c r="C253" s="67" t="s">
        <v>177</v>
      </c>
      <c r="D253" s="68">
        <v>59</v>
      </c>
    </row>
    <row r="254" spans="2:4" ht="16.5">
      <c r="B254" s="63">
        <v>31105</v>
      </c>
      <c r="C254" s="64" t="s">
        <v>178</v>
      </c>
      <c r="D254" s="60">
        <v>30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1</v>
      </c>
    </row>
    <row r="258" spans="2:4" ht="16.5">
      <c r="B258" s="63">
        <v>31109</v>
      </c>
      <c r="C258" s="64" t="s">
        <v>179</v>
      </c>
      <c r="D258" s="60">
        <v>1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96</v>
      </c>
    </row>
    <row r="262" spans="2:4" ht="16.5">
      <c r="B262" s="63">
        <v>31113</v>
      </c>
      <c r="C262" s="64" t="s">
        <v>182</v>
      </c>
      <c r="D262" s="60">
        <v>49</v>
      </c>
    </row>
    <row r="263" spans="2:4" ht="16.5">
      <c r="B263" s="66">
        <v>31114</v>
      </c>
      <c r="C263" s="67" t="s">
        <v>397</v>
      </c>
      <c r="D263" s="68">
        <v>81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11</v>
      </c>
    </row>
    <row r="266" spans="2:4" ht="16.5">
      <c r="B266" s="69">
        <v>40103</v>
      </c>
      <c r="C266" s="70" t="s">
        <v>189</v>
      </c>
      <c r="D266" s="71">
        <v>1</v>
      </c>
    </row>
    <row r="267" spans="2:4" ht="16.5">
      <c r="B267" s="63">
        <v>40104</v>
      </c>
      <c r="C267" s="64" t="s">
        <v>190</v>
      </c>
      <c r="D267" s="60">
        <v>20</v>
      </c>
    </row>
    <row r="268" spans="2:4" ht="16.5">
      <c r="B268" s="69">
        <v>40105</v>
      </c>
      <c r="C268" s="70" t="s">
        <v>192</v>
      </c>
      <c r="D268" s="71">
        <v>3</v>
      </c>
    </row>
    <row r="269" spans="2:4" ht="16.5">
      <c r="B269" s="63">
        <v>40106</v>
      </c>
      <c r="C269" s="64" t="s">
        <v>195</v>
      </c>
      <c r="D269" s="60">
        <v>57</v>
      </c>
    </row>
    <row r="270" spans="2:4" ht="16.5">
      <c r="B270" s="69">
        <v>40107</v>
      </c>
      <c r="C270" s="70" t="s">
        <v>197</v>
      </c>
      <c r="D270" s="71">
        <v>97</v>
      </c>
    </row>
    <row r="271" spans="2:4" ht="16.5">
      <c r="B271" s="63">
        <v>40108</v>
      </c>
      <c r="C271" s="64" t="s">
        <v>198</v>
      </c>
      <c r="D271" s="60">
        <v>1</v>
      </c>
    </row>
    <row r="272" spans="2:4" ht="16.5">
      <c r="B272" s="69">
        <v>40109</v>
      </c>
      <c r="C272" s="70" t="s">
        <v>78</v>
      </c>
      <c r="D272" s="71">
        <v>45</v>
      </c>
    </row>
    <row r="273" spans="2:4" ht="16.5">
      <c r="B273" s="63">
        <v>40110</v>
      </c>
      <c r="C273" s="64" t="s">
        <v>191</v>
      </c>
      <c r="D273" s="60">
        <v>2</v>
      </c>
    </row>
    <row r="274" spans="2:4" ht="16.5">
      <c r="B274" s="78">
        <v>50101</v>
      </c>
      <c r="C274" s="79" t="s">
        <v>399</v>
      </c>
      <c r="D274" s="80">
        <v>7</v>
      </c>
    </row>
    <row r="275" spans="2:4" ht="16.5">
      <c r="B275" s="63">
        <v>50102</v>
      </c>
      <c r="C275" s="64" t="s">
        <v>400</v>
      </c>
      <c r="D275" s="60">
        <v>24</v>
      </c>
    </row>
    <row r="276" spans="2:4" ht="16.5">
      <c r="B276" s="78">
        <v>50103</v>
      </c>
      <c r="C276" s="79" t="s">
        <v>401</v>
      </c>
      <c r="D276" s="80">
        <v>10</v>
      </c>
    </row>
    <row r="277" spans="2:4" ht="16.5">
      <c r="B277" s="63">
        <v>50104</v>
      </c>
      <c r="C277" s="64" t="s">
        <v>109</v>
      </c>
      <c r="D277" s="60">
        <v>2</v>
      </c>
    </row>
    <row r="278" spans="2:4" ht="16.5">
      <c r="B278" s="78">
        <v>50105</v>
      </c>
      <c r="C278" s="79" t="s">
        <v>183</v>
      </c>
      <c r="D278" s="80">
        <v>237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45</v>
      </c>
    </row>
    <row r="281" spans="2:4" ht="16.5">
      <c r="B281" s="63">
        <v>50108</v>
      </c>
      <c r="C281" s="64" t="s">
        <v>403</v>
      </c>
      <c r="D281" s="60">
        <v>0</v>
      </c>
    </row>
    <row r="282" spans="2:4" ht="16.5">
      <c r="B282" s="78">
        <v>50201</v>
      </c>
      <c r="C282" s="79" t="s">
        <v>404</v>
      </c>
      <c r="D282" s="80">
        <v>1</v>
      </c>
    </row>
    <row r="283" spans="2:4" ht="16.5">
      <c r="B283" s="63">
        <v>50202</v>
      </c>
      <c r="C283" s="64" t="s">
        <v>405</v>
      </c>
      <c r="D283" s="60">
        <v>2</v>
      </c>
    </row>
    <row r="284" spans="2:4" ht="16.5">
      <c r="B284" s="78">
        <v>50203</v>
      </c>
      <c r="C284" s="79" t="s">
        <v>406</v>
      </c>
      <c r="D284" s="80">
        <v>90</v>
      </c>
    </row>
    <row r="285" spans="2:4" ht="16.5">
      <c r="B285" s="63">
        <v>50301</v>
      </c>
      <c r="C285" s="64" t="s">
        <v>407</v>
      </c>
      <c r="D285" s="97">
        <v>635</v>
      </c>
    </row>
    <row r="286" spans="2:4" ht="16.5">
      <c r="B286" s="78">
        <v>50302</v>
      </c>
      <c r="C286" s="79" t="s">
        <v>408</v>
      </c>
      <c r="D286" s="80">
        <v>30</v>
      </c>
    </row>
    <row r="287" spans="2:4" ht="16.5">
      <c r="B287" s="63">
        <v>50303</v>
      </c>
      <c r="C287" s="64" t="s">
        <v>186</v>
      </c>
      <c r="D287" s="60">
        <v>27</v>
      </c>
    </row>
    <row r="288" spans="2:4" ht="16.5">
      <c r="B288" s="78">
        <v>50304</v>
      </c>
      <c r="C288" s="79" t="s">
        <v>187</v>
      </c>
      <c r="D288" s="80">
        <v>102</v>
      </c>
    </row>
    <row r="289" spans="2:4" ht="16.5">
      <c r="B289" s="63">
        <v>50305</v>
      </c>
      <c r="C289" s="64" t="s">
        <v>409</v>
      </c>
      <c r="D289" s="60">
        <v>38</v>
      </c>
    </row>
    <row r="290" spans="2:4" ht="16.5">
      <c r="B290" s="78">
        <v>50306</v>
      </c>
      <c r="C290" s="79" t="s">
        <v>410</v>
      </c>
      <c r="D290" s="80">
        <v>15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95">
        <v>354</v>
      </c>
    </row>
    <row r="294" spans="2:4" ht="16.5">
      <c r="B294" s="84">
        <v>70101</v>
      </c>
      <c r="C294" s="85" t="s">
        <v>413</v>
      </c>
      <c r="D294" s="96">
        <v>617</v>
      </c>
    </row>
    <row r="295" spans="2:4" ht="16.5">
      <c r="B295" s="63">
        <v>70102</v>
      </c>
      <c r="C295" s="64" t="s">
        <v>199</v>
      </c>
      <c r="D295" s="60">
        <v>93</v>
      </c>
    </row>
    <row r="296" spans="2:4" ht="16.5">
      <c r="B296" s="84">
        <v>70103</v>
      </c>
      <c r="C296" s="85" t="s">
        <v>200</v>
      </c>
      <c r="D296" s="96">
        <v>64</v>
      </c>
    </row>
    <row r="297" spans="2:4" ht="16.5">
      <c r="B297" s="63">
        <v>70104</v>
      </c>
      <c r="C297" s="64" t="s">
        <v>414</v>
      </c>
      <c r="D297" s="97">
        <v>9528</v>
      </c>
    </row>
    <row r="298" spans="2:4" ht="16.5">
      <c r="B298" s="84">
        <v>70105</v>
      </c>
      <c r="C298" s="85" t="s">
        <v>201</v>
      </c>
      <c r="D298" s="96">
        <v>579</v>
      </c>
    </row>
    <row r="299" spans="2:4" ht="16.5">
      <c r="B299" s="63">
        <v>70106</v>
      </c>
      <c r="C299" s="64" t="s">
        <v>415</v>
      </c>
      <c r="D299" s="97">
        <v>43</v>
      </c>
    </row>
    <row r="300" spans="2:4" ht="16.5">
      <c r="B300" s="84">
        <v>70107</v>
      </c>
      <c r="C300" s="85" t="s">
        <v>416</v>
      </c>
      <c r="D300" s="86">
        <v>205</v>
      </c>
    </row>
    <row r="301" spans="2:4" ht="17.25" thickBot="1">
      <c r="B301" s="87">
        <v>70108</v>
      </c>
      <c r="C301" s="88" t="s">
        <v>417</v>
      </c>
      <c r="D301" s="98">
        <v>485</v>
      </c>
    </row>
    <row r="302" spans="2:4" ht="19.899999999999999" customHeight="1" thickBot="1">
      <c r="B302" s="89" t="s">
        <v>1</v>
      </c>
      <c r="C302" s="90"/>
      <c r="D302" s="91">
        <f>SUM(D20:D301)</f>
        <v>19733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topLeftCell="D298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1" t="s">
        <v>428</v>
      </c>
      <c r="C6" s="111"/>
      <c r="D6" s="111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4" t="s">
        <v>248</v>
      </c>
      <c r="C7" s="115"/>
      <c r="D7" s="11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4" t="s">
        <v>0</v>
      </c>
      <c r="C8" s="115"/>
      <c r="D8" s="115"/>
      <c r="E8" s="1"/>
      <c r="F8" s="116"/>
      <c r="G8" s="116"/>
      <c r="H8" s="116"/>
      <c r="I8" s="116"/>
      <c r="J8" s="116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4"/>
      <c r="C9" s="115"/>
      <c r="D9" s="11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7" t="s">
        <v>419</v>
      </c>
      <c r="C10" s="117"/>
      <c r="D10" s="11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Quintana Roo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8" t="s">
        <v>2</v>
      </c>
      <c r="C16" s="119"/>
      <c r="D16" s="120"/>
    </row>
    <row r="17" spans="2:7" ht="15">
      <c r="B17" s="121" t="s">
        <v>246</v>
      </c>
      <c r="C17" s="122"/>
      <c r="D17" s="50" t="s">
        <v>4</v>
      </c>
    </row>
    <row r="18" spans="2:7" ht="15">
      <c r="B18" s="112" t="s">
        <v>247</v>
      </c>
      <c r="C18" s="113"/>
      <c r="D18" s="50" t="s">
        <v>425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100">
        <v>3</v>
      </c>
    </row>
    <row r="21" spans="2:7" ht="16.5">
      <c r="B21" s="58">
        <v>10102</v>
      </c>
      <c r="C21" s="59" t="s">
        <v>266</v>
      </c>
      <c r="D21" s="101">
        <v>0</v>
      </c>
    </row>
    <row r="22" spans="2:7" ht="16.5">
      <c r="B22" s="72">
        <v>10103</v>
      </c>
      <c r="C22" s="73" t="s">
        <v>267</v>
      </c>
      <c r="D22" s="102">
        <v>417</v>
      </c>
    </row>
    <row r="23" spans="2:7" ht="16.5">
      <c r="B23" s="58">
        <v>10104</v>
      </c>
      <c r="C23" s="59" t="s">
        <v>268</v>
      </c>
      <c r="D23" s="101">
        <v>460</v>
      </c>
    </row>
    <row r="24" spans="2:7" ht="16.5">
      <c r="B24" s="72">
        <v>10105</v>
      </c>
      <c r="C24" s="73" t="s">
        <v>269</v>
      </c>
      <c r="D24" s="102">
        <v>0</v>
      </c>
    </row>
    <row r="25" spans="2:7" ht="16.5">
      <c r="B25" s="58">
        <v>10106</v>
      </c>
      <c r="C25" s="59" t="s">
        <v>270</v>
      </c>
      <c r="D25" s="101">
        <v>0</v>
      </c>
    </row>
    <row r="26" spans="2:7" ht="16.5">
      <c r="B26" s="72">
        <v>10107</v>
      </c>
      <c r="C26" s="73" t="s">
        <v>271</v>
      </c>
      <c r="D26" s="102">
        <v>3</v>
      </c>
    </row>
    <row r="27" spans="2:7" ht="16.5">
      <c r="B27" s="58">
        <v>10108</v>
      </c>
      <c r="C27" s="59" t="s">
        <v>272</v>
      </c>
      <c r="D27" s="101">
        <v>0</v>
      </c>
    </row>
    <row r="28" spans="2:7" ht="16.5">
      <c r="B28" s="72">
        <v>10109</v>
      </c>
      <c r="C28" s="73" t="s">
        <v>273</v>
      </c>
      <c r="D28" s="102">
        <v>17</v>
      </c>
    </row>
    <row r="29" spans="2:7" ht="16.5">
      <c r="B29" s="58">
        <v>10110</v>
      </c>
      <c r="C29" s="59" t="s">
        <v>274</v>
      </c>
      <c r="D29" s="101">
        <v>0</v>
      </c>
    </row>
    <row r="30" spans="2:7" ht="16.5">
      <c r="B30" s="72">
        <v>10111</v>
      </c>
      <c r="C30" s="73" t="s">
        <v>275</v>
      </c>
      <c r="D30" s="102">
        <v>7</v>
      </c>
    </row>
    <row r="31" spans="2:7" ht="16.5">
      <c r="B31" s="58">
        <v>10112</v>
      </c>
      <c r="C31" s="59" t="s">
        <v>276</v>
      </c>
      <c r="D31" s="101">
        <v>13</v>
      </c>
    </row>
    <row r="32" spans="2:7" ht="16.5">
      <c r="B32" s="72">
        <v>10113</v>
      </c>
      <c r="C32" s="73" t="s">
        <v>277</v>
      </c>
      <c r="D32" s="102">
        <v>0</v>
      </c>
    </row>
    <row r="33" spans="2:4" ht="16.5">
      <c r="B33" s="58">
        <v>10114</v>
      </c>
      <c r="C33" s="59" t="s">
        <v>278</v>
      </c>
      <c r="D33" s="101">
        <v>0</v>
      </c>
    </row>
    <row r="34" spans="2:4" ht="16.5">
      <c r="B34" s="72">
        <v>10115</v>
      </c>
      <c r="C34" s="73" t="s">
        <v>279</v>
      </c>
      <c r="D34" s="102">
        <v>0</v>
      </c>
    </row>
    <row r="35" spans="2:4" ht="16.5">
      <c r="B35" s="58">
        <v>10116</v>
      </c>
      <c r="C35" s="59" t="s">
        <v>280</v>
      </c>
      <c r="D35" s="101">
        <v>63</v>
      </c>
    </row>
    <row r="36" spans="2:4" ht="16.5">
      <c r="B36" s="72">
        <v>10117</v>
      </c>
      <c r="C36" s="73" t="s">
        <v>281</v>
      </c>
      <c r="D36" s="102">
        <v>0</v>
      </c>
    </row>
    <row r="37" spans="2:4" ht="16.5">
      <c r="B37" s="58">
        <v>10118</v>
      </c>
      <c r="C37" s="59" t="s">
        <v>282</v>
      </c>
      <c r="D37" s="101">
        <v>0</v>
      </c>
    </row>
    <row r="38" spans="2:4" ht="16.5">
      <c r="B38" s="72">
        <v>10119</v>
      </c>
      <c r="C38" s="73" t="s">
        <v>283</v>
      </c>
      <c r="D38" s="102">
        <v>0</v>
      </c>
    </row>
    <row r="39" spans="2:4" ht="16.5">
      <c r="B39" s="58">
        <v>10120</v>
      </c>
      <c r="C39" s="59" t="s">
        <v>284</v>
      </c>
      <c r="D39" s="101">
        <v>0</v>
      </c>
    </row>
    <row r="40" spans="2:4" ht="16.5">
      <c r="B40" s="72">
        <v>10121</v>
      </c>
      <c r="C40" s="73" t="s">
        <v>285</v>
      </c>
      <c r="D40" s="102">
        <v>0</v>
      </c>
    </row>
    <row r="41" spans="2:4" ht="16.5">
      <c r="B41" s="58">
        <v>10201</v>
      </c>
      <c r="C41" s="59" t="s">
        <v>286</v>
      </c>
      <c r="D41" s="101">
        <v>5</v>
      </c>
    </row>
    <row r="42" spans="2:4" ht="16.5">
      <c r="B42" s="72">
        <v>10202</v>
      </c>
      <c r="C42" s="73" t="s">
        <v>287</v>
      </c>
      <c r="D42" s="102">
        <v>0</v>
      </c>
    </row>
    <row r="43" spans="2:4" ht="16.5">
      <c r="B43" s="58">
        <v>10203</v>
      </c>
      <c r="C43" s="59" t="s">
        <v>288</v>
      </c>
      <c r="D43" s="101">
        <v>1</v>
      </c>
    </row>
    <row r="44" spans="2:4" ht="16.5">
      <c r="B44" s="72">
        <v>10204</v>
      </c>
      <c r="C44" s="73" t="s">
        <v>289</v>
      </c>
      <c r="D44" s="102">
        <v>184</v>
      </c>
    </row>
    <row r="45" spans="2:4" ht="16.5">
      <c r="B45" s="58">
        <v>10205</v>
      </c>
      <c r="C45" s="59" t="s">
        <v>290</v>
      </c>
      <c r="D45" s="101">
        <v>2</v>
      </c>
    </row>
    <row r="46" spans="2:4" ht="16.5">
      <c r="B46" s="72">
        <v>10206</v>
      </c>
      <c r="C46" s="73" t="s">
        <v>291</v>
      </c>
      <c r="D46" s="102">
        <v>13</v>
      </c>
    </row>
    <row r="47" spans="2:4" ht="16.5">
      <c r="B47" s="58">
        <v>10207</v>
      </c>
      <c r="C47" s="59" t="s">
        <v>292</v>
      </c>
      <c r="D47" s="101">
        <v>4</v>
      </c>
    </row>
    <row r="48" spans="2:4" ht="16.5">
      <c r="B48" s="72">
        <v>10208</v>
      </c>
      <c r="C48" s="73" t="s">
        <v>293</v>
      </c>
      <c r="D48" s="102">
        <v>37</v>
      </c>
    </row>
    <row r="49" spans="2:4" ht="16.5">
      <c r="B49" s="58">
        <v>10209</v>
      </c>
      <c r="C49" s="59" t="s">
        <v>294</v>
      </c>
      <c r="D49" s="101">
        <v>8</v>
      </c>
    </row>
    <row r="50" spans="2:4" ht="16.5">
      <c r="B50" s="72">
        <v>10210</v>
      </c>
      <c r="C50" s="73" t="s">
        <v>295</v>
      </c>
      <c r="D50" s="102">
        <v>35</v>
      </c>
    </row>
    <row r="51" spans="2:4" ht="16.5">
      <c r="B51" s="58">
        <v>10211</v>
      </c>
      <c r="C51" s="59" t="s">
        <v>77</v>
      </c>
      <c r="D51" s="101">
        <v>4</v>
      </c>
    </row>
    <row r="52" spans="2:4" ht="16.5">
      <c r="B52" s="72">
        <v>10212</v>
      </c>
      <c r="C52" s="73" t="s">
        <v>296</v>
      </c>
      <c r="D52" s="102">
        <v>0</v>
      </c>
    </row>
    <row r="53" spans="2:4" ht="16.5">
      <c r="B53" s="58">
        <v>10213</v>
      </c>
      <c r="C53" s="59" t="s">
        <v>297</v>
      </c>
      <c r="D53" s="101">
        <v>0</v>
      </c>
    </row>
    <row r="54" spans="2:4" ht="16.5">
      <c r="B54" s="72">
        <v>10214</v>
      </c>
      <c r="C54" s="73" t="s">
        <v>298</v>
      </c>
      <c r="D54" s="102">
        <v>0</v>
      </c>
    </row>
    <row r="55" spans="2:4" ht="16.5">
      <c r="B55" s="58">
        <v>10215</v>
      </c>
      <c r="C55" s="59" t="s">
        <v>299</v>
      </c>
      <c r="D55" s="101">
        <v>0</v>
      </c>
    </row>
    <row r="56" spans="2:4" ht="16.5" customHeight="1">
      <c r="B56" s="72">
        <v>10216</v>
      </c>
      <c r="C56" s="73" t="s">
        <v>300</v>
      </c>
      <c r="D56" s="102">
        <v>0</v>
      </c>
    </row>
    <row r="57" spans="2:4" ht="16.5">
      <c r="B57" s="58">
        <v>10217</v>
      </c>
      <c r="C57" s="59" t="s">
        <v>301</v>
      </c>
      <c r="D57" s="101">
        <v>0</v>
      </c>
    </row>
    <row r="58" spans="2:4" ht="16.5">
      <c r="B58" s="72">
        <v>10218</v>
      </c>
      <c r="C58" s="73" t="s">
        <v>302</v>
      </c>
      <c r="D58" s="102">
        <v>0</v>
      </c>
    </row>
    <row r="59" spans="2:4" ht="16.5">
      <c r="B59" s="58">
        <v>10219</v>
      </c>
      <c r="C59" s="59" t="s">
        <v>303</v>
      </c>
      <c r="D59" s="101">
        <v>6</v>
      </c>
    </row>
    <row r="60" spans="2:4" ht="16.5">
      <c r="B60" s="72">
        <v>10220</v>
      </c>
      <c r="C60" s="73" t="s">
        <v>304</v>
      </c>
      <c r="D60" s="102">
        <v>89</v>
      </c>
    </row>
    <row r="61" spans="2:4" ht="16.5">
      <c r="B61" s="58">
        <v>10301</v>
      </c>
      <c r="C61" s="59" t="s">
        <v>305</v>
      </c>
      <c r="D61" s="101">
        <v>6</v>
      </c>
    </row>
    <row r="62" spans="2:4" ht="16.5">
      <c r="B62" s="72">
        <v>10302</v>
      </c>
      <c r="C62" s="73" t="s">
        <v>306</v>
      </c>
      <c r="D62" s="102">
        <v>4</v>
      </c>
    </row>
    <row r="63" spans="2:4" ht="16.5">
      <c r="B63" s="58">
        <v>10303</v>
      </c>
      <c r="C63" s="59" t="s">
        <v>307</v>
      </c>
      <c r="D63" s="101">
        <v>17</v>
      </c>
    </row>
    <row r="64" spans="2:4" ht="16.5">
      <c r="B64" s="72">
        <v>10304</v>
      </c>
      <c r="C64" s="73" t="s">
        <v>308</v>
      </c>
      <c r="D64" s="102">
        <v>3</v>
      </c>
    </row>
    <row r="65" spans="2:4" ht="16.5">
      <c r="B65" s="58">
        <v>10305</v>
      </c>
      <c r="C65" s="59" t="s">
        <v>309</v>
      </c>
      <c r="D65" s="101">
        <v>116</v>
      </c>
    </row>
    <row r="66" spans="2:4" ht="16.5">
      <c r="B66" s="72">
        <v>10306</v>
      </c>
      <c r="C66" s="73" t="s">
        <v>310</v>
      </c>
      <c r="D66" s="102">
        <v>13</v>
      </c>
    </row>
    <row r="67" spans="2:4" ht="16.5">
      <c r="B67" s="58">
        <v>10307</v>
      </c>
      <c r="C67" s="59" t="s">
        <v>75</v>
      </c>
      <c r="D67" s="101">
        <v>112</v>
      </c>
    </row>
    <row r="68" spans="2:4" ht="16.5">
      <c r="B68" s="72">
        <v>10308</v>
      </c>
      <c r="C68" s="73" t="s">
        <v>311</v>
      </c>
      <c r="D68" s="102">
        <v>146</v>
      </c>
    </row>
    <row r="69" spans="2:4" ht="16.5">
      <c r="B69" s="58">
        <v>10309</v>
      </c>
      <c r="C69" s="59" t="s">
        <v>312</v>
      </c>
      <c r="D69" s="101">
        <v>1</v>
      </c>
    </row>
    <row r="70" spans="2:4" ht="16.5">
      <c r="B70" s="72">
        <v>10310</v>
      </c>
      <c r="C70" s="73" t="s">
        <v>313</v>
      </c>
      <c r="D70" s="102">
        <v>400</v>
      </c>
    </row>
    <row r="71" spans="2:4" ht="16.5">
      <c r="B71" s="58">
        <v>10311</v>
      </c>
      <c r="C71" s="59" t="s">
        <v>314</v>
      </c>
      <c r="D71" s="101">
        <v>17</v>
      </c>
    </row>
    <row r="72" spans="2:4" ht="16.5">
      <c r="B72" s="72">
        <v>10312</v>
      </c>
      <c r="C72" s="73" t="s">
        <v>315</v>
      </c>
      <c r="D72" s="102">
        <v>17</v>
      </c>
    </row>
    <row r="73" spans="2:4" ht="16.5">
      <c r="B73" s="58">
        <v>10313</v>
      </c>
      <c r="C73" s="59" t="s">
        <v>316</v>
      </c>
      <c r="D73" s="101">
        <v>1</v>
      </c>
    </row>
    <row r="74" spans="2:4" ht="16.5">
      <c r="B74" s="72">
        <v>10314</v>
      </c>
      <c r="C74" s="73" t="s">
        <v>317</v>
      </c>
      <c r="D74" s="102">
        <v>15</v>
      </c>
    </row>
    <row r="75" spans="2:4" ht="16.5">
      <c r="B75" s="58">
        <v>10315</v>
      </c>
      <c r="C75" s="59" t="s">
        <v>318</v>
      </c>
      <c r="D75" s="101">
        <v>23</v>
      </c>
    </row>
    <row r="76" spans="2:4" ht="16.5">
      <c r="B76" s="72">
        <v>10316</v>
      </c>
      <c r="C76" s="73" t="s">
        <v>319</v>
      </c>
      <c r="D76" s="102">
        <v>287</v>
      </c>
    </row>
    <row r="77" spans="2:4" ht="16.5">
      <c r="B77" s="58">
        <v>10317</v>
      </c>
      <c r="C77" s="59" t="s">
        <v>320</v>
      </c>
      <c r="D77" s="101">
        <v>73</v>
      </c>
    </row>
    <row r="78" spans="2:4" ht="16.5">
      <c r="B78" s="72">
        <v>10318</v>
      </c>
      <c r="C78" s="73" t="s">
        <v>321</v>
      </c>
      <c r="D78" s="102">
        <v>53</v>
      </c>
    </row>
    <row r="79" spans="2:4" ht="16.5">
      <c r="B79" s="58">
        <v>10319</v>
      </c>
      <c r="C79" s="59" t="s">
        <v>81</v>
      </c>
      <c r="D79" s="101">
        <v>0</v>
      </c>
    </row>
    <row r="80" spans="2:4" ht="16.5">
      <c r="B80" s="75">
        <v>20101</v>
      </c>
      <c r="C80" s="76" t="s">
        <v>322</v>
      </c>
      <c r="D80" s="103">
        <v>0</v>
      </c>
    </row>
    <row r="81" spans="2:4" ht="16.5">
      <c r="B81" s="61">
        <v>20102</v>
      </c>
      <c r="C81" s="62" t="s">
        <v>264</v>
      </c>
      <c r="D81" s="104">
        <v>0</v>
      </c>
    </row>
    <row r="82" spans="2:4" ht="16.5">
      <c r="B82" s="75">
        <v>20103</v>
      </c>
      <c r="C82" s="76" t="s">
        <v>79</v>
      </c>
      <c r="D82" s="103">
        <v>78</v>
      </c>
    </row>
    <row r="83" spans="2:4" ht="16.5">
      <c r="B83" s="61">
        <v>20104</v>
      </c>
      <c r="C83" s="62" t="s">
        <v>80</v>
      </c>
      <c r="D83" s="104">
        <v>15</v>
      </c>
    </row>
    <row r="84" spans="2:4" ht="16.5">
      <c r="B84" s="75">
        <v>20105</v>
      </c>
      <c r="C84" s="76" t="s">
        <v>323</v>
      </c>
      <c r="D84" s="103">
        <v>0</v>
      </c>
    </row>
    <row r="85" spans="2:4" ht="16.5">
      <c r="B85" s="61">
        <v>20106</v>
      </c>
      <c r="C85" s="62" t="s">
        <v>324</v>
      </c>
      <c r="D85" s="104">
        <v>0</v>
      </c>
    </row>
    <row r="86" spans="2:4" ht="16.5">
      <c r="B86" s="75">
        <v>20107</v>
      </c>
      <c r="C86" s="76" t="s">
        <v>82</v>
      </c>
      <c r="D86" s="103">
        <v>0</v>
      </c>
    </row>
    <row r="87" spans="2:4" ht="16.5">
      <c r="B87" s="61">
        <v>20108</v>
      </c>
      <c r="C87" s="62" t="s">
        <v>325</v>
      </c>
      <c r="D87" s="104">
        <v>135</v>
      </c>
    </row>
    <row r="88" spans="2:4" ht="16.5">
      <c r="B88" s="75">
        <v>20109</v>
      </c>
      <c r="C88" s="76" t="s">
        <v>326</v>
      </c>
      <c r="D88" s="103">
        <v>0</v>
      </c>
    </row>
    <row r="89" spans="2:4" ht="16.5">
      <c r="B89" s="61">
        <v>20110</v>
      </c>
      <c r="C89" s="62" t="s">
        <v>327</v>
      </c>
      <c r="D89" s="104">
        <v>1</v>
      </c>
    </row>
    <row r="90" spans="2:4" ht="16.5">
      <c r="B90" s="75">
        <v>20111</v>
      </c>
      <c r="C90" s="76" t="s">
        <v>328</v>
      </c>
      <c r="D90" s="103">
        <v>12</v>
      </c>
    </row>
    <row r="91" spans="2:4" ht="16.5">
      <c r="B91" s="61">
        <v>20112</v>
      </c>
      <c r="C91" s="62" t="s">
        <v>329</v>
      </c>
      <c r="D91" s="104">
        <v>0</v>
      </c>
    </row>
    <row r="92" spans="2:4" ht="16.5">
      <c r="B92" s="75">
        <v>20113</v>
      </c>
      <c r="C92" s="76" t="s">
        <v>196</v>
      </c>
      <c r="D92" s="103">
        <v>1</v>
      </c>
    </row>
    <row r="93" spans="2:4" ht="16.5">
      <c r="B93" s="61">
        <v>20114</v>
      </c>
      <c r="C93" s="62" t="s">
        <v>83</v>
      </c>
      <c r="D93" s="104">
        <v>0</v>
      </c>
    </row>
    <row r="94" spans="2:4" ht="16.5">
      <c r="B94" s="75">
        <v>20201</v>
      </c>
      <c r="C94" s="76" t="s">
        <v>84</v>
      </c>
      <c r="D94" s="103">
        <v>73</v>
      </c>
    </row>
    <row r="95" spans="2:4" ht="16.5">
      <c r="B95" s="61">
        <v>20202</v>
      </c>
      <c r="C95" s="62" t="s">
        <v>85</v>
      </c>
      <c r="D95" s="104">
        <v>2</v>
      </c>
    </row>
    <row r="96" spans="2:4" ht="16.5">
      <c r="B96" s="75">
        <v>20203</v>
      </c>
      <c r="C96" s="76" t="s">
        <v>86</v>
      </c>
      <c r="D96" s="103">
        <v>185</v>
      </c>
    </row>
    <row r="97" spans="2:4" ht="16.5">
      <c r="B97" s="61">
        <v>20204</v>
      </c>
      <c r="C97" s="62" t="s">
        <v>87</v>
      </c>
      <c r="D97" s="104">
        <v>0</v>
      </c>
    </row>
    <row r="98" spans="2:4" ht="16.5">
      <c r="B98" s="75">
        <v>20205</v>
      </c>
      <c r="C98" s="76" t="s">
        <v>88</v>
      </c>
      <c r="D98" s="103">
        <v>0</v>
      </c>
    </row>
    <row r="99" spans="2:4" ht="16.5">
      <c r="B99" s="61">
        <v>20206</v>
      </c>
      <c r="C99" s="62" t="s">
        <v>89</v>
      </c>
      <c r="D99" s="104">
        <v>0</v>
      </c>
    </row>
    <row r="100" spans="2:4" ht="16.5">
      <c r="B100" s="75">
        <v>20207</v>
      </c>
      <c r="C100" s="76" t="s">
        <v>90</v>
      </c>
      <c r="D100" s="103">
        <v>0</v>
      </c>
    </row>
    <row r="101" spans="2:4" ht="16.5">
      <c r="B101" s="61">
        <v>20208</v>
      </c>
      <c r="C101" s="62" t="s">
        <v>91</v>
      </c>
      <c r="D101" s="104">
        <v>1</v>
      </c>
    </row>
    <row r="102" spans="2:4" ht="16.5">
      <c r="B102" s="75">
        <v>20209</v>
      </c>
      <c r="C102" s="76" t="s">
        <v>92</v>
      </c>
      <c r="D102" s="103">
        <v>0</v>
      </c>
    </row>
    <row r="103" spans="2:4" ht="16.5">
      <c r="B103" s="61">
        <v>20210</v>
      </c>
      <c r="C103" s="62" t="s">
        <v>193</v>
      </c>
      <c r="D103" s="104">
        <v>9</v>
      </c>
    </row>
    <row r="104" spans="2:4" ht="16.5">
      <c r="B104" s="75">
        <v>20211</v>
      </c>
      <c r="C104" s="76" t="s">
        <v>330</v>
      </c>
      <c r="D104" s="103">
        <v>0</v>
      </c>
    </row>
    <row r="105" spans="2:4" ht="16.5">
      <c r="B105" s="61">
        <v>20212</v>
      </c>
      <c r="C105" s="62" t="s">
        <v>94</v>
      </c>
      <c r="D105" s="104">
        <v>0</v>
      </c>
    </row>
    <row r="106" spans="2:4" ht="16.5">
      <c r="B106" s="75">
        <v>20213</v>
      </c>
      <c r="C106" s="76" t="s">
        <v>95</v>
      </c>
      <c r="D106" s="103">
        <v>0</v>
      </c>
    </row>
    <row r="107" spans="2:4" ht="16.5">
      <c r="B107" s="61">
        <v>20214</v>
      </c>
      <c r="C107" s="62" t="s">
        <v>331</v>
      </c>
      <c r="D107" s="104">
        <v>0</v>
      </c>
    </row>
    <row r="108" spans="2:4" ht="16.5">
      <c r="B108" s="75">
        <v>20301</v>
      </c>
      <c r="C108" s="76" t="s">
        <v>332</v>
      </c>
      <c r="D108" s="103">
        <v>32</v>
      </c>
    </row>
    <row r="109" spans="2:4" ht="16.5">
      <c r="B109" s="61">
        <v>20302</v>
      </c>
      <c r="C109" s="62" t="s">
        <v>333</v>
      </c>
      <c r="D109" s="104">
        <v>0</v>
      </c>
    </row>
    <row r="110" spans="2:4" ht="16.5">
      <c r="B110" s="75">
        <v>20303</v>
      </c>
      <c r="C110" s="76" t="s">
        <v>334</v>
      </c>
      <c r="D110" s="103">
        <v>25</v>
      </c>
    </row>
    <row r="111" spans="2:4" ht="16.5">
      <c r="B111" s="61">
        <v>20304</v>
      </c>
      <c r="C111" s="62" t="s">
        <v>335</v>
      </c>
      <c r="D111" s="104">
        <v>8</v>
      </c>
    </row>
    <row r="112" spans="2:4" ht="16.5">
      <c r="B112" s="75">
        <v>20305</v>
      </c>
      <c r="C112" s="76" t="s">
        <v>336</v>
      </c>
      <c r="D112" s="103">
        <v>2</v>
      </c>
    </row>
    <row r="113" spans="2:4" ht="16.5">
      <c r="B113" s="61">
        <v>20306</v>
      </c>
      <c r="C113" s="62" t="s">
        <v>337</v>
      </c>
      <c r="D113" s="104">
        <v>0</v>
      </c>
    </row>
    <row r="114" spans="2:4" ht="16.5">
      <c r="B114" s="75">
        <v>20307</v>
      </c>
      <c r="C114" s="76" t="s">
        <v>338</v>
      </c>
      <c r="D114" s="103">
        <v>4</v>
      </c>
    </row>
    <row r="115" spans="2:4" ht="16.5">
      <c r="B115" s="61">
        <v>20308</v>
      </c>
      <c r="C115" s="62" t="s">
        <v>339</v>
      </c>
      <c r="D115" s="104">
        <v>69</v>
      </c>
    </row>
    <row r="116" spans="2:4" ht="16.5">
      <c r="B116" s="75">
        <v>20309</v>
      </c>
      <c r="C116" s="76" t="s">
        <v>340</v>
      </c>
      <c r="D116" s="103">
        <v>0</v>
      </c>
    </row>
    <row r="117" spans="2:4" ht="16.5">
      <c r="B117" s="61">
        <v>20310</v>
      </c>
      <c r="C117" s="62" t="s">
        <v>341</v>
      </c>
      <c r="D117" s="104">
        <v>0</v>
      </c>
    </row>
    <row r="118" spans="2:4" ht="16.5">
      <c r="B118" s="75">
        <v>20311</v>
      </c>
      <c r="C118" s="76" t="s">
        <v>342</v>
      </c>
      <c r="D118" s="103">
        <v>324</v>
      </c>
    </row>
    <row r="119" spans="2:4" ht="16.5">
      <c r="B119" s="61">
        <v>20401</v>
      </c>
      <c r="C119" s="62" t="s">
        <v>343</v>
      </c>
      <c r="D119" s="104">
        <v>1</v>
      </c>
    </row>
    <row r="120" spans="2:4" ht="16.5">
      <c r="B120" s="75">
        <v>20402</v>
      </c>
      <c r="C120" s="76" t="s">
        <v>344</v>
      </c>
      <c r="D120" s="103">
        <v>7</v>
      </c>
    </row>
    <row r="121" spans="2:4" ht="16.5">
      <c r="B121" s="61">
        <v>20403</v>
      </c>
      <c r="C121" s="62" t="s">
        <v>345</v>
      </c>
      <c r="D121" s="104">
        <v>232</v>
      </c>
    </row>
    <row r="122" spans="2:4" ht="16.5">
      <c r="B122" s="75">
        <v>20404</v>
      </c>
      <c r="C122" s="76" t="s">
        <v>346</v>
      </c>
      <c r="D122" s="103">
        <v>14</v>
      </c>
    </row>
    <row r="123" spans="2:4" ht="16.5">
      <c r="B123" s="66">
        <v>30101</v>
      </c>
      <c r="C123" s="67" t="s">
        <v>347</v>
      </c>
      <c r="D123" s="105">
        <v>85</v>
      </c>
    </row>
    <row r="124" spans="2:4" ht="16.5">
      <c r="B124" s="63">
        <v>30102</v>
      </c>
      <c r="C124" s="64" t="s">
        <v>96</v>
      </c>
      <c r="D124" s="104">
        <v>28</v>
      </c>
    </row>
    <row r="125" spans="2:4" ht="16.5">
      <c r="B125" s="66">
        <v>30103</v>
      </c>
      <c r="C125" s="67" t="s">
        <v>76</v>
      </c>
      <c r="D125" s="105">
        <v>147</v>
      </c>
    </row>
    <row r="126" spans="2:4" ht="16.5">
      <c r="B126" s="63">
        <v>30201</v>
      </c>
      <c r="C126" s="64" t="s">
        <v>97</v>
      </c>
      <c r="D126" s="104">
        <v>0</v>
      </c>
    </row>
    <row r="127" spans="2:4" ht="16.5">
      <c r="B127" s="66">
        <v>30202</v>
      </c>
      <c r="C127" s="67" t="s">
        <v>418</v>
      </c>
      <c r="D127" s="105">
        <v>32</v>
      </c>
    </row>
    <row r="128" spans="2:4" ht="16.5">
      <c r="B128" s="63">
        <v>30203</v>
      </c>
      <c r="C128" s="64" t="s">
        <v>348</v>
      </c>
      <c r="D128" s="104">
        <v>0</v>
      </c>
    </row>
    <row r="129" spans="2:4" ht="16.5">
      <c r="B129" s="66">
        <v>30204</v>
      </c>
      <c r="C129" s="67" t="s">
        <v>99</v>
      </c>
      <c r="D129" s="105">
        <v>64</v>
      </c>
    </row>
    <row r="130" spans="2:4" ht="16.5">
      <c r="B130" s="63">
        <v>30205</v>
      </c>
      <c r="C130" s="64" t="s">
        <v>349</v>
      </c>
      <c r="D130" s="104">
        <v>10</v>
      </c>
    </row>
    <row r="131" spans="2:4" ht="16.5">
      <c r="B131" s="66">
        <v>30206</v>
      </c>
      <c r="C131" s="67" t="s">
        <v>350</v>
      </c>
      <c r="D131" s="105">
        <v>0</v>
      </c>
    </row>
    <row r="132" spans="2:4" ht="16.5">
      <c r="B132" s="63">
        <v>30207</v>
      </c>
      <c r="C132" s="64" t="s">
        <v>351</v>
      </c>
      <c r="D132" s="104">
        <v>0</v>
      </c>
    </row>
    <row r="133" spans="2:4" ht="16.5">
      <c r="B133" s="66">
        <v>30301</v>
      </c>
      <c r="C133" s="67" t="s">
        <v>100</v>
      </c>
      <c r="D133" s="105">
        <v>0</v>
      </c>
    </row>
    <row r="134" spans="2:4" ht="16.5">
      <c r="B134" s="63">
        <v>30302</v>
      </c>
      <c r="C134" s="64" t="s">
        <v>101</v>
      </c>
      <c r="D134" s="104">
        <v>141</v>
      </c>
    </row>
    <row r="135" spans="2:4" ht="16.5">
      <c r="B135" s="66">
        <v>30303</v>
      </c>
      <c r="C135" s="67" t="s">
        <v>352</v>
      </c>
      <c r="D135" s="105">
        <v>20</v>
      </c>
    </row>
    <row r="136" spans="2:4" ht="16.5">
      <c r="B136" s="63">
        <v>30304</v>
      </c>
      <c r="C136" s="64" t="s">
        <v>102</v>
      </c>
      <c r="D136" s="104">
        <v>0</v>
      </c>
    </row>
    <row r="137" spans="2:4" ht="16.5">
      <c r="B137" s="66">
        <v>30305</v>
      </c>
      <c r="C137" s="67" t="s">
        <v>103</v>
      </c>
      <c r="D137" s="105">
        <v>78</v>
      </c>
    </row>
    <row r="138" spans="2:4" ht="16.5">
      <c r="B138" s="63">
        <v>30306</v>
      </c>
      <c r="C138" s="64" t="s">
        <v>104</v>
      </c>
      <c r="D138" s="104">
        <v>37</v>
      </c>
    </row>
    <row r="139" spans="2:4" ht="16.5">
      <c r="B139" s="66">
        <v>30307</v>
      </c>
      <c r="C139" s="67" t="s">
        <v>105</v>
      </c>
      <c r="D139" s="105">
        <v>352</v>
      </c>
    </row>
    <row r="140" spans="2:4" ht="16.5">
      <c r="B140" s="63">
        <v>30308</v>
      </c>
      <c r="C140" s="64" t="s">
        <v>353</v>
      </c>
      <c r="D140" s="104">
        <v>45</v>
      </c>
    </row>
    <row r="141" spans="2:4" ht="16.5">
      <c r="B141" s="66">
        <v>30309</v>
      </c>
      <c r="C141" s="67" t="s">
        <v>354</v>
      </c>
      <c r="D141" s="105">
        <v>853</v>
      </c>
    </row>
    <row r="142" spans="2:4" ht="16.5">
      <c r="B142" s="63">
        <v>30310</v>
      </c>
      <c r="C142" s="64" t="s">
        <v>355</v>
      </c>
      <c r="D142" s="104">
        <v>374</v>
      </c>
    </row>
    <row r="143" spans="2:4" ht="16.5">
      <c r="B143" s="66">
        <v>30401</v>
      </c>
      <c r="C143" s="67" t="s">
        <v>356</v>
      </c>
      <c r="D143" s="105">
        <v>945</v>
      </c>
    </row>
    <row r="144" spans="2:4" ht="16.5">
      <c r="B144" s="63">
        <v>30402</v>
      </c>
      <c r="C144" s="64" t="s">
        <v>357</v>
      </c>
      <c r="D144" s="104">
        <v>295</v>
      </c>
    </row>
    <row r="145" spans="2:4" ht="16.5">
      <c r="B145" s="66">
        <v>30403</v>
      </c>
      <c r="C145" s="67" t="s">
        <v>358</v>
      </c>
      <c r="D145" s="105">
        <v>15</v>
      </c>
    </row>
    <row r="146" spans="2:4" ht="16.5">
      <c r="B146" s="63">
        <v>30404</v>
      </c>
      <c r="C146" s="64" t="s">
        <v>106</v>
      </c>
      <c r="D146" s="104">
        <v>72</v>
      </c>
    </row>
    <row r="147" spans="2:4" ht="16.5">
      <c r="B147" s="66">
        <v>30405</v>
      </c>
      <c r="C147" s="67" t="s">
        <v>107</v>
      </c>
      <c r="D147" s="105">
        <v>0</v>
      </c>
    </row>
    <row r="148" spans="2:4" ht="16.5">
      <c r="B148" s="63">
        <v>30406</v>
      </c>
      <c r="C148" s="64" t="s">
        <v>108</v>
      </c>
      <c r="D148" s="104">
        <v>12</v>
      </c>
    </row>
    <row r="149" spans="2:4" ht="16.5">
      <c r="B149" s="66">
        <v>30407</v>
      </c>
      <c r="C149" s="67" t="s">
        <v>359</v>
      </c>
      <c r="D149" s="105">
        <v>53</v>
      </c>
    </row>
    <row r="150" spans="2:4" ht="16.5">
      <c r="B150" s="63">
        <v>30408</v>
      </c>
      <c r="C150" s="64" t="s">
        <v>360</v>
      </c>
      <c r="D150" s="104">
        <v>0</v>
      </c>
    </row>
    <row r="151" spans="2:4" ht="16.5">
      <c r="B151" s="66">
        <v>30409</v>
      </c>
      <c r="C151" s="67" t="s">
        <v>110</v>
      </c>
      <c r="D151" s="105">
        <v>0</v>
      </c>
    </row>
    <row r="152" spans="2:4" ht="16.5">
      <c r="B152" s="63">
        <v>30410</v>
      </c>
      <c r="C152" s="64" t="s">
        <v>111</v>
      </c>
      <c r="D152" s="104">
        <v>0</v>
      </c>
    </row>
    <row r="153" spans="2:4" ht="16.5">
      <c r="B153" s="66">
        <v>30411</v>
      </c>
      <c r="C153" s="67" t="s">
        <v>361</v>
      </c>
      <c r="D153" s="105">
        <v>4</v>
      </c>
    </row>
    <row r="154" spans="2:4" ht="16.5">
      <c r="B154" s="63">
        <v>30412</v>
      </c>
      <c r="C154" s="64" t="s">
        <v>112</v>
      </c>
      <c r="D154" s="104">
        <v>0</v>
      </c>
    </row>
    <row r="155" spans="2:4" ht="16.5">
      <c r="B155" s="66">
        <v>30413</v>
      </c>
      <c r="C155" s="67" t="s">
        <v>113</v>
      </c>
      <c r="D155" s="105">
        <v>5</v>
      </c>
    </row>
    <row r="156" spans="2:4" ht="16.5">
      <c r="B156" s="63">
        <v>30414</v>
      </c>
      <c r="C156" s="64" t="s">
        <v>114</v>
      </c>
      <c r="D156" s="104">
        <v>80</v>
      </c>
    </row>
    <row r="157" spans="2:4" ht="16.5">
      <c r="B157" s="66">
        <v>30415</v>
      </c>
      <c r="C157" s="67" t="s">
        <v>115</v>
      </c>
      <c r="D157" s="105">
        <v>0</v>
      </c>
    </row>
    <row r="158" spans="2:4" ht="16.5">
      <c r="B158" s="63">
        <v>30416</v>
      </c>
      <c r="C158" s="64" t="s">
        <v>116</v>
      </c>
      <c r="D158" s="104">
        <v>2</v>
      </c>
    </row>
    <row r="159" spans="2:4" ht="16.5">
      <c r="B159" s="66">
        <v>30417</v>
      </c>
      <c r="C159" s="67" t="s">
        <v>117</v>
      </c>
      <c r="D159" s="105">
        <v>1</v>
      </c>
    </row>
    <row r="160" spans="2:4" ht="16.5">
      <c r="B160" s="63">
        <v>30418</v>
      </c>
      <c r="C160" s="64" t="s">
        <v>118</v>
      </c>
      <c r="D160" s="104">
        <v>0</v>
      </c>
    </row>
    <row r="161" spans="2:4" ht="16.5">
      <c r="B161" s="66">
        <v>30419</v>
      </c>
      <c r="C161" s="67" t="s">
        <v>119</v>
      </c>
      <c r="D161" s="105">
        <v>68</v>
      </c>
    </row>
    <row r="162" spans="2:4" ht="16.5">
      <c r="B162" s="63">
        <v>30420</v>
      </c>
      <c r="C162" s="64" t="s">
        <v>120</v>
      </c>
      <c r="D162" s="104">
        <v>73</v>
      </c>
    </row>
    <row r="163" spans="2:4" ht="16.5">
      <c r="B163" s="66">
        <v>30421</v>
      </c>
      <c r="C163" s="67" t="s">
        <v>121</v>
      </c>
      <c r="D163" s="105">
        <v>68</v>
      </c>
    </row>
    <row r="164" spans="2:4" ht="16.5">
      <c r="B164" s="63">
        <v>30422</v>
      </c>
      <c r="C164" s="64" t="s">
        <v>122</v>
      </c>
      <c r="D164" s="104">
        <v>78</v>
      </c>
    </row>
    <row r="165" spans="2:4" ht="16.5">
      <c r="B165" s="66">
        <v>30423</v>
      </c>
      <c r="C165" s="67" t="s">
        <v>123</v>
      </c>
      <c r="D165" s="105">
        <v>0</v>
      </c>
    </row>
    <row r="166" spans="2:4" ht="16.5">
      <c r="B166" s="63">
        <v>30424</v>
      </c>
      <c r="C166" s="64" t="s">
        <v>124</v>
      </c>
      <c r="D166" s="104">
        <v>0</v>
      </c>
    </row>
    <row r="167" spans="2:4" ht="16.5">
      <c r="B167" s="66">
        <v>30425</v>
      </c>
      <c r="C167" s="67" t="s">
        <v>125</v>
      </c>
      <c r="D167" s="105">
        <v>0</v>
      </c>
    </row>
    <row r="168" spans="2:4" ht="16.5">
      <c r="B168" s="63">
        <v>30426</v>
      </c>
      <c r="C168" s="64" t="s">
        <v>126</v>
      </c>
      <c r="D168" s="104">
        <v>0</v>
      </c>
    </row>
    <row r="169" spans="2:4" ht="16.5">
      <c r="B169" s="66">
        <v>30427</v>
      </c>
      <c r="C169" s="67" t="s">
        <v>127</v>
      </c>
      <c r="D169" s="105">
        <v>2</v>
      </c>
    </row>
    <row r="170" spans="2:4" ht="16.5">
      <c r="B170" s="63">
        <v>30428</v>
      </c>
      <c r="C170" s="64" t="s">
        <v>128</v>
      </c>
      <c r="D170" s="104">
        <v>0</v>
      </c>
    </row>
    <row r="171" spans="2:4" ht="16.5">
      <c r="B171" s="66">
        <v>30429</v>
      </c>
      <c r="C171" s="67" t="s">
        <v>129</v>
      </c>
      <c r="D171" s="105">
        <v>19</v>
      </c>
    </row>
    <row r="172" spans="2:4" ht="16.5">
      <c r="B172" s="63">
        <v>30430</v>
      </c>
      <c r="C172" s="64" t="s">
        <v>130</v>
      </c>
      <c r="D172" s="104">
        <v>223</v>
      </c>
    </row>
    <row r="173" spans="2:4" ht="16.5">
      <c r="B173" s="66">
        <v>30431</v>
      </c>
      <c r="C173" s="67" t="s">
        <v>131</v>
      </c>
      <c r="D173" s="105">
        <v>0</v>
      </c>
    </row>
    <row r="174" spans="2:4" ht="16.5">
      <c r="B174" s="63">
        <v>30432</v>
      </c>
      <c r="C174" s="64" t="s">
        <v>132</v>
      </c>
      <c r="D174" s="104">
        <v>0</v>
      </c>
    </row>
    <row r="175" spans="2:4" ht="16.5">
      <c r="B175" s="66">
        <v>30433</v>
      </c>
      <c r="C175" s="67" t="s">
        <v>133</v>
      </c>
      <c r="D175" s="105">
        <v>0</v>
      </c>
    </row>
    <row r="176" spans="2:4" ht="16.5">
      <c r="B176" s="63">
        <v>30434</v>
      </c>
      <c r="C176" s="64" t="s">
        <v>134</v>
      </c>
      <c r="D176" s="104">
        <v>0</v>
      </c>
    </row>
    <row r="177" spans="2:4" ht="16.5">
      <c r="B177" s="66">
        <v>30435</v>
      </c>
      <c r="C177" s="67" t="s">
        <v>135</v>
      </c>
      <c r="D177" s="105">
        <v>0</v>
      </c>
    </row>
    <row r="178" spans="2:4" ht="16.5">
      <c r="B178" s="63">
        <v>30436</v>
      </c>
      <c r="C178" s="64" t="s">
        <v>136</v>
      </c>
      <c r="D178" s="104">
        <v>0</v>
      </c>
    </row>
    <row r="179" spans="2:4" ht="16.5">
      <c r="B179" s="66">
        <v>30437</v>
      </c>
      <c r="C179" s="67" t="s">
        <v>137</v>
      </c>
      <c r="D179" s="105">
        <v>0</v>
      </c>
    </row>
    <row r="180" spans="2:4" ht="16.5">
      <c r="B180" s="63">
        <v>30438</v>
      </c>
      <c r="C180" s="64" t="s">
        <v>138</v>
      </c>
      <c r="D180" s="104">
        <v>0</v>
      </c>
    </row>
    <row r="181" spans="2:4" ht="16.5">
      <c r="B181" s="66">
        <v>30439</v>
      </c>
      <c r="C181" s="67" t="s">
        <v>139</v>
      </c>
      <c r="D181" s="105">
        <v>0</v>
      </c>
    </row>
    <row r="182" spans="2:4" ht="16.5">
      <c r="B182" s="63">
        <v>30440</v>
      </c>
      <c r="C182" s="64" t="s">
        <v>362</v>
      </c>
      <c r="D182" s="104">
        <v>18</v>
      </c>
    </row>
    <row r="183" spans="2:4" ht="16.5">
      <c r="B183" s="66">
        <v>30441</v>
      </c>
      <c r="C183" s="67" t="s">
        <v>363</v>
      </c>
      <c r="D183" s="105">
        <v>1</v>
      </c>
    </row>
    <row r="184" spans="2:4" ht="16.5">
      <c r="B184" s="63">
        <v>30442</v>
      </c>
      <c r="C184" s="64" t="s">
        <v>364</v>
      </c>
      <c r="D184" s="104">
        <v>0</v>
      </c>
    </row>
    <row r="185" spans="2:4" ht="16.5">
      <c r="B185" s="66">
        <v>30443</v>
      </c>
      <c r="C185" s="67" t="s">
        <v>365</v>
      </c>
      <c r="D185" s="105">
        <v>0</v>
      </c>
    </row>
    <row r="186" spans="2:4" ht="16.5">
      <c r="B186" s="63">
        <v>30444</v>
      </c>
      <c r="C186" s="64" t="s">
        <v>366</v>
      </c>
      <c r="D186" s="104">
        <v>0</v>
      </c>
    </row>
    <row r="187" spans="2:4" ht="16.5">
      <c r="B187" s="66">
        <v>30445</v>
      </c>
      <c r="C187" s="67" t="s">
        <v>367</v>
      </c>
      <c r="D187" s="105">
        <v>0</v>
      </c>
    </row>
    <row r="188" spans="2:4" ht="16.5">
      <c r="B188" s="63">
        <v>30446</v>
      </c>
      <c r="C188" s="64" t="s">
        <v>368</v>
      </c>
      <c r="D188" s="104">
        <v>260</v>
      </c>
    </row>
    <row r="189" spans="2:4" ht="16.5">
      <c r="B189" s="66">
        <v>30501</v>
      </c>
      <c r="C189" s="67" t="s">
        <v>140</v>
      </c>
      <c r="D189" s="105">
        <v>8</v>
      </c>
    </row>
    <row r="190" spans="2:4" ht="16.5">
      <c r="B190" s="63">
        <v>30502</v>
      </c>
      <c r="C190" s="64" t="s">
        <v>141</v>
      </c>
      <c r="D190" s="104">
        <v>1299</v>
      </c>
    </row>
    <row r="191" spans="2:4" ht="16.5">
      <c r="B191" s="66">
        <v>30503</v>
      </c>
      <c r="C191" s="67" t="s">
        <v>142</v>
      </c>
      <c r="D191" s="105">
        <v>1408</v>
      </c>
    </row>
    <row r="192" spans="2:4" ht="16.5">
      <c r="B192" s="63">
        <v>30504</v>
      </c>
      <c r="C192" s="64" t="s">
        <v>369</v>
      </c>
      <c r="D192" s="104">
        <v>151</v>
      </c>
    </row>
    <row r="193" spans="2:4" ht="16.5">
      <c r="B193" s="66">
        <v>30505</v>
      </c>
      <c r="C193" s="67" t="s">
        <v>370</v>
      </c>
      <c r="D193" s="105">
        <v>162</v>
      </c>
    </row>
    <row r="194" spans="2:4" ht="16.5">
      <c r="B194" s="63">
        <v>30601</v>
      </c>
      <c r="C194" s="64" t="s">
        <v>143</v>
      </c>
      <c r="D194" s="104">
        <v>25</v>
      </c>
    </row>
    <row r="195" spans="2:4" ht="16.5">
      <c r="B195" s="66">
        <v>30602</v>
      </c>
      <c r="C195" s="67" t="s">
        <v>144</v>
      </c>
      <c r="D195" s="105">
        <v>57</v>
      </c>
    </row>
    <row r="196" spans="2:4" ht="16.5">
      <c r="B196" s="63">
        <v>30603</v>
      </c>
      <c r="C196" s="64" t="s">
        <v>145</v>
      </c>
      <c r="D196" s="104">
        <v>5</v>
      </c>
    </row>
    <row r="197" spans="2:4" ht="16.5">
      <c r="B197" s="66">
        <v>30604</v>
      </c>
      <c r="C197" s="67" t="s">
        <v>146</v>
      </c>
      <c r="D197" s="105">
        <v>0</v>
      </c>
    </row>
    <row r="198" spans="2:4" ht="16.5">
      <c r="B198" s="63">
        <v>30605</v>
      </c>
      <c r="C198" s="64" t="s">
        <v>371</v>
      </c>
      <c r="D198" s="104">
        <v>0</v>
      </c>
    </row>
    <row r="199" spans="2:4" ht="16.5">
      <c r="B199" s="66">
        <v>30606</v>
      </c>
      <c r="C199" s="67" t="s">
        <v>372</v>
      </c>
      <c r="D199" s="105">
        <v>534</v>
      </c>
    </row>
    <row r="200" spans="2:4" ht="16.5">
      <c r="B200" s="63">
        <v>30607</v>
      </c>
      <c r="C200" s="64" t="s">
        <v>147</v>
      </c>
      <c r="D200" s="104">
        <v>12</v>
      </c>
    </row>
    <row r="201" spans="2:4" ht="16.5">
      <c r="B201" s="66">
        <v>30608</v>
      </c>
      <c r="C201" s="67" t="s">
        <v>148</v>
      </c>
      <c r="D201" s="105">
        <v>0</v>
      </c>
    </row>
    <row r="202" spans="2:4" ht="16.5">
      <c r="B202" s="63">
        <v>30609</v>
      </c>
      <c r="C202" s="64" t="s">
        <v>373</v>
      </c>
      <c r="D202" s="104">
        <v>8</v>
      </c>
    </row>
    <row r="203" spans="2:4" ht="16.5">
      <c r="B203" s="66">
        <v>30610</v>
      </c>
      <c r="C203" s="67" t="s">
        <v>374</v>
      </c>
      <c r="D203" s="105">
        <v>2</v>
      </c>
    </row>
    <row r="204" spans="2:4" ht="16.5">
      <c r="B204" s="63">
        <v>30611</v>
      </c>
      <c r="C204" s="64" t="s">
        <v>375</v>
      </c>
      <c r="D204" s="104">
        <v>1</v>
      </c>
    </row>
    <row r="205" spans="2:4" ht="16.5">
      <c r="B205" s="66">
        <v>30701</v>
      </c>
      <c r="C205" s="67" t="s">
        <v>149</v>
      </c>
      <c r="D205" s="105">
        <v>19</v>
      </c>
    </row>
    <row r="206" spans="2:4" ht="16.5">
      <c r="B206" s="63">
        <v>30702</v>
      </c>
      <c r="C206" s="64" t="s">
        <v>150</v>
      </c>
      <c r="D206" s="104">
        <v>32</v>
      </c>
    </row>
    <row r="207" spans="2:4" ht="16.5">
      <c r="B207" s="66">
        <v>30703</v>
      </c>
      <c r="C207" s="67" t="s">
        <v>151</v>
      </c>
      <c r="D207" s="105">
        <v>2</v>
      </c>
    </row>
    <row r="208" spans="2:4" ht="16.5">
      <c r="B208" s="63">
        <v>30704</v>
      </c>
      <c r="C208" s="64" t="s">
        <v>152</v>
      </c>
      <c r="D208" s="104">
        <v>0</v>
      </c>
    </row>
    <row r="209" spans="2:4" ht="16.5">
      <c r="B209" s="66">
        <v>30705</v>
      </c>
      <c r="C209" s="67" t="s">
        <v>153</v>
      </c>
      <c r="D209" s="105">
        <v>2</v>
      </c>
    </row>
    <row r="210" spans="2:4" ht="16.5">
      <c r="B210" s="63">
        <v>30706</v>
      </c>
      <c r="C210" s="64" t="s">
        <v>154</v>
      </c>
      <c r="D210" s="104">
        <v>0</v>
      </c>
    </row>
    <row r="211" spans="2:4" ht="16.5">
      <c r="B211" s="66">
        <v>30707</v>
      </c>
      <c r="C211" s="67" t="s">
        <v>155</v>
      </c>
      <c r="D211" s="105">
        <v>7</v>
      </c>
    </row>
    <row r="212" spans="2:4" ht="16.5">
      <c r="B212" s="63">
        <v>30708</v>
      </c>
      <c r="C212" s="64" t="s">
        <v>376</v>
      </c>
      <c r="D212" s="104">
        <v>9</v>
      </c>
    </row>
    <row r="213" spans="2:4" ht="16.5">
      <c r="B213" s="66">
        <v>30709</v>
      </c>
      <c r="C213" s="67" t="s">
        <v>159</v>
      </c>
      <c r="D213" s="105">
        <v>0</v>
      </c>
    </row>
    <row r="214" spans="2:4" ht="16.5">
      <c r="B214" s="63">
        <v>30710</v>
      </c>
      <c r="C214" s="64" t="s">
        <v>377</v>
      </c>
      <c r="D214" s="104">
        <v>0</v>
      </c>
    </row>
    <row r="215" spans="2:4" ht="16.5">
      <c r="B215" s="66">
        <v>30711</v>
      </c>
      <c r="C215" s="67" t="s">
        <v>158</v>
      </c>
      <c r="D215" s="105">
        <v>7</v>
      </c>
    </row>
    <row r="216" spans="2:4" ht="16.5">
      <c r="B216" s="63">
        <v>30801</v>
      </c>
      <c r="C216" s="64" t="s">
        <v>156</v>
      </c>
      <c r="D216" s="104">
        <v>0</v>
      </c>
    </row>
    <row r="217" spans="2:4" ht="16.5">
      <c r="B217" s="66">
        <v>30802</v>
      </c>
      <c r="C217" s="67" t="s">
        <v>157</v>
      </c>
      <c r="D217" s="105">
        <v>0</v>
      </c>
    </row>
    <row r="218" spans="2:4" ht="16.5">
      <c r="B218" s="63">
        <v>30803</v>
      </c>
      <c r="C218" s="64" t="s">
        <v>98</v>
      </c>
      <c r="D218" s="104">
        <v>0</v>
      </c>
    </row>
    <row r="219" spans="2:4" ht="16.5">
      <c r="B219" s="66">
        <v>30804</v>
      </c>
      <c r="C219" s="67" t="s">
        <v>185</v>
      </c>
      <c r="D219" s="105">
        <v>0</v>
      </c>
    </row>
    <row r="220" spans="2:4" ht="16.5">
      <c r="B220" s="63">
        <v>30805</v>
      </c>
      <c r="C220" s="64" t="s">
        <v>175</v>
      </c>
      <c r="D220" s="104">
        <v>0</v>
      </c>
    </row>
    <row r="221" spans="2:4" ht="16.5">
      <c r="B221" s="66">
        <v>30806</v>
      </c>
      <c r="C221" s="67" t="s">
        <v>378</v>
      </c>
      <c r="D221" s="105">
        <v>1</v>
      </c>
    </row>
    <row r="222" spans="2:4" ht="16.5">
      <c r="B222" s="63">
        <v>30807</v>
      </c>
      <c r="C222" s="64" t="s">
        <v>379</v>
      </c>
      <c r="D222" s="104">
        <v>0</v>
      </c>
    </row>
    <row r="223" spans="2:4" ht="16.5">
      <c r="B223" s="66">
        <v>30808</v>
      </c>
      <c r="C223" s="67" t="s">
        <v>172</v>
      </c>
      <c r="D223" s="105">
        <v>0</v>
      </c>
    </row>
    <row r="224" spans="2:4" ht="16.5">
      <c r="B224" s="63">
        <v>30809</v>
      </c>
      <c r="C224" s="64" t="s">
        <v>380</v>
      </c>
      <c r="D224" s="104">
        <v>0</v>
      </c>
    </row>
    <row r="225" spans="2:4" ht="16.5">
      <c r="B225" s="66">
        <v>30810</v>
      </c>
      <c r="C225" s="67" t="s">
        <v>381</v>
      </c>
      <c r="D225" s="105">
        <v>0</v>
      </c>
    </row>
    <row r="226" spans="2:4" ht="16.5">
      <c r="B226" s="63">
        <v>30901</v>
      </c>
      <c r="C226" s="64" t="s">
        <v>382</v>
      </c>
      <c r="D226" s="104">
        <v>56</v>
      </c>
    </row>
    <row r="227" spans="2:4" ht="16.5">
      <c r="B227" s="66">
        <v>30902</v>
      </c>
      <c r="C227" s="67" t="s">
        <v>383</v>
      </c>
      <c r="D227" s="105">
        <v>0</v>
      </c>
    </row>
    <row r="228" spans="2:4" ht="16.5">
      <c r="B228" s="63">
        <v>30903</v>
      </c>
      <c r="C228" s="64" t="s">
        <v>164</v>
      </c>
      <c r="D228" s="104">
        <v>166</v>
      </c>
    </row>
    <row r="229" spans="2:4" ht="16.5">
      <c r="B229" s="66">
        <v>30904</v>
      </c>
      <c r="C229" s="67" t="s">
        <v>184</v>
      </c>
      <c r="D229" s="105">
        <v>482</v>
      </c>
    </row>
    <row r="230" spans="2:4" ht="16.5">
      <c r="B230" s="63">
        <v>30905</v>
      </c>
      <c r="C230" s="64" t="s">
        <v>160</v>
      </c>
      <c r="D230" s="104">
        <v>1</v>
      </c>
    </row>
    <row r="231" spans="2:4" ht="16.5">
      <c r="B231" s="66">
        <v>30906</v>
      </c>
      <c r="C231" s="67" t="s">
        <v>161</v>
      </c>
      <c r="D231" s="105">
        <v>7</v>
      </c>
    </row>
    <row r="232" spans="2:4" ht="16.5">
      <c r="B232" s="63">
        <v>30907</v>
      </c>
      <c r="C232" s="64" t="s">
        <v>162</v>
      </c>
      <c r="D232" s="104">
        <v>2131</v>
      </c>
    </row>
    <row r="233" spans="2:4" ht="16.5">
      <c r="B233" s="66">
        <v>30908</v>
      </c>
      <c r="C233" s="67" t="s">
        <v>163</v>
      </c>
      <c r="D233" s="105">
        <v>19</v>
      </c>
    </row>
    <row r="234" spans="2:4" ht="16.5">
      <c r="B234" s="63">
        <v>30909</v>
      </c>
      <c r="C234" s="64" t="s">
        <v>384</v>
      </c>
      <c r="D234" s="104">
        <v>103</v>
      </c>
    </row>
    <row r="235" spans="2:4" ht="16.5">
      <c r="B235" s="66">
        <v>31001</v>
      </c>
      <c r="C235" s="67" t="s">
        <v>165</v>
      </c>
      <c r="D235" s="105">
        <v>237</v>
      </c>
    </row>
    <row r="236" spans="2:4" ht="16.5">
      <c r="B236" s="63">
        <v>31002</v>
      </c>
      <c r="C236" s="64" t="s">
        <v>385</v>
      </c>
      <c r="D236" s="104">
        <v>44</v>
      </c>
    </row>
    <row r="237" spans="2:4" ht="16.5">
      <c r="B237" s="66">
        <v>31003</v>
      </c>
      <c r="C237" s="67" t="s">
        <v>166</v>
      </c>
      <c r="D237" s="105">
        <v>8</v>
      </c>
    </row>
    <row r="238" spans="2:4" ht="16.5">
      <c r="B238" s="63">
        <v>31004</v>
      </c>
      <c r="C238" s="64" t="s">
        <v>167</v>
      </c>
      <c r="D238" s="104">
        <v>2</v>
      </c>
    </row>
    <row r="239" spans="2:4" ht="16.5">
      <c r="B239" s="66">
        <v>31005</v>
      </c>
      <c r="C239" s="67" t="s">
        <v>168</v>
      </c>
      <c r="D239" s="105">
        <v>0</v>
      </c>
    </row>
    <row r="240" spans="2:4" ht="16.5">
      <c r="B240" s="63">
        <v>31006</v>
      </c>
      <c r="C240" s="64" t="s">
        <v>169</v>
      </c>
      <c r="D240" s="104">
        <v>0</v>
      </c>
    </row>
    <row r="241" spans="2:4" ht="16.5">
      <c r="B241" s="66">
        <v>31007</v>
      </c>
      <c r="C241" s="67" t="s">
        <v>170</v>
      </c>
      <c r="D241" s="105">
        <v>13</v>
      </c>
    </row>
    <row r="242" spans="2:4" ht="16.5">
      <c r="B242" s="63">
        <v>31008</v>
      </c>
      <c r="C242" s="64" t="s">
        <v>386</v>
      </c>
      <c r="D242" s="104">
        <v>0</v>
      </c>
    </row>
    <row r="243" spans="2:4" ht="16.5">
      <c r="B243" s="66">
        <v>31009</v>
      </c>
      <c r="C243" s="67" t="s">
        <v>387</v>
      </c>
      <c r="D243" s="105">
        <v>0</v>
      </c>
    </row>
    <row r="244" spans="2:4" ht="16.5">
      <c r="B244" s="63">
        <v>31010</v>
      </c>
      <c r="C244" s="64" t="s">
        <v>93</v>
      </c>
      <c r="D244" s="104">
        <v>9</v>
      </c>
    </row>
    <row r="245" spans="2:4" ht="16.5">
      <c r="B245" s="66">
        <v>31011</v>
      </c>
      <c r="C245" s="67" t="s">
        <v>388</v>
      </c>
      <c r="D245" s="105">
        <v>0</v>
      </c>
    </row>
    <row r="246" spans="2:4" ht="16.5">
      <c r="B246" s="63">
        <v>31012</v>
      </c>
      <c r="C246" s="64" t="s">
        <v>389</v>
      </c>
      <c r="D246" s="104">
        <v>3</v>
      </c>
    </row>
    <row r="247" spans="2:4" ht="16.5">
      <c r="B247" s="66">
        <v>31013</v>
      </c>
      <c r="C247" s="67" t="s">
        <v>390</v>
      </c>
      <c r="D247" s="105">
        <v>0</v>
      </c>
    </row>
    <row r="248" spans="2:4" ht="16.5">
      <c r="B248" s="63">
        <v>31014</v>
      </c>
      <c r="C248" s="64" t="s">
        <v>391</v>
      </c>
      <c r="D248" s="104">
        <v>1</v>
      </c>
    </row>
    <row r="249" spans="2:4" ht="16.5">
      <c r="B249" s="66">
        <v>31015</v>
      </c>
      <c r="C249" s="67" t="s">
        <v>392</v>
      </c>
      <c r="D249" s="105">
        <v>2</v>
      </c>
    </row>
    <row r="250" spans="2:4" ht="16.5">
      <c r="B250" s="63">
        <v>31101</v>
      </c>
      <c r="C250" s="64" t="s">
        <v>173</v>
      </c>
      <c r="D250" s="104">
        <v>280</v>
      </c>
    </row>
    <row r="251" spans="2:4" ht="16.5">
      <c r="B251" s="66">
        <v>31102</v>
      </c>
      <c r="C251" s="67" t="s">
        <v>174</v>
      </c>
      <c r="D251" s="105">
        <v>59</v>
      </c>
    </row>
    <row r="252" spans="2:4" ht="16.5">
      <c r="B252" s="63">
        <v>31103</v>
      </c>
      <c r="C252" s="64" t="s">
        <v>176</v>
      </c>
      <c r="D252" s="104">
        <v>57</v>
      </c>
    </row>
    <row r="253" spans="2:4" ht="16.5">
      <c r="B253" s="66">
        <v>31104</v>
      </c>
      <c r="C253" s="67" t="s">
        <v>177</v>
      </c>
      <c r="D253" s="105">
        <v>175</v>
      </c>
    </row>
    <row r="254" spans="2:4" ht="16.5">
      <c r="B254" s="63">
        <v>31105</v>
      </c>
      <c r="C254" s="64" t="s">
        <v>178</v>
      </c>
      <c r="D254" s="104">
        <v>119</v>
      </c>
    </row>
    <row r="255" spans="2:4" ht="16.5">
      <c r="B255" s="66">
        <v>31106</v>
      </c>
      <c r="C255" s="67" t="s">
        <v>393</v>
      </c>
      <c r="D255" s="105">
        <v>1</v>
      </c>
    </row>
    <row r="256" spans="2:4" ht="16.5">
      <c r="B256" s="63">
        <v>31107</v>
      </c>
      <c r="C256" s="64" t="s">
        <v>394</v>
      </c>
      <c r="D256" s="104">
        <v>1</v>
      </c>
    </row>
    <row r="257" spans="2:4" ht="16.5">
      <c r="B257" s="66">
        <v>31108</v>
      </c>
      <c r="C257" s="67" t="s">
        <v>395</v>
      </c>
      <c r="D257" s="105">
        <v>17</v>
      </c>
    </row>
    <row r="258" spans="2:4" ht="16.5">
      <c r="B258" s="63">
        <v>31109</v>
      </c>
      <c r="C258" s="64" t="s">
        <v>179</v>
      </c>
      <c r="D258" s="104">
        <v>8</v>
      </c>
    </row>
    <row r="259" spans="2:4" ht="16.5">
      <c r="B259" s="66">
        <v>31110</v>
      </c>
      <c r="C259" s="67" t="s">
        <v>180</v>
      </c>
      <c r="D259" s="105">
        <v>0</v>
      </c>
    </row>
    <row r="260" spans="2:4" ht="16.5">
      <c r="B260" s="63">
        <v>31111</v>
      </c>
      <c r="C260" s="64" t="s">
        <v>181</v>
      </c>
      <c r="D260" s="104">
        <v>0</v>
      </c>
    </row>
    <row r="261" spans="2:4" ht="16.5">
      <c r="B261" s="66">
        <v>31112</v>
      </c>
      <c r="C261" s="67" t="s">
        <v>396</v>
      </c>
      <c r="D261" s="105">
        <v>230</v>
      </c>
    </row>
    <row r="262" spans="2:4" ht="16.5">
      <c r="B262" s="63">
        <v>31113</v>
      </c>
      <c r="C262" s="64" t="s">
        <v>182</v>
      </c>
      <c r="D262" s="104">
        <v>65</v>
      </c>
    </row>
    <row r="263" spans="2:4" ht="16.5">
      <c r="B263" s="66">
        <v>31114</v>
      </c>
      <c r="C263" s="67" t="s">
        <v>397</v>
      </c>
      <c r="D263" s="105">
        <v>42</v>
      </c>
    </row>
    <row r="264" spans="2:4" ht="16.5">
      <c r="B264" s="69">
        <v>40101</v>
      </c>
      <c r="C264" s="70" t="s">
        <v>188</v>
      </c>
      <c r="D264" s="106">
        <v>2</v>
      </c>
    </row>
    <row r="265" spans="2:4" ht="16.5">
      <c r="B265" s="63">
        <v>40102</v>
      </c>
      <c r="C265" s="64" t="s">
        <v>398</v>
      </c>
      <c r="D265" s="104">
        <v>15</v>
      </c>
    </row>
    <row r="266" spans="2:4" ht="16.5">
      <c r="B266" s="69">
        <v>40103</v>
      </c>
      <c r="C266" s="70" t="s">
        <v>189</v>
      </c>
      <c r="D266" s="106">
        <v>1</v>
      </c>
    </row>
    <row r="267" spans="2:4" ht="16.5">
      <c r="B267" s="63">
        <v>40104</v>
      </c>
      <c r="C267" s="64" t="s">
        <v>190</v>
      </c>
      <c r="D267" s="104">
        <v>44</v>
      </c>
    </row>
    <row r="268" spans="2:4" ht="16.5">
      <c r="B268" s="69">
        <v>40105</v>
      </c>
      <c r="C268" s="70" t="s">
        <v>192</v>
      </c>
      <c r="D268" s="106">
        <v>14</v>
      </c>
    </row>
    <row r="269" spans="2:4" ht="16.5">
      <c r="B269" s="63">
        <v>40106</v>
      </c>
      <c r="C269" s="64" t="s">
        <v>195</v>
      </c>
      <c r="D269" s="104">
        <v>35</v>
      </c>
    </row>
    <row r="270" spans="2:4" ht="16.5">
      <c r="B270" s="69">
        <v>40107</v>
      </c>
      <c r="C270" s="70" t="s">
        <v>197</v>
      </c>
      <c r="D270" s="106">
        <v>138</v>
      </c>
    </row>
    <row r="271" spans="2:4" ht="16.5">
      <c r="B271" s="63">
        <v>40108</v>
      </c>
      <c r="C271" s="64" t="s">
        <v>198</v>
      </c>
      <c r="D271" s="104">
        <v>4</v>
      </c>
    </row>
    <row r="272" spans="2:4" ht="16.5">
      <c r="B272" s="69">
        <v>40109</v>
      </c>
      <c r="C272" s="70" t="s">
        <v>78</v>
      </c>
      <c r="D272" s="106">
        <v>0</v>
      </c>
    </row>
    <row r="273" spans="2:4" ht="16.5">
      <c r="B273" s="63">
        <v>40110</v>
      </c>
      <c r="C273" s="64" t="s">
        <v>191</v>
      </c>
      <c r="D273" s="104">
        <v>7</v>
      </c>
    </row>
    <row r="274" spans="2:4" ht="16.5">
      <c r="B274" s="78">
        <v>50101</v>
      </c>
      <c r="C274" s="79" t="s">
        <v>399</v>
      </c>
      <c r="D274" s="107">
        <v>11</v>
      </c>
    </row>
    <row r="275" spans="2:4" ht="16.5">
      <c r="B275" s="63">
        <v>50102</v>
      </c>
      <c r="C275" s="64" t="s">
        <v>400</v>
      </c>
      <c r="D275" s="104">
        <v>65</v>
      </c>
    </row>
    <row r="276" spans="2:4" ht="16.5">
      <c r="B276" s="78">
        <v>50103</v>
      </c>
      <c r="C276" s="79" t="s">
        <v>401</v>
      </c>
      <c r="D276" s="107">
        <v>24</v>
      </c>
    </row>
    <row r="277" spans="2:4" ht="16.5">
      <c r="B277" s="63">
        <v>50104</v>
      </c>
      <c r="C277" s="64" t="s">
        <v>109</v>
      </c>
      <c r="D277" s="104">
        <v>18</v>
      </c>
    </row>
    <row r="278" spans="2:4" ht="16.5">
      <c r="B278" s="78">
        <v>50105</v>
      </c>
      <c r="C278" s="79" t="s">
        <v>183</v>
      </c>
      <c r="D278" s="107">
        <v>861</v>
      </c>
    </row>
    <row r="279" spans="2:4" ht="16.5">
      <c r="B279" s="63">
        <v>50106</v>
      </c>
      <c r="C279" s="64" t="s">
        <v>171</v>
      </c>
      <c r="D279" s="104">
        <v>0</v>
      </c>
    </row>
    <row r="280" spans="2:4" ht="16.5">
      <c r="B280" s="78">
        <v>50107</v>
      </c>
      <c r="C280" s="79" t="s">
        <v>402</v>
      </c>
      <c r="D280" s="107">
        <v>51</v>
      </c>
    </row>
    <row r="281" spans="2:4" ht="16.5">
      <c r="B281" s="63">
        <v>50108</v>
      </c>
      <c r="C281" s="64" t="s">
        <v>403</v>
      </c>
      <c r="D281" s="104">
        <v>22</v>
      </c>
    </row>
    <row r="282" spans="2:4" ht="16.5">
      <c r="B282" s="78">
        <v>50201</v>
      </c>
      <c r="C282" s="79" t="s">
        <v>404</v>
      </c>
      <c r="D282" s="107">
        <v>5</v>
      </c>
    </row>
    <row r="283" spans="2:4" ht="16.5">
      <c r="B283" s="63">
        <v>50202</v>
      </c>
      <c r="C283" s="64" t="s">
        <v>405</v>
      </c>
      <c r="D283" s="104">
        <v>0</v>
      </c>
    </row>
    <row r="284" spans="2:4" ht="16.5">
      <c r="B284" s="78">
        <v>50203</v>
      </c>
      <c r="C284" s="79" t="s">
        <v>406</v>
      </c>
      <c r="D284" s="107">
        <v>97</v>
      </c>
    </row>
    <row r="285" spans="2:4" ht="16.5">
      <c r="B285" s="63">
        <v>50301</v>
      </c>
      <c r="C285" s="64" t="s">
        <v>407</v>
      </c>
      <c r="D285" s="104">
        <v>927</v>
      </c>
    </row>
    <row r="286" spans="2:4" ht="16.5">
      <c r="B286" s="78">
        <v>50302</v>
      </c>
      <c r="C286" s="79" t="s">
        <v>408</v>
      </c>
      <c r="D286" s="107">
        <v>66</v>
      </c>
    </row>
    <row r="287" spans="2:4" ht="16.5">
      <c r="B287" s="63">
        <v>50303</v>
      </c>
      <c r="C287" s="64" t="s">
        <v>186</v>
      </c>
      <c r="D287" s="104">
        <v>55</v>
      </c>
    </row>
    <row r="288" spans="2:4" ht="16.5">
      <c r="B288" s="78">
        <v>50304</v>
      </c>
      <c r="C288" s="79" t="s">
        <v>187</v>
      </c>
      <c r="D288" s="107">
        <v>33</v>
      </c>
    </row>
    <row r="289" spans="2:4" ht="16.5">
      <c r="B289" s="63">
        <v>50305</v>
      </c>
      <c r="C289" s="64" t="s">
        <v>409</v>
      </c>
      <c r="D289" s="104">
        <v>124</v>
      </c>
    </row>
    <row r="290" spans="2:4" ht="16.5">
      <c r="B290" s="78">
        <v>50306</v>
      </c>
      <c r="C290" s="79" t="s">
        <v>410</v>
      </c>
      <c r="D290" s="107">
        <v>76</v>
      </c>
    </row>
    <row r="291" spans="2:4" ht="16.5">
      <c r="B291" s="81">
        <v>60101</v>
      </c>
      <c r="C291" s="82" t="s">
        <v>411</v>
      </c>
      <c r="D291" s="108">
        <v>0</v>
      </c>
    </row>
    <row r="292" spans="2:4" ht="16.5">
      <c r="B292" s="63">
        <v>60102</v>
      </c>
      <c r="C292" s="64" t="s">
        <v>194</v>
      </c>
      <c r="D292" s="104">
        <v>0</v>
      </c>
    </row>
    <row r="293" spans="2:4" ht="16.5">
      <c r="B293" s="81">
        <v>60103</v>
      </c>
      <c r="C293" s="82" t="s">
        <v>412</v>
      </c>
      <c r="D293" s="108">
        <v>136</v>
      </c>
    </row>
    <row r="294" spans="2:4" ht="16.5">
      <c r="B294" s="84">
        <v>70101</v>
      </c>
      <c r="C294" s="85" t="s">
        <v>413</v>
      </c>
      <c r="D294" s="109">
        <v>1310</v>
      </c>
    </row>
    <row r="295" spans="2:4" ht="16.5">
      <c r="B295" s="63">
        <v>70102</v>
      </c>
      <c r="C295" s="64" t="s">
        <v>199</v>
      </c>
      <c r="D295" s="104">
        <v>228</v>
      </c>
    </row>
    <row r="296" spans="2:4" ht="16.5">
      <c r="B296" s="84">
        <v>70103</v>
      </c>
      <c r="C296" s="85" t="s">
        <v>200</v>
      </c>
      <c r="D296" s="109">
        <v>675</v>
      </c>
    </row>
    <row r="297" spans="2:4" ht="16.5">
      <c r="B297" s="63">
        <v>70104</v>
      </c>
      <c r="C297" s="64" t="s">
        <v>414</v>
      </c>
      <c r="D297" s="104">
        <v>31285</v>
      </c>
    </row>
    <row r="298" spans="2:4" ht="16.5">
      <c r="B298" s="84">
        <v>70105</v>
      </c>
      <c r="C298" s="85" t="s">
        <v>201</v>
      </c>
      <c r="D298" s="109">
        <v>635</v>
      </c>
    </row>
    <row r="299" spans="2:4" ht="16.5">
      <c r="B299" s="63">
        <v>70106</v>
      </c>
      <c r="C299" s="64" t="s">
        <v>415</v>
      </c>
      <c r="D299" s="104">
        <v>297</v>
      </c>
    </row>
    <row r="300" spans="2:4" ht="16.5">
      <c r="B300" s="84">
        <v>70107</v>
      </c>
      <c r="C300" s="85" t="s">
        <v>416</v>
      </c>
      <c r="D300" s="109">
        <v>586</v>
      </c>
    </row>
    <row r="301" spans="2:4" ht="17.25" thickBot="1">
      <c r="B301" s="87">
        <v>70108</v>
      </c>
      <c r="C301" s="88" t="s">
        <v>417</v>
      </c>
      <c r="D301" s="110">
        <v>3592</v>
      </c>
    </row>
    <row r="302" spans="2:4" ht="19.899999999999999" customHeight="1" thickBot="1">
      <c r="B302" s="89" t="s">
        <v>1</v>
      </c>
      <c r="C302" s="90"/>
      <c r="D302" s="91">
        <f>SUM(D20:D301)</f>
        <v>57993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topLeftCell="D295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1" t="s">
        <v>428</v>
      </c>
      <c r="C6" s="111"/>
      <c r="D6" s="111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4" t="s">
        <v>248</v>
      </c>
      <c r="C7" s="115"/>
      <c r="D7" s="11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4" t="s">
        <v>0</v>
      </c>
      <c r="C8" s="115"/>
      <c r="D8" s="115"/>
      <c r="E8" s="1"/>
      <c r="F8" s="116"/>
      <c r="G8" s="116"/>
      <c r="H8" s="116"/>
      <c r="I8" s="116"/>
      <c r="J8" s="116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4"/>
      <c r="C9" s="115"/>
      <c r="D9" s="11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7" t="s">
        <v>419</v>
      </c>
      <c r="C10" s="117"/>
      <c r="D10" s="11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Quintana Roo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8" t="s">
        <v>2</v>
      </c>
      <c r="C16" s="119"/>
      <c r="D16" s="120"/>
    </row>
    <row r="17" spans="2:7" ht="15">
      <c r="B17" s="121" t="s">
        <v>246</v>
      </c>
      <c r="C17" s="122"/>
      <c r="D17" s="50" t="s">
        <v>4</v>
      </c>
    </row>
    <row r="18" spans="2:7" ht="15">
      <c r="B18" s="112" t="s">
        <v>247</v>
      </c>
      <c r="C18" s="113"/>
      <c r="D18" s="50" t="s">
        <v>426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170</v>
      </c>
    </row>
    <row r="23" spans="2:7" ht="16.5">
      <c r="B23" s="58">
        <v>10104</v>
      </c>
      <c r="C23" s="59" t="s">
        <v>268</v>
      </c>
      <c r="D23" s="65">
        <v>199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2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4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13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31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2</v>
      </c>
    </row>
    <row r="41" spans="2:4" ht="16.5">
      <c r="B41" s="58">
        <v>10201</v>
      </c>
      <c r="C41" s="59" t="s">
        <v>286</v>
      </c>
      <c r="D41" s="65">
        <v>1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0</v>
      </c>
    </row>
    <row r="44" spans="2:4" ht="16.5">
      <c r="B44" s="72">
        <v>10204</v>
      </c>
      <c r="C44" s="73" t="s">
        <v>289</v>
      </c>
      <c r="D44" s="74">
        <v>93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1</v>
      </c>
    </row>
    <row r="47" spans="2:4" ht="16.5">
      <c r="B47" s="58">
        <v>10207</v>
      </c>
      <c r="C47" s="59" t="s">
        <v>292</v>
      </c>
      <c r="D47" s="65">
        <v>0</v>
      </c>
    </row>
    <row r="48" spans="2:4" ht="16.5">
      <c r="B48" s="72">
        <v>10208</v>
      </c>
      <c r="C48" s="73" t="s">
        <v>293</v>
      </c>
      <c r="D48" s="74">
        <v>15</v>
      </c>
    </row>
    <row r="49" spans="2:4" ht="16.5">
      <c r="B49" s="58">
        <v>10209</v>
      </c>
      <c r="C49" s="59" t="s">
        <v>294</v>
      </c>
      <c r="D49" s="65">
        <v>4</v>
      </c>
    </row>
    <row r="50" spans="2:4" ht="16.5">
      <c r="B50" s="72">
        <v>10210</v>
      </c>
      <c r="C50" s="73" t="s">
        <v>295</v>
      </c>
      <c r="D50" s="74">
        <v>15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5</v>
      </c>
    </row>
    <row r="60" spans="2:4" ht="16.5">
      <c r="B60" s="72">
        <v>10220</v>
      </c>
      <c r="C60" s="73" t="s">
        <v>304</v>
      </c>
      <c r="D60" s="74">
        <v>26</v>
      </c>
    </row>
    <row r="61" spans="2:4" ht="16.5">
      <c r="B61" s="58">
        <v>10301</v>
      </c>
      <c r="C61" s="59" t="s">
        <v>305</v>
      </c>
      <c r="D61" s="65">
        <v>1</v>
      </c>
    </row>
    <row r="62" spans="2:4" ht="16.5">
      <c r="B62" s="72">
        <v>10302</v>
      </c>
      <c r="C62" s="73" t="s">
        <v>306</v>
      </c>
      <c r="D62" s="74">
        <v>1</v>
      </c>
    </row>
    <row r="63" spans="2:4" ht="16.5">
      <c r="B63" s="58">
        <v>10303</v>
      </c>
      <c r="C63" s="59" t="s">
        <v>307</v>
      </c>
      <c r="D63" s="65">
        <v>8</v>
      </c>
    </row>
    <row r="64" spans="2:4" ht="16.5">
      <c r="B64" s="72">
        <v>10304</v>
      </c>
      <c r="C64" s="73" t="s">
        <v>308</v>
      </c>
      <c r="D64" s="74">
        <v>2</v>
      </c>
    </row>
    <row r="65" spans="2:4" ht="16.5">
      <c r="B65" s="58">
        <v>10305</v>
      </c>
      <c r="C65" s="59" t="s">
        <v>309</v>
      </c>
      <c r="D65" s="65">
        <v>45</v>
      </c>
    </row>
    <row r="66" spans="2:4" ht="16.5">
      <c r="B66" s="72">
        <v>10306</v>
      </c>
      <c r="C66" s="73" t="s">
        <v>310</v>
      </c>
      <c r="D66" s="74">
        <v>2</v>
      </c>
    </row>
    <row r="67" spans="2:4" ht="16.5">
      <c r="B67" s="58">
        <v>10307</v>
      </c>
      <c r="C67" s="59" t="s">
        <v>75</v>
      </c>
      <c r="D67" s="65">
        <v>43</v>
      </c>
    </row>
    <row r="68" spans="2:4" ht="16.5">
      <c r="B68" s="72">
        <v>10308</v>
      </c>
      <c r="C68" s="73" t="s">
        <v>311</v>
      </c>
      <c r="D68" s="74">
        <v>58</v>
      </c>
    </row>
    <row r="69" spans="2:4" ht="16.5">
      <c r="B69" s="58">
        <v>10309</v>
      </c>
      <c r="C69" s="59" t="s">
        <v>312</v>
      </c>
      <c r="D69" s="65">
        <v>9</v>
      </c>
    </row>
    <row r="70" spans="2:4" ht="16.5">
      <c r="B70" s="72">
        <v>10310</v>
      </c>
      <c r="C70" s="73" t="s">
        <v>313</v>
      </c>
      <c r="D70" s="74">
        <v>217</v>
      </c>
    </row>
    <row r="71" spans="2:4" ht="16.5">
      <c r="B71" s="58">
        <v>10311</v>
      </c>
      <c r="C71" s="59" t="s">
        <v>314</v>
      </c>
      <c r="D71" s="65">
        <v>8</v>
      </c>
    </row>
    <row r="72" spans="2:4" ht="16.5">
      <c r="B72" s="72">
        <v>10312</v>
      </c>
      <c r="C72" s="73" t="s">
        <v>315</v>
      </c>
      <c r="D72" s="74">
        <v>2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12</v>
      </c>
    </row>
    <row r="75" spans="2:4" ht="16.5">
      <c r="B75" s="58">
        <v>10315</v>
      </c>
      <c r="C75" s="59" t="s">
        <v>318</v>
      </c>
      <c r="D75" s="65">
        <v>20</v>
      </c>
    </row>
    <row r="76" spans="2:4" ht="16.5">
      <c r="B76" s="72">
        <v>10316</v>
      </c>
      <c r="C76" s="73" t="s">
        <v>319</v>
      </c>
      <c r="D76" s="74">
        <v>124</v>
      </c>
    </row>
    <row r="77" spans="2:4" ht="16.5">
      <c r="B77" s="58">
        <v>10317</v>
      </c>
      <c r="C77" s="59" t="s">
        <v>320</v>
      </c>
      <c r="D77" s="65">
        <v>40</v>
      </c>
    </row>
    <row r="78" spans="2:4" ht="16.5">
      <c r="B78" s="72">
        <v>10318</v>
      </c>
      <c r="C78" s="73" t="s">
        <v>321</v>
      </c>
      <c r="D78" s="74">
        <v>29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36</v>
      </c>
    </row>
    <row r="83" spans="2:4" ht="16.5">
      <c r="B83" s="61">
        <v>20104</v>
      </c>
      <c r="C83" s="62" t="s">
        <v>80</v>
      </c>
      <c r="D83" s="60">
        <v>4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0</v>
      </c>
    </row>
    <row r="87" spans="2:4" ht="16.5">
      <c r="B87" s="61">
        <v>20108</v>
      </c>
      <c r="C87" s="62" t="s">
        <v>325</v>
      </c>
      <c r="D87" s="60">
        <v>41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1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1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31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68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7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5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6</v>
      </c>
    </row>
    <row r="111" spans="2:4" ht="16.5">
      <c r="B111" s="61">
        <v>20304</v>
      </c>
      <c r="C111" s="62" t="s">
        <v>335</v>
      </c>
      <c r="D111" s="60">
        <v>1</v>
      </c>
    </row>
    <row r="112" spans="2:4" ht="16.5">
      <c r="B112" s="75">
        <v>20305</v>
      </c>
      <c r="C112" s="76" t="s">
        <v>336</v>
      </c>
      <c r="D112" s="77">
        <v>1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2</v>
      </c>
    </row>
    <row r="115" spans="2:4" ht="16.5">
      <c r="B115" s="61">
        <v>20308</v>
      </c>
      <c r="C115" s="62" t="s">
        <v>339</v>
      </c>
      <c r="D115" s="60">
        <v>18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146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2</v>
      </c>
    </row>
    <row r="121" spans="2:4" ht="16.5">
      <c r="B121" s="61">
        <v>20403</v>
      </c>
      <c r="C121" s="62" t="s">
        <v>345</v>
      </c>
      <c r="D121" s="60">
        <v>103</v>
      </c>
    </row>
    <row r="122" spans="2:4" ht="16.5">
      <c r="B122" s="75">
        <v>20404</v>
      </c>
      <c r="C122" s="76" t="s">
        <v>346</v>
      </c>
      <c r="D122" s="77">
        <v>3</v>
      </c>
    </row>
    <row r="123" spans="2:4" ht="16.5">
      <c r="B123" s="66">
        <v>30101</v>
      </c>
      <c r="C123" s="67" t="s">
        <v>347</v>
      </c>
      <c r="D123" s="68">
        <v>91</v>
      </c>
    </row>
    <row r="124" spans="2:4" ht="16.5">
      <c r="B124" s="63">
        <v>30102</v>
      </c>
      <c r="C124" s="64" t="s">
        <v>96</v>
      </c>
      <c r="D124" s="60">
        <v>16</v>
      </c>
    </row>
    <row r="125" spans="2:4" ht="16.5">
      <c r="B125" s="66">
        <v>30103</v>
      </c>
      <c r="C125" s="67" t="s">
        <v>76</v>
      </c>
      <c r="D125" s="68">
        <v>79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9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8</v>
      </c>
    </row>
    <row r="130" spans="2:4" ht="16.5">
      <c r="B130" s="63">
        <v>30205</v>
      </c>
      <c r="C130" s="64" t="s">
        <v>349</v>
      </c>
      <c r="D130" s="60">
        <v>0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19</v>
      </c>
    </row>
    <row r="135" spans="2:4" ht="16.5">
      <c r="B135" s="66">
        <v>30303</v>
      </c>
      <c r="C135" s="67" t="s">
        <v>352</v>
      </c>
      <c r="D135" s="68">
        <v>2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27</v>
      </c>
    </row>
    <row r="138" spans="2:4" ht="16.5">
      <c r="B138" s="63">
        <v>30306</v>
      </c>
      <c r="C138" s="64" t="s">
        <v>104</v>
      </c>
      <c r="D138" s="60">
        <v>6</v>
      </c>
    </row>
    <row r="139" spans="2:4" ht="16.5">
      <c r="B139" s="66">
        <v>30307</v>
      </c>
      <c r="C139" s="67" t="s">
        <v>105</v>
      </c>
      <c r="D139" s="68">
        <v>96</v>
      </c>
    </row>
    <row r="140" spans="2:4" ht="16.5">
      <c r="B140" s="63">
        <v>30308</v>
      </c>
      <c r="C140" s="64" t="s">
        <v>353</v>
      </c>
      <c r="D140" s="60">
        <v>22</v>
      </c>
    </row>
    <row r="141" spans="2:4" ht="16.5">
      <c r="B141" s="66">
        <v>30309</v>
      </c>
      <c r="C141" s="67" t="s">
        <v>354</v>
      </c>
      <c r="D141" s="68">
        <v>392</v>
      </c>
    </row>
    <row r="142" spans="2:4" ht="16.5">
      <c r="B142" s="63">
        <v>30310</v>
      </c>
      <c r="C142" s="64" t="s">
        <v>355</v>
      </c>
      <c r="D142" s="60">
        <v>141</v>
      </c>
    </row>
    <row r="143" spans="2:4" ht="16.5">
      <c r="B143" s="66">
        <v>30401</v>
      </c>
      <c r="C143" s="67" t="s">
        <v>356</v>
      </c>
      <c r="D143" s="68">
        <v>498</v>
      </c>
    </row>
    <row r="144" spans="2:4" ht="16.5">
      <c r="B144" s="63">
        <v>30402</v>
      </c>
      <c r="C144" s="64" t="s">
        <v>357</v>
      </c>
      <c r="D144" s="60">
        <v>125</v>
      </c>
    </row>
    <row r="145" spans="2:4" ht="16.5">
      <c r="B145" s="66">
        <v>30403</v>
      </c>
      <c r="C145" s="67" t="s">
        <v>358</v>
      </c>
      <c r="D145" s="68">
        <v>13</v>
      </c>
    </row>
    <row r="146" spans="2:4" ht="16.5">
      <c r="B146" s="63">
        <v>30404</v>
      </c>
      <c r="C146" s="64" t="s">
        <v>106</v>
      </c>
      <c r="D146" s="60">
        <v>24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0</v>
      </c>
    </row>
    <row r="149" spans="2:4" ht="16.5">
      <c r="B149" s="66">
        <v>30407</v>
      </c>
      <c r="C149" s="67" t="s">
        <v>359</v>
      </c>
      <c r="D149" s="68">
        <v>18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2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1</v>
      </c>
    </row>
    <row r="156" spans="2:4" ht="16.5">
      <c r="B156" s="63">
        <v>30414</v>
      </c>
      <c r="C156" s="64" t="s">
        <v>114</v>
      </c>
      <c r="D156" s="60">
        <v>41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0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15</v>
      </c>
    </row>
    <row r="162" spans="2:4" ht="16.5">
      <c r="B162" s="63">
        <v>30420</v>
      </c>
      <c r="C162" s="64" t="s">
        <v>120</v>
      </c>
      <c r="D162" s="60">
        <v>25</v>
      </c>
    </row>
    <row r="163" spans="2:4" ht="16.5">
      <c r="B163" s="66">
        <v>30421</v>
      </c>
      <c r="C163" s="67" t="s">
        <v>121</v>
      </c>
      <c r="D163" s="68">
        <v>17</v>
      </c>
    </row>
    <row r="164" spans="2:4" ht="16.5">
      <c r="B164" s="63">
        <v>30422</v>
      </c>
      <c r="C164" s="64" t="s">
        <v>122</v>
      </c>
      <c r="D164" s="60">
        <v>41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18</v>
      </c>
    </row>
    <row r="172" spans="2:4" ht="16.5">
      <c r="B172" s="63">
        <v>30430</v>
      </c>
      <c r="C172" s="64" t="s">
        <v>130</v>
      </c>
      <c r="D172" s="60">
        <v>211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19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113</v>
      </c>
    </row>
    <row r="189" spans="2:4" ht="16.5">
      <c r="B189" s="66">
        <v>30501</v>
      </c>
      <c r="C189" s="67" t="s">
        <v>140</v>
      </c>
      <c r="D189" s="68">
        <v>0</v>
      </c>
    </row>
    <row r="190" spans="2:4" ht="16.5">
      <c r="B190" s="63">
        <v>30502</v>
      </c>
      <c r="C190" s="64" t="s">
        <v>141</v>
      </c>
      <c r="D190" s="60">
        <v>717</v>
      </c>
    </row>
    <row r="191" spans="2:4" ht="16.5">
      <c r="B191" s="66">
        <v>30503</v>
      </c>
      <c r="C191" s="67" t="s">
        <v>142</v>
      </c>
      <c r="D191" s="68">
        <v>682</v>
      </c>
    </row>
    <row r="192" spans="2:4" ht="16.5">
      <c r="B192" s="63">
        <v>30504</v>
      </c>
      <c r="C192" s="64" t="s">
        <v>369</v>
      </c>
      <c r="D192" s="60">
        <v>33</v>
      </c>
    </row>
    <row r="193" spans="2:4" ht="16.5">
      <c r="B193" s="66">
        <v>30505</v>
      </c>
      <c r="C193" s="67" t="s">
        <v>370</v>
      </c>
      <c r="D193" s="68">
        <v>50</v>
      </c>
    </row>
    <row r="194" spans="2:4" ht="16.5">
      <c r="B194" s="63">
        <v>30601</v>
      </c>
      <c r="C194" s="64" t="s">
        <v>143</v>
      </c>
      <c r="D194" s="60">
        <v>17</v>
      </c>
    </row>
    <row r="195" spans="2:4" ht="16.5">
      <c r="B195" s="66">
        <v>30602</v>
      </c>
      <c r="C195" s="67" t="s">
        <v>144</v>
      </c>
      <c r="D195" s="68">
        <v>26</v>
      </c>
    </row>
    <row r="196" spans="2:4" ht="16.5">
      <c r="B196" s="63">
        <v>30603</v>
      </c>
      <c r="C196" s="64" t="s">
        <v>145</v>
      </c>
      <c r="D196" s="60">
        <v>1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183</v>
      </c>
    </row>
    <row r="200" spans="2:4" ht="16.5">
      <c r="B200" s="63">
        <v>30607</v>
      </c>
      <c r="C200" s="64" t="s">
        <v>147</v>
      </c>
      <c r="D200" s="60">
        <v>4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3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12</v>
      </c>
    </row>
    <row r="206" spans="2:4" ht="16.5">
      <c r="B206" s="63">
        <v>30702</v>
      </c>
      <c r="C206" s="64" t="s">
        <v>150</v>
      </c>
      <c r="D206" s="60">
        <v>14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1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9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2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28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93</v>
      </c>
    </row>
    <row r="229" spans="2:4" ht="16.5">
      <c r="B229" s="66">
        <v>30904</v>
      </c>
      <c r="C229" s="67" t="s">
        <v>184</v>
      </c>
      <c r="D229" s="68">
        <v>260</v>
      </c>
    </row>
    <row r="230" spans="2:4" ht="16.5">
      <c r="B230" s="63">
        <v>30905</v>
      </c>
      <c r="C230" s="64" t="s">
        <v>160</v>
      </c>
      <c r="D230" s="60">
        <v>1</v>
      </c>
    </row>
    <row r="231" spans="2:4" ht="16.5">
      <c r="B231" s="66">
        <v>30906</v>
      </c>
      <c r="C231" s="67" t="s">
        <v>161</v>
      </c>
      <c r="D231" s="68">
        <v>2</v>
      </c>
    </row>
    <row r="232" spans="2:4" ht="16.5">
      <c r="B232" s="63">
        <v>30907</v>
      </c>
      <c r="C232" s="64" t="s">
        <v>162</v>
      </c>
      <c r="D232" s="97">
        <v>869</v>
      </c>
    </row>
    <row r="233" spans="2:4" ht="16.5">
      <c r="B233" s="66">
        <v>30908</v>
      </c>
      <c r="C233" s="67" t="s">
        <v>163</v>
      </c>
      <c r="D233" s="68">
        <v>4</v>
      </c>
    </row>
    <row r="234" spans="2:4" ht="16.5">
      <c r="B234" s="63">
        <v>30909</v>
      </c>
      <c r="C234" s="64" t="s">
        <v>384</v>
      </c>
      <c r="D234" s="60">
        <v>53</v>
      </c>
    </row>
    <row r="235" spans="2:4" ht="16.5">
      <c r="B235" s="66">
        <v>31001</v>
      </c>
      <c r="C235" s="67" t="s">
        <v>165</v>
      </c>
      <c r="D235" s="68">
        <v>57</v>
      </c>
    </row>
    <row r="236" spans="2:4" ht="16.5">
      <c r="B236" s="63">
        <v>31002</v>
      </c>
      <c r="C236" s="64" t="s">
        <v>385</v>
      </c>
      <c r="D236" s="60">
        <v>22</v>
      </c>
    </row>
    <row r="237" spans="2:4" ht="16.5">
      <c r="B237" s="66">
        <v>31003</v>
      </c>
      <c r="C237" s="67" t="s">
        <v>166</v>
      </c>
      <c r="D237" s="68">
        <v>2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2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6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1</v>
      </c>
    </row>
    <row r="247" spans="2:4" ht="16.5">
      <c r="B247" s="66">
        <v>31013</v>
      </c>
      <c r="C247" s="67" t="s">
        <v>390</v>
      </c>
      <c r="D247" s="68">
        <v>1</v>
      </c>
    </row>
    <row r="248" spans="2:4" ht="16.5">
      <c r="B248" s="63">
        <v>31014</v>
      </c>
      <c r="C248" s="64" t="s">
        <v>391</v>
      </c>
      <c r="D248" s="60">
        <v>1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198</v>
      </c>
    </row>
    <row r="251" spans="2:4" ht="16.5">
      <c r="B251" s="66">
        <v>31102</v>
      </c>
      <c r="C251" s="67" t="s">
        <v>174</v>
      </c>
      <c r="D251" s="68">
        <v>29</v>
      </c>
    </row>
    <row r="252" spans="2:4" ht="16.5">
      <c r="B252" s="63">
        <v>31103</v>
      </c>
      <c r="C252" s="64" t="s">
        <v>176</v>
      </c>
      <c r="D252" s="60">
        <v>40</v>
      </c>
    </row>
    <row r="253" spans="2:4" ht="16.5">
      <c r="B253" s="66">
        <v>31104</v>
      </c>
      <c r="C253" s="67" t="s">
        <v>177</v>
      </c>
      <c r="D253" s="68">
        <v>53</v>
      </c>
    </row>
    <row r="254" spans="2:4" ht="16.5">
      <c r="B254" s="63">
        <v>31105</v>
      </c>
      <c r="C254" s="64" t="s">
        <v>178</v>
      </c>
      <c r="D254" s="60">
        <v>43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1</v>
      </c>
    </row>
    <row r="257" spans="2:4" ht="16.5">
      <c r="B257" s="66">
        <v>31108</v>
      </c>
      <c r="C257" s="67" t="s">
        <v>395</v>
      </c>
      <c r="D257" s="68">
        <v>2</v>
      </c>
    </row>
    <row r="258" spans="2:4" ht="16.5">
      <c r="B258" s="63">
        <v>31109</v>
      </c>
      <c r="C258" s="64" t="s">
        <v>179</v>
      </c>
      <c r="D258" s="60">
        <v>3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97</v>
      </c>
    </row>
    <row r="262" spans="2:4" ht="16.5">
      <c r="B262" s="63">
        <v>31113</v>
      </c>
      <c r="C262" s="64" t="s">
        <v>182</v>
      </c>
      <c r="D262" s="60">
        <v>46</v>
      </c>
    </row>
    <row r="263" spans="2:4" ht="16.5">
      <c r="B263" s="66">
        <v>31114</v>
      </c>
      <c r="C263" s="67" t="s">
        <v>397</v>
      </c>
      <c r="D263" s="68">
        <v>23</v>
      </c>
    </row>
    <row r="264" spans="2:4" ht="16.5">
      <c r="B264" s="69">
        <v>40101</v>
      </c>
      <c r="C264" s="70" t="s">
        <v>188</v>
      </c>
      <c r="D264" s="71">
        <v>1</v>
      </c>
    </row>
    <row r="265" spans="2:4" ht="16.5">
      <c r="B265" s="63">
        <v>40102</v>
      </c>
      <c r="C265" s="64" t="s">
        <v>398</v>
      </c>
      <c r="D265" s="60">
        <v>1</v>
      </c>
    </row>
    <row r="266" spans="2:4" ht="16.5">
      <c r="B266" s="69">
        <v>40103</v>
      </c>
      <c r="C266" s="70" t="s">
        <v>189</v>
      </c>
      <c r="D266" s="71">
        <v>1</v>
      </c>
    </row>
    <row r="267" spans="2:4" ht="16.5">
      <c r="B267" s="63">
        <v>40104</v>
      </c>
      <c r="C267" s="64" t="s">
        <v>190</v>
      </c>
      <c r="D267" s="60">
        <v>6</v>
      </c>
    </row>
    <row r="268" spans="2:4" ht="16.5">
      <c r="B268" s="69">
        <v>40105</v>
      </c>
      <c r="C268" s="70" t="s">
        <v>192</v>
      </c>
      <c r="D268" s="71">
        <v>1</v>
      </c>
    </row>
    <row r="269" spans="2:4" ht="16.5">
      <c r="B269" s="63">
        <v>40106</v>
      </c>
      <c r="C269" s="64" t="s">
        <v>195</v>
      </c>
      <c r="D269" s="60">
        <v>15</v>
      </c>
    </row>
    <row r="270" spans="2:4" ht="16.5">
      <c r="B270" s="69">
        <v>40107</v>
      </c>
      <c r="C270" s="70" t="s">
        <v>197</v>
      </c>
      <c r="D270" s="71">
        <v>47</v>
      </c>
    </row>
    <row r="271" spans="2:4" ht="16.5">
      <c r="B271" s="63">
        <v>40108</v>
      </c>
      <c r="C271" s="64" t="s">
        <v>198</v>
      </c>
      <c r="D271" s="60">
        <v>2</v>
      </c>
    </row>
    <row r="272" spans="2:4" ht="16.5">
      <c r="B272" s="69">
        <v>40109</v>
      </c>
      <c r="C272" s="70" t="s">
        <v>78</v>
      </c>
      <c r="D272" s="71">
        <v>2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8</v>
      </c>
    </row>
    <row r="275" spans="2:4" ht="16.5">
      <c r="B275" s="63">
        <v>50102</v>
      </c>
      <c r="C275" s="64" t="s">
        <v>400</v>
      </c>
      <c r="D275" s="60">
        <v>27</v>
      </c>
    </row>
    <row r="276" spans="2:4" ht="16.5">
      <c r="B276" s="78">
        <v>50103</v>
      </c>
      <c r="C276" s="79" t="s">
        <v>401</v>
      </c>
      <c r="D276" s="80">
        <v>9</v>
      </c>
    </row>
    <row r="277" spans="2:4" ht="16.5">
      <c r="B277" s="63">
        <v>50104</v>
      </c>
      <c r="C277" s="64" t="s">
        <v>109</v>
      </c>
      <c r="D277" s="60">
        <v>6</v>
      </c>
    </row>
    <row r="278" spans="2:4" ht="16.5">
      <c r="B278" s="78">
        <v>50105</v>
      </c>
      <c r="C278" s="79" t="s">
        <v>183</v>
      </c>
      <c r="D278" s="99">
        <v>636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31</v>
      </c>
    </row>
    <row r="281" spans="2:4" ht="16.5">
      <c r="B281" s="63">
        <v>50108</v>
      </c>
      <c r="C281" s="64" t="s">
        <v>403</v>
      </c>
      <c r="D281" s="60">
        <v>17</v>
      </c>
    </row>
    <row r="282" spans="2:4" ht="16.5">
      <c r="B282" s="78">
        <v>50201</v>
      </c>
      <c r="C282" s="79" t="s">
        <v>404</v>
      </c>
      <c r="D282" s="80">
        <v>3</v>
      </c>
    </row>
    <row r="283" spans="2:4" ht="16.5">
      <c r="B283" s="63">
        <v>50202</v>
      </c>
      <c r="C283" s="64" t="s">
        <v>405</v>
      </c>
      <c r="D283" s="60">
        <v>1</v>
      </c>
    </row>
    <row r="284" spans="2:4" ht="16.5">
      <c r="B284" s="78">
        <v>50203</v>
      </c>
      <c r="C284" s="79" t="s">
        <v>406</v>
      </c>
      <c r="D284" s="80">
        <v>98</v>
      </c>
    </row>
    <row r="285" spans="2:4" ht="16.5">
      <c r="B285" s="63">
        <v>50301</v>
      </c>
      <c r="C285" s="64" t="s">
        <v>407</v>
      </c>
      <c r="D285" s="60">
        <v>557</v>
      </c>
    </row>
    <row r="286" spans="2:4" ht="16.5">
      <c r="B286" s="78">
        <v>50302</v>
      </c>
      <c r="C286" s="79" t="s">
        <v>408</v>
      </c>
      <c r="D286" s="80">
        <v>31</v>
      </c>
    </row>
    <row r="287" spans="2:4" ht="16.5">
      <c r="B287" s="63">
        <v>50303</v>
      </c>
      <c r="C287" s="64" t="s">
        <v>186</v>
      </c>
      <c r="D287" s="60">
        <v>44</v>
      </c>
    </row>
    <row r="288" spans="2:4" ht="16.5">
      <c r="B288" s="78">
        <v>50304</v>
      </c>
      <c r="C288" s="79" t="s">
        <v>187</v>
      </c>
      <c r="D288" s="80">
        <v>24</v>
      </c>
    </row>
    <row r="289" spans="2:4" ht="16.5">
      <c r="B289" s="63">
        <v>50305</v>
      </c>
      <c r="C289" s="64" t="s">
        <v>409</v>
      </c>
      <c r="D289" s="60">
        <v>47</v>
      </c>
    </row>
    <row r="290" spans="2:4" ht="16.5">
      <c r="B290" s="78">
        <v>50306</v>
      </c>
      <c r="C290" s="79" t="s">
        <v>410</v>
      </c>
      <c r="D290" s="80">
        <v>23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95">
        <v>158</v>
      </c>
    </row>
    <row r="294" spans="2:4" ht="16.5">
      <c r="B294" s="84">
        <v>70101</v>
      </c>
      <c r="C294" s="85" t="s">
        <v>413</v>
      </c>
      <c r="D294" s="86">
        <v>389</v>
      </c>
    </row>
    <row r="295" spans="2:4" ht="16.5">
      <c r="B295" s="63">
        <v>70102</v>
      </c>
      <c r="C295" s="64" t="s">
        <v>199</v>
      </c>
      <c r="D295" s="60">
        <v>88</v>
      </c>
    </row>
    <row r="296" spans="2:4" ht="16.5">
      <c r="B296" s="84">
        <v>70103</v>
      </c>
      <c r="C296" s="85" t="s">
        <v>200</v>
      </c>
      <c r="D296" s="96">
        <v>279</v>
      </c>
    </row>
    <row r="297" spans="2:4" ht="16.5">
      <c r="B297" s="63">
        <v>70104</v>
      </c>
      <c r="C297" s="64" t="s">
        <v>414</v>
      </c>
      <c r="D297" s="97">
        <v>14940</v>
      </c>
    </row>
    <row r="298" spans="2:4" ht="16.5">
      <c r="B298" s="84">
        <v>70105</v>
      </c>
      <c r="C298" s="85" t="s">
        <v>201</v>
      </c>
      <c r="D298" s="96">
        <v>377</v>
      </c>
    </row>
    <row r="299" spans="2:4" ht="16.5">
      <c r="B299" s="63">
        <v>70106</v>
      </c>
      <c r="C299" s="64" t="s">
        <v>415</v>
      </c>
      <c r="D299" s="97">
        <v>19</v>
      </c>
    </row>
    <row r="300" spans="2:4" ht="16.5">
      <c r="B300" s="84">
        <v>70107</v>
      </c>
      <c r="C300" s="85" t="s">
        <v>416</v>
      </c>
      <c r="D300" s="86">
        <v>892</v>
      </c>
    </row>
    <row r="301" spans="2:4" ht="17.25" thickBot="1">
      <c r="B301" s="87">
        <v>70108</v>
      </c>
      <c r="C301" s="88" t="s">
        <v>417</v>
      </c>
      <c r="D301" s="98">
        <v>1182</v>
      </c>
    </row>
    <row r="302" spans="2:4" ht="19.899999999999999" customHeight="1" thickBot="1">
      <c r="B302" s="89" t="s">
        <v>1</v>
      </c>
      <c r="C302" s="90"/>
      <c r="D302" s="91">
        <f>SUM(D20:D301)</f>
        <v>27420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topLeftCell="A293" zoomScaleNormal="100" zoomScaleSheetLayoutView="100" workbookViewId="0">
      <selection activeCell="C309" sqref="C309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1" t="s">
        <v>428</v>
      </c>
      <c r="C6" s="111"/>
      <c r="D6" s="111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4" t="s">
        <v>248</v>
      </c>
      <c r="C7" s="115"/>
      <c r="D7" s="11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4" t="s">
        <v>0</v>
      </c>
      <c r="C8" s="115"/>
      <c r="D8" s="115"/>
      <c r="E8" s="1"/>
      <c r="F8" s="116"/>
      <c r="G8" s="116"/>
      <c r="H8" s="116"/>
      <c r="I8" s="116"/>
      <c r="J8" s="116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4"/>
      <c r="C9" s="115"/>
      <c r="D9" s="11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7" t="s">
        <v>419</v>
      </c>
      <c r="C10" s="117"/>
      <c r="D10" s="11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Quintana Roo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8" t="s">
        <v>2</v>
      </c>
      <c r="C16" s="119"/>
      <c r="D16" s="120"/>
    </row>
    <row r="17" spans="2:7" ht="15">
      <c r="B17" s="121" t="s">
        <v>246</v>
      </c>
      <c r="C17" s="122"/>
      <c r="D17" s="50" t="s">
        <v>4</v>
      </c>
    </row>
    <row r="18" spans="2:7" ht="15">
      <c r="B18" s="112" t="s">
        <v>247</v>
      </c>
      <c r="C18" s="113"/>
      <c r="D18" s="50" t="s">
        <v>427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1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115</v>
      </c>
    </row>
    <row r="23" spans="2:7" ht="16.5">
      <c r="B23" s="58">
        <v>10104</v>
      </c>
      <c r="C23" s="59" t="s">
        <v>268</v>
      </c>
      <c r="D23" s="65">
        <v>4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1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8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1</v>
      </c>
    </row>
    <row r="31" spans="2:7" ht="16.5">
      <c r="B31" s="58">
        <v>10112</v>
      </c>
      <c r="C31" s="59" t="s">
        <v>276</v>
      </c>
      <c r="D31" s="65">
        <v>6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6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0</v>
      </c>
    </row>
    <row r="41" spans="2:4" ht="16.5">
      <c r="B41" s="58">
        <v>10201</v>
      </c>
      <c r="C41" s="59" t="s">
        <v>286</v>
      </c>
      <c r="D41" s="65">
        <v>2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1</v>
      </c>
    </row>
    <row r="44" spans="2:4" ht="16.5">
      <c r="B44" s="72">
        <v>10204</v>
      </c>
      <c r="C44" s="73" t="s">
        <v>289</v>
      </c>
      <c r="D44" s="74">
        <v>24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0</v>
      </c>
    </row>
    <row r="47" spans="2:4" ht="16.5">
      <c r="B47" s="58">
        <v>10207</v>
      </c>
      <c r="C47" s="59" t="s">
        <v>292</v>
      </c>
      <c r="D47" s="65">
        <v>1</v>
      </c>
    </row>
    <row r="48" spans="2:4" ht="16.5">
      <c r="B48" s="72">
        <v>10208</v>
      </c>
      <c r="C48" s="73" t="s">
        <v>293</v>
      </c>
      <c r="D48" s="74">
        <v>0</v>
      </c>
    </row>
    <row r="49" spans="2:4" ht="16.5">
      <c r="B49" s="58">
        <v>10209</v>
      </c>
      <c r="C49" s="59" t="s">
        <v>294</v>
      </c>
      <c r="D49" s="65">
        <v>0</v>
      </c>
    </row>
    <row r="50" spans="2:4" ht="16.5">
      <c r="B50" s="72">
        <v>10210</v>
      </c>
      <c r="C50" s="73" t="s">
        <v>295</v>
      </c>
      <c r="D50" s="74">
        <v>4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1</v>
      </c>
    </row>
    <row r="60" spans="2:4" ht="16.5">
      <c r="B60" s="72">
        <v>10220</v>
      </c>
      <c r="C60" s="73" t="s">
        <v>304</v>
      </c>
      <c r="D60" s="74">
        <v>27</v>
      </c>
    </row>
    <row r="61" spans="2:4" ht="16.5">
      <c r="B61" s="58">
        <v>10301</v>
      </c>
      <c r="C61" s="59" t="s">
        <v>305</v>
      </c>
      <c r="D61" s="65">
        <v>0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0</v>
      </c>
    </row>
    <row r="64" spans="2:4" ht="16.5">
      <c r="B64" s="72">
        <v>10304</v>
      </c>
      <c r="C64" s="73" t="s">
        <v>308</v>
      </c>
      <c r="D64" s="74">
        <v>3</v>
      </c>
    </row>
    <row r="65" spans="2:4" ht="16.5">
      <c r="B65" s="58">
        <v>10305</v>
      </c>
      <c r="C65" s="59" t="s">
        <v>309</v>
      </c>
      <c r="D65" s="65">
        <v>6</v>
      </c>
    </row>
    <row r="66" spans="2:4" ht="16.5">
      <c r="B66" s="72">
        <v>10306</v>
      </c>
      <c r="C66" s="73" t="s">
        <v>310</v>
      </c>
      <c r="D66" s="74">
        <v>2</v>
      </c>
    </row>
    <row r="67" spans="2:4" ht="16.5">
      <c r="B67" s="58">
        <v>10307</v>
      </c>
      <c r="C67" s="59" t="s">
        <v>75</v>
      </c>
      <c r="D67" s="65">
        <v>19</v>
      </c>
    </row>
    <row r="68" spans="2:4" ht="16.5">
      <c r="B68" s="72">
        <v>10308</v>
      </c>
      <c r="C68" s="73" t="s">
        <v>311</v>
      </c>
      <c r="D68" s="74">
        <v>9</v>
      </c>
    </row>
    <row r="69" spans="2:4" ht="16.5">
      <c r="B69" s="58">
        <v>10309</v>
      </c>
      <c r="C69" s="59" t="s">
        <v>312</v>
      </c>
      <c r="D69" s="65">
        <v>2</v>
      </c>
    </row>
    <row r="70" spans="2:4" ht="16.5">
      <c r="B70" s="72">
        <v>10310</v>
      </c>
      <c r="C70" s="73" t="s">
        <v>313</v>
      </c>
      <c r="D70" s="74">
        <v>37</v>
      </c>
    </row>
    <row r="71" spans="2:4" ht="16.5">
      <c r="B71" s="58">
        <v>10311</v>
      </c>
      <c r="C71" s="59" t="s">
        <v>314</v>
      </c>
      <c r="D71" s="65">
        <v>6</v>
      </c>
    </row>
    <row r="72" spans="2:4" ht="16.5">
      <c r="B72" s="72">
        <v>10312</v>
      </c>
      <c r="C72" s="73" t="s">
        <v>315</v>
      </c>
      <c r="D72" s="74">
        <v>11</v>
      </c>
    </row>
    <row r="73" spans="2:4" ht="16.5">
      <c r="B73" s="58">
        <v>10313</v>
      </c>
      <c r="C73" s="59" t="s">
        <v>316</v>
      </c>
      <c r="D73" s="65">
        <v>1</v>
      </c>
    </row>
    <row r="74" spans="2:4" ht="16.5">
      <c r="B74" s="72">
        <v>10314</v>
      </c>
      <c r="C74" s="73" t="s">
        <v>317</v>
      </c>
      <c r="D74" s="74">
        <v>7</v>
      </c>
    </row>
    <row r="75" spans="2:4" ht="16.5">
      <c r="B75" s="58">
        <v>10315</v>
      </c>
      <c r="C75" s="59" t="s">
        <v>318</v>
      </c>
      <c r="D75" s="65">
        <v>3</v>
      </c>
    </row>
    <row r="76" spans="2:4" ht="16.5">
      <c r="B76" s="72">
        <v>10316</v>
      </c>
      <c r="C76" s="73" t="s">
        <v>319</v>
      </c>
      <c r="D76" s="74">
        <v>5</v>
      </c>
    </row>
    <row r="77" spans="2:4" ht="16.5">
      <c r="B77" s="58">
        <v>10317</v>
      </c>
      <c r="C77" s="59" t="s">
        <v>320</v>
      </c>
      <c r="D77" s="65">
        <v>10</v>
      </c>
    </row>
    <row r="78" spans="2:4" ht="16.5">
      <c r="B78" s="72">
        <v>10318</v>
      </c>
      <c r="C78" s="73" t="s">
        <v>321</v>
      </c>
      <c r="D78" s="74">
        <v>13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8</v>
      </c>
    </row>
    <row r="83" spans="2:4" ht="16.5">
      <c r="B83" s="61">
        <v>20104</v>
      </c>
      <c r="C83" s="62" t="s">
        <v>80</v>
      </c>
      <c r="D83" s="60">
        <v>26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0</v>
      </c>
    </row>
    <row r="87" spans="2:4" ht="16.5">
      <c r="B87" s="61">
        <v>20108</v>
      </c>
      <c r="C87" s="62" t="s">
        <v>325</v>
      </c>
      <c r="D87" s="60">
        <v>7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34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41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0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1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0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1</v>
      </c>
    </row>
    <row r="111" spans="2:4" ht="16.5">
      <c r="B111" s="61">
        <v>20304</v>
      </c>
      <c r="C111" s="62" t="s">
        <v>335</v>
      </c>
      <c r="D111" s="60">
        <v>0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0</v>
      </c>
    </row>
    <row r="115" spans="2:4" ht="16.5">
      <c r="B115" s="61">
        <v>20308</v>
      </c>
      <c r="C115" s="62" t="s">
        <v>339</v>
      </c>
      <c r="D115" s="60">
        <v>1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4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3</v>
      </c>
    </row>
    <row r="122" spans="2:4" ht="16.5">
      <c r="B122" s="75">
        <v>20404</v>
      </c>
      <c r="C122" s="76" t="s">
        <v>346</v>
      </c>
      <c r="D122" s="77">
        <v>1</v>
      </c>
    </row>
    <row r="123" spans="2:4" ht="16.5">
      <c r="B123" s="66">
        <v>30101</v>
      </c>
      <c r="C123" s="67" t="s">
        <v>347</v>
      </c>
      <c r="D123" s="68">
        <v>94</v>
      </c>
    </row>
    <row r="124" spans="2:4" ht="16.5">
      <c r="B124" s="63">
        <v>30102</v>
      </c>
      <c r="C124" s="64" t="s">
        <v>96</v>
      </c>
      <c r="D124" s="60">
        <v>4</v>
      </c>
    </row>
    <row r="125" spans="2:4" ht="16.5">
      <c r="B125" s="66">
        <v>30103</v>
      </c>
      <c r="C125" s="67" t="s">
        <v>76</v>
      </c>
      <c r="D125" s="68">
        <v>40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1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2</v>
      </c>
    </row>
    <row r="130" spans="2:4" ht="16.5">
      <c r="B130" s="63">
        <v>30205</v>
      </c>
      <c r="C130" s="64" t="s">
        <v>349</v>
      </c>
      <c r="D130" s="60">
        <v>2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9</v>
      </c>
    </row>
    <row r="135" spans="2:4" ht="16.5">
      <c r="B135" s="66">
        <v>30303</v>
      </c>
      <c r="C135" s="67" t="s">
        <v>352</v>
      </c>
      <c r="D135" s="68">
        <v>0</v>
      </c>
    </row>
    <row r="136" spans="2:4" ht="16.5">
      <c r="B136" s="63">
        <v>30304</v>
      </c>
      <c r="C136" s="64" t="s">
        <v>102</v>
      </c>
      <c r="D136" s="60">
        <v>2</v>
      </c>
    </row>
    <row r="137" spans="2:4" ht="16.5">
      <c r="B137" s="66">
        <v>30305</v>
      </c>
      <c r="C137" s="67" t="s">
        <v>103</v>
      </c>
      <c r="D137" s="68">
        <v>5</v>
      </c>
    </row>
    <row r="138" spans="2:4" ht="16.5">
      <c r="B138" s="63">
        <v>30306</v>
      </c>
      <c r="C138" s="64" t="s">
        <v>104</v>
      </c>
      <c r="D138" s="60">
        <v>1</v>
      </c>
    </row>
    <row r="139" spans="2:4" ht="16.5">
      <c r="B139" s="66">
        <v>30307</v>
      </c>
      <c r="C139" s="67" t="s">
        <v>105</v>
      </c>
      <c r="D139" s="68">
        <v>32</v>
      </c>
    </row>
    <row r="140" spans="2:4" ht="16.5">
      <c r="B140" s="63">
        <v>30308</v>
      </c>
      <c r="C140" s="64" t="s">
        <v>353</v>
      </c>
      <c r="D140" s="60">
        <v>10</v>
      </c>
    </row>
    <row r="141" spans="2:4" ht="16.5">
      <c r="B141" s="66">
        <v>30309</v>
      </c>
      <c r="C141" s="67" t="s">
        <v>354</v>
      </c>
      <c r="D141" s="68">
        <v>54</v>
      </c>
    </row>
    <row r="142" spans="2:4" ht="16.5">
      <c r="B142" s="63">
        <v>30310</v>
      </c>
      <c r="C142" s="64" t="s">
        <v>355</v>
      </c>
      <c r="D142" s="60">
        <v>418</v>
      </c>
    </row>
    <row r="143" spans="2:4" ht="16.5">
      <c r="B143" s="66">
        <v>30401</v>
      </c>
      <c r="C143" s="67" t="s">
        <v>356</v>
      </c>
      <c r="D143" s="68">
        <v>126</v>
      </c>
    </row>
    <row r="144" spans="2:4" ht="16.5">
      <c r="B144" s="63">
        <v>30402</v>
      </c>
      <c r="C144" s="64" t="s">
        <v>357</v>
      </c>
      <c r="D144" s="60">
        <v>110</v>
      </c>
    </row>
    <row r="145" spans="2:4" ht="16.5">
      <c r="B145" s="66">
        <v>30403</v>
      </c>
      <c r="C145" s="67" t="s">
        <v>358</v>
      </c>
      <c r="D145" s="68">
        <v>5</v>
      </c>
    </row>
    <row r="146" spans="2:4" ht="16.5">
      <c r="B146" s="63">
        <v>30404</v>
      </c>
      <c r="C146" s="64" t="s">
        <v>106</v>
      </c>
      <c r="D146" s="60">
        <v>8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0</v>
      </c>
    </row>
    <row r="149" spans="2:4" ht="16.5">
      <c r="B149" s="66">
        <v>30407</v>
      </c>
      <c r="C149" s="67" t="s">
        <v>359</v>
      </c>
      <c r="D149" s="68">
        <v>10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1</v>
      </c>
    </row>
    <row r="156" spans="2:4" ht="16.5">
      <c r="B156" s="63">
        <v>30414</v>
      </c>
      <c r="C156" s="64" t="s">
        <v>114</v>
      </c>
      <c r="D156" s="60">
        <v>7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1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2</v>
      </c>
    </row>
    <row r="162" spans="2:4" ht="16.5">
      <c r="B162" s="63">
        <v>30420</v>
      </c>
      <c r="C162" s="64" t="s">
        <v>120</v>
      </c>
      <c r="D162" s="60">
        <v>4</v>
      </c>
    </row>
    <row r="163" spans="2:4" ht="16.5">
      <c r="B163" s="66">
        <v>30421</v>
      </c>
      <c r="C163" s="67" t="s">
        <v>121</v>
      </c>
      <c r="D163" s="68">
        <v>2</v>
      </c>
    </row>
    <row r="164" spans="2:4" ht="16.5">
      <c r="B164" s="63">
        <v>30422</v>
      </c>
      <c r="C164" s="64" t="s">
        <v>122</v>
      </c>
      <c r="D164" s="60">
        <v>4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2</v>
      </c>
    </row>
    <row r="172" spans="2:4" ht="16.5">
      <c r="B172" s="63">
        <v>30430</v>
      </c>
      <c r="C172" s="64" t="s">
        <v>130</v>
      </c>
      <c r="D172" s="60">
        <v>68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4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37</v>
      </c>
    </row>
    <row r="189" spans="2:4" ht="16.5">
      <c r="B189" s="66">
        <v>30501</v>
      </c>
      <c r="C189" s="67" t="s">
        <v>140</v>
      </c>
      <c r="D189" s="68">
        <v>0</v>
      </c>
    </row>
    <row r="190" spans="2:4" ht="16.5">
      <c r="B190" s="63">
        <v>30502</v>
      </c>
      <c r="C190" s="64" t="s">
        <v>141</v>
      </c>
      <c r="D190" s="60">
        <v>170</v>
      </c>
    </row>
    <row r="191" spans="2:4" ht="16.5">
      <c r="B191" s="66">
        <v>30503</v>
      </c>
      <c r="C191" s="67" t="s">
        <v>142</v>
      </c>
      <c r="D191" s="68">
        <v>107</v>
      </c>
    </row>
    <row r="192" spans="2:4" ht="16.5">
      <c r="B192" s="63">
        <v>30504</v>
      </c>
      <c r="C192" s="64" t="s">
        <v>369</v>
      </c>
      <c r="D192" s="60">
        <v>27</v>
      </c>
    </row>
    <row r="193" spans="2:4" ht="16.5">
      <c r="B193" s="66">
        <v>30505</v>
      </c>
      <c r="C193" s="67" t="s">
        <v>370</v>
      </c>
      <c r="D193" s="68">
        <v>5</v>
      </c>
    </row>
    <row r="194" spans="2:4" ht="16.5">
      <c r="B194" s="63">
        <v>30601</v>
      </c>
      <c r="C194" s="64" t="s">
        <v>143</v>
      </c>
      <c r="D194" s="60">
        <v>2</v>
      </c>
    </row>
    <row r="195" spans="2:4" ht="16.5">
      <c r="B195" s="66">
        <v>30602</v>
      </c>
      <c r="C195" s="67" t="s">
        <v>144</v>
      </c>
      <c r="D195" s="68">
        <v>2</v>
      </c>
    </row>
    <row r="196" spans="2:4" ht="16.5">
      <c r="B196" s="63">
        <v>30603</v>
      </c>
      <c r="C196" s="64" t="s">
        <v>145</v>
      </c>
      <c r="D196" s="60">
        <v>0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46</v>
      </c>
    </row>
    <row r="200" spans="2:4" ht="16.5">
      <c r="B200" s="63">
        <v>30607</v>
      </c>
      <c r="C200" s="64" t="s">
        <v>147</v>
      </c>
      <c r="D200" s="60">
        <v>0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1</v>
      </c>
    </row>
    <row r="205" spans="2:4" ht="16.5">
      <c r="B205" s="66">
        <v>30701</v>
      </c>
      <c r="C205" s="67" t="s">
        <v>149</v>
      </c>
      <c r="D205" s="68">
        <v>3</v>
      </c>
    </row>
    <row r="206" spans="2:4" ht="16.5">
      <c r="B206" s="63">
        <v>30702</v>
      </c>
      <c r="C206" s="64" t="s">
        <v>150</v>
      </c>
      <c r="D206" s="60">
        <v>1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1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4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8</v>
      </c>
    </row>
    <row r="229" spans="2:4" ht="16.5">
      <c r="B229" s="66">
        <v>30904</v>
      </c>
      <c r="C229" s="67" t="s">
        <v>184</v>
      </c>
      <c r="D229" s="68">
        <v>79</v>
      </c>
    </row>
    <row r="230" spans="2:4" ht="16.5">
      <c r="B230" s="63">
        <v>30905</v>
      </c>
      <c r="C230" s="64" t="s">
        <v>160</v>
      </c>
      <c r="D230" s="60">
        <v>1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147</v>
      </c>
    </row>
    <row r="233" spans="2:4" ht="16.5">
      <c r="B233" s="66">
        <v>30908</v>
      </c>
      <c r="C233" s="67" t="s">
        <v>163</v>
      </c>
      <c r="D233" s="68">
        <v>0</v>
      </c>
    </row>
    <row r="234" spans="2:4" ht="16.5">
      <c r="B234" s="63">
        <v>30909</v>
      </c>
      <c r="C234" s="64" t="s">
        <v>384</v>
      </c>
      <c r="D234" s="60">
        <v>5</v>
      </c>
    </row>
    <row r="235" spans="2:4" ht="16.5">
      <c r="B235" s="66">
        <v>31001</v>
      </c>
      <c r="C235" s="67" t="s">
        <v>165</v>
      </c>
      <c r="D235" s="68">
        <v>22</v>
      </c>
    </row>
    <row r="236" spans="2:4" ht="16.5">
      <c r="B236" s="63">
        <v>31002</v>
      </c>
      <c r="C236" s="64" t="s">
        <v>385</v>
      </c>
      <c r="D236" s="60">
        <v>4</v>
      </c>
    </row>
    <row r="237" spans="2:4" ht="16.5">
      <c r="B237" s="66">
        <v>31003</v>
      </c>
      <c r="C237" s="67" t="s">
        <v>166</v>
      </c>
      <c r="D237" s="68">
        <v>0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2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1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6</v>
      </c>
    </row>
    <row r="250" spans="2:4" ht="16.5">
      <c r="B250" s="63">
        <v>31101</v>
      </c>
      <c r="C250" s="64" t="s">
        <v>173</v>
      </c>
      <c r="D250" s="60">
        <v>80</v>
      </c>
    </row>
    <row r="251" spans="2:4" ht="16.5">
      <c r="B251" s="66">
        <v>31102</v>
      </c>
      <c r="C251" s="67" t="s">
        <v>174</v>
      </c>
      <c r="D251" s="68">
        <v>13</v>
      </c>
    </row>
    <row r="252" spans="2:4" ht="16.5">
      <c r="B252" s="63">
        <v>31103</v>
      </c>
      <c r="C252" s="64" t="s">
        <v>176</v>
      </c>
      <c r="D252" s="60">
        <v>17</v>
      </c>
    </row>
    <row r="253" spans="2:4" ht="16.5">
      <c r="B253" s="66">
        <v>31104</v>
      </c>
      <c r="C253" s="67" t="s">
        <v>177</v>
      </c>
      <c r="D253" s="68">
        <v>33</v>
      </c>
    </row>
    <row r="254" spans="2:4" ht="16.5">
      <c r="B254" s="63">
        <v>31105</v>
      </c>
      <c r="C254" s="64" t="s">
        <v>178</v>
      </c>
      <c r="D254" s="60">
        <v>28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2</v>
      </c>
    </row>
    <row r="258" spans="2:4" ht="16.5">
      <c r="B258" s="63">
        <v>31109</v>
      </c>
      <c r="C258" s="64" t="s">
        <v>179</v>
      </c>
      <c r="D258" s="60">
        <v>0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46</v>
      </c>
    </row>
    <row r="262" spans="2:4" ht="16.5">
      <c r="B262" s="63">
        <v>31113</v>
      </c>
      <c r="C262" s="64" t="s">
        <v>182</v>
      </c>
      <c r="D262" s="60">
        <v>13</v>
      </c>
    </row>
    <row r="263" spans="2:4" ht="16.5">
      <c r="B263" s="66">
        <v>31114</v>
      </c>
      <c r="C263" s="67" t="s">
        <v>397</v>
      </c>
      <c r="D263" s="68">
        <v>79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1</v>
      </c>
    </row>
    <row r="266" spans="2:4" ht="16.5">
      <c r="B266" s="69">
        <v>40103</v>
      </c>
      <c r="C266" s="70" t="s">
        <v>189</v>
      </c>
      <c r="D266" s="71">
        <v>0</v>
      </c>
    </row>
    <row r="267" spans="2:4" ht="16.5">
      <c r="B267" s="63">
        <v>40104</v>
      </c>
      <c r="C267" s="64" t="s">
        <v>190</v>
      </c>
      <c r="D267" s="60">
        <v>5</v>
      </c>
    </row>
    <row r="268" spans="2:4" ht="16.5">
      <c r="B268" s="69">
        <v>40105</v>
      </c>
      <c r="C268" s="70" t="s">
        <v>192</v>
      </c>
      <c r="D268" s="71">
        <v>2</v>
      </c>
    </row>
    <row r="269" spans="2:4" ht="16.5">
      <c r="B269" s="63">
        <v>40106</v>
      </c>
      <c r="C269" s="64" t="s">
        <v>195</v>
      </c>
      <c r="D269" s="60">
        <v>12</v>
      </c>
    </row>
    <row r="270" spans="2:4" ht="16.5">
      <c r="B270" s="69">
        <v>40107</v>
      </c>
      <c r="C270" s="70" t="s">
        <v>197</v>
      </c>
      <c r="D270" s="71">
        <v>22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13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1</v>
      </c>
    </row>
    <row r="275" spans="2:4" ht="16.5">
      <c r="B275" s="63">
        <v>50102</v>
      </c>
      <c r="C275" s="64" t="s">
        <v>400</v>
      </c>
      <c r="D275" s="60">
        <v>15</v>
      </c>
    </row>
    <row r="276" spans="2:4" ht="16.5">
      <c r="B276" s="78">
        <v>50103</v>
      </c>
      <c r="C276" s="79" t="s">
        <v>401</v>
      </c>
      <c r="D276" s="80">
        <v>3</v>
      </c>
    </row>
    <row r="277" spans="2:4" ht="16.5">
      <c r="B277" s="63">
        <v>50104</v>
      </c>
      <c r="C277" s="64" t="s">
        <v>109</v>
      </c>
      <c r="D277" s="60">
        <v>1</v>
      </c>
    </row>
    <row r="278" spans="2:4" ht="16.5">
      <c r="B278" s="78">
        <v>50105</v>
      </c>
      <c r="C278" s="79" t="s">
        <v>183</v>
      </c>
      <c r="D278" s="80">
        <v>86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12</v>
      </c>
    </row>
    <row r="281" spans="2:4" ht="16.5">
      <c r="B281" s="63">
        <v>50108</v>
      </c>
      <c r="C281" s="64" t="s">
        <v>403</v>
      </c>
      <c r="D281" s="60">
        <v>0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1</v>
      </c>
    </row>
    <row r="284" spans="2:4" ht="16.5">
      <c r="B284" s="78">
        <v>50203</v>
      </c>
      <c r="C284" s="79" t="s">
        <v>406</v>
      </c>
      <c r="D284" s="80">
        <v>9</v>
      </c>
    </row>
    <row r="285" spans="2:4" ht="16.5">
      <c r="B285" s="63">
        <v>50301</v>
      </c>
      <c r="C285" s="64" t="s">
        <v>407</v>
      </c>
      <c r="D285" s="97">
        <v>291</v>
      </c>
    </row>
    <row r="286" spans="2:4" ht="16.5">
      <c r="B286" s="78">
        <v>50302</v>
      </c>
      <c r="C286" s="79" t="s">
        <v>408</v>
      </c>
      <c r="D286" s="80">
        <v>3</v>
      </c>
    </row>
    <row r="287" spans="2:4" ht="16.5">
      <c r="B287" s="63">
        <v>50303</v>
      </c>
      <c r="C287" s="64" t="s">
        <v>186</v>
      </c>
      <c r="D287" s="60">
        <v>9</v>
      </c>
    </row>
    <row r="288" spans="2:4" ht="16.5">
      <c r="B288" s="78">
        <v>50304</v>
      </c>
      <c r="C288" s="79" t="s">
        <v>187</v>
      </c>
      <c r="D288" s="80">
        <v>4</v>
      </c>
    </row>
    <row r="289" spans="2:4" ht="16.5">
      <c r="B289" s="63">
        <v>50305</v>
      </c>
      <c r="C289" s="64" t="s">
        <v>409</v>
      </c>
      <c r="D289" s="60">
        <v>62</v>
      </c>
    </row>
    <row r="290" spans="2:4" ht="16.5">
      <c r="B290" s="78">
        <v>50306</v>
      </c>
      <c r="C290" s="79" t="s">
        <v>410</v>
      </c>
      <c r="D290" s="80">
        <v>8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95">
        <v>16</v>
      </c>
    </row>
    <row r="294" spans="2:4" ht="16.5">
      <c r="B294" s="84">
        <v>70101</v>
      </c>
      <c r="C294" s="85" t="s">
        <v>413</v>
      </c>
      <c r="D294" s="86">
        <v>210</v>
      </c>
    </row>
    <row r="295" spans="2:4" ht="16.5">
      <c r="B295" s="63">
        <v>70102</v>
      </c>
      <c r="C295" s="64" t="s">
        <v>199</v>
      </c>
      <c r="D295" s="60">
        <v>53</v>
      </c>
    </row>
    <row r="296" spans="2:4" ht="16.5">
      <c r="B296" s="84">
        <v>70103</v>
      </c>
      <c r="C296" s="85" t="s">
        <v>200</v>
      </c>
      <c r="D296" s="86">
        <v>30</v>
      </c>
    </row>
    <row r="297" spans="2:4" ht="16.5">
      <c r="B297" s="63">
        <v>70104</v>
      </c>
      <c r="C297" s="64" t="s">
        <v>414</v>
      </c>
      <c r="D297" s="97">
        <v>2918</v>
      </c>
    </row>
    <row r="298" spans="2:4" ht="16.5">
      <c r="B298" s="84">
        <v>70105</v>
      </c>
      <c r="C298" s="85" t="s">
        <v>201</v>
      </c>
      <c r="D298" s="86">
        <v>32</v>
      </c>
    </row>
    <row r="299" spans="2:4" ht="16.5">
      <c r="B299" s="63">
        <v>70106</v>
      </c>
      <c r="C299" s="64" t="s">
        <v>415</v>
      </c>
      <c r="D299" s="60">
        <v>7</v>
      </c>
    </row>
    <row r="300" spans="2:4" ht="16.5">
      <c r="B300" s="84">
        <v>70107</v>
      </c>
      <c r="C300" s="85" t="s">
        <v>416</v>
      </c>
      <c r="D300" s="86">
        <v>132</v>
      </c>
    </row>
    <row r="301" spans="2:4" ht="17.25" thickBot="1">
      <c r="B301" s="87">
        <v>70108</v>
      </c>
      <c r="C301" s="88" t="s">
        <v>417</v>
      </c>
      <c r="D301" s="98">
        <v>365</v>
      </c>
    </row>
    <row r="302" spans="2:4" ht="19.899999999999999" customHeight="1" thickBot="1">
      <c r="B302" s="89" t="s">
        <v>1</v>
      </c>
      <c r="C302" s="90"/>
      <c r="D302" s="91">
        <f>SUM(D20:D301)</f>
        <v>6806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PORTADA</vt:lpstr>
      <vt:lpstr>PRESENTACIÓN</vt:lpstr>
      <vt:lpstr>RESUMEN</vt:lpstr>
      <vt:lpstr>INSTRUCCIONES</vt:lpstr>
      <vt:lpstr>C01</vt:lpstr>
      <vt:lpstr>Lista</vt:lpstr>
      <vt:lpstr>Datos</vt:lpstr>
      <vt:lpstr>C02</vt:lpstr>
      <vt:lpstr>C03</vt:lpstr>
      <vt:lpstr>C04</vt:lpstr>
      <vt:lpstr>'C01'!Área_de_impresión</vt:lpstr>
      <vt:lpstr>'C02'!Área_de_impresión</vt:lpstr>
      <vt:lpstr>'C03'!Área_de_impresión</vt:lpstr>
      <vt:lpstr>'C04'!Área_de_impresión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carmen aracely torres sanchez</cp:lastModifiedBy>
  <cp:lastPrinted>2015-12-19T01:31:18Z</cp:lastPrinted>
  <dcterms:created xsi:type="dcterms:W3CDTF">1999-03-11T18:07:10Z</dcterms:created>
  <dcterms:modified xsi:type="dcterms:W3CDTF">2026-06-05T14:49:25Z</dcterms:modified>
</cp:coreProperties>
</file>