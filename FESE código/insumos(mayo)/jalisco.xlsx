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campo.C5JALISCO\Documents\FESE\2026 V2\"/>
    </mc:Choice>
  </mc:AlternateContent>
  <xr:revisionPtr revIDLastSave="0" documentId="13_ncr:1_{3D8CB80B-8F91-4F42-90B2-772A27952114}" xr6:coauthVersionLast="47" xr6:coauthVersionMax="47" xr10:uidLastSave="{00000000-0000-0000-0000-000000000000}"/>
  <workbookProtection workbookPassword="CC15" lockStructure="1"/>
  <bookViews>
    <workbookView xWindow="-108" yWindow="-108" windowWidth="23256" windowHeight="12576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INSTRUCCIONES!$B$2:$O$24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C13" i="7" l="1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<sst xmlns="http://schemas.openxmlformats.org/spreadsheetml/2006/main" count="3744" uniqueCount="437">
  <si>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</si>
  <si>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</si>
  <si>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</si>
  <si>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</si>
  <si>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</si>
  <si>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</si>
  <si>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</si>
  <si>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</si>
  <si>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</si>
  <si>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</si>
  <si>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</si>
  <si>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</si>
  <si>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</si>
  <si>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</si>
  <si>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</si>
  <si>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</si>
  <si>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</si>
  <si>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</si>
  <si>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</si>
  <si>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</si>
  <si>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</si>
  <si>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</si>
  <si>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</si>
  <si>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</si>
  <si>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</si>
  <si>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</si>
  <si>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</si>
  <si>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</si>
  <si>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</si>
  <si>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</si>
  <si>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</si>
  <si>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</si>
  <si>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</si>
  <si>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</si>
  <si>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</si>
  <si>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</si>
  <si>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</si>
  <si>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</si>
  <si>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</si>
  <si>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</si>
  <si>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</si>
  <si>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</si>
  <si>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</si>
  <si>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</si>
  <si>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</si>
  <si>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</si>
  <si>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</si>
  <si>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</si>
  <si>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</si>
  <si>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</si>
  <si>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</si>
  <si>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</si>
  <si>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</si>
  <si>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</si>
  <si>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</si>
  <si>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</si>
  <si>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</si>
  <si>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</si>
  <si>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</si>
  <si>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</si>
  <si>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</si>
  <si>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</si>
  <si>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</si>
  <si>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</si>
  <si>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</si>
  <si>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</si>
  <si>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</si>
  <si>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</si>
  <si>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</si>
  <si>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</si>
  <si>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</si>
  <si>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</si>
  <si>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</si>
  <si>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</si>
  <si>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</si>
  <si>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</si>
  <si>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</si>
  <si>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</si>
  <si>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</si>
  <si>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</si>
  <si>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</si>
  <si>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</si>
  <si>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</si>
  <si>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</si>
  <si>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</si>
  <si>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</si>
  <si>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</si>
  <si>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</si>
  <si>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</si>
  <si>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</si>
  <si>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</si>
  <si>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</si>
  <si>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</si>
  <si>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</si>
  <si>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</si>
  <si>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</si>
  <si>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</si>
  <si>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</si>
  <si>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</si>
  <si>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</si>
  <si>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</si>
  <si>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</si>
  <si>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</si>
  <si>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</si>
  <si>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</si>
  <si>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</si>
  <si>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</si>
  <si>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</si>
  <si>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</si>
  <si>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</si>
  <si>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</si>
  <si>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</si>
  <si>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</si>
  <si>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</si>
  <si>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</si>
  <si>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</si>
  <si>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</si>
  <si>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</si>
  <si>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</si>
  <si>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</si>
  <si>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</si>
  <si>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</si>
  <si>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</si>
  <si>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</si>
  <si>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</si>
  <si>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</si>
  <si>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</si>
  <si>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</si>
  <si>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</si>
  <si>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</si>
  <si>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</si>
  <si>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</si>
  <si>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</si>
  <si>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</si>
  <si>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</si>
  <si>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</si>
  <si>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</si>
  <si>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</si>
  <si>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</si>
  <si>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</si>
  <si>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</si>
  <si>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</si>
  <si>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</si>
  <si>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</si>
  <si>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</si>
  <si>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</si>
  <si>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</si>
  <si>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</si>
  <si>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</si>
  <si>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</si>
  <si>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</si>
  <si>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</si>
  <si>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</si>
  <si>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</si>
  <si>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</si>
  <si>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</si>
  <si>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</si>
  <si>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</si>
  <si>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</si>
  <si>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</si>
  <si>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</si>
  <si>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</si>
  <si>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</si>
  <si>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</si>
  <si>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</si>
  <si>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</si>
  <si>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</si>
  <si>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</si>
  <si>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</si>
  <si>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</si>
  <si>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</si>
  <si>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</si>
  <si>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</si>
  <si>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</si>
  <si>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</si>
  <si>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</si>
  <si>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</si>
  <si>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</si>
  <si>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</si>
  <si>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</si>
  <si>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</si>
  <si>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</si>
  <si>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</si>
  <si>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</si>
  <si>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</si>
  <si>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</si>
  <si>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</si>
  <si>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</si>
  <si>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</si>
  <si>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</si>
  <si>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</si>
  <si>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</si>
  <si>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</si>
  <si>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</si>
  <si>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</si>
  <si>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</si>
  <si>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</si>
  <si>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</si>
  <si>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</si>
  <si>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</si>
  <si>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</si>
  <si>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</si>
  <si>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</si>
  <si>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</si>
  <si>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</si>
  <si>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</si>
  <si>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</si>
  <si>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</si>
  <si>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</si>
  <si>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</si>
  <si>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</si>
  <si>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</si>
  <si>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</si>
  <si>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</si>
  <si>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</si>
  <si>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</si>
  <si>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</si>
  <si>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</si>
  <si>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</si>
  <si>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</si>
  <si>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</si>
  <si>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</si>
  <si>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</si>
  <si>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</si>
  <si>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</si>
  <si>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</si>
  <si>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</si>
  <si>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</si>
  <si>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</si>
  <si>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</si>
  <si>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</si>
  <si>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</si>
  <si>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</si>
  <si>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</si>
  <si>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</si>
  <si>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</si>
  <si>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</si>
  <si>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</si>
  <si>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</si>
  <si>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</si>
  <si>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</si>
  <si>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</si>
  <si>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</si>
  <si>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</si>
  <si>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</si>
  <si>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</si>
  <si>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</si>
  <si>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</si>
  <si>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</si>
  <si>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</si>
  <si>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</si>
  <si>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</si>
  <si>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</si>
  <si>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</si>
  <si>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</si>
  <si>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</si>
  <si>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</si>
  <si>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</si>
  <si>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</si>
  <si>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</si>
  <si>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</si>
  <si>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</si>
  <si>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</si>
  <si>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</si>
  <si>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</si>
  <si>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</si>
  <si>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</si>
  <si>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</si>
  <si>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</si>
  <si>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</si>
  <si>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</si>
  <si>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</si>
  <si>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</si>
  <si>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</si>
  <si>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</si>
  <si>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</si>
  <si>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</si>
  <si>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</si>
  <si>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</si>
  <si>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</si>
  <si>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</si>
  <si>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</si>
  <si>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</si>
  <si>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</si>
  <si>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</si>
  <si>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</si>
  <si>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</si>
  <si>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</si>
  <si>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</si>
  <si>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</si>
  <si>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</si>
  <si>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</si>
  <si>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</si>
  <si>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</si>
  <si>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</si>
  <si>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</si>
  <si>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</si>
  <si>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</si>
  <si>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</si>
  <si>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</si>
  <si>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</si>
  <si>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</si>
  <si>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</si>
  <si>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</si>
  <si>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</si>
  <si>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</si>
  <si>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</si>
  <si>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</si>
  <si>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</si>
  <si>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</si>
  <si>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</si>
  <si>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</si>
  <si>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</si>
  <si>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</si>
  <si>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</si>
  <si>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</si>
  <si>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</si>
  <si>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</si>
  <si>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</si>
  <si>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</si>
  <si>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</si>
  <si>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</si>
  <si>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</si>
  <si>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</si>
  <si>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</si>
  <si>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</si>
  <si>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</si>
  <si>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</si>
  <si>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</si>
  <si>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</si>
  <si>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</si>
  <si>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</si>
  <si>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</si>
  <si>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</si>
  <si>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</si>
  <si>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</si>
  <si>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</si>
  <si>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</si>
  <si>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</si>
  <si>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</si>
  <si>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</si>
  <si>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</si>
  <si>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</si>
  <si>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</si>
  <si>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</si>
  <si>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</si>
  <si>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</si>
  <si>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</si>
  <si>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</si>
  <si>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</si>
  <si>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</si>
  <si>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</si>
  <si>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</si>
  <si>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</si>
  <si>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</si>
  <si>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</si>
  <si>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</si>
  <si>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</si>
  <si>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</si>
  <si>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</si>
  <si>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</si>
  <si>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</si>
  <si>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</si>
  <si>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</si>
  <si>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</si>
  <si>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</si>
  <si>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</si>
  <si>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</si>
  <si>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</si>
  <si>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</si>
  <si>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</si>
  <si>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</si>
  <si>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</si>
  <si>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</si>
  <si>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</si>
  <si>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</si>
  <si>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</si>
  <si>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</si>
  <si>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</si>
  <si>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</si>
  <si>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</si>
  <si>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</si>
  <si>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</si>
  <si>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</si>
  <si>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</si>
  <si>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</si>
  <si>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</si>
  <si>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</si>
  <si>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</si>
  <si>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</si>
  <si>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</si>
  <si>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</si>
  <si>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</si>
  <si>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</si>
  <si>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</si>
  <si>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</si>
  <si>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</si>
  <si>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</si>
  <si>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</si>
  <si>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</si>
  <si>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</si>
  <si>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</si>
  <si>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</si>
  <si>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</si>
  <si>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</si>
  <si>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</si>
  <si>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</si>
  <si>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</si>
  <si>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</si>
  <si>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</si>
  <si>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</si>
  <si>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</si>
  <si>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</si>
  <si>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</si>
  <si>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</si>
  <si>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</si>
  <si>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</si>
  <si>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</si>
  <si>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</si>
  <si>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</si>
  <si>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</si>
  <si>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CEINCO en ZMG</t>
  </si>
  <si>
    <t>C4 Costa Norte en Puerto Vallarta</t>
  </si>
  <si>
    <t>C4 Valles en AMECA</t>
  </si>
  <si>
    <t>C4 Sierra Occidental en Mascota</t>
  </si>
  <si>
    <t>C4 Sureste en Tamazula</t>
  </si>
  <si>
    <t>C4 Altos Norte en Lagos de Moreno</t>
  </si>
  <si>
    <t>SECRETARIA DE SEGURIDAD Y PROTECCIÓN CIUDADANA</t>
  </si>
  <si>
    <t>C4 SUR en Ciudad Guzmán</t>
  </si>
  <si>
    <t>C4 Altos Sur en Tepatitlán</t>
  </si>
  <si>
    <t>C4 Ciénega en Ocotlán</t>
  </si>
  <si>
    <t>C4 Costa Sur en Cihuatlán</t>
  </si>
  <si>
    <t>C4 Sierra de Amula en el Grullo</t>
  </si>
  <si>
    <t>C4 Norte en Colotlán</t>
  </si>
  <si>
    <t xml:space="preserve">Integrar, análizar  y explotar  la información generada de los tipos de incidentes de los Centros de Atención de Llamadas de Emergencia 911  que operan a nivel nacional.
</t>
  </si>
  <si>
    <t>La información deberá ser enviada dentro de los primeros 8 días de cada mes.</t>
  </si>
  <si>
    <t>Ingrese en la columna "cantidad" el número total de llamadas ocurridas por incidente conforme al catálogo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</si>
</sst>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5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1"/>
      <name val="Arial Narrow"/>
      <family val="2"/>
      <charset val="1"/>
    </font>
    <font>
      <sz val="11"/>
      <color rgb="FFFFFFFF"/>
      <name val="Arial Narrow"/>
      <family val="2"/>
      <charset val="1"/>
    </font>
    <font>
      <b/>
      <sz val="18"/>
      <color rgb="FFFFFFFF"/>
      <name val="Calibri"/>
      <family val="2"/>
      <charset val="1"/>
    </font>
    <font>
      <b/>
      <sz val="14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596B5A"/>
        <bgColor rgb="FF595959"/>
      </patternFill>
    </fill>
    <fill>
      <patternFill patternType="solid">
        <fgColor rgb="FFE6E7E8"/>
        <bgColor rgb="FFD9D9D9"/>
      </patternFill>
    </fill>
    <fill>
      <patternFill patternType="solid">
        <fgColor rgb="FFB0782E"/>
        <bgColor rgb="FFC17D19"/>
      </patternFill>
    </fill>
    <fill>
      <patternFill patternType="solid">
        <fgColor rgb="FF006666"/>
        <bgColor rgb="FF00823B"/>
      </patternFill>
    </fill>
    <fill>
      <patternFill patternType="solid">
        <fgColor rgb="FF5E548A"/>
        <bgColor rgb="FF595959"/>
      </patternFill>
    </fill>
    <fill>
      <patternFill patternType="solid">
        <fgColor rgb="FFD27D00"/>
        <bgColor rgb="FFC17D19"/>
      </patternFill>
    </fill>
    <fill>
      <patternFill patternType="solid">
        <fgColor rgb="FF77933C"/>
        <bgColor rgb="FF7F7F7F"/>
      </patternFill>
    </fill>
    <fill>
      <patternFill patternType="solid">
        <fgColor rgb="FFC65D5A"/>
        <bgColor rgb="FFB0782E"/>
      </patternFill>
    </fill>
    <fill>
      <patternFill patternType="solid">
        <fgColor rgb="FFC00000"/>
        <bgColor rgb="FFFF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297">
    <xf numFmtId="0" fontId="0" fillId="0" borderId="0"/>
    <xf numFmtId="164" fontId="8" fillId="0" borderId="0" applyFont="0" applyFill="0" applyBorder="0" applyAlignment="0" applyProtection="0"/>
    <xf numFmtId="0" fontId="5" fillId="0" borderId="0"/>
    <xf numFmtId="0" fontId="8" fillId="3" borderId="0" applyBorder="0"/>
    <xf numFmtId="0" fontId="8" fillId="3" borderId="0" applyBorder="0"/>
    <xf numFmtId="0" fontId="8" fillId="3" borderId="0" applyBorder="0"/>
    <xf numFmtId="0" fontId="4" fillId="0" borderId="0"/>
    <xf numFmtId="0" fontId="8" fillId="0" borderId="0"/>
    <xf numFmtId="0" fontId="8" fillId="0" borderId="0"/>
    <xf numFmtId="9" fontId="43" fillId="0" borderId="0" applyFont="0" applyFill="0" applyBorder="0" applyAlignment="0" applyProtection="0"/>
    <xf numFmtId="0" fontId="3" fillId="0" borderId="0"/>
    <xf numFmtId="0" fontId="47" fillId="0" borderId="0"/>
    <xf numFmtId="0" fontId="3" fillId="0" borderId="0"/>
    <xf numFmtId="0" fontId="3" fillId="0" borderId="0"/>
    <xf numFmtId="9" fontId="8" fillId="0" borderId="0" applyFont="0" applyFill="0" applyBorder="0" applyAlignment="0" applyProtection="0"/>
    <xf numFmtId="0" fontId="3" fillId="0" borderId="0"/>
    <xf numFmtId="0" fontId="3" fillId="0" borderId="0"/>
    <xf numFmtId="9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48" fillId="0" borderId="0"/>
    <xf numFmtId="9" fontId="48" fillId="0" borderId="0" applyBorder="0" applyProtection="0"/>
    <xf numFmtId="0" fontId="49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8" fillId="0" borderId="0"/>
    <xf numFmtId="9" fontId="8" fillId="0" borderId="0" applyBorder="0" applyProtection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3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2">
    <xf numFmtId="0" fontId="0" fillId="0" borderId="0" xfId="0"/>
    <xf numFmtId="165" fontId="7" fillId="0" borderId="0" xfId="1" applyNumberFormat="1" applyFont="1" applyBorder="1" applyAlignme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2"/>
    <xf numFmtId="0" fontId="12" fillId="0" borderId="0" xfId="2" applyFont="1"/>
    <xf numFmtId="0" fontId="13" fillId="0" borderId="0" xfId="2" applyFont="1" applyAlignment="1">
      <alignment horizontal="right"/>
    </xf>
    <xf numFmtId="0" fontId="15" fillId="0" borderId="0" xfId="6" applyFont="1" applyAlignment="1">
      <alignment vertical="top"/>
    </xf>
    <xf numFmtId="0" fontId="16" fillId="0" borderId="0" xfId="6" applyFont="1" applyAlignment="1">
      <alignment vertical="top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center" vertical="top" wrapText="1"/>
    </xf>
    <xf numFmtId="0" fontId="20" fillId="0" borderId="0" xfId="6" applyFont="1" applyAlignment="1">
      <alignment horizontal="left" vertical="top" wrapText="1"/>
    </xf>
    <xf numFmtId="0" fontId="19" fillId="0" borderId="0" xfId="6" applyFont="1" applyAlignment="1">
      <alignment horizontal="left" vertical="top" wrapText="1"/>
    </xf>
    <xf numFmtId="0" fontId="14" fillId="0" borderId="0" xfId="6" applyFont="1" applyAlignment="1">
      <alignment horizontal="center" vertical="top"/>
    </xf>
    <xf numFmtId="0" fontId="8" fillId="0" borderId="0" xfId="8"/>
    <xf numFmtId="0" fontId="6" fillId="0" borderId="0" xfId="8" applyFont="1"/>
    <xf numFmtId="0" fontId="17" fillId="4" borderId="0" xfId="6" applyFont="1" applyFill="1" applyAlignment="1">
      <alignment vertical="top"/>
    </xf>
    <xf numFmtId="165" fontId="7" fillId="0" borderId="0" xfId="1" applyNumberFormat="1" applyFont="1" applyBorder="1" applyAlignment="1">
      <alignment horizontal="center"/>
    </xf>
    <xf numFmtId="0" fontId="8" fillId="0" borderId="0" xfId="0" applyFont="1"/>
    <xf numFmtId="0" fontId="24" fillId="5" borderId="1" xfId="8" applyFont="1" applyFill="1" applyBorder="1" applyAlignment="1">
      <alignment horizontal="center" wrapText="1"/>
    </xf>
    <xf numFmtId="165" fontId="22" fillId="2" borderId="0" xfId="1" applyNumberFormat="1" applyFont="1" applyFill="1" applyBorder="1" applyAlignment="1">
      <alignment horizontal="center"/>
    </xf>
    <xf numFmtId="165" fontId="25" fillId="2" borderId="0" xfId="1" applyNumberFormat="1" applyFont="1" applyFill="1" applyBorder="1" applyAlignment="1"/>
    <xf numFmtId="0" fontId="8" fillId="0" borderId="0" xfId="8" applyAlignment="1">
      <alignment horizontal="center"/>
    </xf>
    <xf numFmtId="0" fontId="17" fillId="6" borderId="0" xfId="6" applyFont="1" applyFill="1" applyAlignment="1">
      <alignment vertical="top"/>
    </xf>
    <xf numFmtId="0" fontId="32" fillId="6" borderId="0" xfId="6" applyFont="1" applyFill="1" applyAlignment="1">
      <alignment vertical="top"/>
    </xf>
    <xf numFmtId="0" fontId="6" fillId="0" borderId="0" xfId="8" applyFont="1" applyAlignment="1">
      <alignment horizontal="right"/>
    </xf>
    <xf numFmtId="0" fontId="8" fillId="0" borderId="0" xfId="8" applyAlignment="1">
      <alignment horizontal="left"/>
    </xf>
    <xf numFmtId="0" fontId="22" fillId="2" borderId="0" xfId="8" applyFont="1" applyFill="1" applyAlignment="1">
      <alignment horizontal="right" wrapText="1" indent="1"/>
    </xf>
    <xf numFmtId="166" fontId="22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0" fillId="2" borderId="0" xfId="0" applyFont="1" applyFill="1"/>
    <xf numFmtId="0" fontId="8" fillId="2" borderId="0" xfId="8" applyFill="1"/>
    <xf numFmtId="165" fontId="23" fillId="2" borderId="0" xfId="1" applyNumberFormat="1" applyFont="1" applyFill="1" applyBorder="1" applyAlignment="1"/>
    <xf numFmtId="0" fontId="36" fillId="2" borderId="0" xfId="7" applyFont="1" applyFill="1" applyAlignment="1" applyProtection="1">
      <alignment horizontal="center" vertical="top" wrapText="1"/>
      <protection hidden="1"/>
    </xf>
    <xf numFmtId="46" fontId="39" fillId="2" borderId="0" xfId="0" applyNumberFormat="1" applyFont="1" applyFill="1" applyAlignment="1">
      <alignment horizontal="center" vertical="center" wrapText="1"/>
    </xf>
    <xf numFmtId="21" fontId="39" fillId="2" borderId="0" xfId="0" applyNumberFormat="1" applyFont="1" applyFill="1" applyAlignment="1">
      <alignment horizontal="center" vertical="center" wrapText="1"/>
    </xf>
    <xf numFmtId="0" fontId="23" fillId="2" borderId="0" xfId="8" applyFont="1" applyFill="1" applyAlignment="1">
      <alignment horizontal="right" wrapText="1" indent="1"/>
    </xf>
    <xf numFmtId="0" fontId="22" fillId="2" borderId="0" xfId="8" applyFont="1" applyFill="1" applyAlignment="1">
      <alignment horizontal="right" wrapText="1" indent="2"/>
    </xf>
    <xf numFmtId="165" fontId="8" fillId="2" borderId="0" xfId="1" applyNumberFormat="1" applyFont="1" applyFill="1" applyBorder="1" applyAlignment="1"/>
    <xf numFmtId="0" fontId="8" fillId="2" borderId="0" xfId="0" applyFont="1" applyFill="1"/>
    <xf numFmtId="0" fontId="42" fillId="0" borderId="0" xfId="2" applyFont="1" applyAlignment="1">
      <alignment horizontal="right"/>
    </xf>
    <xf numFmtId="0" fontId="38" fillId="7" borderId="0" xfId="0" applyFont="1" applyFill="1" applyAlignment="1">
      <alignment horizontal="center" vertical="center" wrapText="1"/>
    </xf>
    <xf numFmtId="0" fontId="4" fillId="0" borderId="0" xfId="2" applyFont="1"/>
    <xf numFmtId="165" fontId="7" fillId="2" borderId="0" xfId="1" applyNumberFormat="1" applyFont="1" applyFill="1" applyBorder="1" applyAlignment="1" applyProtection="1">
      <alignment horizontal="center"/>
    </xf>
    <xf numFmtId="165" fontId="9" fillId="2" borderId="0" xfId="1" applyNumberFormat="1" applyFont="1" applyFill="1" applyBorder="1" applyAlignment="1" applyProtection="1"/>
    <xf numFmtId="165" fontId="22" fillId="2" borderId="0" xfId="1" applyNumberFormat="1" applyFont="1" applyFill="1" applyBorder="1" applyAlignment="1" applyProtection="1">
      <alignment horizontal="center"/>
    </xf>
    <xf numFmtId="166" fontId="22" fillId="2" borderId="0" xfId="1" applyNumberFormat="1" applyFont="1" applyFill="1" applyBorder="1" applyAlignment="1" applyProtection="1">
      <alignment horizontal="center"/>
    </xf>
    <xf numFmtId="0" fontId="26" fillId="0" borderId="1" xfId="8" applyFont="1" applyBorder="1" applyAlignment="1">
      <alignment horizontal="left" wrapText="1" indent="3"/>
    </xf>
    <xf numFmtId="0" fontId="24" fillId="5" borderId="6" xfId="8" applyFont="1" applyFill="1" applyBorder="1" applyAlignment="1">
      <alignment horizontal="center" wrapText="1"/>
    </xf>
    <xf numFmtId="0" fontId="24" fillId="5" borderId="9" xfId="8" applyFont="1" applyFill="1" applyBorder="1" applyAlignment="1">
      <alignment horizontal="left" wrapText="1" indent="6"/>
    </xf>
    <xf numFmtId="0" fontId="24" fillId="5" borderId="8" xfId="8" applyFont="1" applyFill="1" applyBorder="1" applyAlignment="1">
      <alignment horizont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24" fillId="2" borderId="1" xfId="8" applyFont="1" applyFill="1" applyBorder="1" applyAlignment="1">
      <alignment horizontal="center" wrapText="1"/>
    </xf>
    <xf numFmtId="0" fontId="41" fillId="6" borderId="1" xfId="8" applyFont="1" applyFill="1" applyBorder="1" applyAlignment="1">
      <alignment horizontal="center" wrapText="1"/>
    </xf>
    <xf numFmtId="9" fontId="39" fillId="2" borderId="10" xfId="9" applyFont="1" applyFill="1" applyBorder="1" applyAlignment="1" applyProtection="1">
      <alignment horizontal="center" vertical="center" wrapText="1"/>
    </xf>
    <xf numFmtId="0" fontId="10" fillId="8" borderId="11" xfId="8" applyFont="1" applyFill="1" applyBorder="1" applyAlignment="1">
      <alignment horizontal="center" vertical="center"/>
    </xf>
    <xf numFmtId="0" fontId="10" fillId="8" borderId="12" xfId="8" applyFont="1" applyFill="1" applyBorder="1" applyAlignment="1">
      <alignment horizontal="left" vertical="center" indent="1"/>
    </xf>
    <xf numFmtId="0" fontId="10" fillId="8" borderId="14" xfId="8" applyFont="1" applyFill="1" applyBorder="1" applyAlignment="1">
      <alignment horizontal="center" vertical="center"/>
    </xf>
    <xf numFmtId="0" fontId="10" fillId="8" borderId="15" xfId="8" applyFont="1" applyFill="1" applyBorder="1" applyAlignment="1">
      <alignment horizontal="left" vertical="center" indent="1"/>
    </xf>
    <xf numFmtId="0" fontId="10" fillId="8" borderId="16" xfId="8" applyFont="1" applyFill="1" applyBorder="1" applyAlignment="1">
      <alignment horizontal="center" vertical="center"/>
    </xf>
    <xf numFmtId="0" fontId="10" fillId="8" borderId="17" xfId="8" applyFont="1" applyFill="1" applyBorder="1" applyAlignment="1">
      <alignment horizontal="left" vertical="center" indent="1"/>
    </xf>
    <xf numFmtId="0" fontId="45" fillId="11" borderId="16" xfId="8" applyFont="1" applyFill="1" applyBorder="1" applyAlignment="1">
      <alignment horizontal="center" vertical="center"/>
    </xf>
    <xf numFmtId="0" fontId="45" fillId="11" borderId="17" xfId="8" applyFont="1" applyFill="1" applyBorder="1" applyAlignment="1">
      <alignment horizontal="left" vertical="center" indent="1"/>
    </xf>
    <xf numFmtId="0" fontId="45" fillId="12" borderId="16" xfId="8" applyFont="1" applyFill="1" applyBorder="1" applyAlignment="1">
      <alignment horizontal="center" vertical="center"/>
    </xf>
    <xf numFmtId="0" fontId="45" fillId="12" borderId="17" xfId="8" applyFont="1" applyFill="1" applyBorder="1" applyAlignment="1">
      <alignment horizontal="left" vertical="center" indent="1"/>
    </xf>
    <xf numFmtId="0" fontId="45" fillId="9" borderId="11" xfId="8" applyFont="1" applyFill="1" applyBorder="1" applyAlignment="1">
      <alignment horizontal="center" vertical="center"/>
    </xf>
    <xf numFmtId="0" fontId="45" fillId="9" borderId="12" xfId="8" applyFont="1" applyFill="1" applyBorder="1" applyAlignment="1">
      <alignment horizontal="left" vertical="center" indent="1"/>
    </xf>
    <xf numFmtId="167" fontId="45" fillId="10" borderId="14" xfId="8" applyNumberFormat="1" applyFont="1" applyFill="1" applyBorder="1" applyAlignment="1">
      <alignment horizontal="center" vertical="top"/>
    </xf>
    <xf numFmtId="0" fontId="45" fillId="10" borderId="15" xfId="8" applyFont="1" applyFill="1" applyBorder="1" applyAlignment="1">
      <alignment horizontal="left" vertical="top" indent="1"/>
    </xf>
    <xf numFmtId="0" fontId="45" fillId="13" borderId="16" xfId="8" applyFont="1" applyFill="1" applyBorder="1" applyAlignment="1">
      <alignment horizontal="center" vertical="center"/>
    </xf>
    <xf numFmtId="0" fontId="45" fillId="13" borderId="17" xfId="8" applyFont="1" applyFill="1" applyBorder="1" applyAlignment="1">
      <alignment horizontal="left" vertical="center" indent="1"/>
    </xf>
    <xf numFmtId="0" fontId="45" fillId="14" borderId="16" xfId="8" applyFont="1" applyFill="1" applyBorder="1" applyAlignment="1">
      <alignment horizontal="center" vertical="center"/>
    </xf>
    <xf numFmtId="0" fontId="45" fillId="14" borderId="17" xfId="8" applyFont="1" applyFill="1" applyBorder="1" applyAlignment="1">
      <alignment horizontal="left" vertical="center" indent="1"/>
    </xf>
    <xf numFmtId="0" fontId="45" fillId="15" borderId="16" xfId="8" applyFont="1" applyFill="1" applyBorder="1" applyAlignment="1">
      <alignment horizontal="center" vertical="center"/>
    </xf>
    <xf numFmtId="0" fontId="45" fillId="15" borderId="17" xfId="8" applyFont="1" applyFill="1" applyBorder="1" applyAlignment="1">
      <alignment horizontal="left" vertical="center" indent="1"/>
    </xf>
    <xf numFmtId="0" fontId="10" fillId="8" borderId="18" xfId="8" applyFont="1" applyFill="1" applyBorder="1" applyAlignment="1">
      <alignment horizontal="center" vertical="center"/>
    </xf>
    <xf numFmtId="0" fontId="10" fillId="8" borderId="19" xfId="8" applyFont="1" applyFill="1" applyBorder="1" applyAlignment="1">
      <alignment horizontal="left" vertical="center" indent="1"/>
    </xf>
    <xf numFmtId="0" fontId="24" fillId="5" borderId="20" xfId="8" applyFont="1" applyFill="1" applyBorder="1" applyAlignment="1">
      <alignment horizontal="center" wrapText="1"/>
    </xf>
    <xf numFmtId="0" fontId="24" fillId="5" borderId="21" xfId="8" applyFont="1" applyFill="1" applyBorder="1" applyAlignment="1">
      <alignment horizontal="left" wrapText="1"/>
    </xf>
    <xf numFmtId="0" fontId="24" fillId="5" borderId="21" xfId="8" applyFont="1" applyFill="1" applyBorder="1" applyAlignment="1">
      <alignment horizontal="center" wrapText="1"/>
    </xf>
    <xf numFmtId="0" fontId="24" fillId="2" borderId="0" xfId="8" applyFont="1" applyFill="1" applyAlignment="1">
      <alignment horizontal="center" wrapText="1"/>
    </xf>
    <xf numFmtId="165" fontId="22" fillId="2" borderId="1" xfId="1" applyNumberFormat="1" applyFont="1" applyFill="1" applyBorder="1" applyAlignment="1">
      <alignment horizontal="center" vertical="center"/>
    </xf>
    <xf numFmtId="3" fontId="44" fillId="2" borderId="0" xfId="7" applyNumberFormat="1" applyFont="1" applyFill="1" applyAlignment="1" applyProtection="1">
      <alignment horizontal="center" vertical="center" wrapText="1"/>
      <protection hidden="1"/>
    </xf>
    <xf numFmtId="0" fontId="46" fillId="2" borderId="13" xfId="8" applyFont="1" applyFill="1" applyBorder="1" applyAlignment="1" applyProtection="1">
      <alignment horizontal="center" vertical="center"/>
      <protection locked="0"/>
    </xf>
    <xf numFmtId="1" fontId="50" fillId="17" borderId="0" xfId="27" applyNumberFormat="1" applyFont="1" applyFill="1" applyAlignment="1" applyProtection="1">
      <alignment horizontal="center" vertical="center"/>
      <protection locked="0"/>
    </xf>
    <xf numFmtId="1" fontId="51" fillId="16" borderId="0" xfId="27" applyNumberFormat="1" applyFont="1" applyFill="1" applyAlignment="1" applyProtection="1">
      <alignment horizontal="center" vertical="center"/>
      <protection locked="0"/>
    </xf>
    <xf numFmtId="1" fontId="51" fillId="18" borderId="0" xfId="27" applyNumberFormat="1" applyFont="1" applyFill="1" applyAlignment="1" applyProtection="1">
      <alignment horizontal="center" vertical="top"/>
      <protection locked="0"/>
    </xf>
    <xf numFmtId="1" fontId="51" fillId="19" borderId="0" xfId="27" applyNumberFormat="1" applyFont="1" applyFill="1" applyAlignment="1" applyProtection="1">
      <alignment horizontal="center" vertical="center"/>
      <protection locked="0"/>
    </xf>
    <xf numFmtId="1" fontId="51" fillId="20" borderId="0" xfId="27" applyNumberFormat="1" applyFont="1" applyFill="1" applyAlignment="1" applyProtection="1">
      <alignment horizontal="center" vertical="center"/>
      <protection locked="0"/>
    </xf>
    <xf numFmtId="1" fontId="51" fillId="21" borderId="0" xfId="27" applyNumberFormat="1" applyFont="1" applyFill="1" applyAlignment="1" applyProtection="1">
      <alignment horizontal="center" vertical="center"/>
      <protection locked="0"/>
    </xf>
    <xf numFmtId="1" fontId="51" fillId="22" borderId="0" xfId="27" applyNumberFormat="1" applyFont="1" applyFill="1" applyAlignment="1" applyProtection="1">
      <alignment horizontal="center" vertical="center"/>
      <protection locked="0"/>
    </xf>
    <xf numFmtId="1" fontId="51" fillId="23" borderId="22" xfId="27" applyNumberFormat="1" applyFont="1" applyFill="1" applyBorder="1" applyAlignment="1" applyProtection="1">
      <alignment horizontal="center" vertical="center"/>
      <protection locked="0"/>
    </xf>
    <xf numFmtId="1" fontId="50" fillId="17" borderId="23" xfId="27" applyNumberFormat="1" applyFont="1" applyFill="1" applyBorder="1" applyAlignment="1" applyProtection="1">
      <alignment horizontal="center" vertical="center"/>
      <protection locked="0"/>
    </xf>
    <xf numFmtId="1" fontId="51" fillId="23" borderId="23" xfId="27" applyNumberFormat="1" applyFont="1" applyFill="1" applyBorder="1" applyAlignment="1" applyProtection="1">
      <alignment horizontal="center" vertical="center"/>
      <protection locked="0"/>
    </xf>
    <xf numFmtId="0" fontId="8" fillId="0" borderId="0" xfId="8" applyAlignment="1">
      <alignment horizontal="center"/>
    </xf>
    <xf numFmtId="0" fontId="26" fillId="0" borderId="3" xfId="8" applyFont="1" applyBorder="1" applyAlignment="1">
      <alignment horizontal="right" wrapText="1" indent="2"/>
    </xf>
    <xf numFmtId="0" fontId="26" fillId="0" borderId="2" xfId="8" applyFont="1" applyBorder="1" applyAlignment="1">
      <alignment horizontal="right" wrapText="1" indent="2"/>
    </xf>
    <xf numFmtId="165" fontId="8" fillId="0" borderId="0" xfId="1" applyNumberFormat="1" applyFont="1" applyBorder="1" applyAlignment="1" applyProtection="1">
      <alignment horizontal="center"/>
    </xf>
    <xf numFmtId="165" fontId="23" fillId="0" borderId="0" xfId="1" applyNumberFormat="1" applyFont="1" applyBorder="1" applyAlignment="1" applyProtection="1">
      <alignment horizontal="center"/>
    </xf>
    <xf numFmtId="0" fontId="30" fillId="7" borderId="0" xfId="0" applyFont="1" applyFill="1" applyAlignment="1">
      <alignment horizontal="center" vertical="center" wrapText="1"/>
    </xf>
    <xf numFmtId="165" fontId="37" fillId="0" borderId="0" xfId="1" applyNumberFormat="1" applyFont="1" applyBorder="1" applyAlignment="1" applyProtection="1">
      <alignment horizontal="center"/>
    </xf>
    <xf numFmtId="0" fontId="24" fillId="5" borderId="5" xfId="8" applyFont="1" applyFill="1" applyBorder="1" applyAlignment="1">
      <alignment horizontal="center" wrapText="1"/>
    </xf>
    <xf numFmtId="0" fontId="24" fillId="5" borderId="4" xfId="8" applyFont="1" applyFill="1" applyBorder="1" applyAlignment="1">
      <alignment horizontal="center" wrapText="1"/>
    </xf>
    <xf numFmtId="0" fontId="24" fillId="5" borderId="7" xfId="8" applyFont="1" applyFill="1" applyBorder="1" applyAlignment="1">
      <alignment horizontal="center" wrapText="1"/>
    </xf>
    <xf numFmtId="0" fontId="26" fillId="0" borderId="5" xfId="8" applyFont="1" applyBorder="1" applyAlignment="1">
      <alignment horizontal="right" wrapText="1" indent="2"/>
    </xf>
    <xf numFmtId="0" fontId="26" fillId="0" borderId="7" xfId="8" applyFont="1" applyBorder="1" applyAlignment="1">
      <alignment horizontal="right" wrapText="1" indent="2"/>
    </xf>
    <xf numFmtId="0" fontId="29" fillId="0" borderId="0" xfId="2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17" fillId="4" borderId="0" xfId="6" applyFont="1" applyFill="1" applyAlignment="1">
      <alignment horizontal="center" vertical="top"/>
    </xf>
    <xf numFmtId="0" fontId="15" fillId="0" borderId="0" xfId="6" applyFont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1" fillId="0" borderId="0" xfId="7" applyFont="1" applyAlignment="1" applyProtection="1">
      <alignment horizontal="center" vertical="top" wrapText="1"/>
      <protection hidden="1"/>
    </xf>
    <xf numFmtId="0" fontId="16" fillId="0" borderId="0" xfId="6" applyFont="1" applyAlignment="1">
      <alignment horizontal="center" vertical="top" wrapText="1"/>
    </xf>
    <xf numFmtId="0" fontId="33" fillId="0" borderId="0" xfId="7" applyFont="1" applyAlignment="1">
      <alignment horizontal="center" vertical="top" wrapText="1"/>
    </xf>
    <xf numFmtId="0" fontId="35" fillId="0" borderId="0" xfId="6" applyFont="1" applyAlignment="1">
      <alignment horizontal="center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left" vertical="top" wrapText="1"/>
    </xf>
    <xf numFmtId="0" fontId="17" fillId="4" borderId="0" xfId="6" applyFont="1" applyFill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3" fillId="0" borderId="0" xfId="6" applyFont="1" applyAlignment="1">
      <alignment horizontal="center" vertical="top" wrapText="1"/>
    </xf>
    <xf numFmtId="0" fontId="18" fillId="0" borderId="0" xfId="6" applyFont="1" applyAlignment="1">
      <alignment horizontal="center" vertical="top"/>
    </xf>
    <xf numFmtId="0" fontId="15" fillId="0" borderId="0" xfId="6" applyFont="1" applyAlignment="1">
      <alignment horizontal="left" vertical="top"/>
    </xf>
    <xf numFmtId="0" fontId="53" fillId="0" borderId="0" xfId="0" applyFont="1" applyAlignment="1">
      <alignment horizontal="left" vertical="top" wrapText="1"/>
    </xf>
    <xf numFmtId="0" fontId="34" fillId="0" borderId="0" xfId="6" applyFont="1" applyAlignment="1">
      <alignment horizontal="left" vertical="top" wrapText="1"/>
    </xf>
    <xf numFmtId="0" fontId="52" fillId="24" borderId="0" xfId="0" applyFont="1" applyFill="1" applyAlignment="1">
      <alignment horizontal="left" vertical="top"/>
    </xf>
    <xf numFmtId="0" fontId="32" fillId="6" borderId="0" xfId="6" applyFont="1" applyFill="1" applyAlignment="1">
      <alignment horizontal="left" vertical="top" wrapText="1"/>
    </xf>
    <xf numFmtId="0" fontId="21" fillId="0" borderId="0" xfId="6" applyFont="1" applyAlignment="1">
      <alignment horizontal="center" vertical="top" wrapText="1"/>
    </xf>
    <xf numFmtId="165" fontId="8" fillId="2" borderId="0" xfId="1" applyNumberFormat="1" applyFont="1" applyFill="1" applyBorder="1" applyAlignment="1">
      <alignment horizontal="center"/>
    </xf>
    <xf numFmtId="0" fontId="36" fillId="2" borderId="0" xfId="7" applyFont="1" applyFill="1" applyAlignment="1" applyProtection="1">
      <alignment horizontal="center" vertical="top" wrapText="1"/>
      <protection hidden="1"/>
    </xf>
  </cellXfs>
  <cellStyles count="2297">
    <cellStyle name="Millares 2" xfId="1" xr:uid="{00000000-0005-0000-0000-000000000000}"/>
    <cellStyle name="Normal" xfId="0" builtinId="0"/>
    <cellStyle name="Normal 10" xfId="25" xr:uid="{00000000-0005-0000-0000-000002000000}"/>
    <cellStyle name="Normal 10 10" xfId="178" xr:uid="{00000000-0005-0000-0000-000003000000}"/>
    <cellStyle name="Normal 10 11" xfId="193" xr:uid="{00000000-0005-0000-0000-000004000000}"/>
    <cellStyle name="Normal 10 12" xfId="208" xr:uid="{00000000-0005-0000-0000-000005000000}"/>
    <cellStyle name="Normal 10 13" xfId="220" xr:uid="{00000000-0005-0000-0000-000006000000}"/>
    <cellStyle name="Normal 10 14" xfId="243" xr:uid="{00000000-0005-0000-0000-000007000000}"/>
    <cellStyle name="Normal 10 15" xfId="306" xr:uid="{00000000-0005-0000-0000-000008000000}"/>
    <cellStyle name="Normal 10 16" xfId="479" xr:uid="{00000000-0005-0000-0000-000009000000}"/>
    <cellStyle name="Normal 10 17" xfId="652" xr:uid="{00000000-0005-0000-0000-00000A000000}"/>
    <cellStyle name="Normal 10 18" xfId="825" xr:uid="{00000000-0005-0000-0000-00000B000000}"/>
    <cellStyle name="Normal 10 19" xfId="998" xr:uid="{00000000-0005-0000-0000-00000C000000}"/>
    <cellStyle name="Normal 10 2" xfId="50" xr:uid="{00000000-0005-0000-0000-00000D000000}"/>
    <cellStyle name="Normal 10 20" xfId="1171" xr:uid="{00000000-0005-0000-0000-00000E000000}"/>
    <cellStyle name="Normal 10 21" xfId="1344" xr:uid="{00000000-0005-0000-0000-00000F000000}"/>
    <cellStyle name="Normal 10 22" xfId="1517" xr:uid="{00000000-0005-0000-0000-000010000000}"/>
    <cellStyle name="Normal 10 23" xfId="1690" xr:uid="{00000000-0005-0000-0000-000011000000}"/>
    <cellStyle name="Normal 10 24" xfId="1862" xr:uid="{00000000-0005-0000-0000-000012000000}"/>
    <cellStyle name="Normal 10 25" xfId="2032" xr:uid="{00000000-0005-0000-0000-000013000000}"/>
    <cellStyle name="Normal 10 3" xfId="67" xr:uid="{00000000-0005-0000-0000-000014000000}"/>
    <cellStyle name="Normal 10 4" xfId="83" xr:uid="{00000000-0005-0000-0000-000015000000}"/>
    <cellStyle name="Normal 10 5" xfId="99" xr:uid="{00000000-0005-0000-0000-000016000000}"/>
    <cellStyle name="Normal 10 6" xfId="115" xr:uid="{00000000-0005-0000-0000-000017000000}"/>
    <cellStyle name="Normal 10 7" xfId="131" xr:uid="{00000000-0005-0000-0000-000018000000}"/>
    <cellStyle name="Normal 10 8" xfId="147" xr:uid="{00000000-0005-0000-0000-000019000000}"/>
    <cellStyle name="Normal 10 9" xfId="163" xr:uid="{00000000-0005-0000-0000-00001A000000}"/>
    <cellStyle name="Normal 11" xfId="10" xr:uid="{00000000-0005-0000-0000-00001B000000}"/>
    <cellStyle name="Normal 11 10" xfId="148" xr:uid="{00000000-0005-0000-0000-00001C000000}"/>
    <cellStyle name="Normal 11 10 10" xfId="1747" xr:uid="{00000000-0005-0000-0000-00001D000000}"/>
    <cellStyle name="Normal 11 10 11" xfId="1918" xr:uid="{00000000-0005-0000-0000-00001E000000}"/>
    <cellStyle name="Normal 11 10 12" xfId="2086" xr:uid="{00000000-0005-0000-0000-00001F000000}"/>
    <cellStyle name="Normal 11 10 13" xfId="2238" xr:uid="{00000000-0005-0000-0000-000020000000}"/>
    <cellStyle name="Normal 11 10 2" xfId="363" xr:uid="{00000000-0005-0000-0000-000021000000}"/>
    <cellStyle name="Normal 11 10 3" xfId="536" xr:uid="{00000000-0005-0000-0000-000022000000}"/>
    <cellStyle name="Normal 11 10 4" xfId="709" xr:uid="{00000000-0005-0000-0000-000023000000}"/>
    <cellStyle name="Normal 11 10 5" xfId="882" xr:uid="{00000000-0005-0000-0000-000024000000}"/>
    <cellStyle name="Normal 11 10 6" xfId="1055" xr:uid="{00000000-0005-0000-0000-000025000000}"/>
    <cellStyle name="Normal 11 10 7" xfId="1228" xr:uid="{00000000-0005-0000-0000-000026000000}"/>
    <cellStyle name="Normal 11 10 8" xfId="1401" xr:uid="{00000000-0005-0000-0000-000027000000}"/>
    <cellStyle name="Normal 11 10 9" xfId="1574" xr:uid="{00000000-0005-0000-0000-000028000000}"/>
    <cellStyle name="Normal 11 11" xfId="164" xr:uid="{00000000-0005-0000-0000-000029000000}"/>
    <cellStyle name="Normal 11 11 10" xfId="1763" xr:uid="{00000000-0005-0000-0000-00002A000000}"/>
    <cellStyle name="Normal 11 11 11" xfId="1934" xr:uid="{00000000-0005-0000-0000-00002B000000}"/>
    <cellStyle name="Normal 11 11 12" xfId="2102" xr:uid="{00000000-0005-0000-0000-00002C000000}"/>
    <cellStyle name="Normal 11 11 13" xfId="2251" xr:uid="{00000000-0005-0000-0000-00002D000000}"/>
    <cellStyle name="Normal 11 11 2" xfId="379" xr:uid="{00000000-0005-0000-0000-00002E000000}"/>
    <cellStyle name="Normal 11 11 3" xfId="552" xr:uid="{00000000-0005-0000-0000-00002F000000}"/>
    <cellStyle name="Normal 11 11 4" xfId="725" xr:uid="{00000000-0005-0000-0000-000030000000}"/>
    <cellStyle name="Normal 11 11 5" xfId="898" xr:uid="{00000000-0005-0000-0000-000031000000}"/>
    <cellStyle name="Normal 11 11 6" xfId="1071" xr:uid="{00000000-0005-0000-0000-000032000000}"/>
    <cellStyle name="Normal 11 11 7" xfId="1244" xr:uid="{00000000-0005-0000-0000-000033000000}"/>
    <cellStyle name="Normal 11 11 8" xfId="1417" xr:uid="{00000000-0005-0000-0000-000034000000}"/>
    <cellStyle name="Normal 11 11 9" xfId="1590" xr:uid="{00000000-0005-0000-0000-000035000000}"/>
    <cellStyle name="Normal 11 12" xfId="179" xr:uid="{00000000-0005-0000-0000-000036000000}"/>
    <cellStyle name="Normal 11 12 10" xfId="1778" xr:uid="{00000000-0005-0000-0000-000037000000}"/>
    <cellStyle name="Normal 11 12 11" xfId="1949" xr:uid="{00000000-0005-0000-0000-000038000000}"/>
    <cellStyle name="Normal 11 12 12" xfId="2116" xr:uid="{00000000-0005-0000-0000-000039000000}"/>
    <cellStyle name="Normal 11 12 13" xfId="2263" xr:uid="{00000000-0005-0000-0000-00003A000000}"/>
    <cellStyle name="Normal 11 12 2" xfId="394" xr:uid="{00000000-0005-0000-0000-00003B000000}"/>
    <cellStyle name="Normal 11 12 3" xfId="567" xr:uid="{00000000-0005-0000-0000-00003C000000}"/>
    <cellStyle name="Normal 11 12 4" xfId="740" xr:uid="{00000000-0005-0000-0000-00003D000000}"/>
    <cellStyle name="Normal 11 12 5" xfId="913" xr:uid="{00000000-0005-0000-0000-00003E000000}"/>
    <cellStyle name="Normal 11 12 6" xfId="1086" xr:uid="{00000000-0005-0000-0000-00003F000000}"/>
    <cellStyle name="Normal 11 12 7" xfId="1259" xr:uid="{00000000-0005-0000-0000-000040000000}"/>
    <cellStyle name="Normal 11 12 8" xfId="1432" xr:uid="{00000000-0005-0000-0000-000041000000}"/>
    <cellStyle name="Normal 11 12 9" xfId="1605" xr:uid="{00000000-0005-0000-0000-000042000000}"/>
    <cellStyle name="Normal 11 13" xfId="194" xr:uid="{00000000-0005-0000-0000-000043000000}"/>
    <cellStyle name="Normal 11 13 10" xfId="1793" xr:uid="{00000000-0005-0000-0000-000044000000}"/>
    <cellStyle name="Normal 11 13 11" xfId="1964" xr:uid="{00000000-0005-0000-0000-000045000000}"/>
    <cellStyle name="Normal 11 13 12" xfId="2131" xr:uid="{00000000-0005-0000-0000-000046000000}"/>
    <cellStyle name="Normal 11 13 13" xfId="2275" xr:uid="{00000000-0005-0000-0000-000047000000}"/>
    <cellStyle name="Normal 11 13 2" xfId="409" xr:uid="{00000000-0005-0000-0000-000048000000}"/>
    <cellStyle name="Normal 11 13 3" xfId="582" xr:uid="{00000000-0005-0000-0000-000049000000}"/>
    <cellStyle name="Normal 11 13 4" xfId="755" xr:uid="{00000000-0005-0000-0000-00004A000000}"/>
    <cellStyle name="Normal 11 13 5" xfId="928" xr:uid="{00000000-0005-0000-0000-00004B000000}"/>
    <cellStyle name="Normal 11 13 6" xfId="1101" xr:uid="{00000000-0005-0000-0000-00004C000000}"/>
    <cellStyle name="Normal 11 13 7" xfId="1274" xr:uid="{00000000-0005-0000-0000-00004D000000}"/>
    <cellStyle name="Normal 11 13 8" xfId="1447" xr:uid="{00000000-0005-0000-0000-00004E000000}"/>
    <cellStyle name="Normal 11 13 9" xfId="1620" xr:uid="{00000000-0005-0000-0000-00004F000000}"/>
    <cellStyle name="Normal 11 14" xfId="228" xr:uid="{00000000-0005-0000-0000-000050000000}"/>
    <cellStyle name="Normal 11 15" xfId="284" xr:uid="{00000000-0005-0000-0000-000051000000}"/>
    <cellStyle name="Normal 11 16" xfId="457" xr:uid="{00000000-0005-0000-0000-000052000000}"/>
    <cellStyle name="Normal 11 17" xfId="630" xr:uid="{00000000-0005-0000-0000-000053000000}"/>
    <cellStyle name="Normal 11 18" xfId="803" xr:uid="{00000000-0005-0000-0000-000054000000}"/>
    <cellStyle name="Normal 11 19" xfId="976" xr:uid="{00000000-0005-0000-0000-000055000000}"/>
    <cellStyle name="Normal 11 2" xfId="35" xr:uid="{00000000-0005-0000-0000-000056000000}"/>
    <cellStyle name="Normal 11 2 10" xfId="1557" xr:uid="{00000000-0005-0000-0000-000057000000}"/>
    <cellStyle name="Normal 11 2 11" xfId="1730" xr:uid="{00000000-0005-0000-0000-000058000000}"/>
    <cellStyle name="Normal 11 2 12" xfId="1902" xr:uid="{00000000-0005-0000-0000-000059000000}"/>
    <cellStyle name="Normal 11 2 13" xfId="2070" xr:uid="{00000000-0005-0000-0000-00005A000000}"/>
    <cellStyle name="Normal 11 2 2" xfId="252" xr:uid="{00000000-0005-0000-0000-00005B000000}"/>
    <cellStyle name="Normal 11 2 3" xfId="346" xr:uid="{00000000-0005-0000-0000-00005C000000}"/>
    <cellStyle name="Normal 11 2 4" xfId="519" xr:uid="{00000000-0005-0000-0000-00005D000000}"/>
    <cellStyle name="Normal 11 2 5" xfId="692" xr:uid="{00000000-0005-0000-0000-00005E000000}"/>
    <cellStyle name="Normal 11 2 6" xfId="865" xr:uid="{00000000-0005-0000-0000-00005F000000}"/>
    <cellStyle name="Normal 11 2 7" xfId="1038" xr:uid="{00000000-0005-0000-0000-000060000000}"/>
    <cellStyle name="Normal 11 2 8" xfId="1211" xr:uid="{00000000-0005-0000-0000-000061000000}"/>
    <cellStyle name="Normal 11 2 9" xfId="1384" xr:uid="{00000000-0005-0000-0000-000062000000}"/>
    <cellStyle name="Normal 11 20" xfId="1149" xr:uid="{00000000-0005-0000-0000-000063000000}"/>
    <cellStyle name="Normal 11 21" xfId="1322" xr:uid="{00000000-0005-0000-0000-000064000000}"/>
    <cellStyle name="Normal 11 22" xfId="1495" xr:uid="{00000000-0005-0000-0000-000065000000}"/>
    <cellStyle name="Normal 11 23" xfId="1668" xr:uid="{00000000-0005-0000-0000-000066000000}"/>
    <cellStyle name="Normal 11 24" xfId="1841" xr:uid="{00000000-0005-0000-0000-000067000000}"/>
    <cellStyle name="Normal 11 25" xfId="2012" xr:uid="{00000000-0005-0000-0000-000068000000}"/>
    <cellStyle name="Normal 11 3" xfId="52" xr:uid="{00000000-0005-0000-0000-000069000000}"/>
    <cellStyle name="Normal 11 3 10" xfId="1652" xr:uid="{00000000-0005-0000-0000-00006A000000}"/>
    <cellStyle name="Normal 11 3 11" xfId="1825" xr:uid="{00000000-0005-0000-0000-00006B000000}"/>
    <cellStyle name="Normal 11 3 12" xfId="1996" xr:uid="{00000000-0005-0000-0000-00006C000000}"/>
    <cellStyle name="Normal 11 3 13" xfId="2160" xr:uid="{00000000-0005-0000-0000-00006D000000}"/>
    <cellStyle name="Normal 11 3 2" xfId="268" xr:uid="{00000000-0005-0000-0000-00006E000000}"/>
    <cellStyle name="Normal 11 3 3" xfId="441" xr:uid="{00000000-0005-0000-0000-00006F000000}"/>
    <cellStyle name="Normal 11 3 4" xfId="614" xr:uid="{00000000-0005-0000-0000-000070000000}"/>
    <cellStyle name="Normal 11 3 5" xfId="787" xr:uid="{00000000-0005-0000-0000-000071000000}"/>
    <cellStyle name="Normal 11 3 6" xfId="960" xr:uid="{00000000-0005-0000-0000-000072000000}"/>
    <cellStyle name="Normal 11 3 7" xfId="1133" xr:uid="{00000000-0005-0000-0000-000073000000}"/>
    <cellStyle name="Normal 11 3 8" xfId="1306" xr:uid="{00000000-0005-0000-0000-000074000000}"/>
    <cellStyle name="Normal 11 3 9" xfId="1479" xr:uid="{00000000-0005-0000-0000-000075000000}"/>
    <cellStyle name="Normal 11 4" xfId="39" xr:uid="{00000000-0005-0000-0000-000076000000}"/>
    <cellStyle name="Normal 11 4 10" xfId="1493" xr:uid="{00000000-0005-0000-0000-000077000000}"/>
    <cellStyle name="Normal 11 4 11" xfId="1666" xr:uid="{00000000-0005-0000-0000-000078000000}"/>
    <cellStyle name="Normal 11 4 12" xfId="1839" xr:uid="{00000000-0005-0000-0000-000079000000}"/>
    <cellStyle name="Normal 11 4 13" xfId="2010" xr:uid="{00000000-0005-0000-0000-00007A000000}"/>
    <cellStyle name="Normal 11 4 2" xfId="256" xr:uid="{00000000-0005-0000-0000-00007B000000}"/>
    <cellStyle name="Normal 11 4 3" xfId="282" xr:uid="{00000000-0005-0000-0000-00007C000000}"/>
    <cellStyle name="Normal 11 4 4" xfId="455" xr:uid="{00000000-0005-0000-0000-00007D000000}"/>
    <cellStyle name="Normal 11 4 5" xfId="628" xr:uid="{00000000-0005-0000-0000-00007E000000}"/>
    <cellStyle name="Normal 11 4 6" xfId="801" xr:uid="{00000000-0005-0000-0000-00007F000000}"/>
    <cellStyle name="Normal 11 4 7" xfId="974" xr:uid="{00000000-0005-0000-0000-000080000000}"/>
    <cellStyle name="Normal 11 4 8" xfId="1147" xr:uid="{00000000-0005-0000-0000-000081000000}"/>
    <cellStyle name="Normal 11 4 9" xfId="1320" xr:uid="{00000000-0005-0000-0000-000082000000}"/>
    <cellStyle name="Normal 11 5" xfId="68" xr:uid="{00000000-0005-0000-0000-000083000000}"/>
    <cellStyle name="Normal 11 5 10" xfId="1667" xr:uid="{00000000-0005-0000-0000-000084000000}"/>
    <cellStyle name="Normal 11 5 11" xfId="1840" xr:uid="{00000000-0005-0000-0000-000085000000}"/>
    <cellStyle name="Normal 11 5 12" xfId="2011" xr:uid="{00000000-0005-0000-0000-000086000000}"/>
    <cellStyle name="Normal 11 5 13" xfId="2173" xr:uid="{00000000-0005-0000-0000-000087000000}"/>
    <cellStyle name="Normal 11 5 2" xfId="283" xr:uid="{00000000-0005-0000-0000-000088000000}"/>
    <cellStyle name="Normal 11 5 3" xfId="456" xr:uid="{00000000-0005-0000-0000-000089000000}"/>
    <cellStyle name="Normal 11 5 4" xfId="629" xr:uid="{00000000-0005-0000-0000-00008A000000}"/>
    <cellStyle name="Normal 11 5 5" xfId="802" xr:uid="{00000000-0005-0000-0000-00008B000000}"/>
    <cellStyle name="Normal 11 5 6" xfId="975" xr:uid="{00000000-0005-0000-0000-00008C000000}"/>
    <cellStyle name="Normal 11 5 7" xfId="1148" xr:uid="{00000000-0005-0000-0000-00008D000000}"/>
    <cellStyle name="Normal 11 5 8" xfId="1321" xr:uid="{00000000-0005-0000-0000-00008E000000}"/>
    <cellStyle name="Normal 11 5 9" xfId="1494" xr:uid="{00000000-0005-0000-0000-00008F000000}"/>
    <cellStyle name="Normal 11 6" xfId="84" xr:uid="{00000000-0005-0000-0000-000090000000}"/>
    <cellStyle name="Normal 11 6 10" xfId="1683" xr:uid="{00000000-0005-0000-0000-000091000000}"/>
    <cellStyle name="Normal 11 6 11" xfId="1855" xr:uid="{00000000-0005-0000-0000-000092000000}"/>
    <cellStyle name="Normal 11 6 12" xfId="2026" xr:uid="{00000000-0005-0000-0000-000093000000}"/>
    <cellStyle name="Normal 11 6 13" xfId="2186" xr:uid="{00000000-0005-0000-0000-000094000000}"/>
    <cellStyle name="Normal 11 6 2" xfId="299" xr:uid="{00000000-0005-0000-0000-000095000000}"/>
    <cellStyle name="Normal 11 6 3" xfId="472" xr:uid="{00000000-0005-0000-0000-000096000000}"/>
    <cellStyle name="Normal 11 6 4" xfId="645" xr:uid="{00000000-0005-0000-0000-000097000000}"/>
    <cellStyle name="Normal 11 6 5" xfId="818" xr:uid="{00000000-0005-0000-0000-000098000000}"/>
    <cellStyle name="Normal 11 6 6" xfId="991" xr:uid="{00000000-0005-0000-0000-000099000000}"/>
    <cellStyle name="Normal 11 6 7" xfId="1164" xr:uid="{00000000-0005-0000-0000-00009A000000}"/>
    <cellStyle name="Normal 11 6 8" xfId="1337" xr:uid="{00000000-0005-0000-0000-00009B000000}"/>
    <cellStyle name="Normal 11 6 9" xfId="1510" xr:uid="{00000000-0005-0000-0000-00009C000000}"/>
    <cellStyle name="Normal 11 7" xfId="100" xr:uid="{00000000-0005-0000-0000-00009D000000}"/>
    <cellStyle name="Normal 11 7 10" xfId="1699" xr:uid="{00000000-0005-0000-0000-00009E000000}"/>
    <cellStyle name="Normal 11 7 11" xfId="1871" xr:uid="{00000000-0005-0000-0000-00009F000000}"/>
    <cellStyle name="Normal 11 7 12" xfId="2041" xr:uid="{00000000-0005-0000-0000-0000A0000000}"/>
    <cellStyle name="Normal 11 7 13" xfId="2199" xr:uid="{00000000-0005-0000-0000-0000A1000000}"/>
    <cellStyle name="Normal 11 7 2" xfId="315" xr:uid="{00000000-0005-0000-0000-0000A2000000}"/>
    <cellStyle name="Normal 11 7 3" xfId="488" xr:uid="{00000000-0005-0000-0000-0000A3000000}"/>
    <cellStyle name="Normal 11 7 4" xfId="661" xr:uid="{00000000-0005-0000-0000-0000A4000000}"/>
    <cellStyle name="Normal 11 7 5" xfId="834" xr:uid="{00000000-0005-0000-0000-0000A5000000}"/>
    <cellStyle name="Normal 11 7 6" xfId="1007" xr:uid="{00000000-0005-0000-0000-0000A6000000}"/>
    <cellStyle name="Normal 11 7 7" xfId="1180" xr:uid="{00000000-0005-0000-0000-0000A7000000}"/>
    <cellStyle name="Normal 11 7 8" xfId="1353" xr:uid="{00000000-0005-0000-0000-0000A8000000}"/>
    <cellStyle name="Normal 11 7 9" xfId="1526" xr:uid="{00000000-0005-0000-0000-0000A9000000}"/>
    <cellStyle name="Normal 11 8" xfId="116" xr:uid="{00000000-0005-0000-0000-0000AA000000}"/>
    <cellStyle name="Normal 11 8 10" xfId="1715" xr:uid="{00000000-0005-0000-0000-0000AB000000}"/>
    <cellStyle name="Normal 11 8 11" xfId="1887" xr:uid="{00000000-0005-0000-0000-0000AC000000}"/>
    <cellStyle name="Normal 11 8 12" xfId="2056" xr:uid="{00000000-0005-0000-0000-0000AD000000}"/>
    <cellStyle name="Normal 11 8 13" xfId="2212" xr:uid="{00000000-0005-0000-0000-0000AE000000}"/>
    <cellStyle name="Normal 11 8 2" xfId="331" xr:uid="{00000000-0005-0000-0000-0000AF000000}"/>
    <cellStyle name="Normal 11 8 3" xfId="504" xr:uid="{00000000-0005-0000-0000-0000B0000000}"/>
    <cellStyle name="Normal 11 8 4" xfId="677" xr:uid="{00000000-0005-0000-0000-0000B1000000}"/>
    <cellStyle name="Normal 11 8 5" xfId="850" xr:uid="{00000000-0005-0000-0000-0000B2000000}"/>
    <cellStyle name="Normal 11 8 6" xfId="1023" xr:uid="{00000000-0005-0000-0000-0000B3000000}"/>
    <cellStyle name="Normal 11 8 7" xfId="1196" xr:uid="{00000000-0005-0000-0000-0000B4000000}"/>
    <cellStyle name="Normal 11 8 8" xfId="1369" xr:uid="{00000000-0005-0000-0000-0000B5000000}"/>
    <cellStyle name="Normal 11 8 9" xfId="1542" xr:uid="{00000000-0005-0000-0000-0000B6000000}"/>
    <cellStyle name="Normal 11 9" xfId="132" xr:uid="{00000000-0005-0000-0000-0000B7000000}"/>
    <cellStyle name="Normal 11 9 10" xfId="1731" xr:uid="{00000000-0005-0000-0000-0000B8000000}"/>
    <cellStyle name="Normal 11 9 11" xfId="1903" xr:uid="{00000000-0005-0000-0000-0000B9000000}"/>
    <cellStyle name="Normal 11 9 12" xfId="2071" xr:uid="{00000000-0005-0000-0000-0000BA000000}"/>
    <cellStyle name="Normal 11 9 13" xfId="2225" xr:uid="{00000000-0005-0000-0000-0000BB000000}"/>
    <cellStyle name="Normal 11 9 2" xfId="347" xr:uid="{00000000-0005-0000-0000-0000BC000000}"/>
    <cellStyle name="Normal 11 9 3" xfId="520" xr:uid="{00000000-0005-0000-0000-0000BD000000}"/>
    <cellStyle name="Normal 11 9 4" xfId="693" xr:uid="{00000000-0005-0000-0000-0000BE000000}"/>
    <cellStyle name="Normal 11 9 5" xfId="866" xr:uid="{00000000-0005-0000-0000-0000BF000000}"/>
    <cellStyle name="Normal 11 9 6" xfId="1039" xr:uid="{00000000-0005-0000-0000-0000C0000000}"/>
    <cellStyle name="Normal 11 9 7" xfId="1212" xr:uid="{00000000-0005-0000-0000-0000C1000000}"/>
    <cellStyle name="Normal 11 9 8" xfId="1385" xr:uid="{00000000-0005-0000-0000-0000C2000000}"/>
    <cellStyle name="Normal 11 9 9" xfId="1558" xr:uid="{00000000-0005-0000-0000-0000C3000000}"/>
    <cellStyle name="Normal 2" xfId="2" xr:uid="{00000000-0005-0000-0000-0000C4000000}"/>
    <cellStyle name="Normal 2 2" xfId="3" xr:uid="{00000000-0005-0000-0000-0000C5000000}"/>
    <cellStyle name="Normal 2 2 10" xfId="152" xr:uid="{00000000-0005-0000-0000-0000C6000000}"/>
    <cellStyle name="Normal 2 2 10 10" xfId="1751" xr:uid="{00000000-0005-0000-0000-0000C7000000}"/>
    <cellStyle name="Normal 2 2 10 11" xfId="1922" xr:uid="{00000000-0005-0000-0000-0000C8000000}"/>
    <cellStyle name="Normal 2 2 10 12" xfId="2090" xr:uid="{00000000-0005-0000-0000-0000C9000000}"/>
    <cellStyle name="Normal 2 2 10 13" xfId="2241" xr:uid="{00000000-0005-0000-0000-0000CA000000}"/>
    <cellStyle name="Normal 2 2 10 2" xfId="367" xr:uid="{00000000-0005-0000-0000-0000CB000000}"/>
    <cellStyle name="Normal 2 2 10 3" xfId="540" xr:uid="{00000000-0005-0000-0000-0000CC000000}"/>
    <cellStyle name="Normal 2 2 10 4" xfId="713" xr:uid="{00000000-0005-0000-0000-0000CD000000}"/>
    <cellStyle name="Normal 2 2 10 5" xfId="886" xr:uid="{00000000-0005-0000-0000-0000CE000000}"/>
    <cellStyle name="Normal 2 2 10 6" xfId="1059" xr:uid="{00000000-0005-0000-0000-0000CF000000}"/>
    <cellStyle name="Normal 2 2 10 7" xfId="1232" xr:uid="{00000000-0005-0000-0000-0000D0000000}"/>
    <cellStyle name="Normal 2 2 10 8" xfId="1405" xr:uid="{00000000-0005-0000-0000-0000D1000000}"/>
    <cellStyle name="Normal 2 2 10 9" xfId="1578" xr:uid="{00000000-0005-0000-0000-0000D2000000}"/>
    <cellStyle name="Normal 2 2 11" xfId="168" xr:uid="{00000000-0005-0000-0000-0000D3000000}"/>
    <cellStyle name="Normal 2 2 11 10" xfId="1767" xr:uid="{00000000-0005-0000-0000-0000D4000000}"/>
    <cellStyle name="Normal 2 2 11 11" xfId="1938" xr:uid="{00000000-0005-0000-0000-0000D5000000}"/>
    <cellStyle name="Normal 2 2 11 12" xfId="2105" xr:uid="{00000000-0005-0000-0000-0000D6000000}"/>
    <cellStyle name="Normal 2 2 11 13" xfId="2254" xr:uid="{00000000-0005-0000-0000-0000D7000000}"/>
    <cellStyle name="Normal 2 2 11 2" xfId="383" xr:uid="{00000000-0005-0000-0000-0000D8000000}"/>
    <cellStyle name="Normal 2 2 11 3" xfId="556" xr:uid="{00000000-0005-0000-0000-0000D9000000}"/>
    <cellStyle name="Normal 2 2 11 4" xfId="729" xr:uid="{00000000-0005-0000-0000-0000DA000000}"/>
    <cellStyle name="Normal 2 2 11 5" xfId="902" xr:uid="{00000000-0005-0000-0000-0000DB000000}"/>
    <cellStyle name="Normal 2 2 11 6" xfId="1075" xr:uid="{00000000-0005-0000-0000-0000DC000000}"/>
    <cellStyle name="Normal 2 2 11 7" xfId="1248" xr:uid="{00000000-0005-0000-0000-0000DD000000}"/>
    <cellStyle name="Normal 2 2 11 8" xfId="1421" xr:uid="{00000000-0005-0000-0000-0000DE000000}"/>
    <cellStyle name="Normal 2 2 11 9" xfId="1594" xr:uid="{00000000-0005-0000-0000-0000DF000000}"/>
    <cellStyle name="Normal 2 2 12" xfId="183" xr:uid="{00000000-0005-0000-0000-0000E0000000}"/>
    <cellStyle name="Normal 2 2 12 10" xfId="1782" xr:uid="{00000000-0005-0000-0000-0000E1000000}"/>
    <cellStyle name="Normal 2 2 12 11" xfId="1953" xr:uid="{00000000-0005-0000-0000-0000E2000000}"/>
    <cellStyle name="Normal 2 2 12 12" xfId="2120" xr:uid="{00000000-0005-0000-0000-0000E3000000}"/>
    <cellStyle name="Normal 2 2 12 13" xfId="2266" xr:uid="{00000000-0005-0000-0000-0000E4000000}"/>
    <cellStyle name="Normal 2 2 12 2" xfId="398" xr:uid="{00000000-0005-0000-0000-0000E5000000}"/>
    <cellStyle name="Normal 2 2 12 3" xfId="571" xr:uid="{00000000-0005-0000-0000-0000E6000000}"/>
    <cellStyle name="Normal 2 2 12 4" xfId="744" xr:uid="{00000000-0005-0000-0000-0000E7000000}"/>
    <cellStyle name="Normal 2 2 12 5" xfId="917" xr:uid="{00000000-0005-0000-0000-0000E8000000}"/>
    <cellStyle name="Normal 2 2 12 6" xfId="1090" xr:uid="{00000000-0005-0000-0000-0000E9000000}"/>
    <cellStyle name="Normal 2 2 12 7" xfId="1263" xr:uid="{00000000-0005-0000-0000-0000EA000000}"/>
    <cellStyle name="Normal 2 2 12 8" xfId="1436" xr:uid="{00000000-0005-0000-0000-0000EB000000}"/>
    <cellStyle name="Normal 2 2 12 9" xfId="1609" xr:uid="{00000000-0005-0000-0000-0000EC000000}"/>
    <cellStyle name="Normal 2 2 13" xfId="198" xr:uid="{00000000-0005-0000-0000-0000ED000000}"/>
    <cellStyle name="Normal 2 2 13 10" xfId="1797" xr:uid="{00000000-0005-0000-0000-0000EE000000}"/>
    <cellStyle name="Normal 2 2 13 11" xfId="1968" xr:uid="{00000000-0005-0000-0000-0000EF000000}"/>
    <cellStyle name="Normal 2 2 13 12" xfId="2135" xr:uid="{00000000-0005-0000-0000-0000F0000000}"/>
    <cellStyle name="Normal 2 2 13 13" xfId="2278" xr:uid="{00000000-0005-0000-0000-0000F1000000}"/>
    <cellStyle name="Normal 2 2 13 2" xfId="413" xr:uid="{00000000-0005-0000-0000-0000F2000000}"/>
    <cellStyle name="Normal 2 2 13 3" xfId="586" xr:uid="{00000000-0005-0000-0000-0000F3000000}"/>
    <cellStyle name="Normal 2 2 13 4" xfId="759" xr:uid="{00000000-0005-0000-0000-0000F4000000}"/>
    <cellStyle name="Normal 2 2 13 5" xfId="932" xr:uid="{00000000-0005-0000-0000-0000F5000000}"/>
    <cellStyle name="Normal 2 2 13 6" xfId="1105" xr:uid="{00000000-0005-0000-0000-0000F6000000}"/>
    <cellStyle name="Normal 2 2 13 7" xfId="1278" xr:uid="{00000000-0005-0000-0000-0000F7000000}"/>
    <cellStyle name="Normal 2 2 13 8" xfId="1451" xr:uid="{00000000-0005-0000-0000-0000F8000000}"/>
    <cellStyle name="Normal 2 2 13 9" xfId="1624" xr:uid="{00000000-0005-0000-0000-0000F9000000}"/>
    <cellStyle name="Normal 2 2 14" xfId="222" xr:uid="{00000000-0005-0000-0000-0000FA000000}"/>
    <cellStyle name="Normal 2 2 15" xfId="232" xr:uid="{00000000-0005-0000-0000-0000FB000000}"/>
    <cellStyle name="Normal 2 2 16" xfId="424" xr:uid="{00000000-0005-0000-0000-0000FC000000}"/>
    <cellStyle name="Normal 2 2 17" xfId="597" xr:uid="{00000000-0005-0000-0000-0000FD000000}"/>
    <cellStyle name="Normal 2 2 18" xfId="770" xr:uid="{00000000-0005-0000-0000-0000FE000000}"/>
    <cellStyle name="Normal 2 2 19" xfId="943" xr:uid="{00000000-0005-0000-0000-0000FF000000}"/>
    <cellStyle name="Normal 2 2 2" xfId="29" xr:uid="{00000000-0005-0000-0000-000000010000}"/>
    <cellStyle name="Normal 2 2 2 10" xfId="155" xr:uid="{00000000-0005-0000-0000-000001010000}"/>
    <cellStyle name="Normal 2 2 2 11" xfId="171" xr:uid="{00000000-0005-0000-0000-000002010000}"/>
    <cellStyle name="Normal 2 2 2 12" xfId="186" xr:uid="{00000000-0005-0000-0000-000003010000}"/>
    <cellStyle name="Normal 2 2 2 13" xfId="201" xr:uid="{00000000-0005-0000-0000-000004010000}"/>
    <cellStyle name="Normal 2 2 2 14" xfId="223" xr:uid="{00000000-0005-0000-0000-000005010000}"/>
    <cellStyle name="Normal 2 2 2 15" xfId="235" xr:uid="{00000000-0005-0000-0000-000006010000}"/>
    <cellStyle name="Normal 2 2 2 16" xfId="380" xr:uid="{00000000-0005-0000-0000-000007010000}"/>
    <cellStyle name="Normal 2 2 2 17" xfId="553" xr:uid="{00000000-0005-0000-0000-000008010000}"/>
    <cellStyle name="Normal 2 2 2 18" xfId="726" xr:uid="{00000000-0005-0000-0000-000009010000}"/>
    <cellStyle name="Normal 2 2 2 19" xfId="899" xr:uid="{00000000-0005-0000-0000-00000A010000}"/>
    <cellStyle name="Normal 2 2 2 2" xfId="30" xr:uid="{00000000-0005-0000-0000-00000B010000}"/>
    <cellStyle name="Normal 2 2 2 2 10" xfId="1627" xr:uid="{00000000-0005-0000-0000-00000C010000}"/>
    <cellStyle name="Normal 2 2 2 2 11" xfId="1800" xr:uid="{00000000-0005-0000-0000-00000D010000}"/>
    <cellStyle name="Normal 2 2 2 2 12" xfId="1971" xr:uid="{00000000-0005-0000-0000-00000E010000}"/>
    <cellStyle name="Normal 2 2 2 2 13" xfId="2138" xr:uid="{00000000-0005-0000-0000-00000F010000}"/>
    <cellStyle name="Normal 2 2 2 2 2" xfId="246" xr:uid="{00000000-0005-0000-0000-000010010000}"/>
    <cellStyle name="Normal 2 2 2 2 2 10" xfId="1612" xr:uid="{00000000-0005-0000-0000-000011010000}"/>
    <cellStyle name="Normal 2 2 2 2 2 11" xfId="1785" xr:uid="{00000000-0005-0000-0000-000012010000}"/>
    <cellStyle name="Normal 2 2 2 2 2 12" xfId="1956" xr:uid="{00000000-0005-0000-0000-000013010000}"/>
    <cellStyle name="Normal 2 2 2 2 2 13" xfId="2123" xr:uid="{00000000-0005-0000-0000-000014010000}"/>
    <cellStyle name="Normal 2 2 2 2 2 2" xfId="247" xr:uid="{00000000-0005-0000-0000-000015010000}"/>
    <cellStyle name="Normal 2 2 2 2 2 3" xfId="401" xr:uid="{00000000-0005-0000-0000-000016010000}"/>
    <cellStyle name="Normal 2 2 2 2 2 4" xfId="574" xr:uid="{00000000-0005-0000-0000-000017010000}"/>
    <cellStyle name="Normal 2 2 2 2 2 5" xfId="747" xr:uid="{00000000-0005-0000-0000-000018010000}"/>
    <cellStyle name="Normal 2 2 2 2 2 6" xfId="920" xr:uid="{00000000-0005-0000-0000-000019010000}"/>
    <cellStyle name="Normal 2 2 2 2 2 7" xfId="1093" xr:uid="{00000000-0005-0000-0000-00001A010000}"/>
    <cellStyle name="Normal 2 2 2 2 2 8" xfId="1266" xr:uid="{00000000-0005-0000-0000-00001B010000}"/>
    <cellStyle name="Normal 2 2 2 2 2 9" xfId="1439" xr:uid="{00000000-0005-0000-0000-00001C010000}"/>
    <cellStyle name="Normal 2 2 2 2 3" xfId="416" xr:uid="{00000000-0005-0000-0000-00001D010000}"/>
    <cellStyle name="Normal 2 2 2 2 4" xfId="589" xr:uid="{00000000-0005-0000-0000-00001E010000}"/>
    <cellStyle name="Normal 2 2 2 2 5" xfId="762" xr:uid="{00000000-0005-0000-0000-00001F010000}"/>
    <cellStyle name="Normal 2 2 2 2 6" xfId="935" xr:uid="{00000000-0005-0000-0000-000020010000}"/>
    <cellStyle name="Normal 2 2 2 2 7" xfId="1108" xr:uid="{00000000-0005-0000-0000-000021010000}"/>
    <cellStyle name="Normal 2 2 2 2 8" xfId="1281" xr:uid="{00000000-0005-0000-0000-000022010000}"/>
    <cellStyle name="Normal 2 2 2 2 9" xfId="1454" xr:uid="{00000000-0005-0000-0000-000023010000}"/>
    <cellStyle name="Normal 2 2 2 20" xfId="1072" xr:uid="{00000000-0005-0000-0000-000024010000}"/>
    <cellStyle name="Normal 2 2 2 21" xfId="1245" xr:uid="{00000000-0005-0000-0000-000025010000}"/>
    <cellStyle name="Normal 2 2 2 22" xfId="1418" xr:uid="{00000000-0005-0000-0000-000026010000}"/>
    <cellStyle name="Normal 2 2 2 23" xfId="1591" xr:uid="{00000000-0005-0000-0000-000027010000}"/>
    <cellStyle name="Normal 2 2 2 24" xfId="1764" xr:uid="{00000000-0005-0000-0000-000028010000}"/>
    <cellStyle name="Normal 2 2 2 25" xfId="1935" xr:uid="{00000000-0005-0000-0000-000029010000}"/>
    <cellStyle name="Normal 2 2 2 3" xfId="46" xr:uid="{00000000-0005-0000-0000-00002A010000}"/>
    <cellStyle name="Normal 2 2 2 4" xfId="59" xr:uid="{00000000-0005-0000-0000-00002B010000}"/>
    <cellStyle name="Normal 2 2 2 5" xfId="75" xr:uid="{00000000-0005-0000-0000-00002C010000}"/>
    <cellStyle name="Normal 2 2 2 6" xfId="91" xr:uid="{00000000-0005-0000-0000-00002D010000}"/>
    <cellStyle name="Normal 2 2 2 7" xfId="107" xr:uid="{00000000-0005-0000-0000-00002E010000}"/>
    <cellStyle name="Normal 2 2 2 8" xfId="123" xr:uid="{00000000-0005-0000-0000-00002F010000}"/>
    <cellStyle name="Normal 2 2 2 9" xfId="139" xr:uid="{00000000-0005-0000-0000-000030010000}"/>
    <cellStyle name="Normal 2 2 20" xfId="1116" xr:uid="{00000000-0005-0000-0000-000031010000}"/>
    <cellStyle name="Normal 2 2 21" xfId="1289" xr:uid="{00000000-0005-0000-0000-000032010000}"/>
    <cellStyle name="Normal 2 2 22" xfId="1462" xr:uid="{00000000-0005-0000-0000-000033010000}"/>
    <cellStyle name="Normal 2 2 23" xfId="1635" xr:uid="{00000000-0005-0000-0000-000034010000}"/>
    <cellStyle name="Normal 2 2 24" xfId="1808" xr:uid="{00000000-0005-0000-0000-000035010000}"/>
    <cellStyle name="Normal 2 2 25" xfId="1979" xr:uid="{00000000-0005-0000-0000-000036010000}"/>
    <cellStyle name="Normal 2 2 3" xfId="42" xr:uid="{00000000-0005-0000-0000-000037010000}"/>
    <cellStyle name="Normal 2 2 3 10" xfId="1634" xr:uid="{00000000-0005-0000-0000-000038010000}"/>
    <cellStyle name="Normal 2 2 3 11" xfId="1807" xr:uid="{00000000-0005-0000-0000-000039010000}"/>
    <cellStyle name="Normal 2 2 3 12" xfId="1978" xr:uid="{00000000-0005-0000-0000-00003A010000}"/>
    <cellStyle name="Normal 2 2 3 13" xfId="2145" xr:uid="{00000000-0005-0000-0000-00003B010000}"/>
    <cellStyle name="Normal 2 2 3 2" xfId="259" xr:uid="{00000000-0005-0000-0000-00003C010000}"/>
    <cellStyle name="Normal 2 2 3 3" xfId="423" xr:uid="{00000000-0005-0000-0000-00003D010000}"/>
    <cellStyle name="Normal 2 2 3 4" xfId="596" xr:uid="{00000000-0005-0000-0000-00003E010000}"/>
    <cellStyle name="Normal 2 2 3 5" xfId="769" xr:uid="{00000000-0005-0000-0000-00003F010000}"/>
    <cellStyle name="Normal 2 2 3 6" xfId="942" xr:uid="{00000000-0005-0000-0000-000040010000}"/>
    <cellStyle name="Normal 2 2 3 7" xfId="1115" xr:uid="{00000000-0005-0000-0000-000041010000}"/>
    <cellStyle name="Normal 2 2 3 8" xfId="1288" xr:uid="{00000000-0005-0000-0000-000042010000}"/>
    <cellStyle name="Normal 2 2 3 9" xfId="1461" xr:uid="{00000000-0005-0000-0000-000043010000}"/>
    <cellStyle name="Normal 2 2 4" xfId="56" xr:uid="{00000000-0005-0000-0000-000044010000}"/>
    <cellStyle name="Normal 2 2 4 10" xfId="1656" xr:uid="{00000000-0005-0000-0000-000045010000}"/>
    <cellStyle name="Normal 2 2 4 11" xfId="1829" xr:uid="{00000000-0005-0000-0000-000046010000}"/>
    <cellStyle name="Normal 2 2 4 12" xfId="2000" xr:uid="{00000000-0005-0000-0000-000047010000}"/>
    <cellStyle name="Normal 2 2 4 13" xfId="2163" xr:uid="{00000000-0005-0000-0000-000048010000}"/>
    <cellStyle name="Normal 2 2 4 2" xfId="272" xr:uid="{00000000-0005-0000-0000-000049010000}"/>
    <cellStyle name="Normal 2 2 4 3" xfId="445" xr:uid="{00000000-0005-0000-0000-00004A010000}"/>
    <cellStyle name="Normal 2 2 4 4" xfId="618" xr:uid="{00000000-0005-0000-0000-00004B010000}"/>
    <cellStyle name="Normal 2 2 4 5" xfId="791" xr:uid="{00000000-0005-0000-0000-00004C010000}"/>
    <cellStyle name="Normal 2 2 4 6" xfId="964" xr:uid="{00000000-0005-0000-0000-00004D010000}"/>
    <cellStyle name="Normal 2 2 4 7" xfId="1137" xr:uid="{00000000-0005-0000-0000-00004E010000}"/>
    <cellStyle name="Normal 2 2 4 8" xfId="1310" xr:uid="{00000000-0005-0000-0000-00004F010000}"/>
    <cellStyle name="Normal 2 2 4 9" xfId="1483" xr:uid="{00000000-0005-0000-0000-000050010000}"/>
    <cellStyle name="Normal 2 2 5" xfId="72" xr:uid="{00000000-0005-0000-0000-000051010000}"/>
    <cellStyle name="Normal 2 2 5 10" xfId="1671" xr:uid="{00000000-0005-0000-0000-000052010000}"/>
    <cellStyle name="Normal 2 2 5 11" xfId="1844" xr:uid="{00000000-0005-0000-0000-000053010000}"/>
    <cellStyle name="Normal 2 2 5 12" xfId="2015" xr:uid="{00000000-0005-0000-0000-000054010000}"/>
    <cellStyle name="Normal 2 2 5 13" xfId="2176" xr:uid="{00000000-0005-0000-0000-000055010000}"/>
    <cellStyle name="Normal 2 2 5 2" xfId="287" xr:uid="{00000000-0005-0000-0000-000056010000}"/>
    <cellStyle name="Normal 2 2 5 3" xfId="460" xr:uid="{00000000-0005-0000-0000-000057010000}"/>
    <cellStyle name="Normal 2 2 5 4" xfId="633" xr:uid="{00000000-0005-0000-0000-000058010000}"/>
    <cellStyle name="Normal 2 2 5 5" xfId="806" xr:uid="{00000000-0005-0000-0000-000059010000}"/>
    <cellStyle name="Normal 2 2 5 6" xfId="979" xr:uid="{00000000-0005-0000-0000-00005A010000}"/>
    <cellStyle name="Normal 2 2 5 7" xfId="1152" xr:uid="{00000000-0005-0000-0000-00005B010000}"/>
    <cellStyle name="Normal 2 2 5 8" xfId="1325" xr:uid="{00000000-0005-0000-0000-00005C010000}"/>
    <cellStyle name="Normal 2 2 5 9" xfId="1498" xr:uid="{00000000-0005-0000-0000-00005D010000}"/>
    <cellStyle name="Normal 2 2 6" xfId="88" xr:uid="{00000000-0005-0000-0000-00005E010000}"/>
    <cellStyle name="Normal 2 2 6 10" xfId="1687" xr:uid="{00000000-0005-0000-0000-00005F010000}"/>
    <cellStyle name="Normal 2 2 6 11" xfId="1859" xr:uid="{00000000-0005-0000-0000-000060010000}"/>
    <cellStyle name="Normal 2 2 6 12" xfId="2029" xr:uid="{00000000-0005-0000-0000-000061010000}"/>
    <cellStyle name="Normal 2 2 6 13" xfId="2189" xr:uid="{00000000-0005-0000-0000-000062010000}"/>
    <cellStyle name="Normal 2 2 6 2" xfId="303" xr:uid="{00000000-0005-0000-0000-000063010000}"/>
    <cellStyle name="Normal 2 2 6 3" xfId="476" xr:uid="{00000000-0005-0000-0000-000064010000}"/>
    <cellStyle name="Normal 2 2 6 4" xfId="649" xr:uid="{00000000-0005-0000-0000-000065010000}"/>
    <cellStyle name="Normal 2 2 6 5" xfId="822" xr:uid="{00000000-0005-0000-0000-000066010000}"/>
    <cellStyle name="Normal 2 2 6 6" xfId="995" xr:uid="{00000000-0005-0000-0000-000067010000}"/>
    <cellStyle name="Normal 2 2 6 7" xfId="1168" xr:uid="{00000000-0005-0000-0000-000068010000}"/>
    <cellStyle name="Normal 2 2 6 8" xfId="1341" xr:uid="{00000000-0005-0000-0000-000069010000}"/>
    <cellStyle name="Normal 2 2 6 9" xfId="1514" xr:uid="{00000000-0005-0000-0000-00006A010000}"/>
    <cellStyle name="Normal 2 2 7" xfId="104" xr:uid="{00000000-0005-0000-0000-00006B010000}"/>
    <cellStyle name="Normal 2 2 7 10" xfId="1703" xr:uid="{00000000-0005-0000-0000-00006C010000}"/>
    <cellStyle name="Normal 2 2 7 11" xfId="1875" xr:uid="{00000000-0005-0000-0000-00006D010000}"/>
    <cellStyle name="Normal 2 2 7 12" xfId="2045" xr:uid="{00000000-0005-0000-0000-00006E010000}"/>
    <cellStyle name="Normal 2 2 7 13" xfId="2202" xr:uid="{00000000-0005-0000-0000-00006F010000}"/>
    <cellStyle name="Normal 2 2 7 2" xfId="319" xr:uid="{00000000-0005-0000-0000-000070010000}"/>
    <cellStyle name="Normal 2 2 7 3" xfId="492" xr:uid="{00000000-0005-0000-0000-000071010000}"/>
    <cellStyle name="Normal 2 2 7 4" xfId="665" xr:uid="{00000000-0005-0000-0000-000072010000}"/>
    <cellStyle name="Normal 2 2 7 5" xfId="838" xr:uid="{00000000-0005-0000-0000-000073010000}"/>
    <cellStyle name="Normal 2 2 7 6" xfId="1011" xr:uid="{00000000-0005-0000-0000-000074010000}"/>
    <cellStyle name="Normal 2 2 7 7" xfId="1184" xr:uid="{00000000-0005-0000-0000-000075010000}"/>
    <cellStyle name="Normal 2 2 7 8" xfId="1357" xr:uid="{00000000-0005-0000-0000-000076010000}"/>
    <cellStyle name="Normal 2 2 7 9" xfId="1530" xr:uid="{00000000-0005-0000-0000-000077010000}"/>
    <cellStyle name="Normal 2 2 8" xfId="120" xr:uid="{00000000-0005-0000-0000-000078010000}"/>
    <cellStyle name="Normal 2 2 8 10" xfId="1719" xr:uid="{00000000-0005-0000-0000-000079010000}"/>
    <cellStyle name="Normal 2 2 8 11" xfId="1891" xr:uid="{00000000-0005-0000-0000-00007A010000}"/>
    <cellStyle name="Normal 2 2 8 12" xfId="2059" xr:uid="{00000000-0005-0000-0000-00007B010000}"/>
    <cellStyle name="Normal 2 2 8 13" xfId="2215" xr:uid="{00000000-0005-0000-0000-00007C010000}"/>
    <cellStyle name="Normal 2 2 8 2" xfId="335" xr:uid="{00000000-0005-0000-0000-00007D010000}"/>
    <cellStyle name="Normal 2 2 8 3" xfId="508" xr:uid="{00000000-0005-0000-0000-00007E010000}"/>
    <cellStyle name="Normal 2 2 8 4" xfId="681" xr:uid="{00000000-0005-0000-0000-00007F010000}"/>
    <cellStyle name="Normal 2 2 8 5" xfId="854" xr:uid="{00000000-0005-0000-0000-000080010000}"/>
    <cellStyle name="Normal 2 2 8 6" xfId="1027" xr:uid="{00000000-0005-0000-0000-000081010000}"/>
    <cellStyle name="Normal 2 2 8 7" xfId="1200" xr:uid="{00000000-0005-0000-0000-000082010000}"/>
    <cellStyle name="Normal 2 2 8 8" xfId="1373" xr:uid="{00000000-0005-0000-0000-000083010000}"/>
    <cellStyle name="Normal 2 2 8 9" xfId="1546" xr:uid="{00000000-0005-0000-0000-000084010000}"/>
    <cellStyle name="Normal 2 2 9" xfId="136" xr:uid="{00000000-0005-0000-0000-000085010000}"/>
    <cellStyle name="Normal 2 2 9 10" xfId="1735" xr:uid="{00000000-0005-0000-0000-000086010000}"/>
    <cellStyle name="Normal 2 2 9 11" xfId="1906" xr:uid="{00000000-0005-0000-0000-000087010000}"/>
    <cellStyle name="Normal 2 2 9 12" xfId="2074" xr:uid="{00000000-0005-0000-0000-000088010000}"/>
    <cellStyle name="Normal 2 2 9 13" xfId="2228" xr:uid="{00000000-0005-0000-0000-000089010000}"/>
    <cellStyle name="Normal 2 2 9 2" xfId="351" xr:uid="{00000000-0005-0000-0000-00008A010000}"/>
    <cellStyle name="Normal 2 2 9 3" xfId="524" xr:uid="{00000000-0005-0000-0000-00008B010000}"/>
    <cellStyle name="Normal 2 2 9 4" xfId="697" xr:uid="{00000000-0005-0000-0000-00008C010000}"/>
    <cellStyle name="Normal 2 2 9 5" xfId="870" xr:uid="{00000000-0005-0000-0000-00008D010000}"/>
    <cellStyle name="Normal 2 2 9 6" xfId="1043" xr:uid="{00000000-0005-0000-0000-00008E010000}"/>
    <cellStyle name="Normal 2 2 9 7" xfId="1216" xr:uid="{00000000-0005-0000-0000-00008F010000}"/>
    <cellStyle name="Normal 2 2 9 8" xfId="1389" xr:uid="{00000000-0005-0000-0000-000090010000}"/>
    <cellStyle name="Normal 2 2 9 9" xfId="1562" xr:uid="{00000000-0005-0000-0000-000091010000}"/>
    <cellStyle name="Normal 2 3" xfId="15" xr:uid="{00000000-0005-0000-0000-000092010000}"/>
    <cellStyle name="Normal 2 3 10" xfId="153" xr:uid="{00000000-0005-0000-0000-000093010000}"/>
    <cellStyle name="Normal 2 3 10 10" xfId="1752" xr:uid="{00000000-0005-0000-0000-000094010000}"/>
    <cellStyle name="Normal 2 3 10 11" xfId="1923" xr:uid="{00000000-0005-0000-0000-000095010000}"/>
    <cellStyle name="Normal 2 3 10 12" xfId="2091" xr:uid="{00000000-0005-0000-0000-000096010000}"/>
    <cellStyle name="Normal 2 3 10 13" xfId="2242" xr:uid="{00000000-0005-0000-0000-000097010000}"/>
    <cellStyle name="Normal 2 3 10 2" xfId="368" xr:uid="{00000000-0005-0000-0000-000098010000}"/>
    <cellStyle name="Normal 2 3 10 3" xfId="541" xr:uid="{00000000-0005-0000-0000-000099010000}"/>
    <cellStyle name="Normal 2 3 10 4" xfId="714" xr:uid="{00000000-0005-0000-0000-00009A010000}"/>
    <cellStyle name="Normal 2 3 10 5" xfId="887" xr:uid="{00000000-0005-0000-0000-00009B010000}"/>
    <cellStyle name="Normal 2 3 10 6" xfId="1060" xr:uid="{00000000-0005-0000-0000-00009C010000}"/>
    <cellStyle name="Normal 2 3 10 7" xfId="1233" xr:uid="{00000000-0005-0000-0000-00009D010000}"/>
    <cellStyle name="Normal 2 3 10 8" xfId="1406" xr:uid="{00000000-0005-0000-0000-00009E010000}"/>
    <cellStyle name="Normal 2 3 10 9" xfId="1579" xr:uid="{00000000-0005-0000-0000-00009F010000}"/>
    <cellStyle name="Normal 2 3 11" xfId="169" xr:uid="{00000000-0005-0000-0000-0000A0010000}"/>
    <cellStyle name="Normal 2 3 11 10" xfId="1768" xr:uid="{00000000-0005-0000-0000-0000A1010000}"/>
    <cellStyle name="Normal 2 3 11 11" xfId="1939" xr:uid="{00000000-0005-0000-0000-0000A2010000}"/>
    <cellStyle name="Normal 2 3 11 12" xfId="2106" xr:uid="{00000000-0005-0000-0000-0000A3010000}"/>
    <cellStyle name="Normal 2 3 11 13" xfId="2255" xr:uid="{00000000-0005-0000-0000-0000A4010000}"/>
    <cellStyle name="Normal 2 3 11 2" xfId="384" xr:uid="{00000000-0005-0000-0000-0000A5010000}"/>
    <cellStyle name="Normal 2 3 11 3" xfId="557" xr:uid="{00000000-0005-0000-0000-0000A6010000}"/>
    <cellStyle name="Normal 2 3 11 4" xfId="730" xr:uid="{00000000-0005-0000-0000-0000A7010000}"/>
    <cellStyle name="Normal 2 3 11 5" xfId="903" xr:uid="{00000000-0005-0000-0000-0000A8010000}"/>
    <cellStyle name="Normal 2 3 11 6" xfId="1076" xr:uid="{00000000-0005-0000-0000-0000A9010000}"/>
    <cellStyle name="Normal 2 3 11 7" xfId="1249" xr:uid="{00000000-0005-0000-0000-0000AA010000}"/>
    <cellStyle name="Normal 2 3 11 8" xfId="1422" xr:uid="{00000000-0005-0000-0000-0000AB010000}"/>
    <cellStyle name="Normal 2 3 11 9" xfId="1595" xr:uid="{00000000-0005-0000-0000-0000AC010000}"/>
    <cellStyle name="Normal 2 3 12" xfId="184" xr:uid="{00000000-0005-0000-0000-0000AD010000}"/>
    <cellStyle name="Normal 2 3 12 10" xfId="1783" xr:uid="{00000000-0005-0000-0000-0000AE010000}"/>
    <cellStyle name="Normal 2 3 12 11" xfId="1954" xr:uid="{00000000-0005-0000-0000-0000AF010000}"/>
    <cellStyle name="Normal 2 3 12 12" xfId="2121" xr:uid="{00000000-0005-0000-0000-0000B0010000}"/>
    <cellStyle name="Normal 2 3 12 13" xfId="2267" xr:uid="{00000000-0005-0000-0000-0000B1010000}"/>
    <cellStyle name="Normal 2 3 12 2" xfId="399" xr:uid="{00000000-0005-0000-0000-0000B2010000}"/>
    <cellStyle name="Normal 2 3 12 3" xfId="572" xr:uid="{00000000-0005-0000-0000-0000B3010000}"/>
    <cellStyle name="Normal 2 3 12 4" xfId="745" xr:uid="{00000000-0005-0000-0000-0000B4010000}"/>
    <cellStyle name="Normal 2 3 12 5" xfId="918" xr:uid="{00000000-0005-0000-0000-0000B5010000}"/>
    <cellStyle name="Normal 2 3 12 6" xfId="1091" xr:uid="{00000000-0005-0000-0000-0000B6010000}"/>
    <cellStyle name="Normal 2 3 12 7" xfId="1264" xr:uid="{00000000-0005-0000-0000-0000B7010000}"/>
    <cellStyle name="Normal 2 3 12 8" xfId="1437" xr:uid="{00000000-0005-0000-0000-0000B8010000}"/>
    <cellStyle name="Normal 2 3 12 9" xfId="1610" xr:uid="{00000000-0005-0000-0000-0000B9010000}"/>
    <cellStyle name="Normal 2 3 13" xfId="199" xr:uid="{00000000-0005-0000-0000-0000BA010000}"/>
    <cellStyle name="Normal 2 3 13 10" xfId="1798" xr:uid="{00000000-0005-0000-0000-0000BB010000}"/>
    <cellStyle name="Normal 2 3 13 11" xfId="1969" xr:uid="{00000000-0005-0000-0000-0000BC010000}"/>
    <cellStyle name="Normal 2 3 13 12" xfId="2136" xr:uid="{00000000-0005-0000-0000-0000BD010000}"/>
    <cellStyle name="Normal 2 3 13 13" xfId="2279" xr:uid="{00000000-0005-0000-0000-0000BE010000}"/>
    <cellStyle name="Normal 2 3 13 2" xfId="414" xr:uid="{00000000-0005-0000-0000-0000BF010000}"/>
    <cellStyle name="Normal 2 3 13 3" xfId="587" xr:uid="{00000000-0005-0000-0000-0000C0010000}"/>
    <cellStyle name="Normal 2 3 13 4" xfId="760" xr:uid="{00000000-0005-0000-0000-0000C1010000}"/>
    <cellStyle name="Normal 2 3 13 5" xfId="933" xr:uid="{00000000-0005-0000-0000-0000C2010000}"/>
    <cellStyle name="Normal 2 3 13 6" xfId="1106" xr:uid="{00000000-0005-0000-0000-0000C3010000}"/>
    <cellStyle name="Normal 2 3 13 7" xfId="1279" xr:uid="{00000000-0005-0000-0000-0000C4010000}"/>
    <cellStyle name="Normal 2 3 13 8" xfId="1452" xr:uid="{00000000-0005-0000-0000-0000C5010000}"/>
    <cellStyle name="Normal 2 3 13 9" xfId="1625" xr:uid="{00000000-0005-0000-0000-0000C6010000}"/>
    <cellStyle name="Normal 2 3 14" xfId="212" xr:uid="{00000000-0005-0000-0000-0000C7010000}"/>
    <cellStyle name="Normal 2 3 14 10" xfId="1811" xr:uid="{00000000-0005-0000-0000-0000C8010000}"/>
    <cellStyle name="Normal 2 3 14 11" xfId="1982" xr:uid="{00000000-0005-0000-0000-0000C9010000}"/>
    <cellStyle name="Normal 2 3 14 12" xfId="2148" xr:uid="{00000000-0005-0000-0000-0000CA010000}"/>
    <cellStyle name="Normal 2 3 14 13" xfId="2289" xr:uid="{00000000-0005-0000-0000-0000CB010000}"/>
    <cellStyle name="Normal 2 3 14 2" xfId="427" xr:uid="{00000000-0005-0000-0000-0000CC010000}"/>
    <cellStyle name="Normal 2 3 14 3" xfId="600" xr:uid="{00000000-0005-0000-0000-0000CD010000}"/>
    <cellStyle name="Normal 2 3 14 4" xfId="773" xr:uid="{00000000-0005-0000-0000-0000CE010000}"/>
    <cellStyle name="Normal 2 3 14 5" xfId="946" xr:uid="{00000000-0005-0000-0000-0000CF010000}"/>
    <cellStyle name="Normal 2 3 14 6" xfId="1119" xr:uid="{00000000-0005-0000-0000-0000D0010000}"/>
    <cellStyle name="Normal 2 3 14 7" xfId="1292" xr:uid="{00000000-0005-0000-0000-0000D1010000}"/>
    <cellStyle name="Normal 2 3 14 8" xfId="1465" xr:uid="{00000000-0005-0000-0000-0000D2010000}"/>
    <cellStyle name="Normal 2 3 14 9" xfId="1638" xr:uid="{00000000-0005-0000-0000-0000D3010000}"/>
    <cellStyle name="Normal 2 3 15" xfId="233" xr:uid="{00000000-0005-0000-0000-0000D4010000}"/>
    <cellStyle name="Normal 2 3 16" xfId="410" xr:uid="{00000000-0005-0000-0000-0000D5010000}"/>
    <cellStyle name="Normal 2 3 17" xfId="583" xr:uid="{00000000-0005-0000-0000-0000D6010000}"/>
    <cellStyle name="Normal 2 3 18" xfId="756" xr:uid="{00000000-0005-0000-0000-0000D7010000}"/>
    <cellStyle name="Normal 2 3 19" xfId="929" xr:uid="{00000000-0005-0000-0000-0000D8010000}"/>
    <cellStyle name="Normal 2 3 2" xfId="23" xr:uid="{00000000-0005-0000-0000-0000D9010000}"/>
    <cellStyle name="Normal 2 3 2 10" xfId="176" xr:uid="{00000000-0005-0000-0000-0000DA010000}"/>
    <cellStyle name="Normal 2 3 2 10 10" xfId="1775" xr:uid="{00000000-0005-0000-0000-0000DB010000}"/>
    <cellStyle name="Normal 2 3 2 10 11" xfId="1946" xr:uid="{00000000-0005-0000-0000-0000DC010000}"/>
    <cellStyle name="Normal 2 3 2 10 12" xfId="2113" xr:uid="{00000000-0005-0000-0000-0000DD010000}"/>
    <cellStyle name="Normal 2 3 2 10 13" xfId="2261" xr:uid="{00000000-0005-0000-0000-0000DE010000}"/>
    <cellStyle name="Normal 2 3 2 10 2" xfId="391" xr:uid="{00000000-0005-0000-0000-0000DF010000}"/>
    <cellStyle name="Normal 2 3 2 10 3" xfId="564" xr:uid="{00000000-0005-0000-0000-0000E0010000}"/>
    <cellStyle name="Normal 2 3 2 10 4" xfId="737" xr:uid="{00000000-0005-0000-0000-0000E1010000}"/>
    <cellStyle name="Normal 2 3 2 10 5" xfId="910" xr:uid="{00000000-0005-0000-0000-0000E2010000}"/>
    <cellStyle name="Normal 2 3 2 10 6" xfId="1083" xr:uid="{00000000-0005-0000-0000-0000E3010000}"/>
    <cellStyle name="Normal 2 3 2 10 7" xfId="1256" xr:uid="{00000000-0005-0000-0000-0000E4010000}"/>
    <cellStyle name="Normal 2 3 2 10 8" xfId="1429" xr:uid="{00000000-0005-0000-0000-0000E5010000}"/>
    <cellStyle name="Normal 2 3 2 10 9" xfId="1602" xr:uid="{00000000-0005-0000-0000-0000E6010000}"/>
    <cellStyle name="Normal 2 3 2 11" xfId="191" xr:uid="{00000000-0005-0000-0000-0000E7010000}"/>
    <cellStyle name="Normal 2 3 2 11 10" xfId="1790" xr:uid="{00000000-0005-0000-0000-0000E8010000}"/>
    <cellStyle name="Normal 2 3 2 11 11" xfId="1961" xr:uid="{00000000-0005-0000-0000-0000E9010000}"/>
    <cellStyle name="Normal 2 3 2 11 12" xfId="2128" xr:uid="{00000000-0005-0000-0000-0000EA010000}"/>
    <cellStyle name="Normal 2 3 2 11 13" xfId="2273" xr:uid="{00000000-0005-0000-0000-0000EB010000}"/>
    <cellStyle name="Normal 2 3 2 11 2" xfId="406" xr:uid="{00000000-0005-0000-0000-0000EC010000}"/>
    <cellStyle name="Normal 2 3 2 11 3" xfId="579" xr:uid="{00000000-0005-0000-0000-0000ED010000}"/>
    <cellStyle name="Normal 2 3 2 11 4" xfId="752" xr:uid="{00000000-0005-0000-0000-0000EE010000}"/>
    <cellStyle name="Normal 2 3 2 11 5" xfId="925" xr:uid="{00000000-0005-0000-0000-0000EF010000}"/>
    <cellStyle name="Normal 2 3 2 11 6" xfId="1098" xr:uid="{00000000-0005-0000-0000-0000F0010000}"/>
    <cellStyle name="Normal 2 3 2 11 7" xfId="1271" xr:uid="{00000000-0005-0000-0000-0000F1010000}"/>
    <cellStyle name="Normal 2 3 2 11 8" xfId="1444" xr:uid="{00000000-0005-0000-0000-0000F2010000}"/>
    <cellStyle name="Normal 2 3 2 11 9" xfId="1617" xr:uid="{00000000-0005-0000-0000-0000F3010000}"/>
    <cellStyle name="Normal 2 3 2 12" xfId="206" xr:uid="{00000000-0005-0000-0000-0000F4010000}"/>
    <cellStyle name="Normal 2 3 2 12 10" xfId="1805" xr:uid="{00000000-0005-0000-0000-0000F5010000}"/>
    <cellStyle name="Normal 2 3 2 12 11" xfId="1976" xr:uid="{00000000-0005-0000-0000-0000F6010000}"/>
    <cellStyle name="Normal 2 3 2 12 12" xfId="2143" xr:uid="{00000000-0005-0000-0000-0000F7010000}"/>
    <cellStyle name="Normal 2 3 2 12 13" xfId="2285" xr:uid="{00000000-0005-0000-0000-0000F8010000}"/>
    <cellStyle name="Normal 2 3 2 12 2" xfId="421" xr:uid="{00000000-0005-0000-0000-0000F9010000}"/>
    <cellStyle name="Normal 2 3 2 12 3" xfId="594" xr:uid="{00000000-0005-0000-0000-0000FA010000}"/>
    <cellStyle name="Normal 2 3 2 12 4" xfId="767" xr:uid="{00000000-0005-0000-0000-0000FB010000}"/>
    <cellStyle name="Normal 2 3 2 12 5" xfId="940" xr:uid="{00000000-0005-0000-0000-0000FC010000}"/>
    <cellStyle name="Normal 2 3 2 12 6" xfId="1113" xr:uid="{00000000-0005-0000-0000-0000FD010000}"/>
    <cellStyle name="Normal 2 3 2 12 7" xfId="1286" xr:uid="{00000000-0005-0000-0000-0000FE010000}"/>
    <cellStyle name="Normal 2 3 2 12 8" xfId="1459" xr:uid="{00000000-0005-0000-0000-0000FF010000}"/>
    <cellStyle name="Normal 2 3 2 12 9" xfId="1632" xr:uid="{00000000-0005-0000-0000-000000020000}"/>
    <cellStyle name="Normal 2 3 2 13" xfId="218" xr:uid="{00000000-0005-0000-0000-000001020000}"/>
    <cellStyle name="Normal 2 3 2 13 10" xfId="1817" xr:uid="{00000000-0005-0000-0000-000002020000}"/>
    <cellStyle name="Normal 2 3 2 13 11" xfId="1988" xr:uid="{00000000-0005-0000-0000-000003020000}"/>
    <cellStyle name="Normal 2 3 2 13 12" xfId="2154" xr:uid="{00000000-0005-0000-0000-000004020000}"/>
    <cellStyle name="Normal 2 3 2 13 13" xfId="2295" xr:uid="{00000000-0005-0000-0000-000005020000}"/>
    <cellStyle name="Normal 2 3 2 13 2" xfId="433" xr:uid="{00000000-0005-0000-0000-000006020000}"/>
    <cellStyle name="Normal 2 3 2 13 3" xfId="606" xr:uid="{00000000-0005-0000-0000-000007020000}"/>
    <cellStyle name="Normal 2 3 2 13 4" xfId="779" xr:uid="{00000000-0005-0000-0000-000008020000}"/>
    <cellStyle name="Normal 2 3 2 13 5" xfId="952" xr:uid="{00000000-0005-0000-0000-000009020000}"/>
    <cellStyle name="Normal 2 3 2 13 6" xfId="1125" xr:uid="{00000000-0005-0000-0000-00000A020000}"/>
    <cellStyle name="Normal 2 3 2 13 7" xfId="1298" xr:uid="{00000000-0005-0000-0000-00000B020000}"/>
    <cellStyle name="Normal 2 3 2 13 8" xfId="1471" xr:uid="{00000000-0005-0000-0000-00000C020000}"/>
    <cellStyle name="Normal 2 3 2 13 9" xfId="1644" xr:uid="{00000000-0005-0000-0000-00000D020000}"/>
    <cellStyle name="Normal 2 3 2 14" xfId="241" xr:uid="{00000000-0005-0000-0000-00000E020000}"/>
    <cellStyle name="Normal 2 3 2 15" xfId="338" xr:uid="{00000000-0005-0000-0000-00000F020000}"/>
    <cellStyle name="Normal 2 3 2 16" xfId="511" xr:uid="{00000000-0005-0000-0000-000010020000}"/>
    <cellStyle name="Normal 2 3 2 17" xfId="684" xr:uid="{00000000-0005-0000-0000-000011020000}"/>
    <cellStyle name="Normal 2 3 2 18" xfId="857" xr:uid="{00000000-0005-0000-0000-000012020000}"/>
    <cellStyle name="Normal 2 3 2 19" xfId="1030" xr:uid="{00000000-0005-0000-0000-000013020000}"/>
    <cellStyle name="Normal 2 3 2 2" xfId="48" xr:uid="{00000000-0005-0000-0000-000014020000}"/>
    <cellStyle name="Normal 2 3 2 2 10" xfId="1649" xr:uid="{00000000-0005-0000-0000-000015020000}"/>
    <cellStyle name="Normal 2 3 2 2 11" xfId="1822" xr:uid="{00000000-0005-0000-0000-000016020000}"/>
    <cellStyle name="Normal 2 3 2 2 12" xfId="1993" xr:uid="{00000000-0005-0000-0000-000017020000}"/>
    <cellStyle name="Normal 2 3 2 2 13" xfId="2158" xr:uid="{00000000-0005-0000-0000-000018020000}"/>
    <cellStyle name="Normal 2 3 2 2 2" xfId="265" xr:uid="{00000000-0005-0000-0000-000019020000}"/>
    <cellStyle name="Normal 2 3 2 2 3" xfId="438" xr:uid="{00000000-0005-0000-0000-00001A020000}"/>
    <cellStyle name="Normal 2 3 2 2 4" xfId="611" xr:uid="{00000000-0005-0000-0000-00001B020000}"/>
    <cellStyle name="Normal 2 3 2 2 5" xfId="784" xr:uid="{00000000-0005-0000-0000-00001C020000}"/>
    <cellStyle name="Normal 2 3 2 2 6" xfId="957" xr:uid="{00000000-0005-0000-0000-00001D020000}"/>
    <cellStyle name="Normal 2 3 2 2 7" xfId="1130" xr:uid="{00000000-0005-0000-0000-00001E020000}"/>
    <cellStyle name="Normal 2 3 2 2 8" xfId="1303" xr:uid="{00000000-0005-0000-0000-00001F020000}"/>
    <cellStyle name="Normal 2 3 2 2 9" xfId="1476" xr:uid="{00000000-0005-0000-0000-000020020000}"/>
    <cellStyle name="Normal 2 3 2 20" xfId="1203" xr:uid="{00000000-0005-0000-0000-000021020000}"/>
    <cellStyle name="Normal 2 3 2 21" xfId="1376" xr:uid="{00000000-0005-0000-0000-000022020000}"/>
    <cellStyle name="Normal 2 3 2 22" xfId="1549" xr:uid="{00000000-0005-0000-0000-000023020000}"/>
    <cellStyle name="Normal 2 3 2 23" xfId="1722" xr:uid="{00000000-0005-0000-0000-000024020000}"/>
    <cellStyle name="Normal 2 3 2 24" xfId="1894" xr:uid="{00000000-0005-0000-0000-000025020000}"/>
    <cellStyle name="Normal 2 3 2 25" xfId="2062" xr:uid="{00000000-0005-0000-0000-000026020000}"/>
    <cellStyle name="Normal 2 3 2 3" xfId="65" xr:uid="{00000000-0005-0000-0000-000027020000}"/>
    <cellStyle name="Normal 2 3 2 3 10" xfId="1664" xr:uid="{00000000-0005-0000-0000-000028020000}"/>
    <cellStyle name="Normal 2 3 2 3 11" xfId="1837" xr:uid="{00000000-0005-0000-0000-000029020000}"/>
    <cellStyle name="Normal 2 3 2 3 12" xfId="2008" xr:uid="{00000000-0005-0000-0000-00002A020000}"/>
    <cellStyle name="Normal 2 3 2 3 13" xfId="2171" xr:uid="{00000000-0005-0000-0000-00002B020000}"/>
    <cellStyle name="Normal 2 3 2 3 2" xfId="280" xr:uid="{00000000-0005-0000-0000-00002C020000}"/>
    <cellStyle name="Normal 2 3 2 3 3" xfId="453" xr:uid="{00000000-0005-0000-0000-00002D020000}"/>
    <cellStyle name="Normal 2 3 2 3 4" xfId="626" xr:uid="{00000000-0005-0000-0000-00002E020000}"/>
    <cellStyle name="Normal 2 3 2 3 5" xfId="799" xr:uid="{00000000-0005-0000-0000-00002F020000}"/>
    <cellStyle name="Normal 2 3 2 3 6" xfId="972" xr:uid="{00000000-0005-0000-0000-000030020000}"/>
    <cellStyle name="Normal 2 3 2 3 7" xfId="1145" xr:uid="{00000000-0005-0000-0000-000031020000}"/>
    <cellStyle name="Normal 2 3 2 3 8" xfId="1318" xr:uid="{00000000-0005-0000-0000-000032020000}"/>
    <cellStyle name="Normal 2 3 2 3 9" xfId="1491" xr:uid="{00000000-0005-0000-0000-000033020000}"/>
    <cellStyle name="Normal 2 3 2 4" xfId="81" xr:uid="{00000000-0005-0000-0000-000034020000}"/>
    <cellStyle name="Normal 2 3 2 4 10" xfId="1680" xr:uid="{00000000-0005-0000-0000-000035020000}"/>
    <cellStyle name="Normal 2 3 2 4 11" xfId="1852" xr:uid="{00000000-0005-0000-0000-000036020000}"/>
    <cellStyle name="Normal 2 3 2 4 12" xfId="2023" xr:uid="{00000000-0005-0000-0000-000037020000}"/>
    <cellStyle name="Normal 2 3 2 4 13" xfId="2184" xr:uid="{00000000-0005-0000-0000-000038020000}"/>
    <cellStyle name="Normal 2 3 2 4 2" xfId="296" xr:uid="{00000000-0005-0000-0000-000039020000}"/>
    <cellStyle name="Normal 2 3 2 4 3" xfId="469" xr:uid="{00000000-0005-0000-0000-00003A020000}"/>
    <cellStyle name="Normal 2 3 2 4 4" xfId="642" xr:uid="{00000000-0005-0000-0000-00003B020000}"/>
    <cellStyle name="Normal 2 3 2 4 5" xfId="815" xr:uid="{00000000-0005-0000-0000-00003C020000}"/>
    <cellStyle name="Normal 2 3 2 4 6" xfId="988" xr:uid="{00000000-0005-0000-0000-00003D020000}"/>
    <cellStyle name="Normal 2 3 2 4 7" xfId="1161" xr:uid="{00000000-0005-0000-0000-00003E020000}"/>
    <cellStyle name="Normal 2 3 2 4 8" xfId="1334" xr:uid="{00000000-0005-0000-0000-00003F020000}"/>
    <cellStyle name="Normal 2 3 2 4 9" xfId="1507" xr:uid="{00000000-0005-0000-0000-000040020000}"/>
    <cellStyle name="Normal 2 3 2 5" xfId="97" xr:uid="{00000000-0005-0000-0000-000041020000}"/>
    <cellStyle name="Normal 2 3 2 5 10" xfId="1696" xr:uid="{00000000-0005-0000-0000-000042020000}"/>
    <cellStyle name="Normal 2 3 2 5 11" xfId="1868" xr:uid="{00000000-0005-0000-0000-000043020000}"/>
    <cellStyle name="Normal 2 3 2 5 12" xfId="2038" xr:uid="{00000000-0005-0000-0000-000044020000}"/>
    <cellStyle name="Normal 2 3 2 5 13" xfId="2197" xr:uid="{00000000-0005-0000-0000-000045020000}"/>
    <cellStyle name="Normal 2 3 2 5 2" xfId="312" xr:uid="{00000000-0005-0000-0000-000046020000}"/>
    <cellStyle name="Normal 2 3 2 5 3" xfId="485" xr:uid="{00000000-0005-0000-0000-000047020000}"/>
    <cellStyle name="Normal 2 3 2 5 4" xfId="658" xr:uid="{00000000-0005-0000-0000-000048020000}"/>
    <cellStyle name="Normal 2 3 2 5 5" xfId="831" xr:uid="{00000000-0005-0000-0000-000049020000}"/>
    <cellStyle name="Normal 2 3 2 5 6" xfId="1004" xr:uid="{00000000-0005-0000-0000-00004A020000}"/>
    <cellStyle name="Normal 2 3 2 5 7" xfId="1177" xr:uid="{00000000-0005-0000-0000-00004B020000}"/>
    <cellStyle name="Normal 2 3 2 5 8" xfId="1350" xr:uid="{00000000-0005-0000-0000-00004C020000}"/>
    <cellStyle name="Normal 2 3 2 5 9" xfId="1523" xr:uid="{00000000-0005-0000-0000-00004D020000}"/>
    <cellStyle name="Normal 2 3 2 6" xfId="113" xr:uid="{00000000-0005-0000-0000-00004E020000}"/>
    <cellStyle name="Normal 2 3 2 6 10" xfId="1712" xr:uid="{00000000-0005-0000-0000-00004F020000}"/>
    <cellStyle name="Normal 2 3 2 6 11" xfId="1884" xr:uid="{00000000-0005-0000-0000-000050020000}"/>
    <cellStyle name="Normal 2 3 2 6 12" xfId="2054" xr:uid="{00000000-0005-0000-0000-000051020000}"/>
    <cellStyle name="Normal 2 3 2 6 13" xfId="2210" xr:uid="{00000000-0005-0000-0000-000052020000}"/>
    <cellStyle name="Normal 2 3 2 6 2" xfId="328" xr:uid="{00000000-0005-0000-0000-000053020000}"/>
    <cellStyle name="Normal 2 3 2 6 3" xfId="501" xr:uid="{00000000-0005-0000-0000-000054020000}"/>
    <cellStyle name="Normal 2 3 2 6 4" xfId="674" xr:uid="{00000000-0005-0000-0000-000055020000}"/>
    <cellStyle name="Normal 2 3 2 6 5" xfId="847" xr:uid="{00000000-0005-0000-0000-000056020000}"/>
    <cellStyle name="Normal 2 3 2 6 6" xfId="1020" xr:uid="{00000000-0005-0000-0000-000057020000}"/>
    <cellStyle name="Normal 2 3 2 6 7" xfId="1193" xr:uid="{00000000-0005-0000-0000-000058020000}"/>
    <cellStyle name="Normal 2 3 2 6 8" xfId="1366" xr:uid="{00000000-0005-0000-0000-000059020000}"/>
    <cellStyle name="Normal 2 3 2 6 9" xfId="1539" xr:uid="{00000000-0005-0000-0000-00005A020000}"/>
    <cellStyle name="Normal 2 3 2 7" xfId="129" xr:uid="{00000000-0005-0000-0000-00005B020000}"/>
    <cellStyle name="Normal 2 3 2 7 10" xfId="1728" xr:uid="{00000000-0005-0000-0000-00005C020000}"/>
    <cellStyle name="Normal 2 3 2 7 11" xfId="1900" xr:uid="{00000000-0005-0000-0000-00005D020000}"/>
    <cellStyle name="Normal 2 3 2 7 12" xfId="2068" xr:uid="{00000000-0005-0000-0000-00005E020000}"/>
    <cellStyle name="Normal 2 3 2 7 13" xfId="2223" xr:uid="{00000000-0005-0000-0000-00005F020000}"/>
    <cellStyle name="Normal 2 3 2 7 2" xfId="344" xr:uid="{00000000-0005-0000-0000-000060020000}"/>
    <cellStyle name="Normal 2 3 2 7 3" xfId="517" xr:uid="{00000000-0005-0000-0000-000061020000}"/>
    <cellStyle name="Normal 2 3 2 7 4" xfId="690" xr:uid="{00000000-0005-0000-0000-000062020000}"/>
    <cellStyle name="Normal 2 3 2 7 5" xfId="863" xr:uid="{00000000-0005-0000-0000-000063020000}"/>
    <cellStyle name="Normal 2 3 2 7 6" xfId="1036" xr:uid="{00000000-0005-0000-0000-000064020000}"/>
    <cellStyle name="Normal 2 3 2 7 7" xfId="1209" xr:uid="{00000000-0005-0000-0000-000065020000}"/>
    <cellStyle name="Normal 2 3 2 7 8" xfId="1382" xr:uid="{00000000-0005-0000-0000-000066020000}"/>
    <cellStyle name="Normal 2 3 2 7 9" xfId="1555" xr:uid="{00000000-0005-0000-0000-000067020000}"/>
    <cellStyle name="Normal 2 3 2 8" xfId="145" xr:uid="{00000000-0005-0000-0000-000068020000}"/>
    <cellStyle name="Normal 2 3 2 8 10" xfId="1744" xr:uid="{00000000-0005-0000-0000-000069020000}"/>
    <cellStyle name="Normal 2 3 2 8 11" xfId="1915" xr:uid="{00000000-0005-0000-0000-00006A020000}"/>
    <cellStyle name="Normal 2 3 2 8 12" xfId="2083" xr:uid="{00000000-0005-0000-0000-00006B020000}"/>
    <cellStyle name="Normal 2 3 2 8 13" xfId="2236" xr:uid="{00000000-0005-0000-0000-00006C020000}"/>
    <cellStyle name="Normal 2 3 2 8 2" xfId="360" xr:uid="{00000000-0005-0000-0000-00006D020000}"/>
    <cellStyle name="Normal 2 3 2 8 3" xfId="533" xr:uid="{00000000-0005-0000-0000-00006E020000}"/>
    <cellStyle name="Normal 2 3 2 8 4" xfId="706" xr:uid="{00000000-0005-0000-0000-00006F020000}"/>
    <cellStyle name="Normal 2 3 2 8 5" xfId="879" xr:uid="{00000000-0005-0000-0000-000070020000}"/>
    <cellStyle name="Normal 2 3 2 8 6" xfId="1052" xr:uid="{00000000-0005-0000-0000-000071020000}"/>
    <cellStyle name="Normal 2 3 2 8 7" xfId="1225" xr:uid="{00000000-0005-0000-0000-000072020000}"/>
    <cellStyle name="Normal 2 3 2 8 8" xfId="1398" xr:uid="{00000000-0005-0000-0000-000073020000}"/>
    <cellStyle name="Normal 2 3 2 8 9" xfId="1571" xr:uid="{00000000-0005-0000-0000-000074020000}"/>
    <cellStyle name="Normal 2 3 2 9" xfId="161" xr:uid="{00000000-0005-0000-0000-000075020000}"/>
    <cellStyle name="Normal 2 3 2 9 10" xfId="1760" xr:uid="{00000000-0005-0000-0000-000076020000}"/>
    <cellStyle name="Normal 2 3 2 9 11" xfId="1931" xr:uid="{00000000-0005-0000-0000-000077020000}"/>
    <cellStyle name="Normal 2 3 2 9 12" xfId="2099" xr:uid="{00000000-0005-0000-0000-000078020000}"/>
    <cellStyle name="Normal 2 3 2 9 13" xfId="2249" xr:uid="{00000000-0005-0000-0000-000079020000}"/>
    <cellStyle name="Normal 2 3 2 9 2" xfId="376" xr:uid="{00000000-0005-0000-0000-00007A020000}"/>
    <cellStyle name="Normal 2 3 2 9 3" xfId="549" xr:uid="{00000000-0005-0000-0000-00007B020000}"/>
    <cellStyle name="Normal 2 3 2 9 4" xfId="722" xr:uid="{00000000-0005-0000-0000-00007C020000}"/>
    <cellStyle name="Normal 2 3 2 9 5" xfId="895" xr:uid="{00000000-0005-0000-0000-00007D020000}"/>
    <cellStyle name="Normal 2 3 2 9 6" xfId="1068" xr:uid="{00000000-0005-0000-0000-00007E020000}"/>
    <cellStyle name="Normal 2 3 2 9 7" xfId="1241" xr:uid="{00000000-0005-0000-0000-00007F020000}"/>
    <cellStyle name="Normal 2 3 2 9 8" xfId="1414" xr:uid="{00000000-0005-0000-0000-000080020000}"/>
    <cellStyle name="Normal 2 3 2 9 9" xfId="1587" xr:uid="{00000000-0005-0000-0000-000081020000}"/>
    <cellStyle name="Normal 2 3 20" xfId="1102" xr:uid="{00000000-0005-0000-0000-000082020000}"/>
    <cellStyle name="Normal 2 3 21" xfId="1275" xr:uid="{00000000-0005-0000-0000-000083020000}"/>
    <cellStyle name="Normal 2 3 22" xfId="1448" xr:uid="{00000000-0005-0000-0000-000084020000}"/>
    <cellStyle name="Normal 2 3 23" xfId="1621" xr:uid="{00000000-0005-0000-0000-000085020000}"/>
    <cellStyle name="Normal 2 3 24" xfId="1794" xr:uid="{00000000-0005-0000-0000-000086020000}"/>
    <cellStyle name="Normal 2 3 25" xfId="1965" xr:uid="{00000000-0005-0000-0000-000087020000}"/>
    <cellStyle name="Normal 2 3 26" xfId="2132" xr:uid="{00000000-0005-0000-0000-000088020000}"/>
    <cellStyle name="Normal 2 3 3" xfId="40" xr:uid="{00000000-0005-0000-0000-000089020000}"/>
    <cellStyle name="Normal 2 3 3 10" xfId="1478" xr:uid="{00000000-0005-0000-0000-00008A020000}"/>
    <cellStyle name="Normal 2 3 3 11" xfId="1651" xr:uid="{00000000-0005-0000-0000-00008B020000}"/>
    <cellStyle name="Normal 2 3 3 12" xfId="1824" xr:uid="{00000000-0005-0000-0000-00008C020000}"/>
    <cellStyle name="Normal 2 3 3 13" xfId="1995" xr:uid="{00000000-0005-0000-0000-00008D020000}"/>
    <cellStyle name="Normal 2 3 3 2" xfId="257" xr:uid="{00000000-0005-0000-0000-00008E020000}"/>
    <cellStyle name="Normal 2 3 3 3" xfId="267" xr:uid="{00000000-0005-0000-0000-00008F020000}"/>
    <cellStyle name="Normal 2 3 3 4" xfId="440" xr:uid="{00000000-0005-0000-0000-000090020000}"/>
    <cellStyle name="Normal 2 3 3 5" xfId="613" xr:uid="{00000000-0005-0000-0000-000091020000}"/>
    <cellStyle name="Normal 2 3 3 6" xfId="786" xr:uid="{00000000-0005-0000-0000-000092020000}"/>
    <cellStyle name="Normal 2 3 3 7" xfId="959" xr:uid="{00000000-0005-0000-0000-000093020000}"/>
    <cellStyle name="Normal 2 3 3 8" xfId="1132" xr:uid="{00000000-0005-0000-0000-000094020000}"/>
    <cellStyle name="Normal 2 3 3 9" xfId="1305" xr:uid="{00000000-0005-0000-0000-000095020000}"/>
    <cellStyle name="Normal 2 3 4" xfId="57" xr:uid="{00000000-0005-0000-0000-000096020000}"/>
    <cellStyle name="Normal 2 3 4 10" xfId="1657" xr:uid="{00000000-0005-0000-0000-000097020000}"/>
    <cellStyle name="Normal 2 3 4 11" xfId="1830" xr:uid="{00000000-0005-0000-0000-000098020000}"/>
    <cellStyle name="Normal 2 3 4 12" xfId="2001" xr:uid="{00000000-0005-0000-0000-000099020000}"/>
    <cellStyle name="Normal 2 3 4 13" xfId="2164" xr:uid="{00000000-0005-0000-0000-00009A020000}"/>
    <cellStyle name="Normal 2 3 4 2" xfId="273" xr:uid="{00000000-0005-0000-0000-00009B020000}"/>
    <cellStyle name="Normal 2 3 4 3" xfId="446" xr:uid="{00000000-0005-0000-0000-00009C020000}"/>
    <cellStyle name="Normal 2 3 4 4" xfId="619" xr:uid="{00000000-0005-0000-0000-00009D020000}"/>
    <cellStyle name="Normal 2 3 4 5" xfId="792" xr:uid="{00000000-0005-0000-0000-00009E020000}"/>
    <cellStyle name="Normal 2 3 4 6" xfId="965" xr:uid="{00000000-0005-0000-0000-00009F020000}"/>
    <cellStyle name="Normal 2 3 4 7" xfId="1138" xr:uid="{00000000-0005-0000-0000-0000A0020000}"/>
    <cellStyle name="Normal 2 3 4 8" xfId="1311" xr:uid="{00000000-0005-0000-0000-0000A1020000}"/>
    <cellStyle name="Normal 2 3 4 9" xfId="1484" xr:uid="{00000000-0005-0000-0000-0000A2020000}"/>
    <cellStyle name="Normal 2 3 5" xfId="73" xr:uid="{00000000-0005-0000-0000-0000A3020000}"/>
    <cellStyle name="Normal 2 3 5 10" xfId="1672" xr:uid="{00000000-0005-0000-0000-0000A4020000}"/>
    <cellStyle name="Normal 2 3 5 11" xfId="1845" xr:uid="{00000000-0005-0000-0000-0000A5020000}"/>
    <cellStyle name="Normal 2 3 5 12" xfId="2016" xr:uid="{00000000-0005-0000-0000-0000A6020000}"/>
    <cellStyle name="Normal 2 3 5 13" xfId="2177" xr:uid="{00000000-0005-0000-0000-0000A7020000}"/>
    <cellStyle name="Normal 2 3 5 2" xfId="288" xr:uid="{00000000-0005-0000-0000-0000A8020000}"/>
    <cellStyle name="Normal 2 3 5 3" xfId="461" xr:uid="{00000000-0005-0000-0000-0000A9020000}"/>
    <cellStyle name="Normal 2 3 5 4" xfId="634" xr:uid="{00000000-0005-0000-0000-0000AA020000}"/>
    <cellStyle name="Normal 2 3 5 5" xfId="807" xr:uid="{00000000-0005-0000-0000-0000AB020000}"/>
    <cellStyle name="Normal 2 3 5 6" xfId="980" xr:uid="{00000000-0005-0000-0000-0000AC020000}"/>
    <cellStyle name="Normal 2 3 5 7" xfId="1153" xr:uid="{00000000-0005-0000-0000-0000AD020000}"/>
    <cellStyle name="Normal 2 3 5 8" xfId="1326" xr:uid="{00000000-0005-0000-0000-0000AE020000}"/>
    <cellStyle name="Normal 2 3 5 9" xfId="1499" xr:uid="{00000000-0005-0000-0000-0000AF020000}"/>
    <cellStyle name="Normal 2 3 6" xfId="89" xr:uid="{00000000-0005-0000-0000-0000B0020000}"/>
    <cellStyle name="Normal 2 3 6 10" xfId="1688" xr:uid="{00000000-0005-0000-0000-0000B1020000}"/>
    <cellStyle name="Normal 2 3 6 11" xfId="1860" xr:uid="{00000000-0005-0000-0000-0000B2020000}"/>
    <cellStyle name="Normal 2 3 6 12" xfId="2030" xr:uid="{00000000-0005-0000-0000-0000B3020000}"/>
    <cellStyle name="Normal 2 3 6 13" xfId="2190" xr:uid="{00000000-0005-0000-0000-0000B4020000}"/>
    <cellStyle name="Normal 2 3 6 2" xfId="304" xr:uid="{00000000-0005-0000-0000-0000B5020000}"/>
    <cellStyle name="Normal 2 3 6 3" xfId="477" xr:uid="{00000000-0005-0000-0000-0000B6020000}"/>
    <cellStyle name="Normal 2 3 6 4" xfId="650" xr:uid="{00000000-0005-0000-0000-0000B7020000}"/>
    <cellStyle name="Normal 2 3 6 5" xfId="823" xr:uid="{00000000-0005-0000-0000-0000B8020000}"/>
    <cellStyle name="Normal 2 3 6 6" xfId="996" xr:uid="{00000000-0005-0000-0000-0000B9020000}"/>
    <cellStyle name="Normal 2 3 6 7" xfId="1169" xr:uid="{00000000-0005-0000-0000-0000BA020000}"/>
    <cellStyle name="Normal 2 3 6 8" xfId="1342" xr:uid="{00000000-0005-0000-0000-0000BB020000}"/>
    <cellStyle name="Normal 2 3 6 9" xfId="1515" xr:uid="{00000000-0005-0000-0000-0000BC020000}"/>
    <cellStyle name="Normal 2 3 7" xfId="105" xr:uid="{00000000-0005-0000-0000-0000BD020000}"/>
    <cellStyle name="Normal 2 3 7 10" xfId="1704" xr:uid="{00000000-0005-0000-0000-0000BE020000}"/>
    <cellStyle name="Normal 2 3 7 11" xfId="1876" xr:uid="{00000000-0005-0000-0000-0000BF020000}"/>
    <cellStyle name="Normal 2 3 7 12" xfId="2046" xr:uid="{00000000-0005-0000-0000-0000C0020000}"/>
    <cellStyle name="Normal 2 3 7 13" xfId="2203" xr:uid="{00000000-0005-0000-0000-0000C1020000}"/>
    <cellStyle name="Normal 2 3 7 2" xfId="320" xr:uid="{00000000-0005-0000-0000-0000C2020000}"/>
    <cellStyle name="Normal 2 3 7 3" xfId="493" xr:uid="{00000000-0005-0000-0000-0000C3020000}"/>
    <cellStyle name="Normal 2 3 7 4" xfId="666" xr:uid="{00000000-0005-0000-0000-0000C4020000}"/>
    <cellStyle name="Normal 2 3 7 5" xfId="839" xr:uid="{00000000-0005-0000-0000-0000C5020000}"/>
    <cellStyle name="Normal 2 3 7 6" xfId="1012" xr:uid="{00000000-0005-0000-0000-0000C6020000}"/>
    <cellStyle name="Normal 2 3 7 7" xfId="1185" xr:uid="{00000000-0005-0000-0000-0000C7020000}"/>
    <cellStyle name="Normal 2 3 7 8" xfId="1358" xr:uid="{00000000-0005-0000-0000-0000C8020000}"/>
    <cellStyle name="Normal 2 3 7 9" xfId="1531" xr:uid="{00000000-0005-0000-0000-0000C9020000}"/>
    <cellStyle name="Normal 2 3 8" xfId="121" xr:uid="{00000000-0005-0000-0000-0000CA020000}"/>
    <cellStyle name="Normal 2 3 8 10" xfId="1720" xr:uid="{00000000-0005-0000-0000-0000CB020000}"/>
    <cellStyle name="Normal 2 3 8 11" xfId="1892" xr:uid="{00000000-0005-0000-0000-0000CC020000}"/>
    <cellStyle name="Normal 2 3 8 12" xfId="2060" xr:uid="{00000000-0005-0000-0000-0000CD020000}"/>
    <cellStyle name="Normal 2 3 8 13" xfId="2216" xr:uid="{00000000-0005-0000-0000-0000CE020000}"/>
    <cellStyle name="Normal 2 3 8 2" xfId="336" xr:uid="{00000000-0005-0000-0000-0000CF020000}"/>
    <cellStyle name="Normal 2 3 8 3" xfId="509" xr:uid="{00000000-0005-0000-0000-0000D0020000}"/>
    <cellStyle name="Normal 2 3 8 4" xfId="682" xr:uid="{00000000-0005-0000-0000-0000D1020000}"/>
    <cellStyle name="Normal 2 3 8 5" xfId="855" xr:uid="{00000000-0005-0000-0000-0000D2020000}"/>
    <cellStyle name="Normal 2 3 8 6" xfId="1028" xr:uid="{00000000-0005-0000-0000-0000D3020000}"/>
    <cellStyle name="Normal 2 3 8 7" xfId="1201" xr:uid="{00000000-0005-0000-0000-0000D4020000}"/>
    <cellStyle name="Normal 2 3 8 8" xfId="1374" xr:uid="{00000000-0005-0000-0000-0000D5020000}"/>
    <cellStyle name="Normal 2 3 8 9" xfId="1547" xr:uid="{00000000-0005-0000-0000-0000D6020000}"/>
    <cellStyle name="Normal 2 3 9" xfId="137" xr:uid="{00000000-0005-0000-0000-0000D7020000}"/>
    <cellStyle name="Normal 2 3 9 10" xfId="1736" xr:uid="{00000000-0005-0000-0000-0000D8020000}"/>
    <cellStyle name="Normal 2 3 9 11" xfId="1907" xr:uid="{00000000-0005-0000-0000-0000D9020000}"/>
    <cellStyle name="Normal 2 3 9 12" xfId="2075" xr:uid="{00000000-0005-0000-0000-0000DA020000}"/>
    <cellStyle name="Normal 2 3 9 13" xfId="2229" xr:uid="{00000000-0005-0000-0000-0000DB020000}"/>
    <cellStyle name="Normal 2 3 9 2" xfId="352" xr:uid="{00000000-0005-0000-0000-0000DC020000}"/>
    <cellStyle name="Normal 2 3 9 3" xfId="525" xr:uid="{00000000-0005-0000-0000-0000DD020000}"/>
    <cellStyle name="Normal 2 3 9 4" xfId="698" xr:uid="{00000000-0005-0000-0000-0000DE020000}"/>
    <cellStyle name="Normal 2 3 9 5" xfId="871" xr:uid="{00000000-0005-0000-0000-0000DF020000}"/>
    <cellStyle name="Normal 2 3 9 6" xfId="1044" xr:uid="{00000000-0005-0000-0000-0000E0020000}"/>
    <cellStyle name="Normal 2 3 9 7" xfId="1217" xr:uid="{00000000-0005-0000-0000-0000E1020000}"/>
    <cellStyle name="Normal 2 3 9 8" xfId="1390" xr:uid="{00000000-0005-0000-0000-0000E2020000}"/>
    <cellStyle name="Normal 2 3 9 9" xfId="1563" xr:uid="{00000000-0005-0000-0000-0000E3020000}"/>
    <cellStyle name="Normal 2 4" xfId="20" xr:uid="{00000000-0005-0000-0000-0000E4020000}"/>
    <cellStyle name="Normal 2 4 10" xfId="174" xr:uid="{00000000-0005-0000-0000-0000E5020000}"/>
    <cellStyle name="Normal 2 4 10 10" xfId="1773" xr:uid="{00000000-0005-0000-0000-0000E6020000}"/>
    <cellStyle name="Normal 2 4 10 11" xfId="1944" xr:uid="{00000000-0005-0000-0000-0000E7020000}"/>
    <cellStyle name="Normal 2 4 10 12" xfId="2111" xr:uid="{00000000-0005-0000-0000-0000E8020000}"/>
    <cellStyle name="Normal 2 4 10 13" xfId="2259" xr:uid="{00000000-0005-0000-0000-0000E9020000}"/>
    <cellStyle name="Normal 2 4 10 2" xfId="389" xr:uid="{00000000-0005-0000-0000-0000EA020000}"/>
    <cellStyle name="Normal 2 4 10 3" xfId="562" xr:uid="{00000000-0005-0000-0000-0000EB020000}"/>
    <cellStyle name="Normal 2 4 10 4" xfId="735" xr:uid="{00000000-0005-0000-0000-0000EC020000}"/>
    <cellStyle name="Normal 2 4 10 5" xfId="908" xr:uid="{00000000-0005-0000-0000-0000ED020000}"/>
    <cellStyle name="Normal 2 4 10 6" xfId="1081" xr:uid="{00000000-0005-0000-0000-0000EE020000}"/>
    <cellStyle name="Normal 2 4 10 7" xfId="1254" xr:uid="{00000000-0005-0000-0000-0000EF020000}"/>
    <cellStyle name="Normal 2 4 10 8" xfId="1427" xr:uid="{00000000-0005-0000-0000-0000F0020000}"/>
    <cellStyle name="Normal 2 4 10 9" xfId="1600" xr:uid="{00000000-0005-0000-0000-0000F1020000}"/>
    <cellStyle name="Normal 2 4 11" xfId="189" xr:uid="{00000000-0005-0000-0000-0000F2020000}"/>
    <cellStyle name="Normal 2 4 11 10" xfId="1788" xr:uid="{00000000-0005-0000-0000-0000F3020000}"/>
    <cellStyle name="Normal 2 4 11 11" xfId="1959" xr:uid="{00000000-0005-0000-0000-0000F4020000}"/>
    <cellStyle name="Normal 2 4 11 12" xfId="2126" xr:uid="{00000000-0005-0000-0000-0000F5020000}"/>
    <cellStyle name="Normal 2 4 11 13" xfId="2271" xr:uid="{00000000-0005-0000-0000-0000F6020000}"/>
    <cellStyle name="Normal 2 4 11 2" xfId="404" xr:uid="{00000000-0005-0000-0000-0000F7020000}"/>
    <cellStyle name="Normal 2 4 11 3" xfId="577" xr:uid="{00000000-0005-0000-0000-0000F8020000}"/>
    <cellStyle name="Normal 2 4 11 4" xfId="750" xr:uid="{00000000-0005-0000-0000-0000F9020000}"/>
    <cellStyle name="Normal 2 4 11 5" xfId="923" xr:uid="{00000000-0005-0000-0000-0000FA020000}"/>
    <cellStyle name="Normal 2 4 11 6" xfId="1096" xr:uid="{00000000-0005-0000-0000-0000FB020000}"/>
    <cellStyle name="Normal 2 4 11 7" xfId="1269" xr:uid="{00000000-0005-0000-0000-0000FC020000}"/>
    <cellStyle name="Normal 2 4 11 8" xfId="1442" xr:uid="{00000000-0005-0000-0000-0000FD020000}"/>
    <cellStyle name="Normal 2 4 11 9" xfId="1615" xr:uid="{00000000-0005-0000-0000-0000FE020000}"/>
    <cellStyle name="Normal 2 4 12" xfId="204" xr:uid="{00000000-0005-0000-0000-0000FF020000}"/>
    <cellStyle name="Normal 2 4 12 10" xfId="1803" xr:uid="{00000000-0005-0000-0000-000000030000}"/>
    <cellStyle name="Normal 2 4 12 11" xfId="1974" xr:uid="{00000000-0005-0000-0000-000001030000}"/>
    <cellStyle name="Normal 2 4 12 12" xfId="2141" xr:uid="{00000000-0005-0000-0000-000002030000}"/>
    <cellStyle name="Normal 2 4 12 13" xfId="2283" xr:uid="{00000000-0005-0000-0000-000003030000}"/>
    <cellStyle name="Normal 2 4 12 2" xfId="419" xr:uid="{00000000-0005-0000-0000-000004030000}"/>
    <cellStyle name="Normal 2 4 12 3" xfId="592" xr:uid="{00000000-0005-0000-0000-000005030000}"/>
    <cellStyle name="Normal 2 4 12 4" xfId="765" xr:uid="{00000000-0005-0000-0000-000006030000}"/>
    <cellStyle name="Normal 2 4 12 5" xfId="938" xr:uid="{00000000-0005-0000-0000-000007030000}"/>
    <cellStyle name="Normal 2 4 12 6" xfId="1111" xr:uid="{00000000-0005-0000-0000-000008030000}"/>
    <cellStyle name="Normal 2 4 12 7" xfId="1284" xr:uid="{00000000-0005-0000-0000-000009030000}"/>
    <cellStyle name="Normal 2 4 12 8" xfId="1457" xr:uid="{00000000-0005-0000-0000-00000A030000}"/>
    <cellStyle name="Normal 2 4 12 9" xfId="1630" xr:uid="{00000000-0005-0000-0000-00000B030000}"/>
    <cellStyle name="Normal 2 4 13" xfId="216" xr:uid="{00000000-0005-0000-0000-00000C030000}"/>
    <cellStyle name="Normal 2 4 13 10" xfId="1815" xr:uid="{00000000-0005-0000-0000-00000D030000}"/>
    <cellStyle name="Normal 2 4 13 11" xfId="1986" xr:uid="{00000000-0005-0000-0000-00000E030000}"/>
    <cellStyle name="Normal 2 4 13 12" xfId="2152" xr:uid="{00000000-0005-0000-0000-00000F030000}"/>
    <cellStyle name="Normal 2 4 13 13" xfId="2293" xr:uid="{00000000-0005-0000-0000-000010030000}"/>
    <cellStyle name="Normal 2 4 13 2" xfId="431" xr:uid="{00000000-0005-0000-0000-000011030000}"/>
    <cellStyle name="Normal 2 4 13 3" xfId="604" xr:uid="{00000000-0005-0000-0000-000012030000}"/>
    <cellStyle name="Normal 2 4 13 4" xfId="777" xr:uid="{00000000-0005-0000-0000-000013030000}"/>
    <cellStyle name="Normal 2 4 13 5" xfId="950" xr:uid="{00000000-0005-0000-0000-000014030000}"/>
    <cellStyle name="Normal 2 4 13 6" xfId="1123" xr:uid="{00000000-0005-0000-0000-000015030000}"/>
    <cellStyle name="Normal 2 4 13 7" xfId="1296" xr:uid="{00000000-0005-0000-0000-000016030000}"/>
    <cellStyle name="Normal 2 4 13 8" xfId="1469" xr:uid="{00000000-0005-0000-0000-000017030000}"/>
    <cellStyle name="Normal 2 4 13 9" xfId="1642" xr:uid="{00000000-0005-0000-0000-000018030000}"/>
    <cellStyle name="Normal 2 4 14" xfId="238" xr:uid="{00000000-0005-0000-0000-000019030000}"/>
    <cellStyle name="Normal 2 4 15" xfId="225" xr:uid="{00000000-0005-0000-0000-00001A030000}"/>
    <cellStyle name="Normal 2 4 16" xfId="332" xr:uid="{00000000-0005-0000-0000-00001B030000}"/>
    <cellStyle name="Normal 2 4 17" xfId="505" xr:uid="{00000000-0005-0000-0000-00001C030000}"/>
    <cellStyle name="Normal 2 4 18" xfId="678" xr:uid="{00000000-0005-0000-0000-00001D030000}"/>
    <cellStyle name="Normal 2 4 19" xfId="851" xr:uid="{00000000-0005-0000-0000-00001E030000}"/>
    <cellStyle name="Normal 2 4 2" xfId="45" xr:uid="{00000000-0005-0000-0000-00001F030000}"/>
    <cellStyle name="Normal 2 4 2 10" xfId="1155" xr:uid="{00000000-0005-0000-0000-000020030000}"/>
    <cellStyle name="Normal 2 4 2 11" xfId="1328" xr:uid="{00000000-0005-0000-0000-000021030000}"/>
    <cellStyle name="Normal 2 4 2 12" xfId="1501" xr:uid="{00000000-0005-0000-0000-000022030000}"/>
    <cellStyle name="Normal 2 4 2 13" xfId="1674" xr:uid="{00000000-0005-0000-0000-000023030000}"/>
    <cellStyle name="Normal 2 4 2 2" xfId="262" xr:uid="{00000000-0005-0000-0000-000024030000}"/>
    <cellStyle name="Normal 2 4 2 3" xfId="221" xr:uid="{00000000-0005-0000-0000-000025030000}"/>
    <cellStyle name="Normal 2 4 2 4" xfId="244" xr:uid="{00000000-0005-0000-0000-000026030000}"/>
    <cellStyle name="Normal 2 4 2 5" xfId="290" xr:uid="{00000000-0005-0000-0000-000027030000}"/>
    <cellStyle name="Normal 2 4 2 6" xfId="463" xr:uid="{00000000-0005-0000-0000-000028030000}"/>
    <cellStyle name="Normal 2 4 2 7" xfId="636" xr:uid="{00000000-0005-0000-0000-000029030000}"/>
    <cellStyle name="Normal 2 4 2 8" xfId="809" xr:uid="{00000000-0005-0000-0000-00002A030000}"/>
    <cellStyle name="Normal 2 4 2 9" xfId="982" xr:uid="{00000000-0005-0000-0000-00002B030000}"/>
    <cellStyle name="Normal 2 4 20" xfId="1024" xr:uid="{00000000-0005-0000-0000-00002C030000}"/>
    <cellStyle name="Normal 2 4 21" xfId="1197" xr:uid="{00000000-0005-0000-0000-00002D030000}"/>
    <cellStyle name="Normal 2 4 22" xfId="1370" xr:uid="{00000000-0005-0000-0000-00002E030000}"/>
    <cellStyle name="Normal 2 4 23" xfId="1543" xr:uid="{00000000-0005-0000-0000-00002F030000}"/>
    <cellStyle name="Normal 2 4 24" xfId="1716" xr:uid="{00000000-0005-0000-0000-000030030000}"/>
    <cellStyle name="Normal 2 4 25" xfId="1888" xr:uid="{00000000-0005-0000-0000-000031030000}"/>
    <cellStyle name="Normal 2 4 3" xfId="62" xr:uid="{00000000-0005-0000-0000-000032030000}"/>
    <cellStyle name="Normal 2 4 3 10" xfId="1661" xr:uid="{00000000-0005-0000-0000-000033030000}"/>
    <cellStyle name="Normal 2 4 3 11" xfId="1834" xr:uid="{00000000-0005-0000-0000-000034030000}"/>
    <cellStyle name="Normal 2 4 3 12" xfId="2005" xr:uid="{00000000-0005-0000-0000-000035030000}"/>
    <cellStyle name="Normal 2 4 3 13" xfId="2168" xr:uid="{00000000-0005-0000-0000-000036030000}"/>
    <cellStyle name="Normal 2 4 3 2" xfId="277" xr:uid="{00000000-0005-0000-0000-000037030000}"/>
    <cellStyle name="Normal 2 4 3 3" xfId="450" xr:uid="{00000000-0005-0000-0000-000038030000}"/>
    <cellStyle name="Normal 2 4 3 4" xfId="623" xr:uid="{00000000-0005-0000-0000-000039030000}"/>
    <cellStyle name="Normal 2 4 3 5" xfId="796" xr:uid="{00000000-0005-0000-0000-00003A030000}"/>
    <cellStyle name="Normal 2 4 3 6" xfId="969" xr:uid="{00000000-0005-0000-0000-00003B030000}"/>
    <cellStyle name="Normal 2 4 3 7" xfId="1142" xr:uid="{00000000-0005-0000-0000-00003C030000}"/>
    <cellStyle name="Normal 2 4 3 8" xfId="1315" xr:uid="{00000000-0005-0000-0000-00003D030000}"/>
    <cellStyle name="Normal 2 4 3 9" xfId="1488" xr:uid="{00000000-0005-0000-0000-00003E030000}"/>
    <cellStyle name="Normal 2 4 4" xfId="78" xr:uid="{00000000-0005-0000-0000-00003F030000}"/>
    <cellStyle name="Normal 2 4 4 10" xfId="1677" xr:uid="{00000000-0005-0000-0000-000040030000}"/>
    <cellStyle name="Normal 2 4 4 11" xfId="1849" xr:uid="{00000000-0005-0000-0000-000041030000}"/>
    <cellStyle name="Normal 2 4 4 12" xfId="2020" xr:uid="{00000000-0005-0000-0000-000042030000}"/>
    <cellStyle name="Normal 2 4 4 13" xfId="2181" xr:uid="{00000000-0005-0000-0000-000043030000}"/>
    <cellStyle name="Normal 2 4 4 2" xfId="293" xr:uid="{00000000-0005-0000-0000-000044030000}"/>
    <cellStyle name="Normal 2 4 4 3" xfId="466" xr:uid="{00000000-0005-0000-0000-000045030000}"/>
    <cellStyle name="Normal 2 4 4 4" xfId="639" xr:uid="{00000000-0005-0000-0000-000046030000}"/>
    <cellStyle name="Normal 2 4 4 5" xfId="812" xr:uid="{00000000-0005-0000-0000-000047030000}"/>
    <cellStyle name="Normal 2 4 4 6" xfId="985" xr:uid="{00000000-0005-0000-0000-000048030000}"/>
    <cellStyle name="Normal 2 4 4 7" xfId="1158" xr:uid="{00000000-0005-0000-0000-000049030000}"/>
    <cellStyle name="Normal 2 4 4 8" xfId="1331" xr:uid="{00000000-0005-0000-0000-00004A030000}"/>
    <cellStyle name="Normal 2 4 4 9" xfId="1504" xr:uid="{00000000-0005-0000-0000-00004B030000}"/>
    <cellStyle name="Normal 2 4 5" xfId="94" xr:uid="{00000000-0005-0000-0000-00004C030000}"/>
    <cellStyle name="Normal 2 4 5 10" xfId="1693" xr:uid="{00000000-0005-0000-0000-00004D030000}"/>
    <cellStyle name="Normal 2 4 5 11" xfId="1865" xr:uid="{00000000-0005-0000-0000-00004E030000}"/>
    <cellStyle name="Normal 2 4 5 12" xfId="2035" xr:uid="{00000000-0005-0000-0000-00004F030000}"/>
    <cellStyle name="Normal 2 4 5 13" xfId="2194" xr:uid="{00000000-0005-0000-0000-000050030000}"/>
    <cellStyle name="Normal 2 4 5 2" xfId="309" xr:uid="{00000000-0005-0000-0000-000051030000}"/>
    <cellStyle name="Normal 2 4 5 3" xfId="482" xr:uid="{00000000-0005-0000-0000-000052030000}"/>
    <cellStyle name="Normal 2 4 5 4" xfId="655" xr:uid="{00000000-0005-0000-0000-000053030000}"/>
    <cellStyle name="Normal 2 4 5 5" xfId="828" xr:uid="{00000000-0005-0000-0000-000054030000}"/>
    <cellStyle name="Normal 2 4 5 6" xfId="1001" xr:uid="{00000000-0005-0000-0000-000055030000}"/>
    <cellStyle name="Normal 2 4 5 7" xfId="1174" xr:uid="{00000000-0005-0000-0000-000056030000}"/>
    <cellStyle name="Normal 2 4 5 8" xfId="1347" xr:uid="{00000000-0005-0000-0000-000057030000}"/>
    <cellStyle name="Normal 2 4 5 9" xfId="1520" xr:uid="{00000000-0005-0000-0000-000058030000}"/>
    <cellStyle name="Normal 2 4 6" xfId="110" xr:uid="{00000000-0005-0000-0000-000059030000}"/>
    <cellStyle name="Normal 2 4 6 10" xfId="1709" xr:uid="{00000000-0005-0000-0000-00005A030000}"/>
    <cellStyle name="Normal 2 4 6 11" xfId="1881" xr:uid="{00000000-0005-0000-0000-00005B030000}"/>
    <cellStyle name="Normal 2 4 6 12" xfId="2051" xr:uid="{00000000-0005-0000-0000-00005C030000}"/>
    <cellStyle name="Normal 2 4 6 13" xfId="2207" xr:uid="{00000000-0005-0000-0000-00005D030000}"/>
    <cellStyle name="Normal 2 4 6 2" xfId="325" xr:uid="{00000000-0005-0000-0000-00005E030000}"/>
    <cellStyle name="Normal 2 4 6 3" xfId="498" xr:uid="{00000000-0005-0000-0000-00005F030000}"/>
    <cellStyle name="Normal 2 4 6 4" xfId="671" xr:uid="{00000000-0005-0000-0000-000060030000}"/>
    <cellStyle name="Normal 2 4 6 5" xfId="844" xr:uid="{00000000-0005-0000-0000-000061030000}"/>
    <cellStyle name="Normal 2 4 6 6" xfId="1017" xr:uid="{00000000-0005-0000-0000-000062030000}"/>
    <cellStyle name="Normal 2 4 6 7" xfId="1190" xr:uid="{00000000-0005-0000-0000-000063030000}"/>
    <cellStyle name="Normal 2 4 6 8" xfId="1363" xr:uid="{00000000-0005-0000-0000-000064030000}"/>
    <cellStyle name="Normal 2 4 6 9" xfId="1536" xr:uid="{00000000-0005-0000-0000-000065030000}"/>
    <cellStyle name="Normal 2 4 7" xfId="126" xr:uid="{00000000-0005-0000-0000-000066030000}"/>
    <cellStyle name="Normal 2 4 7 10" xfId="1725" xr:uid="{00000000-0005-0000-0000-000067030000}"/>
    <cellStyle name="Normal 2 4 7 11" xfId="1897" xr:uid="{00000000-0005-0000-0000-000068030000}"/>
    <cellStyle name="Normal 2 4 7 12" xfId="2065" xr:uid="{00000000-0005-0000-0000-000069030000}"/>
    <cellStyle name="Normal 2 4 7 13" xfId="2220" xr:uid="{00000000-0005-0000-0000-00006A030000}"/>
    <cellStyle name="Normal 2 4 7 2" xfId="341" xr:uid="{00000000-0005-0000-0000-00006B030000}"/>
    <cellStyle name="Normal 2 4 7 3" xfId="514" xr:uid="{00000000-0005-0000-0000-00006C030000}"/>
    <cellStyle name="Normal 2 4 7 4" xfId="687" xr:uid="{00000000-0005-0000-0000-00006D030000}"/>
    <cellStyle name="Normal 2 4 7 5" xfId="860" xr:uid="{00000000-0005-0000-0000-00006E030000}"/>
    <cellStyle name="Normal 2 4 7 6" xfId="1033" xr:uid="{00000000-0005-0000-0000-00006F030000}"/>
    <cellStyle name="Normal 2 4 7 7" xfId="1206" xr:uid="{00000000-0005-0000-0000-000070030000}"/>
    <cellStyle name="Normal 2 4 7 8" xfId="1379" xr:uid="{00000000-0005-0000-0000-000071030000}"/>
    <cellStyle name="Normal 2 4 7 9" xfId="1552" xr:uid="{00000000-0005-0000-0000-000072030000}"/>
    <cellStyle name="Normal 2 4 8" xfId="142" xr:uid="{00000000-0005-0000-0000-000073030000}"/>
    <cellStyle name="Normal 2 4 8 10" xfId="1741" xr:uid="{00000000-0005-0000-0000-000074030000}"/>
    <cellStyle name="Normal 2 4 8 11" xfId="1912" xr:uid="{00000000-0005-0000-0000-000075030000}"/>
    <cellStyle name="Normal 2 4 8 12" xfId="2080" xr:uid="{00000000-0005-0000-0000-000076030000}"/>
    <cellStyle name="Normal 2 4 8 13" xfId="2233" xr:uid="{00000000-0005-0000-0000-000077030000}"/>
    <cellStyle name="Normal 2 4 8 2" xfId="357" xr:uid="{00000000-0005-0000-0000-000078030000}"/>
    <cellStyle name="Normal 2 4 8 3" xfId="530" xr:uid="{00000000-0005-0000-0000-000079030000}"/>
    <cellStyle name="Normal 2 4 8 4" xfId="703" xr:uid="{00000000-0005-0000-0000-00007A030000}"/>
    <cellStyle name="Normal 2 4 8 5" xfId="876" xr:uid="{00000000-0005-0000-0000-00007B030000}"/>
    <cellStyle name="Normal 2 4 8 6" xfId="1049" xr:uid="{00000000-0005-0000-0000-00007C030000}"/>
    <cellStyle name="Normal 2 4 8 7" xfId="1222" xr:uid="{00000000-0005-0000-0000-00007D030000}"/>
    <cellStyle name="Normal 2 4 8 8" xfId="1395" xr:uid="{00000000-0005-0000-0000-00007E030000}"/>
    <cellStyle name="Normal 2 4 8 9" xfId="1568" xr:uid="{00000000-0005-0000-0000-00007F030000}"/>
    <cellStyle name="Normal 2 4 9" xfId="158" xr:uid="{00000000-0005-0000-0000-000080030000}"/>
    <cellStyle name="Normal 2 4 9 10" xfId="1757" xr:uid="{00000000-0005-0000-0000-000081030000}"/>
    <cellStyle name="Normal 2 4 9 11" xfId="1928" xr:uid="{00000000-0005-0000-0000-000082030000}"/>
    <cellStyle name="Normal 2 4 9 12" xfId="2096" xr:uid="{00000000-0005-0000-0000-000083030000}"/>
    <cellStyle name="Normal 2 4 9 13" xfId="2246" xr:uid="{00000000-0005-0000-0000-000084030000}"/>
    <cellStyle name="Normal 2 4 9 2" xfId="373" xr:uid="{00000000-0005-0000-0000-000085030000}"/>
    <cellStyle name="Normal 2 4 9 3" xfId="546" xr:uid="{00000000-0005-0000-0000-000086030000}"/>
    <cellStyle name="Normal 2 4 9 4" xfId="719" xr:uid="{00000000-0005-0000-0000-000087030000}"/>
    <cellStyle name="Normal 2 4 9 5" xfId="892" xr:uid="{00000000-0005-0000-0000-000088030000}"/>
    <cellStyle name="Normal 2 4 9 6" xfId="1065" xr:uid="{00000000-0005-0000-0000-000089030000}"/>
    <cellStyle name="Normal 2 4 9 7" xfId="1238" xr:uid="{00000000-0005-0000-0000-00008A030000}"/>
    <cellStyle name="Normal 2 4 9 8" xfId="1411" xr:uid="{00000000-0005-0000-0000-00008B030000}"/>
    <cellStyle name="Normal 2 4 9 9" xfId="1584" xr:uid="{00000000-0005-0000-0000-00008C030000}"/>
    <cellStyle name="Normal 2 5" xfId="12" xr:uid="{00000000-0005-0000-0000-00008D030000}"/>
    <cellStyle name="Normal 2 5 10" xfId="166" xr:uid="{00000000-0005-0000-0000-00008E030000}"/>
    <cellStyle name="Normal 2 5 10 10" xfId="1765" xr:uid="{00000000-0005-0000-0000-00008F030000}"/>
    <cellStyle name="Normal 2 5 10 11" xfId="1936" xr:uid="{00000000-0005-0000-0000-000090030000}"/>
    <cellStyle name="Normal 2 5 10 12" xfId="2103" xr:uid="{00000000-0005-0000-0000-000091030000}"/>
    <cellStyle name="Normal 2 5 10 13" xfId="2252" xr:uid="{00000000-0005-0000-0000-000092030000}"/>
    <cellStyle name="Normal 2 5 10 2" xfId="381" xr:uid="{00000000-0005-0000-0000-000093030000}"/>
    <cellStyle name="Normal 2 5 10 3" xfId="554" xr:uid="{00000000-0005-0000-0000-000094030000}"/>
    <cellStyle name="Normal 2 5 10 4" xfId="727" xr:uid="{00000000-0005-0000-0000-000095030000}"/>
    <cellStyle name="Normal 2 5 10 5" xfId="900" xr:uid="{00000000-0005-0000-0000-000096030000}"/>
    <cellStyle name="Normal 2 5 10 6" xfId="1073" xr:uid="{00000000-0005-0000-0000-000097030000}"/>
    <cellStyle name="Normal 2 5 10 7" xfId="1246" xr:uid="{00000000-0005-0000-0000-000098030000}"/>
    <cellStyle name="Normal 2 5 10 8" xfId="1419" xr:uid="{00000000-0005-0000-0000-000099030000}"/>
    <cellStyle name="Normal 2 5 10 9" xfId="1592" xr:uid="{00000000-0005-0000-0000-00009A030000}"/>
    <cellStyle name="Normal 2 5 11" xfId="181" xr:uid="{00000000-0005-0000-0000-00009B030000}"/>
    <cellStyle name="Normal 2 5 11 10" xfId="1780" xr:uid="{00000000-0005-0000-0000-00009C030000}"/>
    <cellStyle name="Normal 2 5 11 11" xfId="1951" xr:uid="{00000000-0005-0000-0000-00009D030000}"/>
    <cellStyle name="Normal 2 5 11 12" xfId="2118" xr:uid="{00000000-0005-0000-0000-00009E030000}"/>
    <cellStyle name="Normal 2 5 11 13" xfId="2264" xr:uid="{00000000-0005-0000-0000-00009F030000}"/>
    <cellStyle name="Normal 2 5 11 2" xfId="396" xr:uid="{00000000-0005-0000-0000-0000A0030000}"/>
    <cellStyle name="Normal 2 5 11 3" xfId="569" xr:uid="{00000000-0005-0000-0000-0000A1030000}"/>
    <cellStyle name="Normal 2 5 11 4" xfId="742" xr:uid="{00000000-0005-0000-0000-0000A2030000}"/>
    <cellStyle name="Normal 2 5 11 5" xfId="915" xr:uid="{00000000-0005-0000-0000-0000A3030000}"/>
    <cellStyle name="Normal 2 5 11 6" xfId="1088" xr:uid="{00000000-0005-0000-0000-0000A4030000}"/>
    <cellStyle name="Normal 2 5 11 7" xfId="1261" xr:uid="{00000000-0005-0000-0000-0000A5030000}"/>
    <cellStyle name="Normal 2 5 11 8" xfId="1434" xr:uid="{00000000-0005-0000-0000-0000A6030000}"/>
    <cellStyle name="Normal 2 5 11 9" xfId="1607" xr:uid="{00000000-0005-0000-0000-0000A7030000}"/>
    <cellStyle name="Normal 2 5 12" xfId="196" xr:uid="{00000000-0005-0000-0000-0000A8030000}"/>
    <cellStyle name="Normal 2 5 12 10" xfId="1795" xr:uid="{00000000-0005-0000-0000-0000A9030000}"/>
    <cellStyle name="Normal 2 5 12 11" xfId="1966" xr:uid="{00000000-0005-0000-0000-0000AA030000}"/>
    <cellStyle name="Normal 2 5 12 12" xfId="2133" xr:uid="{00000000-0005-0000-0000-0000AB030000}"/>
    <cellStyle name="Normal 2 5 12 13" xfId="2276" xr:uid="{00000000-0005-0000-0000-0000AC030000}"/>
    <cellStyle name="Normal 2 5 12 2" xfId="411" xr:uid="{00000000-0005-0000-0000-0000AD030000}"/>
    <cellStyle name="Normal 2 5 12 3" xfId="584" xr:uid="{00000000-0005-0000-0000-0000AE030000}"/>
    <cellStyle name="Normal 2 5 12 4" xfId="757" xr:uid="{00000000-0005-0000-0000-0000AF030000}"/>
    <cellStyle name="Normal 2 5 12 5" xfId="930" xr:uid="{00000000-0005-0000-0000-0000B0030000}"/>
    <cellStyle name="Normal 2 5 12 6" xfId="1103" xr:uid="{00000000-0005-0000-0000-0000B1030000}"/>
    <cellStyle name="Normal 2 5 12 7" xfId="1276" xr:uid="{00000000-0005-0000-0000-0000B2030000}"/>
    <cellStyle name="Normal 2 5 12 8" xfId="1449" xr:uid="{00000000-0005-0000-0000-0000B3030000}"/>
    <cellStyle name="Normal 2 5 12 9" xfId="1622" xr:uid="{00000000-0005-0000-0000-0000B4030000}"/>
    <cellStyle name="Normal 2 5 13" xfId="210" xr:uid="{00000000-0005-0000-0000-0000B5030000}"/>
    <cellStyle name="Normal 2 5 13 10" xfId="1809" xr:uid="{00000000-0005-0000-0000-0000B6030000}"/>
    <cellStyle name="Normal 2 5 13 11" xfId="1980" xr:uid="{00000000-0005-0000-0000-0000B7030000}"/>
    <cellStyle name="Normal 2 5 13 12" xfId="2146" xr:uid="{00000000-0005-0000-0000-0000B8030000}"/>
    <cellStyle name="Normal 2 5 13 13" xfId="2287" xr:uid="{00000000-0005-0000-0000-0000B9030000}"/>
    <cellStyle name="Normal 2 5 13 2" xfId="425" xr:uid="{00000000-0005-0000-0000-0000BA030000}"/>
    <cellStyle name="Normal 2 5 13 3" xfId="598" xr:uid="{00000000-0005-0000-0000-0000BB030000}"/>
    <cellStyle name="Normal 2 5 13 4" xfId="771" xr:uid="{00000000-0005-0000-0000-0000BC030000}"/>
    <cellStyle name="Normal 2 5 13 5" xfId="944" xr:uid="{00000000-0005-0000-0000-0000BD030000}"/>
    <cellStyle name="Normal 2 5 13 6" xfId="1117" xr:uid="{00000000-0005-0000-0000-0000BE030000}"/>
    <cellStyle name="Normal 2 5 13 7" xfId="1290" xr:uid="{00000000-0005-0000-0000-0000BF030000}"/>
    <cellStyle name="Normal 2 5 13 8" xfId="1463" xr:uid="{00000000-0005-0000-0000-0000C0030000}"/>
    <cellStyle name="Normal 2 5 13 9" xfId="1636" xr:uid="{00000000-0005-0000-0000-0000C1030000}"/>
    <cellStyle name="Normal 2 5 14" xfId="230" xr:uid="{00000000-0005-0000-0000-0000C2030000}"/>
    <cellStyle name="Normal 2 5 15" xfId="253" xr:uid="{00000000-0005-0000-0000-0000C3030000}"/>
    <cellStyle name="Normal 2 5 16" xfId="330" xr:uid="{00000000-0005-0000-0000-0000C4030000}"/>
    <cellStyle name="Normal 2 5 17" xfId="503" xr:uid="{00000000-0005-0000-0000-0000C5030000}"/>
    <cellStyle name="Normal 2 5 18" xfId="676" xr:uid="{00000000-0005-0000-0000-0000C6030000}"/>
    <cellStyle name="Normal 2 5 19" xfId="849" xr:uid="{00000000-0005-0000-0000-0000C7030000}"/>
    <cellStyle name="Normal 2 5 2" xfId="37" xr:uid="{00000000-0005-0000-0000-0000C8030000}"/>
    <cellStyle name="Normal 2 5 2 10" xfId="1525" xr:uid="{00000000-0005-0000-0000-0000C9030000}"/>
    <cellStyle name="Normal 2 5 2 11" xfId="1698" xr:uid="{00000000-0005-0000-0000-0000CA030000}"/>
    <cellStyle name="Normal 2 5 2 12" xfId="1870" xr:uid="{00000000-0005-0000-0000-0000CB030000}"/>
    <cellStyle name="Normal 2 5 2 13" xfId="2040" xr:uid="{00000000-0005-0000-0000-0000CC030000}"/>
    <cellStyle name="Normal 2 5 2 2" xfId="254" xr:uid="{00000000-0005-0000-0000-0000CD030000}"/>
    <cellStyle name="Normal 2 5 2 3" xfId="314" xr:uid="{00000000-0005-0000-0000-0000CE030000}"/>
    <cellStyle name="Normal 2 5 2 4" xfId="487" xr:uid="{00000000-0005-0000-0000-0000CF030000}"/>
    <cellStyle name="Normal 2 5 2 5" xfId="660" xr:uid="{00000000-0005-0000-0000-0000D0030000}"/>
    <cellStyle name="Normal 2 5 2 6" xfId="833" xr:uid="{00000000-0005-0000-0000-0000D1030000}"/>
    <cellStyle name="Normal 2 5 2 7" xfId="1006" xr:uid="{00000000-0005-0000-0000-0000D2030000}"/>
    <cellStyle name="Normal 2 5 2 8" xfId="1179" xr:uid="{00000000-0005-0000-0000-0000D3030000}"/>
    <cellStyle name="Normal 2 5 2 9" xfId="1352" xr:uid="{00000000-0005-0000-0000-0000D4030000}"/>
    <cellStyle name="Normal 2 5 20" xfId="1022" xr:uid="{00000000-0005-0000-0000-0000D5030000}"/>
    <cellStyle name="Normal 2 5 21" xfId="1195" xr:uid="{00000000-0005-0000-0000-0000D6030000}"/>
    <cellStyle name="Normal 2 5 22" xfId="1368" xr:uid="{00000000-0005-0000-0000-0000D7030000}"/>
    <cellStyle name="Normal 2 5 23" xfId="1541" xr:uid="{00000000-0005-0000-0000-0000D8030000}"/>
    <cellStyle name="Normal 2 5 24" xfId="1714" xr:uid="{00000000-0005-0000-0000-0000D9030000}"/>
    <cellStyle name="Normal 2 5 25" xfId="1886" xr:uid="{00000000-0005-0000-0000-0000DA030000}"/>
    <cellStyle name="Normal 2 5 3" xfId="54" xr:uid="{00000000-0005-0000-0000-0000DB030000}"/>
    <cellStyle name="Normal 2 5 3 10" xfId="1654" xr:uid="{00000000-0005-0000-0000-0000DC030000}"/>
    <cellStyle name="Normal 2 5 3 11" xfId="1827" xr:uid="{00000000-0005-0000-0000-0000DD030000}"/>
    <cellStyle name="Normal 2 5 3 12" xfId="1998" xr:uid="{00000000-0005-0000-0000-0000DE030000}"/>
    <cellStyle name="Normal 2 5 3 13" xfId="2161" xr:uid="{00000000-0005-0000-0000-0000DF030000}"/>
    <cellStyle name="Normal 2 5 3 2" xfId="270" xr:uid="{00000000-0005-0000-0000-0000E0030000}"/>
    <cellStyle name="Normal 2 5 3 3" xfId="443" xr:uid="{00000000-0005-0000-0000-0000E1030000}"/>
    <cellStyle name="Normal 2 5 3 4" xfId="616" xr:uid="{00000000-0005-0000-0000-0000E2030000}"/>
    <cellStyle name="Normal 2 5 3 5" xfId="789" xr:uid="{00000000-0005-0000-0000-0000E3030000}"/>
    <cellStyle name="Normal 2 5 3 6" xfId="962" xr:uid="{00000000-0005-0000-0000-0000E4030000}"/>
    <cellStyle name="Normal 2 5 3 7" xfId="1135" xr:uid="{00000000-0005-0000-0000-0000E5030000}"/>
    <cellStyle name="Normal 2 5 3 8" xfId="1308" xr:uid="{00000000-0005-0000-0000-0000E6030000}"/>
    <cellStyle name="Normal 2 5 3 9" xfId="1481" xr:uid="{00000000-0005-0000-0000-0000E7030000}"/>
    <cellStyle name="Normal 2 5 4" xfId="70" xr:uid="{00000000-0005-0000-0000-0000E8030000}"/>
    <cellStyle name="Normal 2 5 4 10" xfId="1669" xr:uid="{00000000-0005-0000-0000-0000E9030000}"/>
    <cellStyle name="Normal 2 5 4 11" xfId="1842" xr:uid="{00000000-0005-0000-0000-0000EA030000}"/>
    <cellStyle name="Normal 2 5 4 12" xfId="2013" xr:uid="{00000000-0005-0000-0000-0000EB030000}"/>
    <cellStyle name="Normal 2 5 4 13" xfId="2174" xr:uid="{00000000-0005-0000-0000-0000EC030000}"/>
    <cellStyle name="Normal 2 5 4 2" xfId="285" xr:uid="{00000000-0005-0000-0000-0000ED030000}"/>
    <cellStyle name="Normal 2 5 4 3" xfId="458" xr:uid="{00000000-0005-0000-0000-0000EE030000}"/>
    <cellStyle name="Normal 2 5 4 4" xfId="631" xr:uid="{00000000-0005-0000-0000-0000EF030000}"/>
    <cellStyle name="Normal 2 5 4 5" xfId="804" xr:uid="{00000000-0005-0000-0000-0000F0030000}"/>
    <cellStyle name="Normal 2 5 4 6" xfId="977" xr:uid="{00000000-0005-0000-0000-0000F1030000}"/>
    <cellStyle name="Normal 2 5 4 7" xfId="1150" xr:uid="{00000000-0005-0000-0000-0000F2030000}"/>
    <cellStyle name="Normal 2 5 4 8" xfId="1323" xr:uid="{00000000-0005-0000-0000-0000F3030000}"/>
    <cellStyle name="Normal 2 5 4 9" xfId="1496" xr:uid="{00000000-0005-0000-0000-0000F4030000}"/>
    <cellStyle name="Normal 2 5 5" xfId="86" xr:uid="{00000000-0005-0000-0000-0000F5030000}"/>
    <cellStyle name="Normal 2 5 5 10" xfId="1685" xr:uid="{00000000-0005-0000-0000-0000F6030000}"/>
    <cellStyle name="Normal 2 5 5 11" xfId="1857" xr:uid="{00000000-0005-0000-0000-0000F7030000}"/>
    <cellStyle name="Normal 2 5 5 12" xfId="2027" xr:uid="{00000000-0005-0000-0000-0000F8030000}"/>
    <cellStyle name="Normal 2 5 5 13" xfId="2187" xr:uid="{00000000-0005-0000-0000-0000F9030000}"/>
    <cellStyle name="Normal 2 5 5 2" xfId="301" xr:uid="{00000000-0005-0000-0000-0000FA030000}"/>
    <cellStyle name="Normal 2 5 5 3" xfId="474" xr:uid="{00000000-0005-0000-0000-0000FB030000}"/>
    <cellStyle name="Normal 2 5 5 4" xfId="647" xr:uid="{00000000-0005-0000-0000-0000FC030000}"/>
    <cellStyle name="Normal 2 5 5 5" xfId="820" xr:uid="{00000000-0005-0000-0000-0000FD030000}"/>
    <cellStyle name="Normal 2 5 5 6" xfId="993" xr:uid="{00000000-0005-0000-0000-0000FE030000}"/>
    <cellStyle name="Normal 2 5 5 7" xfId="1166" xr:uid="{00000000-0005-0000-0000-0000FF030000}"/>
    <cellStyle name="Normal 2 5 5 8" xfId="1339" xr:uid="{00000000-0005-0000-0000-000000040000}"/>
    <cellStyle name="Normal 2 5 5 9" xfId="1512" xr:uid="{00000000-0005-0000-0000-000001040000}"/>
    <cellStyle name="Normal 2 5 6" xfId="102" xr:uid="{00000000-0005-0000-0000-000002040000}"/>
    <cellStyle name="Normal 2 5 6 10" xfId="1701" xr:uid="{00000000-0005-0000-0000-000003040000}"/>
    <cellStyle name="Normal 2 5 6 11" xfId="1873" xr:uid="{00000000-0005-0000-0000-000004040000}"/>
    <cellStyle name="Normal 2 5 6 12" xfId="2043" xr:uid="{00000000-0005-0000-0000-000005040000}"/>
    <cellStyle name="Normal 2 5 6 13" xfId="2200" xr:uid="{00000000-0005-0000-0000-000006040000}"/>
    <cellStyle name="Normal 2 5 6 2" xfId="317" xr:uid="{00000000-0005-0000-0000-000007040000}"/>
    <cellStyle name="Normal 2 5 6 3" xfId="490" xr:uid="{00000000-0005-0000-0000-000008040000}"/>
    <cellStyle name="Normal 2 5 6 4" xfId="663" xr:uid="{00000000-0005-0000-0000-000009040000}"/>
    <cellStyle name="Normal 2 5 6 5" xfId="836" xr:uid="{00000000-0005-0000-0000-00000A040000}"/>
    <cellStyle name="Normal 2 5 6 6" xfId="1009" xr:uid="{00000000-0005-0000-0000-00000B040000}"/>
    <cellStyle name="Normal 2 5 6 7" xfId="1182" xr:uid="{00000000-0005-0000-0000-00000C040000}"/>
    <cellStyle name="Normal 2 5 6 8" xfId="1355" xr:uid="{00000000-0005-0000-0000-00000D040000}"/>
    <cellStyle name="Normal 2 5 6 9" xfId="1528" xr:uid="{00000000-0005-0000-0000-00000E040000}"/>
    <cellStyle name="Normal 2 5 7" xfId="118" xr:uid="{00000000-0005-0000-0000-00000F040000}"/>
    <cellStyle name="Normal 2 5 7 10" xfId="1717" xr:uid="{00000000-0005-0000-0000-000010040000}"/>
    <cellStyle name="Normal 2 5 7 11" xfId="1889" xr:uid="{00000000-0005-0000-0000-000011040000}"/>
    <cellStyle name="Normal 2 5 7 12" xfId="2057" xr:uid="{00000000-0005-0000-0000-000012040000}"/>
    <cellStyle name="Normal 2 5 7 13" xfId="2213" xr:uid="{00000000-0005-0000-0000-000013040000}"/>
    <cellStyle name="Normal 2 5 7 2" xfId="333" xr:uid="{00000000-0005-0000-0000-000014040000}"/>
    <cellStyle name="Normal 2 5 7 3" xfId="506" xr:uid="{00000000-0005-0000-0000-000015040000}"/>
    <cellStyle name="Normal 2 5 7 4" xfId="679" xr:uid="{00000000-0005-0000-0000-000016040000}"/>
    <cellStyle name="Normal 2 5 7 5" xfId="852" xr:uid="{00000000-0005-0000-0000-000017040000}"/>
    <cellStyle name="Normal 2 5 7 6" xfId="1025" xr:uid="{00000000-0005-0000-0000-000018040000}"/>
    <cellStyle name="Normal 2 5 7 7" xfId="1198" xr:uid="{00000000-0005-0000-0000-000019040000}"/>
    <cellStyle name="Normal 2 5 7 8" xfId="1371" xr:uid="{00000000-0005-0000-0000-00001A040000}"/>
    <cellStyle name="Normal 2 5 7 9" xfId="1544" xr:uid="{00000000-0005-0000-0000-00001B040000}"/>
    <cellStyle name="Normal 2 5 8" xfId="134" xr:uid="{00000000-0005-0000-0000-00001C040000}"/>
    <cellStyle name="Normal 2 5 8 10" xfId="1733" xr:uid="{00000000-0005-0000-0000-00001D040000}"/>
    <cellStyle name="Normal 2 5 8 11" xfId="1904" xr:uid="{00000000-0005-0000-0000-00001E040000}"/>
    <cellStyle name="Normal 2 5 8 12" xfId="2072" xr:uid="{00000000-0005-0000-0000-00001F040000}"/>
    <cellStyle name="Normal 2 5 8 13" xfId="2226" xr:uid="{00000000-0005-0000-0000-000020040000}"/>
    <cellStyle name="Normal 2 5 8 2" xfId="349" xr:uid="{00000000-0005-0000-0000-000021040000}"/>
    <cellStyle name="Normal 2 5 8 3" xfId="522" xr:uid="{00000000-0005-0000-0000-000022040000}"/>
    <cellStyle name="Normal 2 5 8 4" xfId="695" xr:uid="{00000000-0005-0000-0000-000023040000}"/>
    <cellStyle name="Normal 2 5 8 5" xfId="868" xr:uid="{00000000-0005-0000-0000-000024040000}"/>
    <cellStyle name="Normal 2 5 8 6" xfId="1041" xr:uid="{00000000-0005-0000-0000-000025040000}"/>
    <cellStyle name="Normal 2 5 8 7" xfId="1214" xr:uid="{00000000-0005-0000-0000-000026040000}"/>
    <cellStyle name="Normal 2 5 8 8" xfId="1387" xr:uid="{00000000-0005-0000-0000-000027040000}"/>
    <cellStyle name="Normal 2 5 8 9" xfId="1560" xr:uid="{00000000-0005-0000-0000-000028040000}"/>
    <cellStyle name="Normal 2 5 9" xfId="150" xr:uid="{00000000-0005-0000-0000-000029040000}"/>
    <cellStyle name="Normal 2 5 9 10" xfId="1749" xr:uid="{00000000-0005-0000-0000-00002A040000}"/>
    <cellStyle name="Normal 2 5 9 11" xfId="1920" xr:uid="{00000000-0005-0000-0000-00002B040000}"/>
    <cellStyle name="Normal 2 5 9 12" xfId="2088" xr:uid="{00000000-0005-0000-0000-00002C040000}"/>
    <cellStyle name="Normal 2 5 9 13" xfId="2239" xr:uid="{00000000-0005-0000-0000-00002D040000}"/>
    <cellStyle name="Normal 2 5 9 2" xfId="365" xr:uid="{00000000-0005-0000-0000-00002E040000}"/>
    <cellStyle name="Normal 2 5 9 3" xfId="538" xr:uid="{00000000-0005-0000-0000-00002F040000}"/>
    <cellStyle name="Normal 2 5 9 4" xfId="711" xr:uid="{00000000-0005-0000-0000-000030040000}"/>
    <cellStyle name="Normal 2 5 9 5" xfId="884" xr:uid="{00000000-0005-0000-0000-000031040000}"/>
    <cellStyle name="Normal 2 5 9 6" xfId="1057" xr:uid="{00000000-0005-0000-0000-000032040000}"/>
    <cellStyle name="Normal 2 5 9 7" xfId="1230" xr:uid="{00000000-0005-0000-0000-000033040000}"/>
    <cellStyle name="Normal 2 5 9 8" xfId="1403" xr:uid="{00000000-0005-0000-0000-000034040000}"/>
    <cellStyle name="Normal 2 5 9 9" xfId="1576" xr:uid="{00000000-0005-0000-0000-000035040000}"/>
    <cellStyle name="Normal 3" xfId="4" xr:uid="{00000000-0005-0000-0000-000036040000}"/>
    <cellStyle name="Normal 4" xfId="5" xr:uid="{00000000-0005-0000-0000-000037040000}"/>
    <cellStyle name="Normal 5" xfId="6" xr:uid="{00000000-0005-0000-0000-000038040000}"/>
    <cellStyle name="Normal 5 10" xfId="63" xr:uid="{00000000-0005-0000-0000-000039040000}"/>
    <cellStyle name="Normal 5 10 10" xfId="1662" xr:uid="{00000000-0005-0000-0000-00003A040000}"/>
    <cellStyle name="Normal 5 10 11" xfId="1835" xr:uid="{00000000-0005-0000-0000-00003B040000}"/>
    <cellStyle name="Normal 5 10 12" xfId="2006" xr:uid="{00000000-0005-0000-0000-00003C040000}"/>
    <cellStyle name="Normal 5 10 13" xfId="2169" xr:uid="{00000000-0005-0000-0000-00003D040000}"/>
    <cellStyle name="Normal 5 10 2" xfId="278" xr:uid="{00000000-0005-0000-0000-00003E040000}"/>
    <cellStyle name="Normal 5 10 3" xfId="451" xr:uid="{00000000-0005-0000-0000-00003F040000}"/>
    <cellStyle name="Normal 5 10 4" xfId="624" xr:uid="{00000000-0005-0000-0000-000040040000}"/>
    <cellStyle name="Normal 5 10 5" xfId="797" xr:uid="{00000000-0005-0000-0000-000041040000}"/>
    <cellStyle name="Normal 5 10 6" xfId="970" xr:uid="{00000000-0005-0000-0000-000042040000}"/>
    <cellStyle name="Normal 5 10 7" xfId="1143" xr:uid="{00000000-0005-0000-0000-000043040000}"/>
    <cellStyle name="Normal 5 10 8" xfId="1316" xr:uid="{00000000-0005-0000-0000-000044040000}"/>
    <cellStyle name="Normal 5 10 9" xfId="1489" xr:uid="{00000000-0005-0000-0000-000045040000}"/>
    <cellStyle name="Normal 5 11" xfId="79" xr:uid="{00000000-0005-0000-0000-000046040000}"/>
    <cellStyle name="Normal 5 11 10" xfId="1678" xr:uid="{00000000-0005-0000-0000-000047040000}"/>
    <cellStyle name="Normal 5 11 11" xfId="1850" xr:uid="{00000000-0005-0000-0000-000048040000}"/>
    <cellStyle name="Normal 5 11 12" xfId="2021" xr:uid="{00000000-0005-0000-0000-000049040000}"/>
    <cellStyle name="Normal 5 11 13" xfId="2182" xr:uid="{00000000-0005-0000-0000-00004A040000}"/>
    <cellStyle name="Normal 5 11 2" xfId="294" xr:uid="{00000000-0005-0000-0000-00004B040000}"/>
    <cellStyle name="Normal 5 11 3" xfId="467" xr:uid="{00000000-0005-0000-0000-00004C040000}"/>
    <cellStyle name="Normal 5 11 4" xfId="640" xr:uid="{00000000-0005-0000-0000-00004D040000}"/>
    <cellStyle name="Normal 5 11 5" xfId="813" xr:uid="{00000000-0005-0000-0000-00004E040000}"/>
    <cellStyle name="Normal 5 11 6" xfId="986" xr:uid="{00000000-0005-0000-0000-00004F040000}"/>
    <cellStyle name="Normal 5 11 7" xfId="1159" xr:uid="{00000000-0005-0000-0000-000050040000}"/>
    <cellStyle name="Normal 5 11 8" xfId="1332" xr:uid="{00000000-0005-0000-0000-000051040000}"/>
    <cellStyle name="Normal 5 11 9" xfId="1505" xr:uid="{00000000-0005-0000-0000-000052040000}"/>
    <cellStyle name="Normal 5 12" xfId="95" xr:uid="{00000000-0005-0000-0000-000053040000}"/>
    <cellStyle name="Normal 5 12 10" xfId="1694" xr:uid="{00000000-0005-0000-0000-000054040000}"/>
    <cellStyle name="Normal 5 12 11" xfId="1866" xr:uid="{00000000-0005-0000-0000-000055040000}"/>
    <cellStyle name="Normal 5 12 12" xfId="2036" xr:uid="{00000000-0005-0000-0000-000056040000}"/>
    <cellStyle name="Normal 5 12 13" xfId="2195" xr:uid="{00000000-0005-0000-0000-000057040000}"/>
    <cellStyle name="Normal 5 12 2" xfId="310" xr:uid="{00000000-0005-0000-0000-000058040000}"/>
    <cellStyle name="Normal 5 12 3" xfId="483" xr:uid="{00000000-0005-0000-0000-000059040000}"/>
    <cellStyle name="Normal 5 12 4" xfId="656" xr:uid="{00000000-0005-0000-0000-00005A040000}"/>
    <cellStyle name="Normal 5 12 5" xfId="829" xr:uid="{00000000-0005-0000-0000-00005B040000}"/>
    <cellStyle name="Normal 5 12 6" xfId="1002" xr:uid="{00000000-0005-0000-0000-00005C040000}"/>
    <cellStyle name="Normal 5 12 7" xfId="1175" xr:uid="{00000000-0005-0000-0000-00005D040000}"/>
    <cellStyle name="Normal 5 12 8" xfId="1348" xr:uid="{00000000-0005-0000-0000-00005E040000}"/>
    <cellStyle name="Normal 5 12 9" xfId="1521" xr:uid="{00000000-0005-0000-0000-00005F040000}"/>
    <cellStyle name="Normal 5 13" xfId="111" xr:uid="{00000000-0005-0000-0000-000060040000}"/>
    <cellStyle name="Normal 5 13 10" xfId="1710" xr:uid="{00000000-0005-0000-0000-000061040000}"/>
    <cellStyle name="Normal 5 13 11" xfId="1882" xr:uid="{00000000-0005-0000-0000-000062040000}"/>
    <cellStyle name="Normal 5 13 12" xfId="2052" xr:uid="{00000000-0005-0000-0000-000063040000}"/>
    <cellStyle name="Normal 5 13 13" xfId="2208" xr:uid="{00000000-0005-0000-0000-000064040000}"/>
    <cellStyle name="Normal 5 13 2" xfId="326" xr:uid="{00000000-0005-0000-0000-000065040000}"/>
    <cellStyle name="Normal 5 13 3" xfId="499" xr:uid="{00000000-0005-0000-0000-000066040000}"/>
    <cellStyle name="Normal 5 13 4" xfId="672" xr:uid="{00000000-0005-0000-0000-000067040000}"/>
    <cellStyle name="Normal 5 13 5" xfId="845" xr:uid="{00000000-0005-0000-0000-000068040000}"/>
    <cellStyle name="Normal 5 13 6" xfId="1018" xr:uid="{00000000-0005-0000-0000-000069040000}"/>
    <cellStyle name="Normal 5 13 7" xfId="1191" xr:uid="{00000000-0005-0000-0000-00006A040000}"/>
    <cellStyle name="Normal 5 13 8" xfId="1364" xr:uid="{00000000-0005-0000-0000-00006B040000}"/>
    <cellStyle name="Normal 5 13 9" xfId="1537" xr:uid="{00000000-0005-0000-0000-00006C040000}"/>
    <cellStyle name="Normal 5 14" xfId="127" xr:uid="{00000000-0005-0000-0000-00006D040000}"/>
    <cellStyle name="Normal 5 14 10" xfId="1726" xr:uid="{00000000-0005-0000-0000-00006E040000}"/>
    <cellStyle name="Normal 5 14 11" xfId="1898" xr:uid="{00000000-0005-0000-0000-00006F040000}"/>
    <cellStyle name="Normal 5 14 12" xfId="2066" xr:uid="{00000000-0005-0000-0000-000070040000}"/>
    <cellStyle name="Normal 5 14 13" xfId="2221" xr:uid="{00000000-0005-0000-0000-000071040000}"/>
    <cellStyle name="Normal 5 14 2" xfId="342" xr:uid="{00000000-0005-0000-0000-000072040000}"/>
    <cellStyle name="Normal 5 14 3" xfId="515" xr:uid="{00000000-0005-0000-0000-000073040000}"/>
    <cellStyle name="Normal 5 14 4" xfId="688" xr:uid="{00000000-0005-0000-0000-000074040000}"/>
    <cellStyle name="Normal 5 14 5" xfId="861" xr:uid="{00000000-0005-0000-0000-000075040000}"/>
    <cellStyle name="Normal 5 14 6" xfId="1034" xr:uid="{00000000-0005-0000-0000-000076040000}"/>
    <cellStyle name="Normal 5 14 7" xfId="1207" xr:uid="{00000000-0005-0000-0000-000077040000}"/>
    <cellStyle name="Normal 5 14 8" xfId="1380" xr:uid="{00000000-0005-0000-0000-000078040000}"/>
    <cellStyle name="Normal 5 14 9" xfId="1553" xr:uid="{00000000-0005-0000-0000-000079040000}"/>
    <cellStyle name="Normal 5 15" xfId="143" xr:uid="{00000000-0005-0000-0000-00007A040000}"/>
    <cellStyle name="Normal 5 15 10" xfId="1742" xr:uid="{00000000-0005-0000-0000-00007B040000}"/>
    <cellStyle name="Normal 5 15 11" xfId="1913" xr:uid="{00000000-0005-0000-0000-00007C040000}"/>
    <cellStyle name="Normal 5 15 12" xfId="2081" xr:uid="{00000000-0005-0000-0000-00007D040000}"/>
    <cellStyle name="Normal 5 15 13" xfId="2234" xr:uid="{00000000-0005-0000-0000-00007E040000}"/>
    <cellStyle name="Normal 5 15 2" xfId="358" xr:uid="{00000000-0005-0000-0000-00007F040000}"/>
    <cellStyle name="Normal 5 15 3" xfId="531" xr:uid="{00000000-0005-0000-0000-000080040000}"/>
    <cellStyle name="Normal 5 15 4" xfId="704" xr:uid="{00000000-0005-0000-0000-000081040000}"/>
    <cellStyle name="Normal 5 15 5" xfId="877" xr:uid="{00000000-0005-0000-0000-000082040000}"/>
    <cellStyle name="Normal 5 15 6" xfId="1050" xr:uid="{00000000-0005-0000-0000-000083040000}"/>
    <cellStyle name="Normal 5 15 7" xfId="1223" xr:uid="{00000000-0005-0000-0000-000084040000}"/>
    <cellStyle name="Normal 5 15 8" xfId="1396" xr:uid="{00000000-0005-0000-0000-000085040000}"/>
    <cellStyle name="Normal 5 15 9" xfId="1569" xr:uid="{00000000-0005-0000-0000-000086040000}"/>
    <cellStyle name="Normal 5 16" xfId="159" xr:uid="{00000000-0005-0000-0000-000087040000}"/>
    <cellStyle name="Normal 5 16 10" xfId="1758" xr:uid="{00000000-0005-0000-0000-000088040000}"/>
    <cellStyle name="Normal 5 16 11" xfId="1929" xr:uid="{00000000-0005-0000-0000-000089040000}"/>
    <cellStyle name="Normal 5 16 12" xfId="2097" xr:uid="{00000000-0005-0000-0000-00008A040000}"/>
    <cellStyle name="Normal 5 16 13" xfId="2247" xr:uid="{00000000-0005-0000-0000-00008B040000}"/>
    <cellStyle name="Normal 5 16 2" xfId="374" xr:uid="{00000000-0005-0000-0000-00008C040000}"/>
    <cellStyle name="Normal 5 16 3" xfId="547" xr:uid="{00000000-0005-0000-0000-00008D040000}"/>
    <cellStyle name="Normal 5 16 4" xfId="720" xr:uid="{00000000-0005-0000-0000-00008E040000}"/>
    <cellStyle name="Normal 5 16 5" xfId="893" xr:uid="{00000000-0005-0000-0000-00008F040000}"/>
    <cellStyle name="Normal 5 16 6" xfId="1066" xr:uid="{00000000-0005-0000-0000-000090040000}"/>
    <cellStyle name="Normal 5 16 7" xfId="1239" xr:uid="{00000000-0005-0000-0000-000091040000}"/>
    <cellStyle name="Normal 5 16 8" xfId="1412" xr:uid="{00000000-0005-0000-0000-000092040000}"/>
    <cellStyle name="Normal 5 16 9" xfId="1585" xr:uid="{00000000-0005-0000-0000-000093040000}"/>
    <cellStyle name="Normal 5 17" xfId="226" xr:uid="{00000000-0005-0000-0000-000094040000}"/>
    <cellStyle name="Normal 5 18" xfId="316" xr:uid="{00000000-0005-0000-0000-000095040000}"/>
    <cellStyle name="Normal 5 19" xfId="489" xr:uid="{00000000-0005-0000-0000-000096040000}"/>
    <cellStyle name="Normal 5 2" xfId="16" xr:uid="{00000000-0005-0000-0000-000097040000}"/>
    <cellStyle name="Normal 5 2 10" xfId="154" xr:uid="{00000000-0005-0000-0000-000098040000}"/>
    <cellStyle name="Normal 5 2 10 10" xfId="1753" xr:uid="{00000000-0005-0000-0000-000099040000}"/>
    <cellStyle name="Normal 5 2 10 11" xfId="1924" xr:uid="{00000000-0005-0000-0000-00009A040000}"/>
    <cellStyle name="Normal 5 2 10 12" xfId="2092" xr:uid="{00000000-0005-0000-0000-00009B040000}"/>
    <cellStyle name="Normal 5 2 10 13" xfId="2243" xr:uid="{00000000-0005-0000-0000-00009C040000}"/>
    <cellStyle name="Normal 5 2 10 2" xfId="369" xr:uid="{00000000-0005-0000-0000-00009D040000}"/>
    <cellStyle name="Normal 5 2 10 3" xfId="542" xr:uid="{00000000-0005-0000-0000-00009E040000}"/>
    <cellStyle name="Normal 5 2 10 4" xfId="715" xr:uid="{00000000-0005-0000-0000-00009F040000}"/>
    <cellStyle name="Normal 5 2 10 5" xfId="888" xr:uid="{00000000-0005-0000-0000-0000A0040000}"/>
    <cellStyle name="Normal 5 2 10 6" xfId="1061" xr:uid="{00000000-0005-0000-0000-0000A1040000}"/>
    <cellStyle name="Normal 5 2 10 7" xfId="1234" xr:uid="{00000000-0005-0000-0000-0000A2040000}"/>
    <cellStyle name="Normal 5 2 10 8" xfId="1407" xr:uid="{00000000-0005-0000-0000-0000A3040000}"/>
    <cellStyle name="Normal 5 2 10 9" xfId="1580" xr:uid="{00000000-0005-0000-0000-0000A4040000}"/>
    <cellStyle name="Normal 5 2 11" xfId="170" xr:uid="{00000000-0005-0000-0000-0000A5040000}"/>
    <cellStyle name="Normal 5 2 11 10" xfId="1769" xr:uid="{00000000-0005-0000-0000-0000A6040000}"/>
    <cellStyle name="Normal 5 2 11 11" xfId="1940" xr:uid="{00000000-0005-0000-0000-0000A7040000}"/>
    <cellStyle name="Normal 5 2 11 12" xfId="2107" xr:uid="{00000000-0005-0000-0000-0000A8040000}"/>
    <cellStyle name="Normal 5 2 11 13" xfId="2256" xr:uid="{00000000-0005-0000-0000-0000A9040000}"/>
    <cellStyle name="Normal 5 2 11 2" xfId="385" xr:uid="{00000000-0005-0000-0000-0000AA040000}"/>
    <cellStyle name="Normal 5 2 11 3" xfId="558" xr:uid="{00000000-0005-0000-0000-0000AB040000}"/>
    <cellStyle name="Normal 5 2 11 4" xfId="731" xr:uid="{00000000-0005-0000-0000-0000AC040000}"/>
    <cellStyle name="Normal 5 2 11 5" xfId="904" xr:uid="{00000000-0005-0000-0000-0000AD040000}"/>
    <cellStyle name="Normal 5 2 11 6" xfId="1077" xr:uid="{00000000-0005-0000-0000-0000AE040000}"/>
    <cellStyle name="Normal 5 2 11 7" xfId="1250" xr:uid="{00000000-0005-0000-0000-0000AF040000}"/>
    <cellStyle name="Normal 5 2 11 8" xfId="1423" xr:uid="{00000000-0005-0000-0000-0000B0040000}"/>
    <cellStyle name="Normal 5 2 11 9" xfId="1596" xr:uid="{00000000-0005-0000-0000-0000B1040000}"/>
    <cellStyle name="Normal 5 2 12" xfId="185" xr:uid="{00000000-0005-0000-0000-0000B2040000}"/>
    <cellStyle name="Normal 5 2 12 10" xfId="1784" xr:uid="{00000000-0005-0000-0000-0000B3040000}"/>
    <cellStyle name="Normal 5 2 12 11" xfId="1955" xr:uid="{00000000-0005-0000-0000-0000B4040000}"/>
    <cellStyle name="Normal 5 2 12 12" xfId="2122" xr:uid="{00000000-0005-0000-0000-0000B5040000}"/>
    <cellStyle name="Normal 5 2 12 13" xfId="2268" xr:uid="{00000000-0005-0000-0000-0000B6040000}"/>
    <cellStyle name="Normal 5 2 12 2" xfId="400" xr:uid="{00000000-0005-0000-0000-0000B7040000}"/>
    <cellStyle name="Normal 5 2 12 3" xfId="573" xr:uid="{00000000-0005-0000-0000-0000B8040000}"/>
    <cellStyle name="Normal 5 2 12 4" xfId="746" xr:uid="{00000000-0005-0000-0000-0000B9040000}"/>
    <cellStyle name="Normal 5 2 12 5" xfId="919" xr:uid="{00000000-0005-0000-0000-0000BA040000}"/>
    <cellStyle name="Normal 5 2 12 6" xfId="1092" xr:uid="{00000000-0005-0000-0000-0000BB040000}"/>
    <cellStyle name="Normal 5 2 12 7" xfId="1265" xr:uid="{00000000-0005-0000-0000-0000BC040000}"/>
    <cellStyle name="Normal 5 2 12 8" xfId="1438" xr:uid="{00000000-0005-0000-0000-0000BD040000}"/>
    <cellStyle name="Normal 5 2 12 9" xfId="1611" xr:uid="{00000000-0005-0000-0000-0000BE040000}"/>
    <cellStyle name="Normal 5 2 13" xfId="200" xr:uid="{00000000-0005-0000-0000-0000BF040000}"/>
    <cellStyle name="Normal 5 2 13 10" xfId="1799" xr:uid="{00000000-0005-0000-0000-0000C0040000}"/>
    <cellStyle name="Normal 5 2 13 11" xfId="1970" xr:uid="{00000000-0005-0000-0000-0000C1040000}"/>
    <cellStyle name="Normal 5 2 13 12" xfId="2137" xr:uid="{00000000-0005-0000-0000-0000C2040000}"/>
    <cellStyle name="Normal 5 2 13 13" xfId="2280" xr:uid="{00000000-0005-0000-0000-0000C3040000}"/>
    <cellStyle name="Normal 5 2 13 2" xfId="415" xr:uid="{00000000-0005-0000-0000-0000C4040000}"/>
    <cellStyle name="Normal 5 2 13 3" xfId="588" xr:uid="{00000000-0005-0000-0000-0000C5040000}"/>
    <cellStyle name="Normal 5 2 13 4" xfId="761" xr:uid="{00000000-0005-0000-0000-0000C6040000}"/>
    <cellStyle name="Normal 5 2 13 5" xfId="934" xr:uid="{00000000-0005-0000-0000-0000C7040000}"/>
    <cellStyle name="Normal 5 2 13 6" xfId="1107" xr:uid="{00000000-0005-0000-0000-0000C8040000}"/>
    <cellStyle name="Normal 5 2 13 7" xfId="1280" xr:uid="{00000000-0005-0000-0000-0000C9040000}"/>
    <cellStyle name="Normal 5 2 13 8" xfId="1453" xr:uid="{00000000-0005-0000-0000-0000CA040000}"/>
    <cellStyle name="Normal 5 2 13 9" xfId="1626" xr:uid="{00000000-0005-0000-0000-0000CB040000}"/>
    <cellStyle name="Normal 5 2 14" xfId="213" xr:uid="{00000000-0005-0000-0000-0000CC040000}"/>
    <cellStyle name="Normal 5 2 14 10" xfId="1812" xr:uid="{00000000-0005-0000-0000-0000CD040000}"/>
    <cellStyle name="Normal 5 2 14 11" xfId="1983" xr:uid="{00000000-0005-0000-0000-0000CE040000}"/>
    <cellStyle name="Normal 5 2 14 12" xfId="2149" xr:uid="{00000000-0005-0000-0000-0000CF040000}"/>
    <cellStyle name="Normal 5 2 14 13" xfId="2290" xr:uid="{00000000-0005-0000-0000-0000D0040000}"/>
    <cellStyle name="Normal 5 2 14 2" xfId="428" xr:uid="{00000000-0005-0000-0000-0000D1040000}"/>
    <cellStyle name="Normal 5 2 14 3" xfId="601" xr:uid="{00000000-0005-0000-0000-0000D2040000}"/>
    <cellStyle name="Normal 5 2 14 4" xfId="774" xr:uid="{00000000-0005-0000-0000-0000D3040000}"/>
    <cellStyle name="Normal 5 2 14 5" xfId="947" xr:uid="{00000000-0005-0000-0000-0000D4040000}"/>
    <cellStyle name="Normal 5 2 14 6" xfId="1120" xr:uid="{00000000-0005-0000-0000-0000D5040000}"/>
    <cellStyle name="Normal 5 2 14 7" xfId="1293" xr:uid="{00000000-0005-0000-0000-0000D6040000}"/>
    <cellStyle name="Normal 5 2 14 8" xfId="1466" xr:uid="{00000000-0005-0000-0000-0000D7040000}"/>
    <cellStyle name="Normal 5 2 14 9" xfId="1639" xr:uid="{00000000-0005-0000-0000-0000D8040000}"/>
    <cellStyle name="Normal 5 2 15" xfId="234" xr:uid="{00000000-0005-0000-0000-0000D9040000}"/>
    <cellStyle name="Normal 5 2 16" xfId="395" xr:uid="{00000000-0005-0000-0000-0000DA040000}"/>
    <cellStyle name="Normal 5 2 17" xfId="568" xr:uid="{00000000-0005-0000-0000-0000DB040000}"/>
    <cellStyle name="Normal 5 2 18" xfId="741" xr:uid="{00000000-0005-0000-0000-0000DC040000}"/>
    <cellStyle name="Normal 5 2 19" xfId="914" xr:uid="{00000000-0005-0000-0000-0000DD040000}"/>
    <cellStyle name="Normal 5 2 2" xfId="24" xr:uid="{00000000-0005-0000-0000-0000DE040000}"/>
    <cellStyle name="Normal 5 2 2 10" xfId="177" xr:uid="{00000000-0005-0000-0000-0000DF040000}"/>
    <cellStyle name="Normal 5 2 2 10 10" xfId="1776" xr:uid="{00000000-0005-0000-0000-0000E0040000}"/>
    <cellStyle name="Normal 5 2 2 10 11" xfId="1947" xr:uid="{00000000-0005-0000-0000-0000E1040000}"/>
    <cellStyle name="Normal 5 2 2 10 12" xfId="2114" xr:uid="{00000000-0005-0000-0000-0000E2040000}"/>
    <cellStyle name="Normal 5 2 2 10 13" xfId="2262" xr:uid="{00000000-0005-0000-0000-0000E3040000}"/>
    <cellStyle name="Normal 5 2 2 10 2" xfId="392" xr:uid="{00000000-0005-0000-0000-0000E4040000}"/>
    <cellStyle name="Normal 5 2 2 10 3" xfId="565" xr:uid="{00000000-0005-0000-0000-0000E5040000}"/>
    <cellStyle name="Normal 5 2 2 10 4" xfId="738" xr:uid="{00000000-0005-0000-0000-0000E6040000}"/>
    <cellStyle name="Normal 5 2 2 10 5" xfId="911" xr:uid="{00000000-0005-0000-0000-0000E7040000}"/>
    <cellStyle name="Normal 5 2 2 10 6" xfId="1084" xr:uid="{00000000-0005-0000-0000-0000E8040000}"/>
    <cellStyle name="Normal 5 2 2 10 7" xfId="1257" xr:uid="{00000000-0005-0000-0000-0000E9040000}"/>
    <cellStyle name="Normal 5 2 2 10 8" xfId="1430" xr:uid="{00000000-0005-0000-0000-0000EA040000}"/>
    <cellStyle name="Normal 5 2 2 10 9" xfId="1603" xr:uid="{00000000-0005-0000-0000-0000EB040000}"/>
    <cellStyle name="Normal 5 2 2 11" xfId="192" xr:uid="{00000000-0005-0000-0000-0000EC040000}"/>
    <cellStyle name="Normal 5 2 2 11 10" xfId="1791" xr:uid="{00000000-0005-0000-0000-0000ED040000}"/>
    <cellStyle name="Normal 5 2 2 11 11" xfId="1962" xr:uid="{00000000-0005-0000-0000-0000EE040000}"/>
    <cellStyle name="Normal 5 2 2 11 12" xfId="2129" xr:uid="{00000000-0005-0000-0000-0000EF040000}"/>
    <cellStyle name="Normal 5 2 2 11 13" xfId="2274" xr:uid="{00000000-0005-0000-0000-0000F0040000}"/>
    <cellStyle name="Normal 5 2 2 11 2" xfId="407" xr:uid="{00000000-0005-0000-0000-0000F1040000}"/>
    <cellStyle name="Normal 5 2 2 11 3" xfId="580" xr:uid="{00000000-0005-0000-0000-0000F2040000}"/>
    <cellStyle name="Normal 5 2 2 11 4" xfId="753" xr:uid="{00000000-0005-0000-0000-0000F3040000}"/>
    <cellStyle name="Normal 5 2 2 11 5" xfId="926" xr:uid="{00000000-0005-0000-0000-0000F4040000}"/>
    <cellStyle name="Normal 5 2 2 11 6" xfId="1099" xr:uid="{00000000-0005-0000-0000-0000F5040000}"/>
    <cellStyle name="Normal 5 2 2 11 7" xfId="1272" xr:uid="{00000000-0005-0000-0000-0000F6040000}"/>
    <cellStyle name="Normal 5 2 2 11 8" xfId="1445" xr:uid="{00000000-0005-0000-0000-0000F7040000}"/>
    <cellStyle name="Normal 5 2 2 11 9" xfId="1618" xr:uid="{00000000-0005-0000-0000-0000F8040000}"/>
    <cellStyle name="Normal 5 2 2 12" xfId="207" xr:uid="{00000000-0005-0000-0000-0000F9040000}"/>
    <cellStyle name="Normal 5 2 2 12 10" xfId="1806" xr:uid="{00000000-0005-0000-0000-0000FA040000}"/>
    <cellStyle name="Normal 5 2 2 12 11" xfId="1977" xr:uid="{00000000-0005-0000-0000-0000FB040000}"/>
    <cellStyle name="Normal 5 2 2 12 12" xfId="2144" xr:uid="{00000000-0005-0000-0000-0000FC040000}"/>
    <cellStyle name="Normal 5 2 2 12 13" xfId="2286" xr:uid="{00000000-0005-0000-0000-0000FD040000}"/>
    <cellStyle name="Normal 5 2 2 12 2" xfId="422" xr:uid="{00000000-0005-0000-0000-0000FE040000}"/>
    <cellStyle name="Normal 5 2 2 12 3" xfId="595" xr:uid="{00000000-0005-0000-0000-0000FF040000}"/>
    <cellStyle name="Normal 5 2 2 12 4" xfId="768" xr:uid="{00000000-0005-0000-0000-000000050000}"/>
    <cellStyle name="Normal 5 2 2 12 5" xfId="941" xr:uid="{00000000-0005-0000-0000-000001050000}"/>
    <cellStyle name="Normal 5 2 2 12 6" xfId="1114" xr:uid="{00000000-0005-0000-0000-000002050000}"/>
    <cellStyle name="Normal 5 2 2 12 7" xfId="1287" xr:uid="{00000000-0005-0000-0000-000003050000}"/>
    <cellStyle name="Normal 5 2 2 12 8" xfId="1460" xr:uid="{00000000-0005-0000-0000-000004050000}"/>
    <cellStyle name="Normal 5 2 2 12 9" xfId="1633" xr:uid="{00000000-0005-0000-0000-000005050000}"/>
    <cellStyle name="Normal 5 2 2 13" xfId="219" xr:uid="{00000000-0005-0000-0000-000006050000}"/>
    <cellStyle name="Normal 5 2 2 13 10" xfId="1818" xr:uid="{00000000-0005-0000-0000-000007050000}"/>
    <cellStyle name="Normal 5 2 2 13 11" xfId="1989" xr:uid="{00000000-0005-0000-0000-000008050000}"/>
    <cellStyle name="Normal 5 2 2 13 12" xfId="2155" xr:uid="{00000000-0005-0000-0000-000009050000}"/>
    <cellStyle name="Normal 5 2 2 13 13" xfId="2296" xr:uid="{00000000-0005-0000-0000-00000A050000}"/>
    <cellStyle name="Normal 5 2 2 13 2" xfId="434" xr:uid="{00000000-0005-0000-0000-00000B050000}"/>
    <cellStyle name="Normal 5 2 2 13 3" xfId="607" xr:uid="{00000000-0005-0000-0000-00000C050000}"/>
    <cellStyle name="Normal 5 2 2 13 4" xfId="780" xr:uid="{00000000-0005-0000-0000-00000D050000}"/>
    <cellStyle name="Normal 5 2 2 13 5" xfId="953" xr:uid="{00000000-0005-0000-0000-00000E050000}"/>
    <cellStyle name="Normal 5 2 2 13 6" xfId="1126" xr:uid="{00000000-0005-0000-0000-00000F050000}"/>
    <cellStyle name="Normal 5 2 2 13 7" xfId="1299" xr:uid="{00000000-0005-0000-0000-000010050000}"/>
    <cellStyle name="Normal 5 2 2 13 8" xfId="1472" xr:uid="{00000000-0005-0000-0000-000011050000}"/>
    <cellStyle name="Normal 5 2 2 13 9" xfId="1645" xr:uid="{00000000-0005-0000-0000-000012050000}"/>
    <cellStyle name="Normal 5 2 2 14" xfId="242" xr:uid="{00000000-0005-0000-0000-000013050000}"/>
    <cellStyle name="Normal 5 2 2 15" xfId="322" xr:uid="{00000000-0005-0000-0000-000014050000}"/>
    <cellStyle name="Normal 5 2 2 16" xfId="495" xr:uid="{00000000-0005-0000-0000-000015050000}"/>
    <cellStyle name="Normal 5 2 2 17" xfId="668" xr:uid="{00000000-0005-0000-0000-000016050000}"/>
    <cellStyle name="Normal 5 2 2 18" xfId="841" xr:uid="{00000000-0005-0000-0000-000017050000}"/>
    <cellStyle name="Normal 5 2 2 19" xfId="1014" xr:uid="{00000000-0005-0000-0000-000018050000}"/>
    <cellStyle name="Normal 5 2 2 2" xfId="49" xr:uid="{00000000-0005-0000-0000-000019050000}"/>
    <cellStyle name="Normal 5 2 2 2 10" xfId="1650" xr:uid="{00000000-0005-0000-0000-00001A050000}"/>
    <cellStyle name="Normal 5 2 2 2 11" xfId="1823" xr:uid="{00000000-0005-0000-0000-00001B050000}"/>
    <cellStyle name="Normal 5 2 2 2 12" xfId="1994" xr:uid="{00000000-0005-0000-0000-00001C050000}"/>
    <cellStyle name="Normal 5 2 2 2 13" xfId="2159" xr:uid="{00000000-0005-0000-0000-00001D050000}"/>
    <cellStyle name="Normal 5 2 2 2 2" xfId="266" xr:uid="{00000000-0005-0000-0000-00001E050000}"/>
    <cellStyle name="Normal 5 2 2 2 3" xfId="439" xr:uid="{00000000-0005-0000-0000-00001F050000}"/>
    <cellStyle name="Normal 5 2 2 2 4" xfId="612" xr:uid="{00000000-0005-0000-0000-000020050000}"/>
    <cellStyle name="Normal 5 2 2 2 5" xfId="785" xr:uid="{00000000-0005-0000-0000-000021050000}"/>
    <cellStyle name="Normal 5 2 2 2 6" xfId="958" xr:uid="{00000000-0005-0000-0000-000022050000}"/>
    <cellStyle name="Normal 5 2 2 2 7" xfId="1131" xr:uid="{00000000-0005-0000-0000-000023050000}"/>
    <cellStyle name="Normal 5 2 2 2 8" xfId="1304" xr:uid="{00000000-0005-0000-0000-000024050000}"/>
    <cellStyle name="Normal 5 2 2 2 9" xfId="1477" xr:uid="{00000000-0005-0000-0000-000025050000}"/>
    <cellStyle name="Normal 5 2 2 20" xfId="1187" xr:uid="{00000000-0005-0000-0000-000026050000}"/>
    <cellStyle name="Normal 5 2 2 21" xfId="1360" xr:uid="{00000000-0005-0000-0000-000027050000}"/>
    <cellStyle name="Normal 5 2 2 22" xfId="1533" xr:uid="{00000000-0005-0000-0000-000028050000}"/>
    <cellStyle name="Normal 5 2 2 23" xfId="1706" xr:uid="{00000000-0005-0000-0000-000029050000}"/>
    <cellStyle name="Normal 5 2 2 24" xfId="1878" xr:uid="{00000000-0005-0000-0000-00002A050000}"/>
    <cellStyle name="Normal 5 2 2 25" xfId="2048" xr:uid="{00000000-0005-0000-0000-00002B050000}"/>
    <cellStyle name="Normal 5 2 2 3" xfId="66" xr:uid="{00000000-0005-0000-0000-00002C050000}"/>
    <cellStyle name="Normal 5 2 2 3 10" xfId="1665" xr:uid="{00000000-0005-0000-0000-00002D050000}"/>
    <cellStyle name="Normal 5 2 2 3 11" xfId="1838" xr:uid="{00000000-0005-0000-0000-00002E050000}"/>
    <cellStyle name="Normal 5 2 2 3 12" xfId="2009" xr:uid="{00000000-0005-0000-0000-00002F050000}"/>
    <cellStyle name="Normal 5 2 2 3 13" xfId="2172" xr:uid="{00000000-0005-0000-0000-000030050000}"/>
    <cellStyle name="Normal 5 2 2 3 2" xfId="281" xr:uid="{00000000-0005-0000-0000-000031050000}"/>
    <cellStyle name="Normal 5 2 2 3 3" xfId="454" xr:uid="{00000000-0005-0000-0000-000032050000}"/>
    <cellStyle name="Normal 5 2 2 3 4" xfId="627" xr:uid="{00000000-0005-0000-0000-000033050000}"/>
    <cellStyle name="Normal 5 2 2 3 5" xfId="800" xr:uid="{00000000-0005-0000-0000-000034050000}"/>
    <cellStyle name="Normal 5 2 2 3 6" xfId="973" xr:uid="{00000000-0005-0000-0000-000035050000}"/>
    <cellStyle name="Normal 5 2 2 3 7" xfId="1146" xr:uid="{00000000-0005-0000-0000-000036050000}"/>
    <cellStyle name="Normal 5 2 2 3 8" xfId="1319" xr:uid="{00000000-0005-0000-0000-000037050000}"/>
    <cellStyle name="Normal 5 2 2 3 9" xfId="1492" xr:uid="{00000000-0005-0000-0000-000038050000}"/>
    <cellStyle name="Normal 5 2 2 4" xfId="82" xr:uid="{00000000-0005-0000-0000-000039050000}"/>
    <cellStyle name="Normal 5 2 2 4 10" xfId="1681" xr:uid="{00000000-0005-0000-0000-00003A050000}"/>
    <cellStyle name="Normal 5 2 2 4 11" xfId="1853" xr:uid="{00000000-0005-0000-0000-00003B050000}"/>
    <cellStyle name="Normal 5 2 2 4 12" xfId="2024" xr:uid="{00000000-0005-0000-0000-00003C050000}"/>
    <cellStyle name="Normal 5 2 2 4 13" xfId="2185" xr:uid="{00000000-0005-0000-0000-00003D050000}"/>
    <cellStyle name="Normal 5 2 2 4 2" xfId="297" xr:uid="{00000000-0005-0000-0000-00003E050000}"/>
    <cellStyle name="Normal 5 2 2 4 3" xfId="470" xr:uid="{00000000-0005-0000-0000-00003F050000}"/>
    <cellStyle name="Normal 5 2 2 4 4" xfId="643" xr:uid="{00000000-0005-0000-0000-000040050000}"/>
    <cellStyle name="Normal 5 2 2 4 5" xfId="816" xr:uid="{00000000-0005-0000-0000-000041050000}"/>
    <cellStyle name="Normal 5 2 2 4 6" xfId="989" xr:uid="{00000000-0005-0000-0000-000042050000}"/>
    <cellStyle name="Normal 5 2 2 4 7" xfId="1162" xr:uid="{00000000-0005-0000-0000-000043050000}"/>
    <cellStyle name="Normal 5 2 2 4 8" xfId="1335" xr:uid="{00000000-0005-0000-0000-000044050000}"/>
    <cellStyle name="Normal 5 2 2 4 9" xfId="1508" xr:uid="{00000000-0005-0000-0000-000045050000}"/>
    <cellStyle name="Normal 5 2 2 5" xfId="98" xr:uid="{00000000-0005-0000-0000-000046050000}"/>
    <cellStyle name="Normal 5 2 2 5 10" xfId="1697" xr:uid="{00000000-0005-0000-0000-000047050000}"/>
    <cellStyle name="Normal 5 2 2 5 11" xfId="1869" xr:uid="{00000000-0005-0000-0000-000048050000}"/>
    <cellStyle name="Normal 5 2 2 5 12" xfId="2039" xr:uid="{00000000-0005-0000-0000-000049050000}"/>
    <cellStyle name="Normal 5 2 2 5 13" xfId="2198" xr:uid="{00000000-0005-0000-0000-00004A050000}"/>
    <cellStyle name="Normal 5 2 2 5 2" xfId="313" xr:uid="{00000000-0005-0000-0000-00004B050000}"/>
    <cellStyle name="Normal 5 2 2 5 3" xfId="486" xr:uid="{00000000-0005-0000-0000-00004C050000}"/>
    <cellStyle name="Normal 5 2 2 5 4" xfId="659" xr:uid="{00000000-0005-0000-0000-00004D050000}"/>
    <cellStyle name="Normal 5 2 2 5 5" xfId="832" xr:uid="{00000000-0005-0000-0000-00004E050000}"/>
    <cellStyle name="Normal 5 2 2 5 6" xfId="1005" xr:uid="{00000000-0005-0000-0000-00004F050000}"/>
    <cellStyle name="Normal 5 2 2 5 7" xfId="1178" xr:uid="{00000000-0005-0000-0000-000050050000}"/>
    <cellStyle name="Normal 5 2 2 5 8" xfId="1351" xr:uid="{00000000-0005-0000-0000-000051050000}"/>
    <cellStyle name="Normal 5 2 2 5 9" xfId="1524" xr:uid="{00000000-0005-0000-0000-000052050000}"/>
    <cellStyle name="Normal 5 2 2 6" xfId="114" xr:uid="{00000000-0005-0000-0000-000053050000}"/>
    <cellStyle name="Normal 5 2 2 6 10" xfId="1713" xr:uid="{00000000-0005-0000-0000-000054050000}"/>
    <cellStyle name="Normal 5 2 2 6 11" xfId="1885" xr:uid="{00000000-0005-0000-0000-000055050000}"/>
    <cellStyle name="Normal 5 2 2 6 12" xfId="2055" xr:uid="{00000000-0005-0000-0000-000056050000}"/>
    <cellStyle name="Normal 5 2 2 6 13" xfId="2211" xr:uid="{00000000-0005-0000-0000-000057050000}"/>
    <cellStyle name="Normal 5 2 2 6 2" xfId="329" xr:uid="{00000000-0005-0000-0000-000058050000}"/>
    <cellStyle name="Normal 5 2 2 6 3" xfId="502" xr:uid="{00000000-0005-0000-0000-000059050000}"/>
    <cellStyle name="Normal 5 2 2 6 4" xfId="675" xr:uid="{00000000-0005-0000-0000-00005A050000}"/>
    <cellStyle name="Normal 5 2 2 6 5" xfId="848" xr:uid="{00000000-0005-0000-0000-00005B050000}"/>
    <cellStyle name="Normal 5 2 2 6 6" xfId="1021" xr:uid="{00000000-0005-0000-0000-00005C050000}"/>
    <cellStyle name="Normal 5 2 2 6 7" xfId="1194" xr:uid="{00000000-0005-0000-0000-00005D050000}"/>
    <cellStyle name="Normal 5 2 2 6 8" xfId="1367" xr:uid="{00000000-0005-0000-0000-00005E050000}"/>
    <cellStyle name="Normal 5 2 2 6 9" xfId="1540" xr:uid="{00000000-0005-0000-0000-00005F050000}"/>
    <cellStyle name="Normal 5 2 2 7" xfId="130" xr:uid="{00000000-0005-0000-0000-000060050000}"/>
    <cellStyle name="Normal 5 2 2 7 10" xfId="1729" xr:uid="{00000000-0005-0000-0000-000061050000}"/>
    <cellStyle name="Normal 5 2 2 7 11" xfId="1901" xr:uid="{00000000-0005-0000-0000-000062050000}"/>
    <cellStyle name="Normal 5 2 2 7 12" xfId="2069" xr:uid="{00000000-0005-0000-0000-000063050000}"/>
    <cellStyle name="Normal 5 2 2 7 13" xfId="2224" xr:uid="{00000000-0005-0000-0000-000064050000}"/>
    <cellStyle name="Normal 5 2 2 7 2" xfId="345" xr:uid="{00000000-0005-0000-0000-000065050000}"/>
    <cellStyle name="Normal 5 2 2 7 3" xfId="518" xr:uid="{00000000-0005-0000-0000-000066050000}"/>
    <cellStyle name="Normal 5 2 2 7 4" xfId="691" xr:uid="{00000000-0005-0000-0000-000067050000}"/>
    <cellStyle name="Normal 5 2 2 7 5" xfId="864" xr:uid="{00000000-0005-0000-0000-000068050000}"/>
    <cellStyle name="Normal 5 2 2 7 6" xfId="1037" xr:uid="{00000000-0005-0000-0000-000069050000}"/>
    <cellStyle name="Normal 5 2 2 7 7" xfId="1210" xr:uid="{00000000-0005-0000-0000-00006A050000}"/>
    <cellStyle name="Normal 5 2 2 7 8" xfId="1383" xr:uid="{00000000-0005-0000-0000-00006B050000}"/>
    <cellStyle name="Normal 5 2 2 7 9" xfId="1556" xr:uid="{00000000-0005-0000-0000-00006C050000}"/>
    <cellStyle name="Normal 5 2 2 8" xfId="146" xr:uid="{00000000-0005-0000-0000-00006D050000}"/>
    <cellStyle name="Normal 5 2 2 8 10" xfId="1745" xr:uid="{00000000-0005-0000-0000-00006E050000}"/>
    <cellStyle name="Normal 5 2 2 8 11" xfId="1916" xr:uid="{00000000-0005-0000-0000-00006F050000}"/>
    <cellStyle name="Normal 5 2 2 8 12" xfId="2084" xr:uid="{00000000-0005-0000-0000-000070050000}"/>
    <cellStyle name="Normal 5 2 2 8 13" xfId="2237" xr:uid="{00000000-0005-0000-0000-000071050000}"/>
    <cellStyle name="Normal 5 2 2 8 2" xfId="361" xr:uid="{00000000-0005-0000-0000-000072050000}"/>
    <cellStyle name="Normal 5 2 2 8 3" xfId="534" xr:uid="{00000000-0005-0000-0000-000073050000}"/>
    <cellStyle name="Normal 5 2 2 8 4" xfId="707" xr:uid="{00000000-0005-0000-0000-000074050000}"/>
    <cellStyle name="Normal 5 2 2 8 5" xfId="880" xr:uid="{00000000-0005-0000-0000-000075050000}"/>
    <cellStyle name="Normal 5 2 2 8 6" xfId="1053" xr:uid="{00000000-0005-0000-0000-000076050000}"/>
    <cellStyle name="Normal 5 2 2 8 7" xfId="1226" xr:uid="{00000000-0005-0000-0000-000077050000}"/>
    <cellStyle name="Normal 5 2 2 8 8" xfId="1399" xr:uid="{00000000-0005-0000-0000-000078050000}"/>
    <cellStyle name="Normal 5 2 2 8 9" xfId="1572" xr:uid="{00000000-0005-0000-0000-000079050000}"/>
    <cellStyle name="Normal 5 2 2 9" xfId="162" xr:uid="{00000000-0005-0000-0000-00007A050000}"/>
    <cellStyle name="Normal 5 2 2 9 10" xfId="1761" xr:uid="{00000000-0005-0000-0000-00007B050000}"/>
    <cellStyle name="Normal 5 2 2 9 11" xfId="1932" xr:uid="{00000000-0005-0000-0000-00007C050000}"/>
    <cellStyle name="Normal 5 2 2 9 12" xfId="2100" xr:uid="{00000000-0005-0000-0000-00007D050000}"/>
    <cellStyle name="Normal 5 2 2 9 13" xfId="2250" xr:uid="{00000000-0005-0000-0000-00007E050000}"/>
    <cellStyle name="Normal 5 2 2 9 2" xfId="377" xr:uid="{00000000-0005-0000-0000-00007F050000}"/>
    <cellStyle name="Normal 5 2 2 9 3" xfId="550" xr:uid="{00000000-0005-0000-0000-000080050000}"/>
    <cellStyle name="Normal 5 2 2 9 4" xfId="723" xr:uid="{00000000-0005-0000-0000-000081050000}"/>
    <cellStyle name="Normal 5 2 2 9 5" xfId="896" xr:uid="{00000000-0005-0000-0000-000082050000}"/>
    <cellStyle name="Normal 5 2 2 9 6" xfId="1069" xr:uid="{00000000-0005-0000-0000-000083050000}"/>
    <cellStyle name="Normal 5 2 2 9 7" xfId="1242" xr:uid="{00000000-0005-0000-0000-000084050000}"/>
    <cellStyle name="Normal 5 2 2 9 8" xfId="1415" xr:uid="{00000000-0005-0000-0000-000085050000}"/>
    <cellStyle name="Normal 5 2 2 9 9" xfId="1588" xr:uid="{00000000-0005-0000-0000-000086050000}"/>
    <cellStyle name="Normal 5 2 20" xfId="1087" xr:uid="{00000000-0005-0000-0000-000087050000}"/>
    <cellStyle name="Normal 5 2 21" xfId="1260" xr:uid="{00000000-0005-0000-0000-000088050000}"/>
    <cellStyle name="Normal 5 2 22" xfId="1433" xr:uid="{00000000-0005-0000-0000-000089050000}"/>
    <cellStyle name="Normal 5 2 23" xfId="1606" xr:uid="{00000000-0005-0000-0000-00008A050000}"/>
    <cellStyle name="Normal 5 2 24" xfId="1779" xr:uid="{00000000-0005-0000-0000-00008B050000}"/>
    <cellStyle name="Normal 5 2 25" xfId="1950" xr:uid="{00000000-0005-0000-0000-00008C050000}"/>
    <cellStyle name="Normal 5 2 26" xfId="2117" xr:uid="{00000000-0005-0000-0000-00008D050000}"/>
    <cellStyle name="Normal 5 2 3" xfId="41" xr:uid="{00000000-0005-0000-0000-00008E050000}"/>
    <cellStyle name="Normal 5 2 3 10" xfId="1646" xr:uid="{00000000-0005-0000-0000-00008F050000}"/>
    <cellStyle name="Normal 5 2 3 11" xfId="1819" xr:uid="{00000000-0005-0000-0000-000090050000}"/>
    <cellStyle name="Normal 5 2 3 12" xfId="1990" xr:uid="{00000000-0005-0000-0000-000091050000}"/>
    <cellStyle name="Normal 5 2 3 13" xfId="2156" xr:uid="{00000000-0005-0000-0000-000092050000}"/>
    <cellStyle name="Normal 5 2 3 2" xfId="258" xr:uid="{00000000-0005-0000-0000-000093050000}"/>
    <cellStyle name="Normal 5 2 3 3" xfId="435" xr:uid="{00000000-0005-0000-0000-000094050000}"/>
    <cellStyle name="Normal 5 2 3 4" xfId="608" xr:uid="{00000000-0005-0000-0000-000095050000}"/>
    <cellStyle name="Normal 5 2 3 5" xfId="781" xr:uid="{00000000-0005-0000-0000-000096050000}"/>
    <cellStyle name="Normal 5 2 3 6" xfId="954" xr:uid="{00000000-0005-0000-0000-000097050000}"/>
    <cellStyle name="Normal 5 2 3 7" xfId="1127" xr:uid="{00000000-0005-0000-0000-000098050000}"/>
    <cellStyle name="Normal 5 2 3 8" xfId="1300" xr:uid="{00000000-0005-0000-0000-000099050000}"/>
    <cellStyle name="Normal 5 2 3 9" xfId="1473" xr:uid="{00000000-0005-0000-0000-00009A050000}"/>
    <cellStyle name="Normal 5 2 4" xfId="58" xr:uid="{00000000-0005-0000-0000-00009B050000}"/>
    <cellStyle name="Normal 5 2 4 10" xfId="1658" xr:uid="{00000000-0005-0000-0000-00009C050000}"/>
    <cellStyle name="Normal 5 2 4 11" xfId="1831" xr:uid="{00000000-0005-0000-0000-00009D050000}"/>
    <cellStyle name="Normal 5 2 4 12" xfId="2002" xr:uid="{00000000-0005-0000-0000-00009E050000}"/>
    <cellStyle name="Normal 5 2 4 13" xfId="2165" xr:uid="{00000000-0005-0000-0000-00009F050000}"/>
    <cellStyle name="Normal 5 2 4 2" xfId="274" xr:uid="{00000000-0005-0000-0000-0000A0050000}"/>
    <cellStyle name="Normal 5 2 4 3" xfId="447" xr:uid="{00000000-0005-0000-0000-0000A1050000}"/>
    <cellStyle name="Normal 5 2 4 4" xfId="620" xr:uid="{00000000-0005-0000-0000-0000A2050000}"/>
    <cellStyle name="Normal 5 2 4 5" xfId="793" xr:uid="{00000000-0005-0000-0000-0000A3050000}"/>
    <cellStyle name="Normal 5 2 4 6" xfId="966" xr:uid="{00000000-0005-0000-0000-0000A4050000}"/>
    <cellStyle name="Normal 5 2 4 7" xfId="1139" xr:uid="{00000000-0005-0000-0000-0000A5050000}"/>
    <cellStyle name="Normal 5 2 4 8" xfId="1312" xr:uid="{00000000-0005-0000-0000-0000A6050000}"/>
    <cellStyle name="Normal 5 2 4 9" xfId="1485" xr:uid="{00000000-0005-0000-0000-0000A7050000}"/>
    <cellStyle name="Normal 5 2 5" xfId="74" xr:uid="{00000000-0005-0000-0000-0000A8050000}"/>
    <cellStyle name="Normal 5 2 5 10" xfId="1673" xr:uid="{00000000-0005-0000-0000-0000A9050000}"/>
    <cellStyle name="Normal 5 2 5 11" xfId="1846" xr:uid="{00000000-0005-0000-0000-0000AA050000}"/>
    <cellStyle name="Normal 5 2 5 12" xfId="2017" xr:uid="{00000000-0005-0000-0000-0000AB050000}"/>
    <cellStyle name="Normal 5 2 5 13" xfId="2178" xr:uid="{00000000-0005-0000-0000-0000AC050000}"/>
    <cellStyle name="Normal 5 2 5 2" xfId="289" xr:uid="{00000000-0005-0000-0000-0000AD050000}"/>
    <cellStyle name="Normal 5 2 5 3" xfId="462" xr:uid="{00000000-0005-0000-0000-0000AE050000}"/>
    <cellStyle name="Normal 5 2 5 4" xfId="635" xr:uid="{00000000-0005-0000-0000-0000AF050000}"/>
    <cellStyle name="Normal 5 2 5 5" xfId="808" xr:uid="{00000000-0005-0000-0000-0000B0050000}"/>
    <cellStyle name="Normal 5 2 5 6" xfId="981" xr:uid="{00000000-0005-0000-0000-0000B1050000}"/>
    <cellStyle name="Normal 5 2 5 7" xfId="1154" xr:uid="{00000000-0005-0000-0000-0000B2050000}"/>
    <cellStyle name="Normal 5 2 5 8" xfId="1327" xr:uid="{00000000-0005-0000-0000-0000B3050000}"/>
    <cellStyle name="Normal 5 2 5 9" xfId="1500" xr:uid="{00000000-0005-0000-0000-0000B4050000}"/>
    <cellStyle name="Normal 5 2 6" xfId="90" xr:uid="{00000000-0005-0000-0000-0000B5050000}"/>
    <cellStyle name="Normal 5 2 6 10" xfId="1689" xr:uid="{00000000-0005-0000-0000-0000B6050000}"/>
    <cellStyle name="Normal 5 2 6 11" xfId="1861" xr:uid="{00000000-0005-0000-0000-0000B7050000}"/>
    <cellStyle name="Normal 5 2 6 12" xfId="2031" xr:uid="{00000000-0005-0000-0000-0000B8050000}"/>
    <cellStyle name="Normal 5 2 6 13" xfId="2191" xr:uid="{00000000-0005-0000-0000-0000B9050000}"/>
    <cellStyle name="Normal 5 2 6 2" xfId="305" xr:uid="{00000000-0005-0000-0000-0000BA050000}"/>
    <cellStyle name="Normal 5 2 6 3" xfId="478" xr:uid="{00000000-0005-0000-0000-0000BB050000}"/>
    <cellStyle name="Normal 5 2 6 4" xfId="651" xr:uid="{00000000-0005-0000-0000-0000BC050000}"/>
    <cellStyle name="Normal 5 2 6 5" xfId="824" xr:uid="{00000000-0005-0000-0000-0000BD050000}"/>
    <cellStyle name="Normal 5 2 6 6" xfId="997" xr:uid="{00000000-0005-0000-0000-0000BE050000}"/>
    <cellStyle name="Normal 5 2 6 7" xfId="1170" xr:uid="{00000000-0005-0000-0000-0000BF050000}"/>
    <cellStyle name="Normal 5 2 6 8" xfId="1343" xr:uid="{00000000-0005-0000-0000-0000C0050000}"/>
    <cellStyle name="Normal 5 2 6 9" xfId="1516" xr:uid="{00000000-0005-0000-0000-0000C1050000}"/>
    <cellStyle name="Normal 5 2 7" xfId="106" xr:uid="{00000000-0005-0000-0000-0000C2050000}"/>
    <cellStyle name="Normal 5 2 7 10" xfId="1705" xr:uid="{00000000-0005-0000-0000-0000C3050000}"/>
    <cellStyle name="Normal 5 2 7 11" xfId="1877" xr:uid="{00000000-0005-0000-0000-0000C4050000}"/>
    <cellStyle name="Normal 5 2 7 12" xfId="2047" xr:uid="{00000000-0005-0000-0000-0000C5050000}"/>
    <cellStyle name="Normal 5 2 7 13" xfId="2204" xr:uid="{00000000-0005-0000-0000-0000C6050000}"/>
    <cellStyle name="Normal 5 2 7 2" xfId="321" xr:uid="{00000000-0005-0000-0000-0000C7050000}"/>
    <cellStyle name="Normal 5 2 7 3" xfId="494" xr:uid="{00000000-0005-0000-0000-0000C8050000}"/>
    <cellStyle name="Normal 5 2 7 4" xfId="667" xr:uid="{00000000-0005-0000-0000-0000C9050000}"/>
    <cellStyle name="Normal 5 2 7 5" xfId="840" xr:uid="{00000000-0005-0000-0000-0000CA050000}"/>
    <cellStyle name="Normal 5 2 7 6" xfId="1013" xr:uid="{00000000-0005-0000-0000-0000CB050000}"/>
    <cellStyle name="Normal 5 2 7 7" xfId="1186" xr:uid="{00000000-0005-0000-0000-0000CC050000}"/>
    <cellStyle name="Normal 5 2 7 8" xfId="1359" xr:uid="{00000000-0005-0000-0000-0000CD050000}"/>
    <cellStyle name="Normal 5 2 7 9" xfId="1532" xr:uid="{00000000-0005-0000-0000-0000CE050000}"/>
    <cellStyle name="Normal 5 2 8" xfId="122" xr:uid="{00000000-0005-0000-0000-0000CF050000}"/>
    <cellStyle name="Normal 5 2 8 10" xfId="1721" xr:uid="{00000000-0005-0000-0000-0000D0050000}"/>
    <cellStyle name="Normal 5 2 8 11" xfId="1893" xr:uid="{00000000-0005-0000-0000-0000D1050000}"/>
    <cellStyle name="Normal 5 2 8 12" xfId="2061" xr:uid="{00000000-0005-0000-0000-0000D2050000}"/>
    <cellStyle name="Normal 5 2 8 13" xfId="2217" xr:uid="{00000000-0005-0000-0000-0000D3050000}"/>
    <cellStyle name="Normal 5 2 8 2" xfId="337" xr:uid="{00000000-0005-0000-0000-0000D4050000}"/>
    <cellStyle name="Normal 5 2 8 3" xfId="510" xr:uid="{00000000-0005-0000-0000-0000D5050000}"/>
    <cellStyle name="Normal 5 2 8 4" xfId="683" xr:uid="{00000000-0005-0000-0000-0000D6050000}"/>
    <cellStyle name="Normal 5 2 8 5" xfId="856" xr:uid="{00000000-0005-0000-0000-0000D7050000}"/>
    <cellStyle name="Normal 5 2 8 6" xfId="1029" xr:uid="{00000000-0005-0000-0000-0000D8050000}"/>
    <cellStyle name="Normal 5 2 8 7" xfId="1202" xr:uid="{00000000-0005-0000-0000-0000D9050000}"/>
    <cellStyle name="Normal 5 2 8 8" xfId="1375" xr:uid="{00000000-0005-0000-0000-0000DA050000}"/>
    <cellStyle name="Normal 5 2 8 9" xfId="1548" xr:uid="{00000000-0005-0000-0000-0000DB050000}"/>
    <cellStyle name="Normal 5 2 9" xfId="138" xr:uid="{00000000-0005-0000-0000-0000DC050000}"/>
    <cellStyle name="Normal 5 2 9 10" xfId="1737" xr:uid="{00000000-0005-0000-0000-0000DD050000}"/>
    <cellStyle name="Normal 5 2 9 11" xfId="1908" xr:uid="{00000000-0005-0000-0000-0000DE050000}"/>
    <cellStyle name="Normal 5 2 9 12" xfId="2076" xr:uid="{00000000-0005-0000-0000-0000DF050000}"/>
    <cellStyle name="Normal 5 2 9 13" xfId="2230" xr:uid="{00000000-0005-0000-0000-0000E0050000}"/>
    <cellStyle name="Normal 5 2 9 2" xfId="353" xr:uid="{00000000-0005-0000-0000-0000E1050000}"/>
    <cellStyle name="Normal 5 2 9 3" xfId="526" xr:uid="{00000000-0005-0000-0000-0000E2050000}"/>
    <cellStyle name="Normal 5 2 9 4" xfId="699" xr:uid="{00000000-0005-0000-0000-0000E3050000}"/>
    <cellStyle name="Normal 5 2 9 5" xfId="872" xr:uid="{00000000-0005-0000-0000-0000E4050000}"/>
    <cellStyle name="Normal 5 2 9 6" xfId="1045" xr:uid="{00000000-0005-0000-0000-0000E5050000}"/>
    <cellStyle name="Normal 5 2 9 7" xfId="1218" xr:uid="{00000000-0005-0000-0000-0000E6050000}"/>
    <cellStyle name="Normal 5 2 9 8" xfId="1391" xr:uid="{00000000-0005-0000-0000-0000E7050000}"/>
    <cellStyle name="Normal 5 2 9 9" xfId="1564" xr:uid="{00000000-0005-0000-0000-0000E8050000}"/>
    <cellStyle name="Normal 5 20" xfId="662" xr:uid="{00000000-0005-0000-0000-0000E9050000}"/>
    <cellStyle name="Normal 5 21" xfId="835" xr:uid="{00000000-0005-0000-0000-0000EA050000}"/>
    <cellStyle name="Normal 5 22" xfId="1008" xr:uid="{00000000-0005-0000-0000-0000EB050000}"/>
    <cellStyle name="Normal 5 23" xfId="1181" xr:uid="{00000000-0005-0000-0000-0000EC050000}"/>
    <cellStyle name="Normal 5 24" xfId="1354" xr:uid="{00000000-0005-0000-0000-0000ED050000}"/>
    <cellStyle name="Normal 5 25" xfId="1527" xr:uid="{00000000-0005-0000-0000-0000EE050000}"/>
    <cellStyle name="Normal 5 26" xfId="1700" xr:uid="{00000000-0005-0000-0000-0000EF050000}"/>
    <cellStyle name="Normal 5 27" xfId="1872" xr:uid="{00000000-0005-0000-0000-0000F0050000}"/>
    <cellStyle name="Normal 5 28" xfId="2042" xr:uid="{00000000-0005-0000-0000-0000F1050000}"/>
    <cellStyle name="Normal 5 3" xfId="22" xr:uid="{00000000-0005-0000-0000-0000F2050000}"/>
    <cellStyle name="Normal 5 3 10" xfId="175" xr:uid="{00000000-0005-0000-0000-0000F3050000}"/>
    <cellStyle name="Normal 5 3 10 10" xfId="1774" xr:uid="{00000000-0005-0000-0000-0000F4050000}"/>
    <cellStyle name="Normal 5 3 10 11" xfId="1945" xr:uid="{00000000-0005-0000-0000-0000F5050000}"/>
    <cellStyle name="Normal 5 3 10 12" xfId="2112" xr:uid="{00000000-0005-0000-0000-0000F6050000}"/>
    <cellStyle name="Normal 5 3 10 13" xfId="2260" xr:uid="{00000000-0005-0000-0000-0000F7050000}"/>
    <cellStyle name="Normal 5 3 10 2" xfId="390" xr:uid="{00000000-0005-0000-0000-0000F8050000}"/>
    <cellStyle name="Normal 5 3 10 3" xfId="563" xr:uid="{00000000-0005-0000-0000-0000F9050000}"/>
    <cellStyle name="Normal 5 3 10 4" xfId="736" xr:uid="{00000000-0005-0000-0000-0000FA050000}"/>
    <cellStyle name="Normal 5 3 10 5" xfId="909" xr:uid="{00000000-0005-0000-0000-0000FB050000}"/>
    <cellStyle name="Normal 5 3 10 6" xfId="1082" xr:uid="{00000000-0005-0000-0000-0000FC050000}"/>
    <cellStyle name="Normal 5 3 10 7" xfId="1255" xr:uid="{00000000-0005-0000-0000-0000FD050000}"/>
    <cellStyle name="Normal 5 3 10 8" xfId="1428" xr:uid="{00000000-0005-0000-0000-0000FE050000}"/>
    <cellStyle name="Normal 5 3 10 9" xfId="1601" xr:uid="{00000000-0005-0000-0000-0000FF050000}"/>
    <cellStyle name="Normal 5 3 11" xfId="190" xr:uid="{00000000-0005-0000-0000-000000060000}"/>
    <cellStyle name="Normal 5 3 11 10" xfId="1789" xr:uid="{00000000-0005-0000-0000-000001060000}"/>
    <cellStyle name="Normal 5 3 11 11" xfId="1960" xr:uid="{00000000-0005-0000-0000-000002060000}"/>
    <cellStyle name="Normal 5 3 11 12" xfId="2127" xr:uid="{00000000-0005-0000-0000-000003060000}"/>
    <cellStyle name="Normal 5 3 11 13" xfId="2272" xr:uid="{00000000-0005-0000-0000-000004060000}"/>
    <cellStyle name="Normal 5 3 11 2" xfId="405" xr:uid="{00000000-0005-0000-0000-000005060000}"/>
    <cellStyle name="Normal 5 3 11 3" xfId="578" xr:uid="{00000000-0005-0000-0000-000006060000}"/>
    <cellStyle name="Normal 5 3 11 4" xfId="751" xr:uid="{00000000-0005-0000-0000-000007060000}"/>
    <cellStyle name="Normal 5 3 11 5" xfId="924" xr:uid="{00000000-0005-0000-0000-000008060000}"/>
    <cellStyle name="Normal 5 3 11 6" xfId="1097" xr:uid="{00000000-0005-0000-0000-000009060000}"/>
    <cellStyle name="Normal 5 3 11 7" xfId="1270" xr:uid="{00000000-0005-0000-0000-00000A060000}"/>
    <cellStyle name="Normal 5 3 11 8" xfId="1443" xr:uid="{00000000-0005-0000-0000-00000B060000}"/>
    <cellStyle name="Normal 5 3 11 9" xfId="1616" xr:uid="{00000000-0005-0000-0000-00000C060000}"/>
    <cellStyle name="Normal 5 3 12" xfId="205" xr:uid="{00000000-0005-0000-0000-00000D060000}"/>
    <cellStyle name="Normal 5 3 12 10" xfId="1804" xr:uid="{00000000-0005-0000-0000-00000E060000}"/>
    <cellStyle name="Normal 5 3 12 11" xfId="1975" xr:uid="{00000000-0005-0000-0000-00000F060000}"/>
    <cellStyle name="Normal 5 3 12 12" xfId="2142" xr:uid="{00000000-0005-0000-0000-000010060000}"/>
    <cellStyle name="Normal 5 3 12 13" xfId="2284" xr:uid="{00000000-0005-0000-0000-000011060000}"/>
    <cellStyle name="Normal 5 3 12 2" xfId="420" xr:uid="{00000000-0005-0000-0000-000012060000}"/>
    <cellStyle name="Normal 5 3 12 3" xfId="593" xr:uid="{00000000-0005-0000-0000-000013060000}"/>
    <cellStyle name="Normal 5 3 12 4" xfId="766" xr:uid="{00000000-0005-0000-0000-000014060000}"/>
    <cellStyle name="Normal 5 3 12 5" xfId="939" xr:uid="{00000000-0005-0000-0000-000015060000}"/>
    <cellStyle name="Normal 5 3 12 6" xfId="1112" xr:uid="{00000000-0005-0000-0000-000016060000}"/>
    <cellStyle name="Normal 5 3 12 7" xfId="1285" xr:uid="{00000000-0005-0000-0000-000017060000}"/>
    <cellStyle name="Normal 5 3 12 8" xfId="1458" xr:uid="{00000000-0005-0000-0000-000018060000}"/>
    <cellStyle name="Normal 5 3 12 9" xfId="1631" xr:uid="{00000000-0005-0000-0000-000019060000}"/>
    <cellStyle name="Normal 5 3 13" xfId="217" xr:uid="{00000000-0005-0000-0000-00001A060000}"/>
    <cellStyle name="Normal 5 3 13 10" xfId="1816" xr:uid="{00000000-0005-0000-0000-00001B060000}"/>
    <cellStyle name="Normal 5 3 13 11" xfId="1987" xr:uid="{00000000-0005-0000-0000-00001C060000}"/>
    <cellStyle name="Normal 5 3 13 12" xfId="2153" xr:uid="{00000000-0005-0000-0000-00001D060000}"/>
    <cellStyle name="Normal 5 3 13 13" xfId="2294" xr:uid="{00000000-0005-0000-0000-00001E060000}"/>
    <cellStyle name="Normal 5 3 13 2" xfId="432" xr:uid="{00000000-0005-0000-0000-00001F060000}"/>
    <cellStyle name="Normal 5 3 13 3" xfId="605" xr:uid="{00000000-0005-0000-0000-000020060000}"/>
    <cellStyle name="Normal 5 3 13 4" xfId="778" xr:uid="{00000000-0005-0000-0000-000021060000}"/>
    <cellStyle name="Normal 5 3 13 5" xfId="951" xr:uid="{00000000-0005-0000-0000-000022060000}"/>
    <cellStyle name="Normal 5 3 13 6" xfId="1124" xr:uid="{00000000-0005-0000-0000-000023060000}"/>
    <cellStyle name="Normal 5 3 13 7" xfId="1297" xr:uid="{00000000-0005-0000-0000-000024060000}"/>
    <cellStyle name="Normal 5 3 13 8" xfId="1470" xr:uid="{00000000-0005-0000-0000-000025060000}"/>
    <cellStyle name="Normal 5 3 13 9" xfId="1643" xr:uid="{00000000-0005-0000-0000-000026060000}"/>
    <cellStyle name="Normal 5 3 14" xfId="240" xr:uid="{00000000-0005-0000-0000-000027060000}"/>
    <cellStyle name="Normal 5 3 15" xfId="354" xr:uid="{00000000-0005-0000-0000-000028060000}"/>
    <cellStyle name="Normal 5 3 16" xfId="527" xr:uid="{00000000-0005-0000-0000-000029060000}"/>
    <cellStyle name="Normal 5 3 17" xfId="700" xr:uid="{00000000-0005-0000-0000-00002A060000}"/>
    <cellStyle name="Normal 5 3 18" xfId="873" xr:uid="{00000000-0005-0000-0000-00002B060000}"/>
    <cellStyle name="Normal 5 3 19" xfId="1046" xr:uid="{00000000-0005-0000-0000-00002C060000}"/>
    <cellStyle name="Normal 5 3 2" xfId="47" xr:uid="{00000000-0005-0000-0000-00002D060000}"/>
    <cellStyle name="Normal 5 3 2 10" xfId="1648" xr:uid="{00000000-0005-0000-0000-00002E060000}"/>
    <cellStyle name="Normal 5 3 2 11" xfId="1821" xr:uid="{00000000-0005-0000-0000-00002F060000}"/>
    <cellStyle name="Normal 5 3 2 12" xfId="1992" xr:uid="{00000000-0005-0000-0000-000030060000}"/>
    <cellStyle name="Normal 5 3 2 13" xfId="2157" xr:uid="{00000000-0005-0000-0000-000031060000}"/>
    <cellStyle name="Normal 5 3 2 2" xfId="264" xr:uid="{00000000-0005-0000-0000-000032060000}"/>
    <cellStyle name="Normal 5 3 2 3" xfId="437" xr:uid="{00000000-0005-0000-0000-000033060000}"/>
    <cellStyle name="Normal 5 3 2 4" xfId="610" xr:uid="{00000000-0005-0000-0000-000034060000}"/>
    <cellStyle name="Normal 5 3 2 5" xfId="783" xr:uid="{00000000-0005-0000-0000-000035060000}"/>
    <cellStyle name="Normal 5 3 2 6" xfId="956" xr:uid="{00000000-0005-0000-0000-000036060000}"/>
    <cellStyle name="Normal 5 3 2 7" xfId="1129" xr:uid="{00000000-0005-0000-0000-000037060000}"/>
    <cellStyle name="Normal 5 3 2 8" xfId="1302" xr:uid="{00000000-0005-0000-0000-000038060000}"/>
    <cellStyle name="Normal 5 3 2 9" xfId="1475" xr:uid="{00000000-0005-0000-0000-000039060000}"/>
    <cellStyle name="Normal 5 3 20" xfId="1219" xr:uid="{00000000-0005-0000-0000-00003A060000}"/>
    <cellStyle name="Normal 5 3 21" xfId="1392" xr:uid="{00000000-0005-0000-0000-00003B060000}"/>
    <cellStyle name="Normal 5 3 22" xfId="1565" xr:uid="{00000000-0005-0000-0000-00003C060000}"/>
    <cellStyle name="Normal 5 3 23" xfId="1738" xr:uid="{00000000-0005-0000-0000-00003D060000}"/>
    <cellStyle name="Normal 5 3 24" xfId="1909" xr:uid="{00000000-0005-0000-0000-00003E060000}"/>
    <cellStyle name="Normal 5 3 25" xfId="2077" xr:uid="{00000000-0005-0000-0000-00003F060000}"/>
    <cellStyle name="Normal 5 3 3" xfId="64" xr:uid="{00000000-0005-0000-0000-000040060000}"/>
    <cellStyle name="Normal 5 3 3 10" xfId="1663" xr:uid="{00000000-0005-0000-0000-000041060000}"/>
    <cellStyle name="Normal 5 3 3 11" xfId="1836" xr:uid="{00000000-0005-0000-0000-000042060000}"/>
    <cellStyle name="Normal 5 3 3 12" xfId="2007" xr:uid="{00000000-0005-0000-0000-000043060000}"/>
    <cellStyle name="Normal 5 3 3 13" xfId="2170" xr:uid="{00000000-0005-0000-0000-000044060000}"/>
    <cellStyle name="Normal 5 3 3 2" xfId="279" xr:uid="{00000000-0005-0000-0000-000045060000}"/>
    <cellStyle name="Normal 5 3 3 3" xfId="452" xr:uid="{00000000-0005-0000-0000-000046060000}"/>
    <cellStyle name="Normal 5 3 3 4" xfId="625" xr:uid="{00000000-0005-0000-0000-000047060000}"/>
    <cellStyle name="Normal 5 3 3 5" xfId="798" xr:uid="{00000000-0005-0000-0000-000048060000}"/>
    <cellStyle name="Normal 5 3 3 6" xfId="971" xr:uid="{00000000-0005-0000-0000-000049060000}"/>
    <cellStyle name="Normal 5 3 3 7" xfId="1144" xr:uid="{00000000-0005-0000-0000-00004A060000}"/>
    <cellStyle name="Normal 5 3 3 8" xfId="1317" xr:uid="{00000000-0005-0000-0000-00004B060000}"/>
    <cellStyle name="Normal 5 3 3 9" xfId="1490" xr:uid="{00000000-0005-0000-0000-00004C060000}"/>
    <cellStyle name="Normal 5 3 4" xfId="80" xr:uid="{00000000-0005-0000-0000-00004D060000}"/>
    <cellStyle name="Normal 5 3 4 10" xfId="1679" xr:uid="{00000000-0005-0000-0000-00004E060000}"/>
    <cellStyle name="Normal 5 3 4 11" xfId="1851" xr:uid="{00000000-0005-0000-0000-00004F060000}"/>
    <cellStyle name="Normal 5 3 4 12" xfId="2022" xr:uid="{00000000-0005-0000-0000-000050060000}"/>
    <cellStyle name="Normal 5 3 4 13" xfId="2183" xr:uid="{00000000-0005-0000-0000-000051060000}"/>
    <cellStyle name="Normal 5 3 4 2" xfId="295" xr:uid="{00000000-0005-0000-0000-000052060000}"/>
    <cellStyle name="Normal 5 3 4 3" xfId="468" xr:uid="{00000000-0005-0000-0000-000053060000}"/>
    <cellStyle name="Normal 5 3 4 4" xfId="641" xr:uid="{00000000-0005-0000-0000-000054060000}"/>
    <cellStyle name="Normal 5 3 4 5" xfId="814" xr:uid="{00000000-0005-0000-0000-000055060000}"/>
    <cellStyle name="Normal 5 3 4 6" xfId="987" xr:uid="{00000000-0005-0000-0000-000056060000}"/>
    <cellStyle name="Normal 5 3 4 7" xfId="1160" xr:uid="{00000000-0005-0000-0000-000057060000}"/>
    <cellStyle name="Normal 5 3 4 8" xfId="1333" xr:uid="{00000000-0005-0000-0000-000058060000}"/>
    <cellStyle name="Normal 5 3 4 9" xfId="1506" xr:uid="{00000000-0005-0000-0000-000059060000}"/>
    <cellStyle name="Normal 5 3 5" xfId="96" xr:uid="{00000000-0005-0000-0000-00005A060000}"/>
    <cellStyle name="Normal 5 3 5 10" xfId="1695" xr:uid="{00000000-0005-0000-0000-00005B060000}"/>
    <cellStyle name="Normal 5 3 5 11" xfId="1867" xr:uid="{00000000-0005-0000-0000-00005C060000}"/>
    <cellStyle name="Normal 5 3 5 12" xfId="2037" xr:uid="{00000000-0005-0000-0000-00005D060000}"/>
    <cellStyle name="Normal 5 3 5 13" xfId="2196" xr:uid="{00000000-0005-0000-0000-00005E060000}"/>
    <cellStyle name="Normal 5 3 5 2" xfId="311" xr:uid="{00000000-0005-0000-0000-00005F060000}"/>
    <cellStyle name="Normal 5 3 5 3" xfId="484" xr:uid="{00000000-0005-0000-0000-000060060000}"/>
    <cellStyle name="Normal 5 3 5 4" xfId="657" xr:uid="{00000000-0005-0000-0000-000061060000}"/>
    <cellStyle name="Normal 5 3 5 5" xfId="830" xr:uid="{00000000-0005-0000-0000-000062060000}"/>
    <cellStyle name="Normal 5 3 5 6" xfId="1003" xr:uid="{00000000-0005-0000-0000-000063060000}"/>
    <cellStyle name="Normal 5 3 5 7" xfId="1176" xr:uid="{00000000-0005-0000-0000-000064060000}"/>
    <cellStyle name="Normal 5 3 5 8" xfId="1349" xr:uid="{00000000-0005-0000-0000-000065060000}"/>
    <cellStyle name="Normal 5 3 5 9" xfId="1522" xr:uid="{00000000-0005-0000-0000-000066060000}"/>
    <cellStyle name="Normal 5 3 6" xfId="112" xr:uid="{00000000-0005-0000-0000-000067060000}"/>
    <cellStyle name="Normal 5 3 6 10" xfId="1711" xr:uid="{00000000-0005-0000-0000-000068060000}"/>
    <cellStyle name="Normal 5 3 6 11" xfId="1883" xr:uid="{00000000-0005-0000-0000-000069060000}"/>
    <cellStyle name="Normal 5 3 6 12" xfId="2053" xr:uid="{00000000-0005-0000-0000-00006A060000}"/>
    <cellStyle name="Normal 5 3 6 13" xfId="2209" xr:uid="{00000000-0005-0000-0000-00006B060000}"/>
    <cellStyle name="Normal 5 3 6 2" xfId="327" xr:uid="{00000000-0005-0000-0000-00006C060000}"/>
    <cellStyle name="Normal 5 3 6 3" xfId="500" xr:uid="{00000000-0005-0000-0000-00006D060000}"/>
    <cellStyle name="Normal 5 3 6 4" xfId="673" xr:uid="{00000000-0005-0000-0000-00006E060000}"/>
    <cellStyle name="Normal 5 3 6 5" xfId="846" xr:uid="{00000000-0005-0000-0000-00006F060000}"/>
    <cellStyle name="Normal 5 3 6 6" xfId="1019" xr:uid="{00000000-0005-0000-0000-000070060000}"/>
    <cellStyle name="Normal 5 3 6 7" xfId="1192" xr:uid="{00000000-0005-0000-0000-000071060000}"/>
    <cellStyle name="Normal 5 3 6 8" xfId="1365" xr:uid="{00000000-0005-0000-0000-000072060000}"/>
    <cellStyle name="Normal 5 3 6 9" xfId="1538" xr:uid="{00000000-0005-0000-0000-000073060000}"/>
    <cellStyle name="Normal 5 3 7" xfId="128" xr:uid="{00000000-0005-0000-0000-000074060000}"/>
    <cellStyle name="Normal 5 3 7 10" xfId="1727" xr:uid="{00000000-0005-0000-0000-000075060000}"/>
    <cellStyle name="Normal 5 3 7 11" xfId="1899" xr:uid="{00000000-0005-0000-0000-000076060000}"/>
    <cellStyle name="Normal 5 3 7 12" xfId="2067" xr:uid="{00000000-0005-0000-0000-000077060000}"/>
    <cellStyle name="Normal 5 3 7 13" xfId="2222" xr:uid="{00000000-0005-0000-0000-000078060000}"/>
    <cellStyle name="Normal 5 3 7 2" xfId="343" xr:uid="{00000000-0005-0000-0000-000079060000}"/>
    <cellStyle name="Normal 5 3 7 3" xfId="516" xr:uid="{00000000-0005-0000-0000-00007A060000}"/>
    <cellStyle name="Normal 5 3 7 4" xfId="689" xr:uid="{00000000-0005-0000-0000-00007B060000}"/>
    <cellStyle name="Normal 5 3 7 5" xfId="862" xr:uid="{00000000-0005-0000-0000-00007C060000}"/>
    <cellStyle name="Normal 5 3 7 6" xfId="1035" xr:uid="{00000000-0005-0000-0000-00007D060000}"/>
    <cellStyle name="Normal 5 3 7 7" xfId="1208" xr:uid="{00000000-0005-0000-0000-00007E060000}"/>
    <cellStyle name="Normal 5 3 7 8" xfId="1381" xr:uid="{00000000-0005-0000-0000-00007F060000}"/>
    <cellStyle name="Normal 5 3 7 9" xfId="1554" xr:uid="{00000000-0005-0000-0000-000080060000}"/>
    <cellStyle name="Normal 5 3 8" xfId="144" xr:uid="{00000000-0005-0000-0000-000081060000}"/>
    <cellStyle name="Normal 5 3 8 10" xfId="1743" xr:uid="{00000000-0005-0000-0000-000082060000}"/>
    <cellStyle name="Normal 5 3 8 11" xfId="1914" xr:uid="{00000000-0005-0000-0000-000083060000}"/>
    <cellStyle name="Normal 5 3 8 12" xfId="2082" xr:uid="{00000000-0005-0000-0000-000084060000}"/>
    <cellStyle name="Normal 5 3 8 13" xfId="2235" xr:uid="{00000000-0005-0000-0000-000085060000}"/>
    <cellStyle name="Normal 5 3 8 2" xfId="359" xr:uid="{00000000-0005-0000-0000-000086060000}"/>
    <cellStyle name="Normal 5 3 8 3" xfId="532" xr:uid="{00000000-0005-0000-0000-000087060000}"/>
    <cellStyle name="Normal 5 3 8 4" xfId="705" xr:uid="{00000000-0005-0000-0000-000088060000}"/>
    <cellStyle name="Normal 5 3 8 5" xfId="878" xr:uid="{00000000-0005-0000-0000-000089060000}"/>
    <cellStyle name="Normal 5 3 8 6" xfId="1051" xr:uid="{00000000-0005-0000-0000-00008A060000}"/>
    <cellStyle name="Normal 5 3 8 7" xfId="1224" xr:uid="{00000000-0005-0000-0000-00008B060000}"/>
    <cellStyle name="Normal 5 3 8 8" xfId="1397" xr:uid="{00000000-0005-0000-0000-00008C060000}"/>
    <cellStyle name="Normal 5 3 8 9" xfId="1570" xr:uid="{00000000-0005-0000-0000-00008D060000}"/>
    <cellStyle name="Normal 5 3 9" xfId="160" xr:uid="{00000000-0005-0000-0000-00008E060000}"/>
    <cellStyle name="Normal 5 3 9 10" xfId="1759" xr:uid="{00000000-0005-0000-0000-00008F060000}"/>
    <cellStyle name="Normal 5 3 9 11" xfId="1930" xr:uid="{00000000-0005-0000-0000-000090060000}"/>
    <cellStyle name="Normal 5 3 9 12" xfId="2098" xr:uid="{00000000-0005-0000-0000-000091060000}"/>
    <cellStyle name="Normal 5 3 9 13" xfId="2248" xr:uid="{00000000-0005-0000-0000-000092060000}"/>
    <cellStyle name="Normal 5 3 9 2" xfId="375" xr:uid="{00000000-0005-0000-0000-000093060000}"/>
    <cellStyle name="Normal 5 3 9 3" xfId="548" xr:uid="{00000000-0005-0000-0000-000094060000}"/>
    <cellStyle name="Normal 5 3 9 4" xfId="721" xr:uid="{00000000-0005-0000-0000-000095060000}"/>
    <cellStyle name="Normal 5 3 9 5" xfId="894" xr:uid="{00000000-0005-0000-0000-000096060000}"/>
    <cellStyle name="Normal 5 3 9 6" xfId="1067" xr:uid="{00000000-0005-0000-0000-000097060000}"/>
    <cellStyle name="Normal 5 3 9 7" xfId="1240" xr:uid="{00000000-0005-0000-0000-000098060000}"/>
    <cellStyle name="Normal 5 3 9 8" xfId="1413" xr:uid="{00000000-0005-0000-0000-000099060000}"/>
    <cellStyle name="Normal 5 3 9 9" xfId="1586" xr:uid="{00000000-0005-0000-0000-00009A060000}"/>
    <cellStyle name="Normal 5 4" xfId="13" xr:uid="{00000000-0005-0000-0000-00009B060000}"/>
    <cellStyle name="Normal 5 4 10" xfId="167" xr:uid="{00000000-0005-0000-0000-00009C060000}"/>
    <cellStyle name="Normal 5 4 10 10" xfId="1766" xr:uid="{00000000-0005-0000-0000-00009D060000}"/>
    <cellStyle name="Normal 5 4 10 11" xfId="1937" xr:uid="{00000000-0005-0000-0000-00009E060000}"/>
    <cellStyle name="Normal 5 4 10 12" xfId="2104" xr:uid="{00000000-0005-0000-0000-00009F060000}"/>
    <cellStyle name="Normal 5 4 10 13" xfId="2253" xr:uid="{00000000-0005-0000-0000-0000A0060000}"/>
    <cellStyle name="Normal 5 4 10 2" xfId="382" xr:uid="{00000000-0005-0000-0000-0000A1060000}"/>
    <cellStyle name="Normal 5 4 10 3" xfId="555" xr:uid="{00000000-0005-0000-0000-0000A2060000}"/>
    <cellStyle name="Normal 5 4 10 4" xfId="728" xr:uid="{00000000-0005-0000-0000-0000A3060000}"/>
    <cellStyle name="Normal 5 4 10 5" xfId="901" xr:uid="{00000000-0005-0000-0000-0000A4060000}"/>
    <cellStyle name="Normal 5 4 10 6" xfId="1074" xr:uid="{00000000-0005-0000-0000-0000A5060000}"/>
    <cellStyle name="Normal 5 4 10 7" xfId="1247" xr:uid="{00000000-0005-0000-0000-0000A6060000}"/>
    <cellStyle name="Normal 5 4 10 8" xfId="1420" xr:uid="{00000000-0005-0000-0000-0000A7060000}"/>
    <cellStyle name="Normal 5 4 10 9" xfId="1593" xr:uid="{00000000-0005-0000-0000-0000A8060000}"/>
    <cellStyle name="Normal 5 4 11" xfId="182" xr:uid="{00000000-0005-0000-0000-0000A9060000}"/>
    <cellStyle name="Normal 5 4 11 10" xfId="1781" xr:uid="{00000000-0005-0000-0000-0000AA060000}"/>
    <cellStyle name="Normal 5 4 11 11" xfId="1952" xr:uid="{00000000-0005-0000-0000-0000AB060000}"/>
    <cellStyle name="Normal 5 4 11 12" xfId="2119" xr:uid="{00000000-0005-0000-0000-0000AC060000}"/>
    <cellStyle name="Normal 5 4 11 13" xfId="2265" xr:uid="{00000000-0005-0000-0000-0000AD060000}"/>
    <cellStyle name="Normal 5 4 11 2" xfId="397" xr:uid="{00000000-0005-0000-0000-0000AE060000}"/>
    <cellStyle name="Normal 5 4 11 3" xfId="570" xr:uid="{00000000-0005-0000-0000-0000AF060000}"/>
    <cellStyle name="Normal 5 4 11 4" xfId="743" xr:uid="{00000000-0005-0000-0000-0000B0060000}"/>
    <cellStyle name="Normal 5 4 11 5" xfId="916" xr:uid="{00000000-0005-0000-0000-0000B1060000}"/>
    <cellStyle name="Normal 5 4 11 6" xfId="1089" xr:uid="{00000000-0005-0000-0000-0000B2060000}"/>
    <cellStyle name="Normal 5 4 11 7" xfId="1262" xr:uid="{00000000-0005-0000-0000-0000B3060000}"/>
    <cellStyle name="Normal 5 4 11 8" xfId="1435" xr:uid="{00000000-0005-0000-0000-0000B4060000}"/>
    <cellStyle name="Normal 5 4 11 9" xfId="1608" xr:uid="{00000000-0005-0000-0000-0000B5060000}"/>
    <cellStyle name="Normal 5 4 12" xfId="197" xr:uid="{00000000-0005-0000-0000-0000B6060000}"/>
    <cellStyle name="Normal 5 4 12 10" xfId="1796" xr:uid="{00000000-0005-0000-0000-0000B7060000}"/>
    <cellStyle name="Normal 5 4 12 11" xfId="1967" xr:uid="{00000000-0005-0000-0000-0000B8060000}"/>
    <cellStyle name="Normal 5 4 12 12" xfId="2134" xr:uid="{00000000-0005-0000-0000-0000B9060000}"/>
    <cellStyle name="Normal 5 4 12 13" xfId="2277" xr:uid="{00000000-0005-0000-0000-0000BA060000}"/>
    <cellStyle name="Normal 5 4 12 2" xfId="412" xr:uid="{00000000-0005-0000-0000-0000BB060000}"/>
    <cellStyle name="Normal 5 4 12 3" xfId="585" xr:uid="{00000000-0005-0000-0000-0000BC060000}"/>
    <cellStyle name="Normal 5 4 12 4" xfId="758" xr:uid="{00000000-0005-0000-0000-0000BD060000}"/>
    <cellStyle name="Normal 5 4 12 5" xfId="931" xr:uid="{00000000-0005-0000-0000-0000BE060000}"/>
    <cellStyle name="Normal 5 4 12 6" xfId="1104" xr:uid="{00000000-0005-0000-0000-0000BF060000}"/>
    <cellStyle name="Normal 5 4 12 7" xfId="1277" xr:uid="{00000000-0005-0000-0000-0000C0060000}"/>
    <cellStyle name="Normal 5 4 12 8" xfId="1450" xr:uid="{00000000-0005-0000-0000-0000C1060000}"/>
    <cellStyle name="Normal 5 4 12 9" xfId="1623" xr:uid="{00000000-0005-0000-0000-0000C2060000}"/>
    <cellStyle name="Normal 5 4 13" xfId="211" xr:uid="{00000000-0005-0000-0000-0000C3060000}"/>
    <cellStyle name="Normal 5 4 13 10" xfId="1810" xr:uid="{00000000-0005-0000-0000-0000C4060000}"/>
    <cellStyle name="Normal 5 4 13 11" xfId="1981" xr:uid="{00000000-0005-0000-0000-0000C5060000}"/>
    <cellStyle name="Normal 5 4 13 12" xfId="2147" xr:uid="{00000000-0005-0000-0000-0000C6060000}"/>
    <cellStyle name="Normal 5 4 13 13" xfId="2288" xr:uid="{00000000-0005-0000-0000-0000C7060000}"/>
    <cellStyle name="Normal 5 4 13 2" xfId="426" xr:uid="{00000000-0005-0000-0000-0000C8060000}"/>
    <cellStyle name="Normal 5 4 13 3" xfId="599" xr:uid="{00000000-0005-0000-0000-0000C9060000}"/>
    <cellStyle name="Normal 5 4 13 4" xfId="772" xr:uid="{00000000-0005-0000-0000-0000CA060000}"/>
    <cellStyle name="Normal 5 4 13 5" xfId="945" xr:uid="{00000000-0005-0000-0000-0000CB060000}"/>
    <cellStyle name="Normal 5 4 13 6" xfId="1118" xr:uid="{00000000-0005-0000-0000-0000CC060000}"/>
    <cellStyle name="Normal 5 4 13 7" xfId="1291" xr:uid="{00000000-0005-0000-0000-0000CD060000}"/>
    <cellStyle name="Normal 5 4 13 8" xfId="1464" xr:uid="{00000000-0005-0000-0000-0000CE060000}"/>
    <cellStyle name="Normal 5 4 13 9" xfId="1637" xr:uid="{00000000-0005-0000-0000-0000CF060000}"/>
    <cellStyle name="Normal 5 4 14" xfId="231" xr:uid="{00000000-0005-0000-0000-0000D0060000}"/>
    <cellStyle name="Normal 5 4 15" xfId="239" xr:uid="{00000000-0005-0000-0000-0000D1060000}"/>
    <cellStyle name="Normal 5 4 16" xfId="224" xr:uid="{00000000-0005-0000-0000-0000D2060000}"/>
    <cellStyle name="Normal 5 4 17" xfId="348" xr:uid="{00000000-0005-0000-0000-0000D3060000}"/>
    <cellStyle name="Normal 5 4 18" xfId="521" xr:uid="{00000000-0005-0000-0000-0000D4060000}"/>
    <cellStyle name="Normal 5 4 19" xfId="694" xr:uid="{00000000-0005-0000-0000-0000D5060000}"/>
    <cellStyle name="Normal 5 4 2" xfId="38" xr:uid="{00000000-0005-0000-0000-0000D6060000}"/>
    <cellStyle name="Normal 5 4 2 10" xfId="1509" xr:uid="{00000000-0005-0000-0000-0000D7060000}"/>
    <cellStyle name="Normal 5 4 2 11" xfId="1682" xr:uid="{00000000-0005-0000-0000-0000D8060000}"/>
    <cellStyle name="Normal 5 4 2 12" xfId="1854" xr:uid="{00000000-0005-0000-0000-0000D9060000}"/>
    <cellStyle name="Normal 5 4 2 13" xfId="2025" xr:uid="{00000000-0005-0000-0000-0000DA060000}"/>
    <cellStyle name="Normal 5 4 2 2" xfId="255" xr:uid="{00000000-0005-0000-0000-0000DB060000}"/>
    <cellStyle name="Normal 5 4 2 3" xfId="298" xr:uid="{00000000-0005-0000-0000-0000DC060000}"/>
    <cellStyle name="Normal 5 4 2 4" xfId="471" xr:uid="{00000000-0005-0000-0000-0000DD060000}"/>
    <cellStyle name="Normal 5 4 2 5" xfId="644" xr:uid="{00000000-0005-0000-0000-0000DE060000}"/>
    <cellStyle name="Normal 5 4 2 6" xfId="817" xr:uid="{00000000-0005-0000-0000-0000DF060000}"/>
    <cellStyle name="Normal 5 4 2 7" xfId="990" xr:uid="{00000000-0005-0000-0000-0000E0060000}"/>
    <cellStyle name="Normal 5 4 2 8" xfId="1163" xr:uid="{00000000-0005-0000-0000-0000E1060000}"/>
    <cellStyle name="Normal 5 4 2 9" xfId="1336" xr:uid="{00000000-0005-0000-0000-0000E2060000}"/>
    <cellStyle name="Normal 5 4 20" xfId="867" xr:uid="{00000000-0005-0000-0000-0000E3060000}"/>
    <cellStyle name="Normal 5 4 21" xfId="1040" xr:uid="{00000000-0005-0000-0000-0000E4060000}"/>
    <cellStyle name="Normal 5 4 22" xfId="1213" xr:uid="{00000000-0005-0000-0000-0000E5060000}"/>
    <cellStyle name="Normal 5 4 23" xfId="1386" xr:uid="{00000000-0005-0000-0000-0000E6060000}"/>
    <cellStyle name="Normal 5 4 24" xfId="1559" xr:uid="{00000000-0005-0000-0000-0000E7060000}"/>
    <cellStyle name="Normal 5 4 25" xfId="1732" xr:uid="{00000000-0005-0000-0000-0000E8060000}"/>
    <cellStyle name="Normal 5 4 3" xfId="55" xr:uid="{00000000-0005-0000-0000-0000E9060000}"/>
    <cellStyle name="Normal 5 4 3 10" xfId="1655" xr:uid="{00000000-0005-0000-0000-0000EA060000}"/>
    <cellStyle name="Normal 5 4 3 11" xfId="1828" xr:uid="{00000000-0005-0000-0000-0000EB060000}"/>
    <cellStyle name="Normal 5 4 3 12" xfId="1999" xr:uid="{00000000-0005-0000-0000-0000EC060000}"/>
    <cellStyle name="Normal 5 4 3 13" xfId="2162" xr:uid="{00000000-0005-0000-0000-0000ED060000}"/>
    <cellStyle name="Normal 5 4 3 2" xfId="271" xr:uid="{00000000-0005-0000-0000-0000EE060000}"/>
    <cellStyle name="Normal 5 4 3 3" xfId="444" xr:uid="{00000000-0005-0000-0000-0000EF060000}"/>
    <cellStyle name="Normal 5 4 3 4" xfId="617" xr:uid="{00000000-0005-0000-0000-0000F0060000}"/>
    <cellStyle name="Normal 5 4 3 5" xfId="790" xr:uid="{00000000-0005-0000-0000-0000F1060000}"/>
    <cellStyle name="Normal 5 4 3 6" xfId="963" xr:uid="{00000000-0005-0000-0000-0000F2060000}"/>
    <cellStyle name="Normal 5 4 3 7" xfId="1136" xr:uid="{00000000-0005-0000-0000-0000F3060000}"/>
    <cellStyle name="Normal 5 4 3 8" xfId="1309" xr:uid="{00000000-0005-0000-0000-0000F4060000}"/>
    <cellStyle name="Normal 5 4 3 9" xfId="1482" xr:uid="{00000000-0005-0000-0000-0000F5060000}"/>
    <cellStyle name="Normal 5 4 4" xfId="71" xr:uid="{00000000-0005-0000-0000-0000F6060000}"/>
    <cellStyle name="Normal 5 4 4 10" xfId="1670" xr:uid="{00000000-0005-0000-0000-0000F7060000}"/>
    <cellStyle name="Normal 5 4 4 11" xfId="1843" xr:uid="{00000000-0005-0000-0000-0000F8060000}"/>
    <cellStyle name="Normal 5 4 4 12" xfId="2014" xr:uid="{00000000-0005-0000-0000-0000F9060000}"/>
    <cellStyle name="Normal 5 4 4 13" xfId="2175" xr:uid="{00000000-0005-0000-0000-0000FA060000}"/>
    <cellStyle name="Normal 5 4 4 2" xfId="286" xr:uid="{00000000-0005-0000-0000-0000FB060000}"/>
    <cellStyle name="Normal 5 4 4 3" xfId="459" xr:uid="{00000000-0005-0000-0000-0000FC060000}"/>
    <cellStyle name="Normal 5 4 4 4" xfId="632" xr:uid="{00000000-0005-0000-0000-0000FD060000}"/>
    <cellStyle name="Normal 5 4 4 5" xfId="805" xr:uid="{00000000-0005-0000-0000-0000FE060000}"/>
    <cellStyle name="Normal 5 4 4 6" xfId="978" xr:uid="{00000000-0005-0000-0000-0000FF060000}"/>
    <cellStyle name="Normal 5 4 4 7" xfId="1151" xr:uid="{00000000-0005-0000-0000-000000070000}"/>
    <cellStyle name="Normal 5 4 4 8" xfId="1324" xr:uid="{00000000-0005-0000-0000-000001070000}"/>
    <cellStyle name="Normal 5 4 4 9" xfId="1497" xr:uid="{00000000-0005-0000-0000-000002070000}"/>
    <cellStyle name="Normal 5 4 5" xfId="87" xr:uid="{00000000-0005-0000-0000-000003070000}"/>
    <cellStyle name="Normal 5 4 5 10" xfId="1686" xr:uid="{00000000-0005-0000-0000-000004070000}"/>
    <cellStyle name="Normal 5 4 5 11" xfId="1858" xr:uid="{00000000-0005-0000-0000-000005070000}"/>
    <cellStyle name="Normal 5 4 5 12" xfId="2028" xr:uid="{00000000-0005-0000-0000-000006070000}"/>
    <cellStyle name="Normal 5 4 5 13" xfId="2188" xr:uid="{00000000-0005-0000-0000-000007070000}"/>
    <cellStyle name="Normal 5 4 5 2" xfId="302" xr:uid="{00000000-0005-0000-0000-000008070000}"/>
    <cellStyle name="Normal 5 4 5 3" xfId="475" xr:uid="{00000000-0005-0000-0000-000009070000}"/>
    <cellStyle name="Normal 5 4 5 4" xfId="648" xr:uid="{00000000-0005-0000-0000-00000A070000}"/>
    <cellStyle name="Normal 5 4 5 5" xfId="821" xr:uid="{00000000-0005-0000-0000-00000B070000}"/>
    <cellStyle name="Normal 5 4 5 6" xfId="994" xr:uid="{00000000-0005-0000-0000-00000C070000}"/>
    <cellStyle name="Normal 5 4 5 7" xfId="1167" xr:uid="{00000000-0005-0000-0000-00000D070000}"/>
    <cellStyle name="Normal 5 4 5 8" xfId="1340" xr:uid="{00000000-0005-0000-0000-00000E070000}"/>
    <cellStyle name="Normal 5 4 5 9" xfId="1513" xr:uid="{00000000-0005-0000-0000-00000F070000}"/>
    <cellStyle name="Normal 5 4 6" xfId="103" xr:uid="{00000000-0005-0000-0000-000010070000}"/>
    <cellStyle name="Normal 5 4 6 10" xfId="1702" xr:uid="{00000000-0005-0000-0000-000011070000}"/>
    <cellStyle name="Normal 5 4 6 11" xfId="1874" xr:uid="{00000000-0005-0000-0000-000012070000}"/>
    <cellStyle name="Normal 5 4 6 12" xfId="2044" xr:uid="{00000000-0005-0000-0000-000013070000}"/>
    <cellStyle name="Normal 5 4 6 13" xfId="2201" xr:uid="{00000000-0005-0000-0000-000014070000}"/>
    <cellStyle name="Normal 5 4 6 2" xfId="318" xr:uid="{00000000-0005-0000-0000-000015070000}"/>
    <cellStyle name="Normal 5 4 6 3" xfId="491" xr:uid="{00000000-0005-0000-0000-000016070000}"/>
    <cellStyle name="Normal 5 4 6 4" xfId="664" xr:uid="{00000000-0005-0000-0000-000017070000}"/>
    <cellStyle name="Normal 5 4 6 5" xfId="837" xr:uid="{00000000-0005-0000-0000-000018070000}"/>
    <cellStyle name="Normal 5 4 6 6" xfId="1010" xr:uid="{00000000-0005-0000-0000-000019070000}"/>
    <cellStyle name="Normal 5 4 6 7" xfId="1183" xr:uid="{00000000-0005-0000-0000-00001A070000}"/>
    <cellStyle name="Normal 5 4 6 8" xfId="1356" xr:uid="{00000000-0005-0000-0000-00001B070000}"/>
    <cellStyle name="Normal 5 4 6 9" xfId="1529" xr:uid="{00000000-0005-0000-0000-00001C070000}"/>
    <cellStyle name="Normal 5 4 7" xfId="119" xr:uid="{00000000-0005-0000-0000-00001D070000}"/>
    <cellStyle name="Normal 5 4 7 10" xfId="1718" xr:uid="{00000000-0005-0000-0000-00001E070000}"/>
    <cellStyle name="Normal 5 4 7 11" xfId="1890" xr:uid="{00000000-0005-0000-0000-00001F070000}"/>
    <cellStyle name="Normal 5 4 7 12" xfId="2058" xr:uid="{00000000-0005-0000-0000-000020070000}"/>
    <cellStyle name="Normal 5 4 7 13" xfId="2214" xr:uid="{00000000-0005-0000-0000-000021070000}"/>
    <cellStyle name="Normal 5 4 7 2" xfId="334" xr:uid="{00000000-0005-0000-0000-000022070000}"/>
    <cellStyle name="Normal 5 4 7 3" xfId="507" xr:uid="{00000000-0005-0000-0000-000023070000}"/>
    <cellStyle name="Normal 5 4 7 4" xfId="680" xr:uid="{00000000-0005-0000-0000-000024070000}"/>
    <cellStyle name="Normal 5 4 7 5" xfId="853" xr:uid="{00000000-0005-0000-0000-000025070000}"/>
    <cellStyle name="Normal 5 4 7 6" xfId="1026" xr:uid="{00000000-0005-0000-0000-000026070000}"/>
    <cellStyle name="Normal 5 4 7 7" xfId="1199" xr:uid="{00000000-0005-0000-0000-000027070000}"/>
    <cellStyle name="Normal 5 4 7 8" xfId="1372" xr:uid="{00000000-0005-0000-0000-000028070000}"/>
    <cellStyle name="Normal 5 4 7 9" xfId="1545" xr:uid="{00000000-0005-0000-0000-000029070000}"/>
    <cellStyle name="Normal 5 4 8" xfId="135" xr:uid="{00000000-0005-0000-0000-00002A070000}"/>
    <cellStyle name="Normal 5 4 8 10" xfId="1734" xr:uid="{00000000-0005-0000-0000-00002B070000}"/>
    <cellStyle name="Normal 5 4 8 11" xfId="1905" xr:uid="{00000000-0005-0000-0000-00002C070000}"/>
    <cellStyle name="Normal 5 4 8 12" xfId="2073" xr:uid="{00000000-0005-0000-0000-00002D070000}"/>
    <cellStyle name="Normal 5 4 8 13" xfId="2227" xr:uid="{00000000-0005-0000-0000-00002E070000}"/>
    <cellStyle name="Normal 5 4 8 2" xfId="350" xr:uid="{00000000-0005-0000-0000-00002F070000}"/>
    <cellStyle name="Normal 5 4 8 3" xfId="523" xr:uid="{00000000-0005-0000-0000-000030070000}"/>
    <cellStyle name="Normal 5 4 8 4" xfId="696" xr:uid="{00000000-0005-0000-0000-000031070000}"/>
    <cellStyle name="Normal 5 4 8 5" xfId="869" xr:uid="{00000000-0005-0000-0000-000032070000}"/>
    <cellStyle name="Normal 5 4 8 6" xfId="1042" xr:uid="{00000000-0005-0000-0000-000033070000}"/>
    <cellStyle name="Normal 5 4 8 7" xfId="1215" xr:uid="{00000000-0005-0000-0000-000034070000}"/>
    <cellStyle name="Normal 5 4 8 8" xfId="1388" xr:uid="{00000000-0005-0000-0000-000035070000}"/>
    <cellStyle name="Normal 5 4 8 9" xfId="1561" xr:uid="{00000000-0005-0000-0000-000036070000}"/>
    <cellStyle name="Normal 5 4 9" xfId="151" xr:uid="{00000000-0005-0000-0000-000037070000}"/>
    <cellStyle name="Normal 5 4 9 10" xfId="1750" xr:uid="{00000000-0005-0000-0000-000038070000}"/>
    <cellStyle name="Normal 5 4 9 11" xfId="1921" xr:uid="{00000000-0005-0000-0000-000039070000}"/>
    <cellStyle name="Normal 5 4 9 12" xfId="2089" xr:uid="{00000000-0005-0000-0000-00003A070000}"/>
    <cellStyle name="Normal 5 4 9 13" xfId="2240" xr:uid="{00000000-0005-0000-0000-00003B070000}"/>
    <cellStyle name="Normal 5 4 9 2" xfId="366" xr:uid="{00000000-0005-0000-0000-00003C070000}"/>
    <cellStyle name="Normal 5 4 9 3" xfId="539" xr:uid="{00000000-0005-0000-0000-00003D070000}"/>
    <cellStyle name="Normal 5 4 9 4" xfId="712" xr:uid="{00000000-0005-0000-0000-00003E070000}"/>
    <cellStyle name="Normal 5 4 9 5" xfId="885" xr:uid="{00000000-0005-0000-0000-00003F070000}"/>
    <cellStyle name="Normal 5 4 9 6" xfId="1058" xr:uid="{00000000-0005-0000-0000-000040070000}"/>
    <cellStyle name="Normal 5 4 9 7" xfId="1231" xr:uid="{00000000-0005-0000-0000-000041070000}"/>
    <cellStyle name="Normal 5 4 9 8" xfId="1404" xr:uid="{00000000-0005-0000-0000-000042070000}"/>
    <cellStyle name="Normal 5 4 9 9" xfId="1577" xr:uid="{00000000-0005-0000-0000-000043070000}"/>
    <cellStyle name="Normal 5 5" xfId="33" xr:uid="{00000000-0005-0000-0000-000044070000}"/>
    <cellStyle name="Normal 5 5 10" xfId="1589" xr:uid="{00000000-0005-0000-0000-000045070000}"/>
    <cellStyle name="Normal 5 5 11" xfId="1762" xr:uid="{00000000-0005-0000-0000-000046070000}"/>
    <cellStyle name="Normal 5 5 12" xfId="1933" xr:uid="{00000000-0005-0000-0000-000047070000}"/>
    <cellStyle name="Normal 5 5 13" xfId="2101" xr:uid="{00000000-0005-0000-0000-000048070000}"/>
    <cellStyle name="Normal 5 5 2" xfId="250" xr:uid="{00000000-0005-0000-0000-000049070000}"/>
    <cellStyle name="Normal 5 5 3" xfId="378" xr:uid="{00000000-0005-0000-0000-00004A070000}"/>
    <cellStyle name="Normal 5 5 4" xfId="551" xr:uid="{00000000-0005-0000-0000-00004B070000}"/>
    <cellStyle name="Normal 5 5 5" xfId="724" xr:uid="{00000000-0005-0000-0000-00004C070000}"/>
    <cellStyle name="Normal 5 5 6" xfId="897" xr:uid="{00000000-0005-0000-0000-00004D070000}"/>
    <cellStyle name="Normal 5 5 7" xfId="1070" xr:uid="{00000000-0005-0000-0000-00004E070000}"/>
    <cellStyle name="Normal 5 5 8" xfId="1243" xr:uid="{00000000-0005-0000-0000-00004F070000}"/>
    <cellStyle name="Normal 5 5 9" xfId="1416" xr:uid="{00000000-0005-0000-0000-000050070000}"/>
    <cellStyle name="Normal 5 6" xfId="31" xr:uid="{00000000-0005-0000-0000-000051070000}"/>
    <cellStyle name="Normal 5 6 10" xfId="1597" xr:uid="{00000000-0005-0000-0000-000052070000}"/>
    <cellStyle name="Normal 5 6 11" xfId="1770" xr:uid="{00000000-0005-0000-0000-000053070000}"/>
    <cellStyle name="Normal 5 6 12" xfId="1941" xr:uid="{00000000-0005-0000-0000-000054070000}"/>
    <cellStyle name="Normal 5 6 13" xfId="2108" xr:uid="{00000000-0005-0000-0000-000055070000}"/>
    <cellStyle name="Normal 5 6 2" xfId="248" xr:uid="{00000000-0005-0000-0000-000056070000}"/>
    <cellStyle name="Normal 5 6 3" xfId="386" xr:uid="{00000000-0005-0000-0000-000057070000}"/>
    <cellStyle name="Normal 5 6 4" xfId="559" xr:uid="{00000000-0005-0000-0000-000058070000}"/>
    <cellStyle name="Normal 5 6 5" xfId="732" xr:uid="{00000000-0005-0000-0000-000059070000}"/>
    <cellStyle name="Normal 5 6 6" xfId="905" xr:uid="{00000000-0005-0000-0000-00005A070000}"/>
    <cellStyle name="Normal 5 6 7" xfId="1078" xr:uid="{00000000-0005-0000-0000-00005B070000}"/>
    <cellStyle name="Normal 5 6 8" xfId="1251" xr:uid="{00000000-0005-0000-0000-00005C070000}"/>
    <cellStyle name="Normal 5 6 9" xfId="1424" xr:uid="{00000000-0005-0000-0000-00005D070000}"/>
    <cellStyle name="Normal 5 7" xfId="32" xr:uid="{00000000-0005-0000-0000-00005E070000}"/>
    <cellStyle name="Normal 5 7 10" xfId="1581" xr:uid="{00000000-0005-0000-0000-00005F070000}"/>
    <cellStyle name="Normal 5 7 11" xfId="1754" xr:uid="{00000000-0005-0000-0000-000060070000}"/>
    <cellStyle name="Normal 5 7 12" xfId="1925" xr:uid="{00000000-0005-0000-0000-000061070000}"/>
    <cellStyle name="Normal 5 7 13" xfId="2093" xr:uid="{00000000-0005-0000-0000-000062070000}"/>
    <cellStyle name="Normal 5 7 2" xfId="249" xr:uid="{00000000-0005-0000-0000-000063070000}"/>
    <cellStyle name="Normal 5 7 3" xfId="370" xr:uid="{00000000-0005-0000-0000-000064070000}"/>
    <cellStyle name="Normal 5 7 4" xfId="543" xr:uid="{00000000-0005-0000-0000-000065070000}"/>
    <cellStyle name="Normal 5 7 5" xfId="716" xr:uid="{00000000-0005-0000-0000-000066070000}"/>
    <cellStyle name="Normal 5 7 6" xfId="889" xr:uid="{00000000-0005-0000-0000-000067070000}"/>
    <cellStyle name="Normal 5 7 7" xfId="1062" xr:uid="{00000000-0005-0000-0000-000068070000}"/>
    <cellStyle name="Normal 5 7 8" xfId="1235" xr:uid="{00000000-0005-0000-0000-000069070000}"/>
    <cellStyle name="Normal 5 7 9" xfId="1408" xr:uid="{00000000-0005-0000-0000-00006A070000}"/>
    <cellStyle name="Normal 5 8" xfId="28" xr:uid="{00000000-0005-0000-0000-00006B070000}"/>
    <cellStyle name="Normal 5 8 10" xfId="1474" xr:uid="{00000000-0005-0000-0000-00006C070000}"/>
    <cellStyle name="Normal 5 8 11" xfId="1647" xr:uid="{00000000-0005-0000-0000-00006D070000}"/>
    <cellStyle name="Normal 5 8 12" xfId="1820" xr:uid="{00000000-0005-0000-0000-00006E070000}"/>
    <cellStyle name="Normal 5 8 13" xfId="1991" xr:uid="{00000000-0005-0000-0000-00006F070000}"/>
    <cellStyle name="Normal 5 8 2" xfId="245" xr:uid="{00000000-0005-0000-0000-000070070000}"/>
    <cellStyle name="Normal 5 8 3" xfId="263" xr:uid="{00000000-0005-0000-0000-000071070000}"/>
    <cellStyle name="Normal 5 8 4" xfId="436" xr:uid="{00000000-0005-0000-0000-000072070000}"/>
    <cellStyle name="Normal 5 8 5" xfId="609" xr:uid="{00000000-0005-0000-0000-000073070000}"/>
    <cellStyle name="Normal 5 8 6" xfId="782" xr:uid="{00000000-0005-0000-0000-000074070000}"/>
    <cellStyle name="Normal 5 8 7" xfId="955" xr:uid="{00000000-0005-0000-0000-000075070000}"/>
    <cellStyle name="Normal 5 8 8" xfId="1128" xr:uid="{00000000-0005-0000-0000-000076070000}"/>
    <cellStyle name="Normal 5 8 9" xfId="1301" xr:uid="{00000000-0005-0000-0000-000077070000}"/>
    <cellStyle name="Normal 5 9" xfId="34" xr:uid="{00000000-0005-0000-0000-000078070000}"/>
    <cellStyle name="Normal 5 9 10" xfId="1573" xr:uid="{00000000-0005-0000-0000-000079070000}"/>
    <cellStyle name="Normal 5 9 11" xfId="1746" xr:uid="{00000000-0005-0000-0000-00007A070000}"/>
    <cellStyle name="Normal 5 9 12" xfId="1917" xr:uid="{00000000-0005-0000-0000-00007B070000}"/>
    <cellStyle name="Normal 5 9 13" xfId="2085" xr:uid="{00000000-0005-0000-0000-00007C070000}"/>
    <cellStyle name="Normal 5 9 2" xfId="251" xr:uid="{00000000-0005-0000-0000-00007D070000}"/>
    <cellStyle name="Normal 5 9 3" xfId="362" xr:uid="{00000000-0005-0000-0000-00007E070000}"/>
    <cellStyle name="Normal 5 9 4" xfId="535" xr:uid="{00000000-0005-0000-0000-00007F070000}"/>
    <cellStyle name="Normal 5 9 5" xfId="708" xr:uid="{00000000-0005-0000-0000-000080070000}"/>
    <cellStyle name="Normal 5 9 6" xfId="881" xr:uid="{00000000-0005-0000-0000-000081070000}"/>
    <cellStyle name="Normal 5 9 7" xfId="1054" xr:uid="{00000000-0005-0000-0000-000082070000}"/>
    <cellStyle name="Normal 5 9 8" xfId="1227" xr:uid="{00000000-0005-0000-0000-000083070000}"/>
    <cellStyle name="Normal 5 9 9" xfId="1400" xr:uid="{00000000-0005-0000-0000-000084070000}"/>
    <cellStyle name="Normal 6" xfId="8" xr:uid="{00000000-0005-0000-0000-000085070000}"/>
    <cellStyle name="Normal 7" xfId="18" xr:uid="{00000000-0005-0000-0000-000086070000}"/>
    <cellStyle name="Normal 7 10" xfId="172" xr:uid="{00000000-0005-0000-0000-000087070000}"/>
    <cellStyle name="Normal 7 10 10" xfId="1771" xr:uid="{00000000-0005-0000-0000-000088070000}"/>
    <cellStyle name="Normal 7 10 11" xfId="1942" xr:uid="{00000000-0005-0000-0000-000089070000}"/>
    <cellStyle name="Normal 7 10 12" xfId="2109" xr:uid="{00000000-0005-0000-0000-00008A070000}"/>
    <cellStyle name="Normal 7 10 13" xfId="2257" xr:uid="{00000000-0005-0000-0000-00008B070000}"/>
    <cellStyle name="Normal 7 10 2" xfId="387" xr:uid="{00000000-0005-0000-0000-00008C070000}"/>
    <cellStyle name="Normal 7 10 3" xfId="560" xr:uid="{00000000-0005-0000-0000-00008D070000}"/>
    <cellStyle name="Normal 7 10 4" xfId="733" xr:uid="{00000000-0005-0000-0000-00008E070000}"/>
    <cellStyle name="Normal 7 10 5" xfId="906" xr:uid="{00000000-0005-0000-0000-00008F070000}"/>
    <cellStyle name="Normal 7 10 6" xfId="1079" xr:uid="{00000000-0005-0000-0000-000090070000}"/>
    <cellStyle name="Normal 7 10 7" xfId="1252" xr:uid="{00000000-0005-0000-0000-000091070000}"/>
    <cellStyle name="Normal 7 10 8" xfId="1425" xr:uid="{00000000-0005-0000-0000-000092070000}"/>
    <cellStyle name="Normal 7 10 9" xfId="1598" xr:uid="{00000000-0005-0000-0000-000093070000}"/>
    <cellStyle name="Normal 7 11" xfId="187" xr:uid="{00000000-0005-0000-0000-000094070000}"/>
    <cellStyle name="Normal 7 11 10" xfId="1786" xr:uid="{00000000-0005-0000-0000-000095070000}"/>
    <cellStyle name="Normal 7 11 11" xfId="1957" xr:uid="{00000000-0005-0000-0000-000096070000}"/>
    <cellStyle name="Normal 7 11 12" xfId="2124" xr:uid="{00000000-0005-0000-0000-000097070000}"/>
    <cellStyle name="Normal 7 11 13" xfId="2269" xr:uid="{00000000-0005-0000-0000-000098070000}"/>
    <cellStyle name="Normal 7 11 2" xfId="402" xr:uid="{00000000-0005-0000-0000-000099070000}"/>
    <cellStyle name="Normal 7 11 3" xfId="575" xr:uid="{00000000-0005-0000-0000-00009A070000}"/>
    <cellStyle name="Normal 7 11 4" xfId="748" xr:uid="{00000000-0005-0000-0000-00009B070000}"/>
    <cellStyle name="Normal 7 11 5" xfId="921" xr:uid="{00000000-0005-0000-0000-00009C070000}"/>
    <cellStyle name="Normal 7 11 6" xfId="1094" xr:uid="{00000000-0005-0000-0000-00009D070000}"/>
    <cellStyle name="Normal 7 11 7" xfId="1267" xr:uid="{00000000-0005-0000-0000-00009E070000}"/>
    <cellStyle name="Normal 7 11 8" xfId="1440" xr:uid="{00000000-0005-0000-0000-00009F070000}"/>
    <cellStyle name="Normal 7 11 9" xfId="1613" xr:uid="{00000000-0005-0000-0000-0000A0070000}"/>
    <cellStyle name="Normal 7 12" xfId="202" xr:uid="{00000000-0005-0000-0000-0000A1070000}"/>
    <cellStyle name="Normal 7 12 10" xfId="1801" xr:uid="{00000000-0005-0000-0000-0000A2070000}"/>
    <cellStyle name="Normal 7 12 11" xfId="1972" xr:uid="{00000000-0005-0000-0000-0000A3070000}"/>
    <cellStyle name="Normal 7 12 12" xfId="2139" xr:uid="{00000000-0005-0000-0000-0000A4070000}"/>
    <cellStyle name="Normal 7 12 13" xfId="2281" xr:uid="{00000000-0005-0000-0000-0000A5070000}"/>
    <cellStyle name="Normal 7 12 2" xfId="417" xr:uid="{00000000-0005-0000-0000-0000A6070000}"/>
    <cellStyle name="Normal 7 12 3" xfId="590" xr:uid="{00000000-0005-0000-0000-0000A7070000}"/>
    <cellStyle name="Normal 7 12 4" xfId="763" xr:uid="{00000000-0005-0000-0000-0000A8070000}"/>
    <cellStyle name="Normal 7 12 5" xfId="936" xr:uid="{00000000-0005-0000-0000-0000A9070000}"/>
    <cellStyle name="Normal 7 12 6" xfId="1109" xr:uid="{00000000-0005-0000-0000-0000AA070000}"/>
    <cellStyle name="Normal 7 12 7" xfId="1282" xr:uid="{00000000-0005-0000-0000-0000AB070000}"/>
    <cellStyle name="Normal 7 12 8" xfId="1455" xr:uid="{00000000-0005-0000-0000-0000AC070000}"/>
    <cellStyle name="Normal 7 12 9" xfId="1628" xr:uid="{00000000-0005-0000-0000-0000AD070000}"/>
    <cellStyle name="Normal 7 13" xfId="214" xr:uid="{00000000-0005-0000-0000-0000AE070000}"/>
    <cellStyle name="Normal 7 13 10" xfId="1813" xr:uid="{00000000-0005-0000-0000-0000AF070000}"/>
    <cellStyle name="Normal 7 13 11" xfId="1984" xr:uid="{00000000-0005-0000-0000-0000B0070000}"/>
    <cellStyle name="Normal 7 13 12" xfId="2150" xr:uid="{00000000-0005-0000-0000-0000B1070000}"/>
    <cellStyle name="Normal 7 13 13" xfId="2291" xr:uid="{00000000-0005-0000-0000-0000B2070000}"/>
    <cellStyle name="Normal 7 13 2" xfId="429" xr:uid="{00000000-0005-0000-0000-0000B3070000}"/>
    <cellStyle name="Normal 7 13 3" xfId="602" xr:uid="{00000000-0005-0000-0000-0000B4070000}"/>
    <cellStyle name="Normal 7 13 4" xfId="775" xr:uid="{00000000-0005-0000-0000-0000B5070000}"/>
    <cellStyle name="Normal 7 13 5" xfId="948" xr:uid="{00000000-0005-0000-0000-0000B6070000}"/>
    <cellStyle name="Normal 7 13 6" xfId="1121" xr:uid="{00000000-0005-0000-0000-0000B7070000}"/>
    <cellStyle name="Normal 7 13 7" xfId="1294" xr:uid="{00000000-0005-0000-0000-0000B8070000}"/>
    <cellStyle name="Normal 7 13 8" xfId="1467" xr:uid="{00000000-0005-0000-0000-0000B9070000}"/>
    <cellStyle name="Normal 7 13 9" xfId="1640" xr:uid="{00000000-0005-0000-0000-0000BA070000}"/>
    <cellStyle name="Normal 7 14" xfId="236" xr:uid="{00000000-0005-0000-0000-0000BB070000}"/>
    <cellStyle name="Normal 7 15" xfId="364" xr:uid="{00000000-0005-0000-0000-0000BC070000}"/>
    <cellStyle name="Normal 7 16" xfId="537" xr:uid="{00000000-0005-0000-0000-0000BD070000}"/>
    <cellStyle name="Normal 7 17" xfId="710" xr:uid="{00000000-0005-0000-0000-0000BE070000}"/>
    <cellStyle name="Normal 7 18" xfId="883" xr:uid="{00000000-0005-0000-0000-0000BF070000}"/>
    <cellStyle name="Normal 7 19" xfId="1056" xr:uid="{00000000-0005-0000-0000-0000C0070000}"/>
    <cellStyle name="Normal 7 2" xfId="43" xr:uid="{00000000-0005-0000-0000-0000C1070000}"/>
    <cellStyle name="Normal 7 2 10" xfId="1619" xr:uid="{00000000-0005-0000-0000-0000C2070000}"/>
    <cellStyle name="Normal 7 2 11" xfId="1792" xr:uid="{00000000-0005-0000-0000-0000C3070000}"/>
    <cellStyle name="Normal 7 2 12" xfId="1963" xr:uid="{00000000-0005-0000-0000-0000C4070000}"/>
    <cellStyle name="Normal 7 2 13" xfId="2130" xr:uid="{00000000-0005-0000-0000-0000C5070000}"/>
    <cellStyle name="Normal 7 2 2" xfId="260" xr:uid="{00000000-0005-0000-0000-0000C6070000}"/>
    <cellStyle name="Normal 7 2 3" xfId="408" xr:uid="{00000000-0005-0000-0000-0000C7070000}"/>
    <cellStyle name="Normal 7 2 4" xfId="581" xr:uid="{00000000-0005-0000-0000-0000C8070000}"/>
    <cellStyle name="Normal 7 2 5" xfId="754" xr:uid="{00000000-0005-0000-0000-0000C9070000}"/>
    <cellStyle name="Normal 7 2 6" xfId="927" xr:uid="{00000000-0005-0000-0000-0000CA070000}"/>
    <cellStyle name="Normal 7 2 7" xfId="1100" xr:uid="{00000000-0005-0000-0000-0000CB070000}"/>
    <cellStyle name="Normal 7 2 8" xfId="1273" xr:uid="{00000000-0005-0000-0000-0000CC070000}"/>
    <cellStyle name="Normal 7 2 9" xfId="1446" xr:uid="{00000000-0005-0000-0000-0000CD070000}"/>
    <cellStyle name="Normal 7 20" xfId="1229" xr:uid="{00000000-0005-0000-0000-0000CE070000}"/>
    <cellStyle name="Normal 7 21" xfId="1402" xr:uid="{00000000-0005-0000-0000-0000CF070000}"/>
    <cellStyle name="Normal 7 22" xfId="1575" xr:uid="{00000000-0005-0000-0000-0000D0070000}"/>
    <cellStyle name="Normal 7 23" xfId="1748" xr:uid="{00000000-0005-0000-0000-0000D1070000}"/>
    <cellStyle name="Normal 7 24" xfId="1919" xr:uid="{00000000-0005-0000-0000-0000D2070000}"/>
    <cellStyle name="Normal 7 25" xfId="2087" xr:uid="{00000000-0005-0000-0000-0000D3070000}"/>
    <cellStyle name="Normal 7 3" xfId="60" xr:uid="{00000000-0005-0000-0000-0000D4070000}"/>
    <cellStyle name="Normal 7 3 10" xfId="1659" xr:uid="{00000000-0005-0000-0000-0000D5070000}"/>
    <cellStyle name="Normal 7 3 11" xfId="1832" xr:uid="{00000000-0005-0000-0000-0000D6070000}"/>
    <cellStyle name="Normal 7 3 12" xfId="2003" xr:uid="{00000000-0005-0000-0000-0000D7070000}"/>
    <cellStyle name="Normal 7 3 13" xfId="2166" xr:uid="{00000000-0005-0000-0000-0000D8070000}"/>
    <cellStyle name="Normal 7 3 2" xfId="275" xr:uid="{00000000-0005-0000-0000-0000D9070000}"/>
    <cellStyle name="Normal 7 3 3" xfId="448" xr:uid="{00000000-0005-0000-0000-0000DA070000}"/>
    <cellStyle name="Normal 7 3 4" xfId="621" xr:uid="{00000000-0005-0000-0000-0000DB070000}"/>
    <cellStyle name="Normal 7 3 5" xfId="794" xr:uid="{00000000-0005-0000-0000-0000DC070000}"/>
    <cellStyle name="Normal 7 3 6" xfId="967" xr:uid="{00000000-0005-0000-0000-0000DD070000}"/>
    <cellStyle name="Normal 7 3 7" xfId="1140" xr:uid="{00000000-0005-0000-0000-0000DE070000}"/>
    <cellStyle name="Normal 7 3 8" xfId="1313" xr:uid="{00000000-0005-0000-0000-0000DF070000}"/>
    <cellStyle name="Normal 7 3 9" xfId="1486" xr:uid="{00000000-0005-0000-0000-0000E0070000}"/>
    <cellStyle name="Normal 7 4" xfId="76" xr:uid="{00000000-0005-0000-0000-0000E1070000}"/>
    <cellStyle name="Normal 7 4 10" xfId="1675" xr:uid="{00000000-0005-0000-0000-0000E2070000}"/>
    <cellStyle name="Normal 7 4 11" xfId="1847" xr:uid="{00000000-0005-0000-0000-0000E3070000}"/>
    <cellStyle name="Normal 7 4 12" xfId="2018" xr:uid="{00000000-0005-0000-0000-0000E4070000}"/>
    <cellStyle name="Normal 7 4 13" xfId="2179" xr:uid="{00000000-0005-0000-0000-0000E5070000}"/>
    <cellStyle name="Normal 7 4 2" xfId="291" xr:uid="{00000000-0005-0000-0000-0000E6070000}"/>
    <cellStyle name="Normal 7 4 3" xfId="464" xr:uid="{00000000-0005-0000-0000-0000E7070000}"/>
    <cellStyle name="Normal 7 4 4" xfId="637" xr:uid="{00000000-0005-0000-0000-0000E8070000}"/>
    <cellStyle name="Normal 7 4 5" xfId="810" xr:uid="{00000000-0005-0000-0000-0000E9070000}"/>
    <cellStyle name="Normal 7 4 6" xfId="983" xr:uid="{00000000-0005-0000-0000-0000EA070000}"/>
    <cellStyle name="Normal 7 4 7" xfId="1156" xr:uid="{00000000-0005-0000-0000-0000EB070000}"/>
    <cellStyle name="Normal 7 4 8" xfId="1329" xr:uid="{00000000-0005-0000-0000-0000EC070000}"/>
    <cellStyle name="Normal 7 4 9" xfId="1502" xr:uid="{00000000-0005-0000-0000-0000ED070000}"/>
    <cellStyle name="Normal 7 5" xfId="92" xr:uid="{00000000-0005-0000-0000-0000EE070000}"/>
    <cellStyle name="Normal 7 5 10" xfId="1691" xr:uid="{00000000-0005-0000-0000-0000EF070000}"/>
    <cellStyle name="Normal 7 5 11" xfId="1863" xr:uid="{00000000-0005-0000-0000-0000F0070000}"/>
    <cellStyle name="Normal 7 5 12" xfId="2033" xr:uid="{00000000-0005-0000-0000-0000F1070000}"/>
    <cellStyle name="Normal 7 5 13" xfId="2192" xr:uid="{00000000-0005-0000-0000-0000F2070000}"/>
    <cellStyle name="Normal 7 5 2" xfId="307" xr:uid="{00000000-0005-0000-0000-0000F3070000}"/>
    <cellStyle name="Normal 7 5 3" xfId="480" xr:uid="{00000000-0005-0000-0000-0000F4070000}"/>
    <cellStyle name="Normal 7 5 4" xfId="653" xr:uid="{00000000-0005-0000-0000-0000F5070000}"/>
    <cellStyle name="Normal 7 5 5" xfId="826" xr:uid="{00000000-0005-0000-0000-0000F6070000}"/>
    <cellStyle name="Normal 7 5 6" xfId="999" xr:uid="{00000000-0005-0000-0000-0000F7070000}"/>
    <cellStyle name="Normal 7 5 7" xfId="1172" xr:uid="{00000000-0005-0000-0000-0000F8070000}"/>
    <cellStyle name="Normal 7 5 8" xfId="1345" xr:uid="{00000000-0005-0000-0000-0000F9070000}"/>
    <cellStyle name="Normal 7 5 9" xfId="1518" xr:uid="{00000000-0005-0000-0000-0000FA070000}"/>
    <cellStyle name="Normal 7 6" xfId="108" xr:uid="{00000000-0005-0000-0000-0000FB070000}"/>
    <cellStyle name="Normal 7 6 10" xfId="1707" xr:uid="{00000000-0005-0000-0000-0000FC070000}"/>
    <cellStyle name="Normal 7 6 11" xfId="1879" xr:uid="{00000000-0005-0000-0000-0000FD070000}"/>
    <cellStyle name="Normal 7 6 12" xfId="2049" xr:uid="{00000000-0005-0000-0000-0000FE070000}"/>
    <cellStyle name="Normal 7 6 13" xfId="2205" xr:uid="{00000000-0005-0000-0000-0000FF070000}"/>
    <cellStyle name="Normal 7 6 2" xfId="323" xr:uid="{00000000-0005-0000-0000-000000080000}"/>
    <cellStyle name="Normal 7 6 3" xfId="496" xr:uid="{00000000-0005-0000-0000-000001080000}"/>
    <cellStyle name="Normal 7 6 4" xfId="669" xr:uid="{00000000-0005-0000-0000-000002080000}"/>
    <cellStyle name="Normal 7 6 5" xfId="842" xr:uid="{00000000-0005-0000-0000-000003080000}"/>
    <cellStyle name="Normal 7 6 6" xfId="1015" xr:uid="{00000000-0005-0000-0000-000004080000}"/>
    <cellStyle name="Normal 7 6 7" xfId="1188" xr:uid="{00000000-0005-0000-0000-000005080000}"/>
    <cellStyle name="Normal 7 6 8" xfId="1361" xr:uid="{00000000-0005-0000-0000-000006080000}"/>
    <cellStyle name="Normal 7 6 9" xfId="1534" xr:uid="{00000000-0005-0000-0000-000007080000}"/>
    <cellStyle name="Normal 7 7" xfId="124" xr:uid="{00000000-0005-0000-0000-000008080000}"/>
    <cellStyle name="Normal 7 7 10" xfId="1723" xr:uid="{00000000-0005-0000-0000-000009080000}"/>
    <cellStyle name="Normal 7 7 11" xfId="1895" xr:uid="{00000000-0005-0000-0000-00000A080000}"/>
    <cellStyle name="Normal 7 7 12" xfId="2063" xr:uid="{00000000-0005-0000-0000-00000B080000}"/>
    <cellStyle name="Normal 7 7 13" xfId="2218" xr:uid="{00000000-0005-0000-0000-00000C080000}"/>
    <cellStyle name="Normal 7 7 2" xfId="339" xr:uid="{00000000-0005-0000-0000-00000D080000}"/>
    <cellStyle name="Normal 7 7 3" xfId="512" xr:uid="{00000000-0005-0000-0000-00000E080000}"/>
    <cellStyle name="Normal 7 7 4" xfId="685" xr:uid="{00000000-0005-0000-0000-00000F080000}"/>
    <cellStyle name="Normal 7 7 5" xfId="858" xr:uid="{00000000-0005-0000-0000-000010080000}"/>
    <cellStyle name="Normal 7 7 6" xfId="1031" xr:uid="{00000000-0005-0000-0000-000011080000}"/>
    <cellStyle name="Normal 7 7 7" xfId="1204" xr:uid="{00000000-0005-0000-0000-000012080000}"/>
    <cellStyle name="Normal 7 7 8" xfId="1377" xr:uid="{00000000-0005-0000-0000-000013080000}"/>
    <cellStyle name="Normal 7 7 9" xfId="1550" xr:uid="{00000000-0005-0000-0000-000014080000}"/>
    <cellStyle name="Normal 7 8" xfId="140" xr:uid="{00000000-0005-0000-0000-000015080000}"/>
    <cellStyle name="Normal 7 8 10" xfId="1739" xr:uid="{00000000-0005-0000-0000-000016080000}"/>
    <cellStyle name="Normal 7 8 11" xfId="1910" xr:uid="{00000000-0005-0000-0000-000017080000}"/>
    <cellStyle name="Normal 7 8 12" xfId="2078" xr:uid="{00000000-0005-0000-0000-000018080000}"/>
    <cellStyle name="Normal 7 8 13" xfId="2231" xr:uid="{00000000-0005-0000-0000-000019080000}"/>
    <cellStyle name="Normal 7 8 2" xfId="355" xr:uid="{00000000-0005-0000-0000-00001A080000}"/>
    <cellStyle name="Normal 7 8 3" xfId="528" xr:uid="{00000000-0005-0000-0000-00001B080000}"/>
    <cellStyle name="Normal 7 8 4" xfId="701" xr:uid="{00000000-0005-0000-0000-00001C080000}"/>
    <cellStyle name="Normal 7 8 5" xfId="874" xr:uid="{00000000-0005-0000-0000-00001D080000}"/>
    <cellStyle name="Normal 7 8 6" xfId="1047" xr:uid="{00000000-0005-0000-0000-00001E080000}"/>
    <cellStyle name="Normal 7 8 7" xfId="1220" xr:uid="{00000000-0005-0000-0000-00001F080000}"/>
    <cellStyle name="Normal 7 8 8" xfId="1393" xr:uid="{00000000-0005-0000-0000-000020080000}"/>
    <cellStyle name="Normal 7 8 9" xfId="1566" xr:uid="{00000000-0005-0000-0000-000021080000}"/>
    <cellStyle name="Normal 7 9" xfId="156" xr:uid="{00000000-0005-0000-0000-000022080000}"/>
    <cellStyle name="Normal 7 9 10" xfId="1755" xr:uid="{00000000-0005-0000-0000-000023080000}"/>
    <cellStyle name="Normal 7 9 11" xfId="1926" xr:uid="{00000000-0005-0000-0000-000024080000}"/>
    <cellStyle name="Normal 7 9 12" xfId="2094" xr:uid="{00000000-0005-0000-0000-000025080000}"/>
    <cellStyle name="Normal 7 9 13" xfId="2244" xr:uid="{00000000-0005-0000-0000-000026080000}"/>
    <cellStyle name="Normal 7 9 2" xfId="371" xr:uid="{00000000-0005-0000-0000-000027080000}"/>
    <cellStyle name="Normal 7 9 3" xfId="544" xr:uid="{00000000-0005-0000-0000-000028080000}"/>
    <cellStyle name="Normal 7 9 4" xfId="717" xr:uid="{00000000-0005-0000-0000-000029080000}"/>
    <cellStyle name="Normal 7 9 5" xfId="890" xr:uid="{00000000-0005-0000-0000-00002A080000}"/>
    <cellStyle name="Normal 7 9 6" xfId="1063" xr:uid="{00000000-0005-0000-0000-00002B080000}"/>
    <cellStyle name="Normal 7 9 7" xfId="1236" xr:uid="{00000000-0005-0000-0000-00002C080000}"/>
    <cellStyle name="Normal 7 9 8" xfId="1409" xr:uid="{00000000-0005-0000-0000-00002D080000}"/>
    <cellStyle name="Normal 7 9 9" xfId="1582" xr:uid="{00000000-0005-0000-0000-00002E080000}"/>
    <cellStyle name="Normal 8" xfId="11" xr:uid="{00000000-0005-0000-0000-00002F080000}"/>
    <cellStyle name="Normal 8 10" xfId="149" xr:uid="{00000000-0005-0000-0000-000030080000}"/>
    <cellStyle name="Normal 8 11" xfId="165" xr:uid="{00000000-0005-0000-0000-000031080000}"/>
    <cellStyle name="Normal 8 12" xfId="180" xr:uid="{00000000-0005-0000-0000-000032080000}"/>
    <cellStyle name="Normal 8 13" xfId="195" xr:uid="{00000000-0005-0000-0000-000033080000}"/>
    <cellStyle name="Normal 8 14" xfId="209" xr:uid="{00000000-0005-0000-0000-000034080000}"/>
    <cellStyle name="Normal 8 15" xfId="229" xr:uid="{00000000-0005-0000-0000-000035080000}"/>
    <cellStyle name="Normal 8 16" xfId="269" xr:uid="{00000000-0005-0000-0000-000036080000}"/>
    <cellStyle name="Normal 8 17" xfId="442" xr:uid="{00000000-0005-0000-0000-000037080000}"/>
    <cellStyle name="Normal 8 18" xfId="615" xr:uid="{00000000-0005-0000-0000-000038080000}"/>
    <cellStyle name="Normal 8 19" xfId="788" xr:uid="{00000000-0005-0000-0000-000039080000}"/>
    <cellStyle name="Normal 8 2" xfId="21" xr:uid="{00000000-0005-0000-0000-00003A080000}"/>
    <cellStyle name="Normal 8 20" xfId="961" xr:uid="{00000000-0005-0000-0000-00003B080000}"/>
    <cellStyle name="Normal 8 21" xfId="1134" xr:uid="{00000000-0005-0000-0000-00003C080000}"/>
    <cellStyle name="Normal 8 22" xfId="1307" xr:uid="{00000000-0005-0000-0000-00003D080000}"/>
    <cellStyle name="Normal 8 23" xfId="1480" xr:uid="{00000000-0005-0000-0000-00003E080000}"/>
    <cellStyle name="Normal 8 24" xfId="1653" xr:uid="{00000000-0005-0000-0000-00003F080000}"/>
    <cellStyle name="Normal 8 25" xfId="1826" xr:uid="{00000000-0005-0000-0000-000040080000}"/>
    <cellStyle name="Normal 8 26" xfId="1997" xr:uid="{00000000-0005-0000-0000-000041080000}"/>
    <cellStyle name="Normal 8 3" xfId="36" xr:uid="{00000000-0005-0000-0000-000042080000}"/>
    <cellStyle name="Normal 8 4" xfId="53" xr:uid="{00000000-0005-0000-0000-000043080000}"/>
    <cellStyle name="Normal 8 5" xfId="69" xr:uid="{00000000-0005-0000-0000-000044080000}"/>
    <cellStyle name="Normal 8 6" xfId="85" xr:uid="{00000000-0005-0000-0000-000045080000}"/>
    <cellStyle name="Normal 8 7" xfId="101" xr:uid="{00000000-0005-0000-0000-000046080000}"/>
    <cellStyle name="Normal 8 8" xfId="117" xr:uid="{00000000-0005-0000-0000-000047080000}"/>
    <cellStyle name="Normal 8 9" xfId="133" xr:uid="{00000000-0005-0000-0000-000048080000}"/>
    <cellStyle name="Normal 9" xfId="19" xr:uid="{00000000-0005-0000-0000-000049080000}"/>
    <cellStyle name="Normal 9 10" xfId="173" xr:uid="{00000000-0005-0000-0000-00004A080000}"/>
    <cellStyle name="Normal 9 10 10" xfId="1772" xr:uid="{00000000-0005-0000-0000-00004B080000}"/>
    <cellStyle name="Normal 9 10 11" xfId="1943" xr:uid="{00000000-0005-0000-0000-00004C080000}"/>
    <cellStyle name="Normal 9 10 12" xfId="2110" xr:uid="{00000000-0005-0000-0000-00004D080000}"/>
    <cellStyle name="Normal 9 10 13" xfId="2258" xr:uid="{00000000-0005-0000-0000-00004E080000}"/>
    <cellStyle name="Normal 9 10 2" xfId="388" xr:uid="{00000000-0005-0000-0000-00004F080000}"/>
    <cellStyle name="Normal 9 10 3" xfId="561" xr:uid="{00000000-0005-0000-0000-000050080000}"/>
    <cellStyle name="Normal 9 10 4" xfId="734" xr:uid="{00000000-0005-0000-0000-000051080000}"/>
    <cellStyle name="Normal 9 10 5" xfId="907" xr:uid="{00000000-0005-0000-0000-000052080000}"/>
    <cellStyle name="Normal 9 10 6" xfId="1080" xr:uid="{00000000-0005-0000-0000-000053080000}"/>
    <cellStyle name="Normal 9 10 7" xfId="1253" xr:uid="{00000000-0005-0000-0000-000054080000}"/>
    <cellStyle name="Normal 9 10 8" xfId="1426" xr:uid="{00000000-0005-0000-0000-000055080000}"/>
    <cellStyle name="Normal 9 10 9" xfId="1599" xr:uid="{00000000-0005-0000-0000-000056080000}"/>
    <cellStyle name="Normal 9 11" xfId="188" xr:uid="{00000000-0005-0000-0000-000057080000}"/>
    <cellStyle name="Normal 9 11 10" xfId="1787" xr:uid="{00000000-0005-0000-0000-000058080000}"/>
    <cellStyle name="Normal 9 11 11" xfId="1958" xr:uid="{00000000-0005-0000-0000-000059080000}"/>
    <cellStyle name="Normal 9 11 12" xfId="2125" xr:uid="{00000000-0005-0000-0000-00005A080000}"/>
    <cellStyle name="Normal 9 11 13" xfId="2270" xr:uid="{00000000-0005-0000-0000-00005B080000}"/>
    <cellStyle name="Normal 9 11 2" xfId="403" xr:uid="{00000000-0005-0000-0000-00005C080000}"/>
    <cellStyle name="Normal 9 11 3" xfId="576" xr:uid="{00000000-0005-0000-0000-00005D080000}"/>
    <cellStyle name="Normal 9 11 4" xfId="749" xr:uid="{00000000-0005-0000-0000-00005E080000}"/>
    <cellStyle name="Normal 9 11 5" xfId="922" xr:uid="{00000000-0005-0000-0000-00005F080000}"/>
    <cellStyle name="Normal 9 11 6" xfId="1095" xr:uid="{00000000-0005-0000-0000-000060080000}"/>
    <cellStyle name="Normal 9 11 7" xfId="1268" xr:uid="{00000000-0005-0000-0000-000061080000}"/>
    <cellStyle name="Normal 9 11 8" xfId="1441" xr:uid="{00000000-0005-0000-0000-000062080000}"/>
    <cellStyle name="Normal 9 11 9" xfId="1614" xr:uid="{00000000-0005-0000-0000-000063080000}"/>
    <cellStyle name="Normal 9 12" xfId="203" xr:uid="{00000000-0005-0000-0000-000064080000}"/>
    <cellStyle name="Normal 9 12 10" xfId="1802" xr:uid="{00000000-0005-0000-0000-000065080000}"/>
    <cellStyle name="Normal 9 12 11" xfId="1973" xr:uid="{00000000-0005-0000-0000-000066080000}"/>
    <cellStyle name="Normal 9 12 12" xfId="2140" xr:uid="{00000000-0005-0000-0000-000067080000}"/>
    <cellStyle name="Normal 9 12 13" xfId="2282" xr:uid="{00000000-0005-0000-0000-000068080000}"/>
    <cellStyle name="Normal 9 12 2" xfId="418" xr:uid="{00000000-0005-0000-0000-000069080000}"/>
    <cellStyle name="Normal 9 12 3" xfId="591" xr:uid="{00000000-0005-0000-0000-00006A080000}"/>
    <cellStyle name="Normal 9 12 4" xfId="764" xr:uid="{00000000-0005-0000-0000-00006B080000}"/>
    <cellStyle name="Normal 9 12 5" xfId="937" xr:uid="{00000000-0005-0000-0000-00006C080000}"/>
    <cellStyle name="Normal 9 12 6" xfId="1110" xr:uid="{00000000-0005-0000-0000-00006D080000}"/>
    <cellStyle name="Normal 9 12 7" xfId="1283" xr:uid="{00000000-0005-0000-0000-00006E080000}"/>
    <cellStyle name="Normal 9 12 8" xfId="1456" xr:uid="{00000000-0005-0000-0000-00006F080000}"/>
    <cellStyle name="Normal 9 12 9" xfId="1629" xr:uid="{00000000-0005-0000-0000-000070080000}"/>
    <cellStyle name="Normal 9 13" xfId="215" xr:uid="{00000000-0005-0000-0000-000071080000}"/>
    <cellStyle name="Normal 9 13 10" xfId="1814" xr:uid="{00000000-0005-0000-0000-000072080000}"/>
    <cellStyle name="Normal 9 13 11" xfId="1985" xr:uid="{00000000-0005-0000-0000-000073080000}"/>
    <cellStyle name="Normal 9 13 12" xfId="2151" xr:uid="{00000000-0005-0000-0000-000074080000}"/>
    <cellStyle name="Normal 9 13 13" xfId="2292" xr:uid="{00000000-0005-0000-0000-000075080000}"/>
    <cellStyle name="Normal 9 13 2" xfId="430" xr:uid="{00000000-0005-0000-0000-000076080000}"/>
    <cellStyle name="Normal 9 13 3" xfId="603" xr:uid="{00000000-0005-0000-0000-000077080000}"/>
    <cellStyle name="Normal 9 13 4" xfId="776" xr:uid="{00000000-0005-0000-0000-000078080000}"/>
    <cellStyle name="Normal 9 13 5" xfId="949" xr:uid="{00000000-0005-0000-0000-000079080000}"/>
    <cellStyle name="Normal 9 13 6" xfId="1122" xr:uid="{00000000-0005-0000-0000-00007A080000}"/>
    <cellStyle name="Normal 9 13 7" xfId="1295" xr:uid="{00000000-0005-0000-0000-00007B080000}"/>
    <cellStyle name="Normal 9 13 8" xfId="1468" xr:uid="{00000000-0005-0000-0000-00007C080000}"/>
    <cellStyle name="Normal 9 13 9" xfId="1641" xr:uid="{00000000-0005-0000-0000-00007D080000}"/>
    <cellStyle name="Normal 9 14" xfId="237" xr:uid="{00000000-0005-0000-0000-00007E080000}"/>
    <cellStyle name="Normal 9 15" xfId="227" xr:uid="{00000000-0005-0000-0000-00007F080000}"/>
    <cellStyle name="Normal 9 16" xfId="300" xr:uid="{00000000-0005-0000-0000-000080080000}"/>
    <cellStyle name="Normal 9 17" xfId="473" xr:uid="{00000000-0005-0000-0000-000081080000}"/>
    <cellStyle name="Normal 9 18" xfId="646" xr:uid="{00000000-0005-0000-0000-000082080000}"/>
    <cellStyle name="Normal 9 19" xfId="819" xr:uid="{00000000-0005-0000-0000-000083080000}"/>
    <cellStyle name="Normal 9 2" xfId="44" xr:uid="{00000000-0005-0000-0000-000084080000}"/>
    <cellStyle name="Normal 9 2 10" xfId="1604" xr:uid="{00000000-0005-0000-0000-000085080000}"/>
    <cellStyle name="Normal 9 2 11" xfId="1777" xr:uid="{00000000-0005-0000-0000-000086080000}"/>
    <cellStyle name="Normal 9 2 12" xfId="1948" xr:uid="{00000000-0005-0000-0000-000087080000}"/>
    <cellStyle name="Normal 9 2 13" xfId="2115" xr:uid="{00000000-0005-0000-0000-000088080000}"/>
    <cellStyle name="Normal 9 2 2" xfId="261" xr:uid="{00000000-0005-0000-0000-000089080000}"/>
    <cellStyle name="Normal 9 2 3" xfId="393" xr:uid="{00000000-0005-0000-0000-00008A080000}"/>
    <cellStyle name="Normal 9 2 4" xfId="566" xr:uid="{00000000-0005-0000-0000-00008B080000}"/>
    <cellStyle name="Normal 9 2 5" xfId="739" xr:uid="{00000000-0005-0000-0000-00008C080000}"/>
    <cellStyle name="Normal 9 2 6" xfId="912" xr:uid="{00000000-0005-0000-0000-00008D080000}"/>
    <cellStyle name="Normal 9 2 7" xfId="1085" xr:uid="{00000000-0005-0000-0000-00008E080000}"/>
    <cellStyle name="Normal 9 2 8" xfId="1258" xr:uid="{00000000-0005-0000-0000-00008F080000}"/>
    <cellStyle name="Normal 9 2 9" xfId="1431" xr:uid="{00000000-0005-0000-0000-000090080000}"/>
    <cellStyle name="Normal 9 20" xfId="992" xr:uid="{00000000-0005-0000-0000-000091080000}"/>
    <cellStyle name="Normal 9 21" xfId="1165" xr:uid="{00000000-0005-0000-0000-000092080000}"/>
    <cellStyle name="Normal 9 22" xfId="1338" xr:uid="{00000000-0005-0000-0000-000093080000}"/>
    <cellStyle name="Normal 9 23" xfId="1511" xr:uid="{00000000-0005-0000-0000-000094080000}"/>
    <cellStyle name="Normal 9 24" xfId="1684" xr:uid="{00000000-0005-0000-0000-000095080000}"/>
    <cellStyle name="Normal 9 25" xfId="1856" xr:uid="{00000000-0005-0000-0000-000096080000}"/>
    <cellStyle name="Normal 9 3" xfId="61" xr:uid="{00000000-0005-0000-0000-000097080000}"/>
    <cellStyle name="Normal 9 3 10" xfId="1660" xr:uid="{00000000-0005-0000-0000-000098080000}"/>
    <cellStyle name="Normal 9 3 11" xfId="1833" xr:uid="{00000000-0005-0000-0000-000099080000}"/>
    <cellStyle name="Normal 9 3 12" xfId="2004" xr:uid="{00000000-0005-0000-0000-00009A080000}"/>
    <cellStyle name="Normal 9 3 13" xfId="2167" xr:uid="{00000000-0005-0000-0000-00009B080000}"/>
    <cellStyle name="Normal 9 3 2" xfId="276" xr:uid="{00000000-0005-0000-0000-00009C080000}"/>
    <cellStyle name="Normal 9 3 3" xfId="449" xr:uid="{00000000-0005-0000-0000-00009D080000}"/>
    <cellStyle name="Normal 9 3 4" xfId="622" xr:uid="{00000000-0005-0000-0000-00009E080000}"/>
    <cellStyle name="Normal 9 3 5" xfId="795" xr:uid="{00000000-0005-0000-0000-00009F080000}"/>
    <cellStyle name="Normal 9 3 6" xfId="968" xr:uid="{00000000-0005-0000-0000-0000A0080000}"/>
    <cellStyle name="Normal 9 3 7" xfId="1141" xr:uid="{00000000-0005-0000-0000-0000A1080000}"/>
    <cellStyle name="Normal 9 3 8" xfId="1314" xr:uid="{00000000-0005-0000-0000-0000A2080000}"/>
    <cellStyle name="Normal 9 3 9" xfId="1487" xr:uid="{00000000-0005-0000-0000-0000A3080000}"/>
    <cellStyle name="Normal 9 4" xfId="77" xr:uid="{00000000-0005-0000-0000-0000A4080000}"/>
    <cellStyle name="Normal 9 4 10" xfId="1676" xr:uid="{00000000-0005-0000-0000-0000A5080000}"/>
    <cellStyle name="Normal 9 4 11" xfId="1848" xr:uid="{00000000-0005-0000-0000-0000A6080000}"/>
    <cellStyle name="Normal 9 4 12" xfId="2019" xr:uid="{00000000-0005-0000-0000-0000A7080000}"/>
    <cellStyle name="Normal 9 4 13" xfId="2180" xr:uid="{00000000-0005-0000-0000-0000A8080000}"/>
    <cellStyle name="Normal 9 4 2" xfId="292" xr:uid="{00000000-0005-0000-0000-0000A9080000}"/>
    <cellStyle name="Normal 9 4 3" xfId="465" xr:uid="{00000000-0005-0000-0000-0000AA080000}"/>
    <cellStyle name="Normal 9 4 4" xfId="638" xr:uid="{00000000-0005-0000-0000-0000AB080000}"/>
    <cellStyle name="Normal 9 4 5" xfId="811" xr:uid="{00000000-0005-0000-0000-0000AC080000}"/>
    <cellStyle name="Normal 9 4 6" xfId="984" xr:uid="{00000000-0005-0000-0000-0000AD080000}"/>
    <cellStyle name="Normal 9 4 7" xfId="1157" xr:uid="{00000000-0005-0000-0000-0000AE080000}"/>
    <cellStyle name="Normal 9 4 8" xfId="1330" xr:uid="{00000000-0005-0000-0000-0000AF080000}"/>
    <cellStyle name="Normal 9 4 9" xfId="1503" xr:uid="{00000000-0005-0000-0000-0000B0080000}"/>
    <cellStyle name="Normal 9 5" xfId="93" xr:uid="{00000000-0005-0000-0000-0000B1080000}"/>
    <cellStyle name="Normal 9 5 10" xfId="1692" xr:uid="{00000000-0005-0000-0000-0000B2080000}"/>
    <cellStyle name="Normal 9 5 11" xfId="1864" xr:uid="{00000000-0005-0000-0000-0000B3080000}"/>
    <cellStyle name="Normal 9 5 12" xfId="2034" xr:uid="{00000000-0005-0000-0000-0000B4080000}"/>
    <cellStyle name="Normal 9 5 13" xfId="2193" xr:uid="{00000000-0005-0000-0000-0000B5080000}"/>
    <cellStyle name="Normal 9 5 2" xfId="308" xr:uid="{00000000-0005-0000-0000-0000B6080000}"/>
    <cellStyle name="Normal 9 5 3" xfId="481" xr:uid="{00000000-0005-0000-0000-0000B7080000}"/>
    <cellStyle name="Normal 9 5 4" xfId="654" xr:uid="{00000000-0005-0000-0000-0000B8080000}"/>
    <cellStyle name="Normal 9 5 5" xfId="827" xr:uid="{00000000-0005-0000-0000-0000B9080000}"/>
    <cellStyle name="Normal 9 5 6" xfId="1000" xr:uid="{00000000-0005-0000-0000-0000BA080000}"/>
    <cellStyle name="Normal 9 5 7" xfId="1173" xr:uid="{00000000-0005-0000-0000-0000BB080000}"/>
    <cellStyle name="Normal 9 5 8" xfId="1346" xr:uid="{00000000-0005-0000-0000-0000BC080000}"/>
    <cellStyle name="Normal 9 5 9" xfId="1519" xr:uid="{00000000-0005-0000-0000-0000BD080000}"/>
    <cellStyle name="Normal 9 6" xfId="109" xr:uid="{00000000-0005-0000-0000-0000BE080000}"/>
    <cellStyle name="Normal 9 6 10" xfId="1708" xr:uid="{00000000-0005-0000-0000-0000BF080000}"/>
    <cellStyle name="Normal 9 6 11" xfId="1880" xr:uid="{00000000-0005-0000-0000-0000C0080000}"/>
    <cellStyle name="Normal 9 6 12" xfId="2050" xr:uid="{00000000-0005-0000-0000-0000C1080000}"/>
    <cellStyle name="Normal 9 6 13" xfId="2206" xr:uid="{00000000-0005-0000-0000-0000C2080000}"/>
    <cellStyle name="Normal 9 6 2" xfId="324" xr:uid="{00000000-0005-0000-0000-0000C3080000}"/>
    <cellStyle name="Normal 9 6 3" xfId="497" xr:uid="{00000000-0005-0000-0000-0000C4080000}"/>
    <cellStyle name="Normal 9 6 4" xfId="670" xr:uid="{00000000-0005-0000-0000-0000C5080000}"/>
    <cellStyle name="Normal 9 6 5" xfId="843" xr:uid="{00000000-0005-0000-0000-0000C6080000}"/>
    <cellStyle name="Normal 9 6 6" xfId="1016" xr:uid="{00000000-0005-0000-0000-0000C7080000}"/>
    <cellStyle name="Normal 9 6 7" xfId="1189" xr:uid="{00000000-0005-0000-0000-0000C8080000}"/>
    <cellStyle name="Normal 9 6 8" xfId="1362" xr:uid="{00000000-0005-0000-0000-0000C9080000}"/>
    <cellStyle name="Normal 9 6 9" xfId="1535" xr:uid="{00000000-0005-0000-0000-0000CA080000}"/>
    <cellStyle name="Normal 9 7" xfId="125" xr:uid="{00000000-0005-0000-0000-0000CB080000}"/>
    <cellStyle name="Normal 9 7 10" xfId="1724" xr:uid="{00000000-0005-0000-0000-0000CC080000}"/>
    <cellStyle name="Normal 9 7 11" xfId="1896" xr:uid="{00000000-0005-0000-0000-0000CD080000}"/>
    <cellStyle name="Normal 9 7 12" xfId="2064" xr:uid="{00000000-0005-0000-0000-0000CE080000}"/>
    <cellStyle name="Normal 9 7 13" xfId="2219" xr:uid="{00000000-0005-0000-0000-0000CF080000}"/>
    <cellStyle name="Normal 9 7 2" xfId="340" xr:uid="{00000000-0005-0000-0000-0000D0080000}"/>
    <cellStyle name="Normal 9 7 3" xfId="513" xr:uid="{00000000-0005-0000-0000-0000D1080000}"/>
    <cellStyle name="Normal 9 7 4" xfId="686" xr:uid="{00000000-0005-0000-0000-0000D2080000}"/>
    <cellStyle name="Normal 9 7 5" xfId="859" xr:uid="{00000000-0005-0000-0000-0000D3080000}"/>
    <cellStyle name="Normal 9 7 6" xfId="1032" xr:uid="{00000000-0005-0000-0000-0000D4080000}"/>
    <cellStyle name="Normal 9 7 7" xfId="1205" xr:uid="{00000000-0005-0000-0000-0000D5080000}"/>
    <cellStyle name="Normal 9 7 8" xfId="1378" xr:uid="{00000000-0005-0000-0000-0000D6080000}"/>
    <cellStyle name="Normal 9 7 9" xfId="1551" xr:uid="{00000000-0005-0000-0000-0000D7080000}"/>
    <cellStyle name="Normal 9 8" xfId="141" xr:uid="{00000000-0005-0000-0000-0000D8080000}"/>
    <cellStyle name="Normal 9 8 10" xfId="1740" xr:uid="{00000000-0005-0000-0000-0000D9080000}"/>
    <cellStyle name="Normal 9 8 11" xfId="1911" xr:uid="{00000000-0005-0000-0000-0000DA080000}"/>
    <cellStyle name="Normal 9 8 12" xfId="2079" xr:uid="{00000000-0005-0000-0000-0000DB080000}"/>
    <cellStyle name="Normal 9 8 13" xfId="2232" xr:uid="{00000000-0005-0000-0000-0000DC080000}"/>
    <cellStyle name="Normal 9 8 2" xfId="356" xr:uid="{00000000-0005-0000-0000-0000DD080000}"/>
    <cellStyle name="Normal 9 8 3" xfId="529" xr:uid="{00000000-0005-0000-0000-0000DE080000}"/>
    <cellStyle name="Normal 9 8 4" xfId="702" xr:uid="{00000000-0005-0000-0000-0000DF080000}"/>
    <cellStyle name="Normal 9 8 5" xfId="875" xr:uid="{00000000-0005-0000-0000-0000E0080000}"/>
    <cellStyle name="Normal 9 8 6" xfId="1048" xr:uid="{00000000-0005-0000-0000-0000E1080000}"/>
    <cellStyle name="Normal 9 8 7" xfId="1221" xr:uid="{00000000-0005-0000-0000-0000E2080000}"/>
    <cellStyle name="Normal 9 8 8" xfId="1394" xr:uid="{00000000-0005-0000-0000-0000E3080000}"/>
    <cellStyle name="Normal 9 8 9" xfId="1567" xr:uid="{00000000-0005-0000-0000-0000E4080000}"/>
    <cellStyle name="Normal 9 9" xfId="157" xr:uid="{00000000-0005-0000-0000-0000E5080000}"/>
    <cellStyle name="Normal 9 9 10" xfId="1756" xr:uid="{00000000-0005-0000-0000-0000E6080000}"/>
    <cellStyle name="Normal 9 9 11" xfId="1927" xr:uid="{00000000-0005-0000-0000-0000E7080000}"/>
    <cellStyle name="Normal 9 9 12" xfId="2095" xr:uid="{00000000-0005-0000-0000-0000E8080000}"/>
    <cellStyle name="Normal 9 9 13" xfId="2245" xr:uid="{00000000-0005-0000-0000-0000E9080000}"/>
    <cellStyle name="Normal 9 9 2" xfId="372" xr:uid="{00000000-0005-0000-0000-0000EA080000}"/>
    <cellStyle name="Normal 9 9 3" xfId="545" xr:uid="{00000000-0005-0000-0000-0000EB080000}"/>
    <cellStyle name="Normal 9 9 4" xfId="718" xr:uid="{00000000-0005-0000-0000-0000EC080000}"/>
    <cellStyle name="Normal 9 9 5" xfId="891" xr:uid="{00000000-0005-0000-0000-0000ED080000}"/>
    <cellStyle name="Normal 9 9 6" xfId="1064" xr:uid="{00000000-0005-0000-0000-0000EE080000}"/>
    <cellStyle name="Normal 9 9 7" xfId="1237" xr:uid="{00000000-0005-0000-0000-0000EF080000}"/>
    <cellStyle name="Normal 9 9 8" xfId="1410" xr:uid="{00000000-0005-0000-0000-0000F0080000}"/>
    <cellStyle name="Normal 9 9 9" xfId="1583" xr:uid="{00000000-0005-0000-0000-0000F1080000}"/>
    <cellStyle name="Normal_Zac ene 6 del 2000" xfId="7" xr:uid="{00000000-0005-0000-0000-0000F2080000}"/>
    <cellStyle name="Porcentaje" xfId="9" builtinId="5"/>
    <cellStyle name="Porcentaje 2" xfId="17" xr:uid="{00000000-0005-0000-0000-0000F3080000}"/>
    <cellStyle name="Porcentaje 3" xfId="14" xr:uid="{00000000-0005-0000-0000-0000F4080000}"/>
    <cellStyle name="Porcentual 2" xfId="26" xr:uid="{00000000-0005-0000-0000-0000F6080000}"/>
    <cellStyle name="Porcentual 2 2" xfId="51" xr:uid="{00000000-0005-0000-0000-0000F7080000}"/>
    <cellStyle name="Texto explicativo 2" xfId="27" xr:uid="{00000000-0005-0000-0000-0000F808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1</xdr:row>
      <xdr:rowOff>123825</xdr:rowOff>
    </xdr:from>
    <xdr:to>
      <xdr:col>10</xdr:col>
      <xdr:colOff>78043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74083</xdr:colOff>
      <xdr:row>1</xdr:row>
      <xdr:rowOff>84667</xdr:rowOff>
    </xdr:from>
    <xdr:to>
      <xdr:col>12</xdr:col>
      <xdr:colOff>296333</xdr:colOff>
      <xdr:row>5</xdr:row>
      <xdr:rowOff>125942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833" y="328084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762000</xdr:colOff>
      <xdr:row>1</xdr:row>
      <xdr:rowOff>0</xdr:rowOff>
    </xdr:from>
    <xdr:to>
      <xdr:col>13</xdr:col>
      <xdr:colOff>697507</xdr:colOff>
      <xdr:row>7</xdr:row>
      <xdr:rowOff>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2381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47625</xdr:rowOff>
    </xdr:from>
    <xdr:to>
      <xdr:col>5</xdr:col>
      <xdr:colOff>1186444</xdr:colOff>
      <xdr:row>3</xdr:row>
      <xdr:rowOff>103655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4762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104775</xdr:rowOff>
    </xdr:from>
    <xdr:to>
      <xdr:col>3</xdr:col>
      <xdr:colOff>1793875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0</xdr:row>
      <xdr:rowOff>85725</xdr:rowOff>
    </xdr:from>
    <xdr:to>
      <xdr:col>3</xdr:col>
      <xdr:colOff>1812925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1</xdr:row>
      <xdr:rowOff>0</xdr:rowOff>
    </xdr:from>
    <xdr:to>
      <xdr:col>3</xdr:col>
      <xdr:colOff>1908175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104775</xdr:rowOff>
    </xdr:from>
    <xdr:to>
      <xdr:col>3</xdr:col>
      <xdr:colOff>1898650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123825</xdr:rowOff>
    </xdr:from>
    <xdr:to>
      <xdr:col>3</xdr:col>
      <xdr:colOff>1908175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857250</xdr:colOff>
      <xdr:row>0</xdr:row>
      <xdr:rowOff>142875</xdr:rowOff>
    </xdr:from>
    <xdr:to>
      <xdr:col>3</xdr:col>
      <xdr:colOff>2146300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95250</xdr:rowOff>
    </xdr:from>
    <xdr:to>
      <xdr:col>3</xdr:col>
      <xdr:colOff>1793875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142875</xdr:rowOff>
    </xdr:from>
    <xdr:to>
      <xdr:col>3</xdr:col>
      <xdr:colOff>1889125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152400</xdr:rowOff>
    </xdr:from>
    <xdr:to>
      <xdr:col>3</xdr:col>
      <xdr:colOff>1879600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1</xdr:row>
      <xdr:rowOff>9525</xdr:rowOff>
    </xdr:from>
    <xdr:to>
      <xdr:col>3</xdr:col>
      <xdr:colOff>1793875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152400</xdr:rowOff>
    </xdr:from>
    <xdr:to>
      <xdr:col>3</xdr:col>
      <xdr:colOff>2041525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0</xdr:row>
      <xdr:rowOff>57150</xdr:rowOff>
    </xdr:from>
    <xdr:to>
      <xdr:col>3</xdr:col>
      <xdr:colOff>2032000</xdr:colOff>
      <xdr:row>4</xdr:row>
      <xdr:rowOff>165973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5715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8" zoomScaleNormal="70" zoomScaleSheetLayoutView="100" zoomScalePageLayoutView="82" workbookViewId="0">
      <selection activeCell="K42" sqref="K42"/>
    </sheetView>
  </sheetViews>
  <sheetFormatPr baseColWidth="10" defaultColWidth="11.44140625" defaultRowHeight="14.4"/>
  <cols>
    <col min="1" max="1" width="6.44140625" style="6" customWidth="1"/>
    <col min="2" max="5" width="11.44140625" style="6"/>
    <col min="6" max="6" width="25.44140625" style="6" bestFit="1" customWidth="1"/>
    <col min="7" max="10" width="11.44140625" style="6"/>
    <col min="11" max="12" width="11.44140625" style="6" customWidth="1"/>
    <col min="13" max="16384" width="11.44140625" style="6"/>
  </cols>
  <sheetData>
    <row r="2" spans="2:11">
      <c r="B2" s="45" t="s">
        <v>63</v>
      </c>
    </row>
    <row r="8" spans="2:11" ht="91.8">
      <c r="F8" s="110"/>
      <c r="G8" s="110"/>
    </row>
    <row r="12" spans="2:11">
      <c r="B12" s="109" t="s">
        <v>259</v>
      </c>
      <c r="C12" s="109"/>
      <c r="D12" s="109"/>
      <c r="E12" s="109"/>
      <c r="F12" s="109"/>
      <c r="G12" s="109"/>
      <c r="H12" s="109"/>
      <c r="I12" s="109"/>
      <c r="J12" s="109"/>
      <c r="K12" s="109"/>
    </row>
    <row r="13" spans="2:11">
      <c r="B13" s="109"/>
      <c r="C13" s="109"/>
      <c r="D13" s="109"/>
      <c r="E13" s="109"/>
      <c r="F13" s="109"/>
      <c r="G13" s="109"/>
      <c r="H13" s="109"/>
      <c r="I13" s="109"/>
      <c r="J13" s="109"/>
      <c r="K13" s="109"/>
    </row>
    <row r="14" spans="2:11" ht="15" customHeight="1">
      <c r="B14" s="109"/>
      <c r="C14" s="109"/>
      <c r="D14" s="109"/>
      <c r="E14" s="109"/>
      <c r="F14" s="109"/>
      <c r="G14" s="109"/>
      <c r="H14" s="109"/>
      <c r="I14" s="109"/>
      <c r="J14" s="109"/>
      <c r="K14" s="109"/>
    </row>
    <row r="15" spans="2:11" ht="15" customHeight="1">
      <c r="B15" s="109"/>
      <c r="C15" s="109"/>
      <c r="D15" s="109"/>
      <c r="E15" s="109"/>
      <c r="F15" s="109"/>
      <c r="G15" s="109"/>
      <c r="H15" s="109"/>
      <c r="I15" s="109"/>
      <c r="J15" s="109"/>
      <c r="K15" s="109"/>
    </row>
    <row r="16" spans="2:11" ht="15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</row>
    <row r="17" spans="2:11" ht="15" customHeight="1">
      <c r="B17" s="109"/>
      <c r="C17" s="109"/>
      <c r="D17" s="109"/>
      <c r="E17" s="109"/>
      <c r="F17" s="109"/>
      <c r="G17" s="109"/>
      <c r="H17" s="109"/>
      <c r="I17" s="109"/>
      <c r="J17" s="109"/>
      <c r="K17" s="109"/>
    </row>
    <row r="18" spans="2:11" ht="15" customHeight="1">
      <c r="B18" s="109"/>
      <c r="C18" s="109"/>
      <c r="D18" s="109"/>
      <c r="E18" s="109"/>
      <c r="F18" s="109"/>
      <c r="G18" s="109"/>
      <c r="H18" s="109"/>
      <c r="I18" s="109"/>
      <c r="J18" s="109"/>
      <c r="K18" s="109"/>
    </row>
    <row r="19" spans="2:11" ht="15" customHeight="1">
      <c r="B19" s="109"/>
      <c r="C19" s="109"/>
      <c r="D19" s="109"/>
      <c r="E19" s="109"/>
      <c r="F19" s="109"/>
      <c r="G19" s="109"/>
      <c r="H19" s="109"/>
      <c r="I19" s="109"/>
      <c r="J19" s="109"/>
      <c r="K19" s="109"/>
    </row>
    <row r="20" spans="2:11" ht="15" customHeight="1">
      <c r="B20" s="109"/>
      <c r="C20" s="109"/>
      <c r="D20" s="109"/>
      <c r="E20" s="109"/>
      <c r="F20" s="109"/>
      <c r="G20" s="109"/>
      <c r="H20" s="109"/>
      <c r="I20" s="109"/>
      <c r="J20" s="109"/>
      <c r="K20" s="109"/>
    </row>
    <row r="21" spans="2:11" ht="15" customHeight="1">
      <c r="B21" s="109"/>
      <c r="C21" s="109"/>
      <c r="D21" s="109"/>
      <c r="E21" s="109"/>
      <c r="F21" s="109"/>
      <c r="G21" s="109"/>
      <c r="H21" s="109"/>
      <c r="I21" s="109"/>
      <c r="J21" s="109"/>
      <c r="K21" s="109"/>
    </row>
    <row r="22" spans="2:11" ht="15" customHeight="1">
      <c r="B22" s="109"/>
      <c r="C22" s="109"/>
      <c r="D22" s="109"/>
      <c r="E22" s="109"/>
      <c r="F22" s="109"/>
      <c r="G22" s="109"/>
      <c r="H22" s="109"/>
      <c r="I22" s="109"/>
      <c r="J22" s="109"/>
      <c r="K22" s="109"/>
    </row>
    <row r="23" spans="2:11" ht="15" customHeight="1">
      <c r="B23" s="109"/>
      <c r="C23" s="109"/>
      <c r="D23" s="109"/>
      <c r="E23" s="109"/>
      <c r="F23" s="109"/>
      <c r="G23" s="109"/>
      <c r="H23" s="109"/>
      <c r="I23" s="109"/>
      <c r="J23" s="109"/>
      <c r="K23" s="109"/>
    </row>
    <row r="24" spans="2:11" ht="15" customHeight="1"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spans="2:11" ht="15" customHeight="1">
      <c r="B25" s="109"/>
      <c r="C25" s="109"/>
      <c r="D25" s="109"/>
      <c r="E25" s="109"/>
      <c r="F25" s="109"/>
      <c r="G25" s="109"/>
      <c r="H25" s="109"/>
      <c r="I25" s="109"/>
      <c r="J25" s="109"/>
      <c r="K25" s="109"/>
    </row>
    <row r="26" spans="2:11" ht="15" customHeight="1">
      <c r="B26" s="109"/>
      <c r="C26" s="109"/>
      <c r="D26" s="109"/>
      <c r="E26" s="109"/>
      <c r="F26" s="109"/>
      <c r="G26" s="109"/>
      <c r="H26" s="109"/>
      <c r="I26" s="109"/>
      <c r="J26" s="109"/>
      <c r="K26" s="109"/>
    </row>
    <row r="27" spans="2:11" ht="15" customHeight="1">
      <c r="B27" s="109"/>
      <c r="C27" s="109"/>
      <c r="D27" s="109"/>
      <c r="E27" s="109"/>
      <c r="F27" s="109"/>
      <c r="G27" s="109"/>
      <c r="H27" s="109"/>
      <c r="I27" s="109"/>
      <c r="J27" s="109"/>
      <c r="K27" s="109"/>
    </row>
    <row r="28" spans="2:11" ht="15" customHeight="1">
      <c r="B28" s="109"/>
      <c r="C28" s="109"/>
      <c r="D28" s="109"/>
      <c r="E28" s="109"/>
      <c r="F28" s="109"/>
      <c r="G28" s="109"/>
      <c r="H28" s="109"/>
      <c r="I28" s="109"/>
      <c r="J28" s="109"/>
      <c r="K28" s="109"/>
    </row>
    <row r="29" spans="2:11" ht="15" customHeight="1">
      <c r="B29" s="109"/>
      <c r="C29" s="109"/>
      <c r="D29" s="109"/>
      <c r="E29" s="109"/>
      <c r="F29" s="109"/>
      <c r="G29" s="109"/>
      <c r="H29" s="109"/>
      <c r="I29" s="109"/>
      <c r="J29" s="109"/>
      <c r="K29" s="109"/>
    </row>
    <row r="30" spans="2:11" ht="15" customHeight="1">
      <c r="B30" s="109"/>
      <c r="C30" s="109"/>
      <c r="D30" s="109"/>
      <c r="E30" s="109"/>
      <c r="F30" s="109"/>
      <c r="G30" s="109"/>
      <c r="H30" s="109"/>
      <c r="I30" s="109"/>
      <c r="J30" s="109"/>
      <c r="K30" s="109"/>
    </row>
    <row r="31" spans="2:11" ht="15" customHeight="1"/>
    <row r="38" spans="9:11" ht="23.4">
      <c r="I38" s="7"/>
      <c r="J38" s="7"/>
      <c r="K38" s="8" t="s">
        <v>54</v>
      </c>
    </row>
    <row r="39" spans="9:11" ht="23.4">
      <c r="K39" s="8" t="s">
        <v>69</v>
      </c>
    </row>
    <row r="41" spans="9:11" ht="25.8">
      <c r="K41" s="43">
        <v>2024</v>
      </c>
    </row>
  </sheetData>
  <sheetProtection algorithmName="SHA-512" hashValue="AC87LtD56v3RJ5i+UWV6yrUzq2JpwsajJZKuFMV71o8pcIq7qhoXuQSCUjgW9UbbT7HXM9Pboxyu6CBgAuMTLw==" saltValue="+1YeZibqt+V+Mzsn37uq2w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16" sqref="B16"/>
    </sheetView>
  </sheetViews>
  <sheetFormatPr baseColWidth="10" defaultColWidth="11.44140625" defaultRowHeight="18"/>
  <cols>
    <col min="1" max="1" width="5.44140625" style="9" customWidth="1"/>
    <col min="2" max="2" width="4.44140625" style="9" customWidth="1"/>
    <col min="3" max="3" width="15.33203125" style="9" customWidth="1"/>
    <col min="4" max="16384" width="11.44140625" style="9"/>
  </cols>
  <sheetData>
    <row r="7" spans="2:30">
      <c r="B7" s="112" t="s">
        <v>0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</row>
    <row r="8" spans="2:30">
      <c r="B8" s="113" t="s">
        <v>55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</row>
    <row r="9" spans="2:30" s="10" customFormat="1" ht="60.75" customHeight="1">
      <c r="B9" s="114" t="s">
        <v>233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</row>
    <row r="10" spans="2:30" ht="23.4">
      <c r="B10" s="116" t="s">
        <v>258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</row>
    <row r="12" spans="2:30">
      <c r="B12" s="111" t="s">
        <v>56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</row>
    <row r="13" spans="2:30" ht="15" customHeight="1">
      <c r="B13" s="119" t="s">
        <v>434</v>
      </c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</row>
    <row r="14" spans="2:30" ht="15" customHeight="1"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</row>
    <row r="15" spans="2:30" ht="15" customHeight="1"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</row>
    <row r="17" spans="2:30" ht="18.75" customHeight="1">
      <c r="B17" s="120" t="s">
        <v>58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</row>
    <row r="18" spans="2:30" ht="18.75" customHeight="1">
      <c r="B18" s="119" t="s">
        <v>66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</row>
    <row r="19" spans="2:30"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0" t="s">
        <v>59</v>
      </c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9" t="s">
        <v>235</v>
      </c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0" t="s">
        <v>60</v>
      </c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9" t="s">
        <v>260</v>
      </c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0" t="s">
        <v>61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9" t="s">
        <v>68</v>
      </c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0" t="s">
        <v>62</v>
      </c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</row>
    <row r="52" spans="2:30" ht="54.75" customHeight="1">
      <c r="B52" s="119" t="s">
        <v>67</v>
      </c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algorithmName="SHA-512" hashValue="vaed+DOI5ONtma7FvxzXlCJlDa7XeXuQ9jjPMPTUmMEpdwhO5lWJeqCPproI2cYdQ5EVXv570fdbM1pkPXWpLg==" saltValue="ZOHxL937ZHYwlNnQKXmF0Q==" spinCount="100000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C20" sqref="C20:O20"/>
    </sheetView>
  </sheetViews>
  <sheetFormatPr baseColWidth="10" defaultColWidth="11.44140625" defaultRowHeight="18"/>
  <cols>
    <col min="1" max="1" width="11.44140625" style="9"/>
    <col min="2" max="2" width="4.44140625" style="9" customWidth="1"/>
    <col min="3" max="3" width="15.33203125" style="9" customWidth="1"/>
    <col min="4" max="4" width="18.44140625" style="9" customWidth="1"/>
    <col min="5" max="13" width="11.44140625" style="9"/>
    <col min="14" max="14" width="10.6640625" style="9" customWidth="1"/>
    <col min="15" max="16384" width="11.44140625" style="9"/>
  </cols>
  <sheetData>
    <row r="7" spans="2:15">
      <c r="B7" s="112" t="s">
        <v>0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</row>
    <row r="8" spans="2:15">
      <c r="B8" s="121" t="s">
        <v>55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</row>
    <row r="9" spans="2:15" ht="19.8">
      <c r="B9" s="114" t="s">
        <v>57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</row>
    <row r="10" spans="2:15" ht="23.4">
      <c r="B10" s="116" t="s">
        <v>258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</row>
    <row r="12" spans="2:15" ht="19.8">
      <c r="B12" s="123" t="s">
        <v>64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</row>
    <row r="13" spans="2:15" s="10" customFormat="1" ht="46.5" customHeight="1">
      <c r="B13" s="114" t="s">
        <v>236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</row>
    <row r="14" spans="2:15" ht="33" customHeight="1">
      <c r="B14" s="26"/>
      <c r="C14" s="127" t="s">
        <v>435</v>
      </c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27"/>
    </row>
    <row r="15" spans="2:15" ht="48" customHeight="1">
      <c r="B15" s="26"/>
      <c r="C15" s="128" t="s">
        <v>234</v>
      </c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11" t="s">
        <v>65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</row>
    <row r="18" spans="2:15">
      <c r="B18" s="16">
        <v>1</v>
      </c>
      <c r="C18" s="124" t="s">
        <v>238</v>
      </c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</row>
    <row r="19" spans="2:15">
      <c r="B19" s="16">
        <v>2</v>
      </c>
      <c r="C19" s="119" t="s">
        <v>239</v>
      </c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</row>
    <row r="20" spans="2:15" ht="19.05" customHeight="1">
      <c r="B20" s="16">
        <v>3</v>
      </c>
      <c r="C20" s="125" t="s">
        <v>436</v>
      </c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2:15">
      <c r="B21" s="16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</row>
    <row r="22" spans="2:15">
      <c r="B22" s="16"/>
      <c r="C22" s="126" t="s">
        <v>237</v>
      </c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algorithmName="SHA-512" hashValue="0w5d8iucsEub0G6uZo5AY8wvMZymCJzs/ELJ+XMeUAX0znm+XjYR2xtzT5pt1S94TOSJSN6+viV7WQhvpLLP3w==" saltValue="7Haxs207M64peT8rvLReDA==" spinCount="100000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3.2"/>
  <cols>
    <col min="3" max="3" width="21" customWidth="1"/>
    <col min="9" max="9" width="14" customWidth="1"/>
  </cols>
  <sheetData>
    <row r="4" spans="3:9" ht="13.8">
      <c r="C4" s="3" t="s">
        <v>7</v>
      </c>
      <c r="E4" s="2" t="s">
        <v>8</v>
      </c>
      <c r="G4" s="2" t="s">
        <v>9</v>
      </c>
      <c r="I4" s="2" t="s">
        <v>3</v>
      </c>
    </row>
    <row r="5" spans="3:9" ht="13.8">
      <c r="C5" s="5" t="s">
        <v>22</v>
      </c>
      <c r="E5" s="4">
        <v>2010</v>
      </c>
      <c r="G5" s="2" t="s">
        <v>10</v>
      </c>
      <c r="I5" s="2" t="s">
        <v>4</v>
      </c>
    </row>
    <row r="6" spans="3:9" ht="13.8">
      <c r="C6" s="5" t="s">
        <v>23</v>
      </c>
      <c r="E6" s="4">
        <v>2011</v>
      </c>
      <c r="G6" s="2" t="s">
        <v>11</v>
      </c>
      <c r="I6" s="2" t="s">
        <v>5</v>
      </c>
    </row>
    <row r="7" spans="3:9" ht="13.8">
      <c r="C7" s="5" t="s">
        <v>24</v>
      </c>
      <c r="E7" s="4">
        <v>2012</v>
      </c>
      <c r="G7" s="2" t="s">
        <v>12</v>
      </c>
    </row>
    <row r="8" spans="3:9" ht="13.8">
      <c r="C8" s="5" t="s">
        <v>25</v>
      </c>
      <c r="E8" s="4">
        <v>2013</v>
      </c>
      <c r="G8" s="2" t="s">
        <v>13</v>
      </c>
    </row>
    <row r="9" spans="3:9" ht="13.8">
      <c r="C9" s="5" t="s">
        <v>26</v>
      </c>
      <c r="E9" s="4">
        <v>2014</v>
      </c>
      <c r="G9" s="2" t="s">
        <v>14</v>
      </c>
    </row>
    <row r="10" spans="3:9" ht="13.8">
      <c r="C10" s="5" t="s">
        <v>27</v>
      </c>
      <c r="E10" s="4">
        <v>2015</v>
      </c>
      <c r="G10" s="2" t="s">
        <v>15</v>
      </c>
    </row>
    <row r="11" spans="3:9" ht="13.8">
      <c r="C11" s="5" t="s">
        <v>28</v>
      </c>
      <c r="E11" s="4">
        <v>2016</v>
      </c>
      <c r="G11" s="2" t="s">
        <v>16</v>
      </c>
    </row>
    <row r="12" spans="3:9" ht="13.8">
      <c r="C12" s="5" t="s">
        <v>29</v>
      </c>
      <c r="E12" s="4">
        <v>2017</v>
      </c>
      <c r="G12" s="2" t="s">
        <v>17</v>
      </c>
    </row>
    <row r="13" spans="3:9" ht="13.8">
      <c r="C13" s="5" t="s">
        <v>30</v>
      </c>
      <c r="E13" s="4">
        <v>2018</v>
      </c>
      <c r="G13" s="2" t="s">
        <v>18</v>
      </c>
    </row>
    <row r="14" spans="3:9" ht="13.8">
      <c r="C14" s="5" t="s">
        <v>31</v>
      </c>
      <c r="G14" s="2" t="s">
        <v>19</v>
      </c>
    </row>
    <row r="15" spans="3:9" ht="13.8">
      <c r="C15" s="5" t="s">
        <v>32</v>
      </c>
      <c r="G15" s="2" t="s">
        <v>20</v>
      </c>
    </row>
    <row r="16" spans="3:9" ht="13.8">
      <c r="C16" s="5" t="s">
        <v>33</v>
      </c>
      <c r="G16" s="2" t="s">
        <v>21</v>
      </c>
    </row>
    <row r="17" spans="3:3" ht="13.8">
      <c r="C17" s="5" t="s">
        <v>34</v>
      </c>
    </row>
    <row r="18" spans="3:3" ht="13.8">
      <c r="C18" s="5" t="s">
        <v>35</v>
      </c>
    </row>
    <row r="19" spans="3:3" ht="13.8">
      <c r="C19" s="5" t="s">
        <v>36</v>
      </c>
    </row>
    <row r="20" spans="3:3" ht="13.8">
      <c r="C20" s="5" t="s">
        <v>37</v>
      </c>
    </row>
    <row r="21" spans="3:3" ht="13.8">
      <c r="C21" s="5" t="s">
        <v>38</v>
      </c>
    </row>
    <row r="22" spans="3:3" ht="13.8">
      <c r="C22" s="5" t="s">
        <v>39</v>
      </c>
    </row>
    <row r="23" spans="3:3" ht="13.8">
      <c r="C23" s="5" t="s">
        <v>40</v>
      </c>
    </row>
    <row r="24" spans="3:3" ht="13.8">
      <c r="C24" s="5" t="s">
        <v>41</v>
      </c>
    </row>
    <row r="25" spans="3:3" ht="13.8">
      <c r="C25" s="5" t="s">
        <v>42</v>
      </c>
    </row>
    <row r="26" spans="3:3" ht="13.8">
      <c r="C26" s="5" t="s">
        <v>43</v>
      </c>
    </row>
    <row r="27" spans="3:3" ht="13.8">
      <c r="C27" s="5" t="s">
        <v>44</v>
      </c>
    </row>
    <row r="28" spans="3:3" ht="13.8">
      <c r="C28" s="5" t="s">
        <v>45</v>
      </c>
    </row>
    <row r="29" spans="3:3" ht="13.8">
      <c r="C29" s="5" t="s">
        <v>46</v>
      </c>
    </row>
    <row r="30" spans="3:3" ht="13.8">
      <c r="C30" s="5" t="s">
        <v>47</v>
      </c>
    </row>
    <row r="31" spans="3:3" ht="13.8">
      <c r="C31" s="5" t="s">
        <v>48</v>
      </c>
    </row>
    <row r="32" spans="3:3" ht="13.8">
      <c r="C32" s="5" t="s">
        <v>49</v>
      </c>
    </row>
    <row r="33" spans="3:3" ht="13.8">
      <c r="C33" s="5" t="s">
        <v>50</v>
      </c>
    </row>
    <row r="34" spans="3:3" ht="13.8">
      <c r="C34" s="5" t="s">
        <v>51</v>
      </c>
    </row>
    <row r="35" spans="3:3" ht="13.8">
      <c r="C35" s="5" t="s">
        <v>52</v>
      </c>
    </row>
    <row r="36" spans="3:3" ht="13.8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3.2"/>
  <cols>
    <col min="1" max="1" width="26.88671875" customWidth="1"/>
    <col min="3" max="3" width="20.664062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tabSelected="1" view="pageBreakPreview" topLeftCell="A6" zoomScaleNormal="100" zoomScaleSheetLayoutView="100" workbookViewId="0">
      <selection activeCell="C12" sqref="C12"/>
    </sheetView>
  </sheetViews>
  <sheetFormatPr baseColWidth="10" defaultColWidth="11.44140625" defaultRowHeight="13.2"/>
  <cols>
    <col min="1" max="1" width="23.33203125" style="32" customWidth="1"/>
    <col min="2" max="2" width="26" style="32" customWidth="1"/>
    <col min="3" max="3" width="28.33203125" style="32" customWidth="1"/>
    <col min="4" max="4" width="23.33203125" style="32" customWidth="1"/>
    <col min="5" max="5" width="25.6640625" style="32" customWidth="1"/>
    <col min="6" max="6" width="26.88671875" style="32" customWidth="1"/>
    <col min="7" max="7" width="29.44140625" style="32" customWidth="1"/>
    <col min="8" max="16384" width="11.44140625" style="32"/>
  </cols>
  <sheetData>
    <row r="3" spans="1:228" ht="69.75" customHeight="1">
      <c r="B3" s="33"/>
      <c r="C3" s="33"/>
    </row>
    <row r="4" spans="1:228" ht="21.75" customHeight="1">
      <c r="B4" s="97" t="s">
        <v>427</v>
      </c>
      <c r="C4" s="97"/>
      <c r="D4" s="97"/>
    </row>
    <row r="5" spans="1:228" ht="12.75" customHeight="1">
      <c r="B5" s="41" t="s">
        <v>245</v>
      </c>
      <c r="C5" s="41"/>
    </row>
    <row r="6" spans="1:228" s="17" customFormat="1" ht="18" customHeight="1">
      <c r="A6" s="34"/>
      <c r="B6" s="130" t="s">
        <v>0</v>
      </c>
      <c r="C6" s="130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 ht="13.8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7.399999999999999">
      <c r="A8" s="131" t="s">
        <v>246</v>
      </c>
      <c r="B8" s="131"/>
      <c r="C8" s="131"/>
      <c r="D8" s="13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6.4">
      <c r="A10" s="36"/>
      <c r="B10" s="39" t="s">
        <v>240</v>
      </c>
      <c r="C10" s="84" t="s">
        <v>214</v>
      </c>
      <c r="D10" s="36"/>
      <c r="E10" s="36"/>
      <c r="F10" s="36"/>
    </row>
    <row r="11" spans="1:228" ht="17.399999999999999">
      <c r="A11" s="36"/>
      <c r="B11" s="30" t="s">
        <v>241</v>
      </c>
      <c r="C11" s="31">
        <v>2026</v>
      </c>
      <c r="D11" s="36"/>
      <c r="E11" s="36"/>
      <c r="F11" s="36"/>
    </row>
    <row r="12" spans="1:228" ht="17.399999999999999">
      <c r="A12" s="36"/>
      <c r="B12" s="30" t="s">
        <v>242</v>
      </c>
      <c r="C12" s="86" t="s">
        <v>14</v>
      </c>
      <c r="D12" s="36"/>
      <c r="E12" s="36"/>
      <c r="F12" s="36"/>
    </row>
    <row r="13" spans="1:228" ht="17.399999999999999">
      <c r="A13" s="36"/>
      <c r="B13" s="30" t="s">
        <v>247</v>
      </c>
      <c r="C13" s="85">
        <f>A16+B16+C16+D16+E16+F16+G16</f>
        <v>295466</v>
      </c>
    </row>
    <row r="15" spans="1:228" ht="63.75" customHeight="1">
      <c r="A15" s="22" t="s">
        <v>253</v>
      </c>
      <c r="B15" s="22" t="s">
        <v>254</v>
      </c>
      <c r="C15" s="22" t="s">
        <v>255</v>
      </c>
      <c r="D15" s="22" t="s">
        <v>256</v>
      </c>
      <c r="E15" s="22" t="s">
        <v>417</v>
      </c>
      <c r="F15" s="22" t="s">
        <v>418</v>
      </c>
      <c r="G15" s="22" t="s">
        <v>257</v>
      </c>
    </row>
    <row r="16" spans="1:228" ht="13.8">
      <c r="A16" s="54">
        <f>SUM('C01:C012'!D20:D79)</f>
        <v>15860</v>
      </c>
      <c r="B16" s="54">
        <f>SUM('C01:C012'!D80:D122)</f>
        <v>9510</v>
      </c>
      <c r="C16" s="54">
        <f>SUM('C01:C012'!D123:D263)</f>
        <v>39495</v>
      </c>
      <c r="D16" s="54">
        <f>SUM('C01:C012'!D264:D273)</f>
        <v>1195</v>
      </c>
      <c r="E16" s="54">
        <f>SUM('C01:C012'!D274:D290)</f>
        <v>9996</v>
      </c>
      <c r="F16" s="54">
        <f>SUM('C01:C012'!D291:D293)</f>
        <v>26</v>
      </c>
      <c r="G16" s="54">
        <f>SUM('C01:C012'!D294:D301)</f>
        <v>219384</v>
      </c>
    </row>
    <row r="17" spans="1:7" ht="13.8">
      <c r="A17" s="22"/>
      <c r="B17" s="22"/>
      <c r="C17" s="22"/>
      <c r="D17" s="22"/>
      <c r="E17" s="22"/>
      <c r="F17" s="22"/>
      <c r="G17" s="22"/>
    </row>
    <row r="18" spans="1:7" ht="13.8">
      <c r="A18" s="55"/>
      <c r="B18" s="55"/>
      <c r="C18" s="55"/>
      <c r="D18" s="55"/>
      <c r="E18" s="83"/>
      <c r="F18" s="83"/>
    </row>
    <row r="19" spans="1:7" s="42" customFormat="1" ht="39.6">
      <c r="A19" s="56" t="s">
        <v>248</v>
      </c>
      <c r="B19" s="56" t="s">
        <v>249</v>
      </c>
      <c r="C19" s="56" t="s">
        <v>250</v>
      </c>
      <c r="D19" s="56" t="s">
        <v>251</v>
      </c>
      <c r="E19" s="56" t="s">
        <v>419</v>
      </c>
      <c r="F19" s="56" t="s">
        <v>420</v>
      </c>
      <c r="G19" s="56" t="s">
        <v>252</v>
      </c>
    </row>
    <row r="20" spans="1:7" ht="30">
      <c r="A20" s="57">
        <f>IFERROR(A16/$C$13,0)</f>
        <v>5.367791894837308E-2</v>
      </c>
      <c r="B20" s="57">
        <f>IFERROR(B16/$C$13,0)</f>
        <v>3.2186444463999243E-2</v>
      </c>
      <c r="C20" s="57">
        <f t="shared" ref="C20:G20" si="0">IFERROR(C16/$C$13,0)</f>
        <v>0.13367020232446372</v>
      </c>
      <c r="D20" s="57">
        <f t="shared" si="0"/>
        <v>4.0444585840672025E-3</v>
      </c>
      <c r="E20" s="57">
        <f t="shared" si="0"/>
        <v>3.3831303770992263E-2</v>
      </c>
      <c r="F20" s="57">
        <f t="shared" si="0"/>
        <v>8.7996588439955863E-5</v>
      </c>
      <c r="G20" s="57">
        <f t="shared" si="0"/>
        <v>0.74250167531966449</v>
      </c>
    </row>
    <row r="21" spans="1:7" ht="13.8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44140625" style="17" customWidth="1"/>
    <col min="4" max="4" width="45.44140625" style="25" customWidth="1"/>
    <col min="5" max="5" width="5.33203125" style="17" customWidth="1"/>
    <col min="6" max="7" width="14.886718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242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3.8">
      <c r="B17" s="107" t="s">
        <v>243</v>
      </c>
      <c r="C17" s="108"/>
      <c r="D17" s="50" t="s">
        <v>4</v>
      </c>
    </row>
    <row r="18" spans="2:7" ht="13.8">
      <c r="B18" s="98" t="s">
        <v>244</v>
      </c>
      <c r="C18" s="99"/>
      <c r="D18" s="50" t="s">
        <v>421</v>
      </c>
    </row>
    <row r="19" spans="2:7" ht="13.8">
      <c r="B19" s="51" t="s">
        <v>73</v>
      </c>
      <c r="C19" s="52" t="s">
        <v>72</v>
      </c>
      <c r="D19" s="53" t="s">
        <v>71</v>
      </c>
      <c r="G19" s="29"/>
    </row>
    <row r="20" spans="2:7" ht="13.8">
      <c r="B20" s="68">
        <v>10101</v>
      </c>
      <c r="C20" s="69" t="s">
        <v>262</v>
      </c>
      <c r="D20" s="88">
        <v>1</v>
      </c>
    </row>
    <row r="21" spans="2:7" ht="13.8">
      <c r="B21" s="58">
        <v>10102</v>
      </c>
      <c r="C21" s="59" t="s">
        <v>263</v>
      </c>
      <c r="D21" s="87">
        <v>0</v>
      </c>
    </row>
    <row r="22" spans="2:7" ht="13.8">
      <c r="B22" s="68">
        <v>10103</v>
      </c>
      <c r="C22" s="69" t="s">
        <v>264</v>
      </c>
      <c r="D22" s="88">
        <v>1108</v>
      </c>
    </row>
    <row r="23" spans="2:7" ht="13.8">
      <c r="B23" s="58">
        <v>10104</v>
      </c>
      <c r="C23" s="59" t="s">
        <v>265</v>
      </c>
      <c r="D23" s="87">
        <v>344</v>
      </c>
    </row>
    <row r="24" spans="2:7" ht="13.8">
      <c r="B24" s="68">
        <v>10105</v>
      </c>
      <c r="C24" s="69" t="s">
        <v>266</v>
      </c>
      <c r="D24" s="88">
        <v>2</v>
      </c>
    </row>
    <row r="25" spans="2:7" ht="13.8">
      <c r="B25" s="58">
        <v>10106</v>
      </c>
      <c r="C25" s="59" t="s">
        <v>267</v>
      </c>
      <c r="D25" s="87">
        <v>0</v>
      </c>
    </row>
    <row r="26" spans="2:7" ht="13.8">
      <c r="B26" s="68">
        <v>10107</v>
      </c>
      <c r="C26" s="69" t="s">
        <v>268</v>
      </c>
      <c r="D26" s="88">
        <v>2452</v>
      </c>
    </row>
    <row r="27" spans="2:7" ht="13.8">
      <c r="B27" s="58">
        <v>10108</v>
      </c>
      <c r="C27" s="59" t="s">
        <v>269</v>
      </c>
      <c r="D27" s="87">
        <v>24</v>
      </c>
    </row>
    <row r="28" spans="2:7" ht="13.8">
      <c r="B28" s="68">
        <v>10109</v>
      </c>
      <c r="C28" s="69" t="s">
        <v>270</v>
      </c>
      <c r="D28" s="88">
        <v>37</v>
      </c>
    </row>
    <row r="29" spans="2:7" ht="13.8">
      <c r="B29" s="58">
        <v>10110</v>
      </c>
      <c r="C29" s="59" t="s">
        <v>271</v>
      </c>
      <c r="D29" s="87">
        <v>1</v>
      </c>
    </row>
    <row r="30" spans="2:7" ht="13.8">
      <c r="B30" s="68">
        <v>10111</v>
      </c>
      <c r="C30" s="69" t="s">
        <v>272</v>
      </c>
      <c r="D30" s="88">
        <v>10</v>
      </c>
    </row>
    <row r="31" spans="2:7" ht="13.8">
      <c r="B31" s="58">
        <v>10112</v>
      </c>
      <c r="C31" s="59" t="s">
        <v>273</v>
      </c>
      <c r="D31" s="87">
        <v>0</v>
      </c>
    </row>
    <row r="32" spans="2:7" ht="13.8">
      <c r="B32" s="68">
        <v>10113</v>
      </c>
      <c r="C32" s="69" t="s">
        <v>274</v>
      </c>
      <c r="D32" s="88">
        <v>1</v>
      </c>
    </row>
    <row r="33" spans="2:4" ht="13.8">
      <c r="B33" s="58">
        <v>10114</v>
      </c>
      <c r="C33" s="59" t="s">
        <v>275</v>
      </c>
      <c r="D33" s="87">
        <v>0</v>
      </c>
    </row>
    <row r="34" spans="2:4" ht="13.8">
      <c r="B34" s="68">
        <v>10115</v>
      </c>
      <c r="C34" s="69" t="s">
        <v>276</v>
      </c>
      <c r="D34" s="88">
        <v>0</v>
      </c>
    </row>
    <row r="35" spans="2:4" ht="13.8">
      <c r="B35" s="58">
        <v>10116</v>
      </c>
      <c r="C35" s="59" t="s">
        <v>277</v>
      </c>
      <c r="D35" s="87">
        <v>545</v>
      </c>
    </row>
    <row r="36" spans="2:4" ht="13.8">
      <c r="B36" s="68">
        <v>10117</v>
      </c>
      <c r="C36" s="69" t="s">
        <v>278</v>
      </c>
      <c r="D36" s="88">
        <v>2</v>
      </c>
    </row>
    <row r="37" spans="2:4" ht="13.8">
      <c r="B37" s="58">
        <v>10118</v>
      </c>
      <c r="C37" s="59" t="s">
        <v>279</v>
      </c>
      <c r="D37" s="87">
        <v>0</v>
      </c>
    </row>
    <row r="38" spans="2:4" ht="13.8">
      <c r="B38" s="68">
        <v>10119</v>
      </c>
      <c r="C38" s="69" t="s">
        <v>280</v>
      </c>
      <c r="D38" s="88">
        <v>0</v>
      </c>
    </row>
    <row r="39" spans="2:4" ht="13.8">
      <c r="B39" s="58">
        <v>10120</v>
      </c>
      <c r="C39" s="59" t="s">
        <v>281</v>
      </c>
      <c r="D39" s="87">
        <v>0</v>
      </c>
    </row>
    <row r="40" spans="2:4" ht="13.8">
      <c r="B40" s="68">
        <v>10121</v>
      </c>
      <c r="C40" s="69" t="s">
        <v>282</v>
      </c>
      <c r="D40" s="88">
        <v>13</v>
      </c>
    </row>
    <row r="41" spans="2:4" ht="13.8">
      <c r="B41" s="58">
        <v>10201</v>
      </c>
      <c r="C41" s="59" t="s">
        <v>283</v>
      </c>
      <c r="D41" s="87">
        <v>4</v>
      </c>
    </row>
    <row r="42" spans="2:4" ht="13.8">
      <c r="B42" s="68">
        <v>10202</v>
      </c>
      <c r="C42" s="69" t="s">
        <v>284</v>
      </c>
      <c r="D42" s="88">
        <v>5</v>
      </c>
    </row>
    <row r="43" spans="2:4" ht="13.8">
      <c r="B43" s="58">
        <v>10203</v>
      </c>
      <c r="C43" s="59" t="s">
        <v>285</v>
      </c>
      <c r="D43" s="87">
        <v>24</v>
      </c>
    </row>
    <row r="44" spans="2:4" ht="13.8">
      <c r="B44" s="68">
        <v>10204</v>
      </c>
      <c r="C44" s="69" t="s">
        <v>286</v>
      </c>
      <c r="D44" s="88">
        <v>1246</v>
      </c>
    </row>
    <row r="45" spans="2:4" ht="13.8">
      <c r="B45" s="58">
        <v>10205</v>
      </c>
      <c r="C45" s="59" t="s">
        <v>287</v>
      </c>
      <c r="D45" s="87">
        <v>11</v>
      </c>
    </row>
    <row r="46" spans="2:4" ht="13.8">
      <c r="B46" s="68">
        <v>10206</v>
      </c>
      <c r="C46" s="69" t="s">
        <v>288</v>
      </c>
      <c r="D46" s="88">
        <v>73</v>
      </c>
    </row>
    <row r="47" spans="2:4" ht="13.8">
      <c r="B47" s="58">
        <v>10207</v>
      </c>
      <c r="C47" s="59" t="s">
        <v>289</v>
      </c>
      <c r="D47" s="87">
        <v>139</v>
      </c>
    </row>
    <row r="48" spans="2:4" ht="13.8">
      <c r="B48" s="68">
        <v>10208</v>
      </c>
      <c r="C48" s="69" t="s">
        <v>290</v>
      </c>
      <c r="D48" s="88">
        <v>155</v>
      </c>
    </row>
    <row r="49" spans="2:4" ht="13.8">
      <c r="B49" s="58">
        <v>10209</v>
      </c>
      <c r="C49" s="59" t="s">
        <v>291</v>
      </c>
      <c r="D49" s="87">
        <v>148</v>
      </c>
    </row>
    <row r="50" spans="2:4" ht="13.8">
      <c r="B50" s="68">
        <v>10210</v>
      </c>
      <c r="C50" s="69" t="s">
        <v>292</v>
      </c>
      <c r="D50" s="88">
        <v>108</v>
      </c>
    </row>
    <row r="51" spans="2:4" ht="13.8">
      <c r="B51" s="58">
        <v>10211</v>
      </c>
      <c r="C51" s="59" t="s">
        <v>76</v>
      </c>
      <c r="D51" s="87">
        <v>21</v>
      </c>
    </row>
    <row r="52" spans="2:4" ht="13.8">
      <c r="B52" s="68">
        <v>10212</v>
      </c>
      <c r="C52" s="69" t="s">
        <v>293</v>
      </c>
      <c r="D52" s="88">
        <v>0</v>
      </c>
    </row>
    <row r="53" spans="2:4" ht="13.8">
      <c r="B53" s="58">
        <v>10213</v>
      </c>
      <c r="C53" s="59" t="s">
        <v>294</v>
      </c>
      <c r="D53" s="87">
        <v>51</v>
      </c>
    </row>
    <row r="54" spans="2:4" ht="13.8">
      <c r="B54" s="68">
        <v>10214</v>
      </c>
      <c r="C54" s="69" t="s">
        <v>295</v>
      </c>
      <c r="D54" s="88">
        <v>2</v>
      </c>
    </row>
    <row r="55" spans="2:4" ht="13.8">
      <c r="B55" s="58">
        <v>10215</v>
      </c>
      <c r="C55" s="59" t="s">
        <v>296</v>
      </c>
      <c r="D55" s="87">
        <v>1</v>
      </c>
    </row>
    <row r="56" spans="2:4" ht="16.5" customHeight="1">
      <c r="B56" s="68">
        <v>10216</v>
      </c>
      <c r="C56" s="69" t="s">
        <v>297</v>
      </c>
      <c r="D56" s="88">
        <v>2</v>
      </c>
    </row>
    <row r="57" spans="2:4" ht="13.8">
      <c r="B57" s="58">
        <v>10217</v>
      </c>
      <c r="C57" s="59" t="s">
        <v>298</v>
      </c>
      <c r="D57" s="87">
        <v>0</v>
      </c>
    </row>
    <row r="58" spans="2:4" ht="13.8">
      <c r="B58" s="68">
        <v>10218</v>
      </c>
      <c r="C58" s="69" t="s">
        <v>299</v>
      </c>
      <c r="D58" s="88">
        <v>0</v>
      </c>
    </row>
    <row r="59" spans="2:4" ht="13.8">
      <c r="B59" s="58">
        <v>10219</v>
      </c>
      <c r="C59" s="59" t="s">
        <v>300</v>
      </c>
      <c r="D59" s="87">
        <v>33</v>
      </c>
    </row>
    <row r="60" spans="2:4" ht="13.8">
      <c r="B60" s="68">
        <v>10220</v>
      </c>
      <c r="C60" s="69" t="s">
        <v>301</v>
      </c>
      <c r="D60" s="88">
        <v>373</v>
      </c>
    </row>
    <row r="61" spans="2:4" ht="13.8">
      <c r="B61" s="58">
        <v>10301</v>
      </c>
      <c r="C61" s="59" t="s">
        <v>302</v>
      </c>
      <c r="D61" s="87">
        <v>44</v>
      </c>
    </row>
    <row r="62" spans="2:4" ht="13.8">
      <c r="B62" s="68">
        <v>10302</v>
      </c>
      <c r="C62" s="69" t="s">
        <v>303</v>
      </c>
      <c r="D62" s="88">
        <v>21</v>
      </c>
    </row>
    <row r="63" spans="2:4" ht="13.8">
      <c r="B63" s="58">
        <v>10303</v>
      </c>
      <c r="C63" s="59" t="s">
        <v>304</v>
      </c>
      <c r="D63" s="87">
        <v>39</v>
      </c>
    </row>
    <row r="64" spans="2:4" ht="13.8">
      <c r="B64" s="68">
        <v>10304</v>
      </c>
      <c r="C64" s="69" t="s">
        <v>305</v>
      </c>
      <c r="D64" s="88">
        <v>99</v>
      </c>
    </row>
    <row r="65" spans="2:4" ht="13.8">
      <c r="B65" s="58">
        <v>10305</v>
      </c>
      <c r="C65" s="59" t="s">
        <v>306</v>
      </c>
      <c r="D65" s="87">
        <v>558</v>
      </c>
    </row>
    <row r="66" spans="2:4" ht="13.8">
      <c r="B66" s="68">
        <v>10306</v>
      </c>
      <c r="C66" s="69" t="s">
        <v>307</v>
      </c>
      <c r="D66" s="88">
        <v>77</v>
      </c>
    </row>
    <row r="67" spans="2:4" ht="13.8">
      <c r="B67" s="58">
        <v>10307</v>
      </c>
      <c r="C67" s="59" t="s">
        <v>74</v>
      </c>
      <c r="D67" s="87">
        <v>631</v>
      </c>
    </row>
    <row r="68" spans="2:4" ht="13.8">
      <c r="B68" s="68">
        <v>10308</v>
      </c>
      <c r="C68" s="69" t="s">
        <v>308</v>
      </c>
      <c r="D68" s="88">
        <v>1030</v>
      </c>
    </row>
    <row r="69" spans="2:4" ht="13.8">
      <c r="B69" s="58">
        <v>10309</v>
      </c>
      <c r="C69" s="59" t="s">
        <v>309</v>
      </c>
      <c r="D69" s="87">
        <v>75</v>
      </c>
    </row>
    <row r="70" spans="2:4" ht="13.8">
      <c r="B70" s="68">
        <v>10310</v>
      </c>
      <c r="C70" s="69" t="s">
        <v>310</v>
      </c>
      <c r="D70" s="88">
        <v>453</v>
      </c>
    </row>
    <row r="71" spans="2:4" ht="13.8">
      <c r="B71" s="58">
        <v>10311</v>
      </c>
      <c r="C71" s="59" t="s">
        <v>311</v>
      </c>
      <c r="D71" s="87">
        <v>277</v>
      </c>
    </row>
    <row r="72" spans="2:4" ht="13.8">
      <c r="B72" s="68">
        <v>10312</v>
      </c>
      <c r="C72" s="69" t="s">
        <v>312</v>
      </c>
      <c r="D72" s="88">
        <v>213</v>
      </c>
    </row>
    <row r="73" spans="2:4" ht="13.8">
      <c r="B73" s="58">
        <v>10313</v>
      </c>
      <c r="C73" s="59" t="s">
        <v>313</v>
      </c>
      <c r="D73" s="87">
        <v>162</v>
      </c>
    </row>
    <row r="74" spans="2:4" ht="13.8">
      <c r="B74" s="68">
        <v>10314</v>
      </c>
      <c r="C74" s="69" t="s">
        <v>314</v>
      </c>
      <c r="D74" s="88">
        <v>275</v>
      </c>
    </row>
    <row r="75" spans="2:4" ht="13.8">
      <c r="B75" s="58">
        <v>10315</v>
      </c>
      <c r="C75" s="59" t="s">
        <v>315</v>
      </c>
      <c r="D75" s="87">
        <v>195</v>
      </c>
    </row>
    <row r="76" spans="2:4" ht="13.8">
      <c r="B76" s="68">
        <v>10316</v>
      </c>
      <c r="C76" s="69" t="s">
        <v>316</v>
      </c>
      <c r="D76" s="88">
        <v>1079</v>
      </c>
    </row>
    <row r="77" spans="2:4" ht="13.8">
      <c r="B77" s="58">
        <v>10317</v>
      </c>
      <c r="C77" s="59" t="s">
        <v>317</v>
      </c>
      <c r="D77" s="87">
        <v>111</v>
      </c>
    </row>
    <row r="78" spans="2:4" ht="13.8">
      <c r="B78" s="68">
        <v>10318</v>
      </c>
      <c r="C78" s="69" t="s">
        <v>318</v>
      </c>
      <c r="D78" s="88">
        <v>283</v>
      </c>
    </row>
    <row r="79" spans="2:4" ht="13.8">
      <c r="B79" s="58">
        <v>10319</v>
      </c>
      <c r="C79" s="59" t="s">
        <v>80</v>
      </c>
      <c r="D79" s="87">
        <v>0</v>
      </c>
    </row>
    <row r="80" spans="2:4" ht="13.8">
      <c r="B80" s="70">
        <v>20101</v>
      </c>
      <c r="C80" s="71" t="s">
        <v>319</v>
      </c>
      <c r="D80" s="89">
        <v>2</v>
      </c>
    </row>
    <row r="81" spans="2:4" ht="13.8">
      <c r="B81" s="60">
        <v>20102</v>
      </c>
      <c r="C81" s="61" t="s">
        <v>261</v>
      </c>
      <c r="D81" s="87">
        <v>0</v>
      </c>
    </row>
    <row r="82" spans="2:4" ht="13.8">
      <c r="B82" s="70">
        <v>20103</v>
      </c>
      <c r="C82" s="71" t="s">
        <v>78</v>
      </c>
      <c r="D82" s="89">
        <v>238</v>
      </c>
    </row>
    <row r="83" spans="2:4" ht="13.8">
      <c r="B83" s="60">
        <v>20104</v>
      </c>
      <c r="C83" s="61" t="s">
        <v>79</v>
      </c>
      <c r="D83" s="87">
        <v>127</v>
      </c>
    </row>
    <row r="84" spans="2:4" ht="13.8">
      <c r="B84" s="70">
        <v>20105</v>
      </c>
      <c r="C84" s="71" t="s">
        <v>320</v>
      </c>
      <c r="D84" s="89">
        <v>1</v>
      </c>
    </row>
    <row r="85" spans="2:4" ht="13.8">
      <c r="B85" s="60">
        <v>20106</v>
      </c>
      <c r="C85" s="61" t="s">
        <v>321</v>
      </c>
      <c r="D85" s="87">
        <v>7</v>
      </c>
    </row>
    <row r="86" spans="2:4" ht="13.8">
      <c r="B86" s="70">
        <v>20107</v>
      </c>
      <c r="C86" s="71" t="s">
        <v>81</v>
      </c>
      <c r="D86" s="89">
        <v>40</v>
      </c>
    </row>
    <row r="87" spans="2:4" ht="13.8">
      <c r="B87" s="60">
        <v>20108</v>
      </c>
      <c r="C87" s="61" t="s">
        <v>322</v>
      </c>
      <c r="D87" s="87">
        <v>65</v>
      </c>
    </row>
    <row r="88" spans="2:4" ht="13.8">
      <c r="B88" s="70">
        <v>20109</v>
      </c>
      <c r="C88" s="71" t="s">
        <v>323</v>
      </c>
      <c r="D88" s="89">
        <v>15</v>
      </c>
    </row>
    <row r="89" spans="2:4" ht="13.8">
      <c r="B89" s="60">
        <v>20110</v>
      </c>
      <c r="C89" s="61" t="s">
        <v>324</v>
      </c>
      <c r="D89" s="87">
        <v>163</v>
      </c>
    </row>
    <row r="90" spans="2:4" ht="13.8">
      <c r="B90" s="70">
        <v>20111</v>
      </c>
      <c r="C90" s="71" t="s">
        <v>325</v>
      </c>
      <c r="D90" s="89">
        <v>54</v>
      </c>
    </row>
    <row r="91" spans="2:4" ht="13.8">
      <c r="B91" s="60">
        <v>20112</v>
      </c>
      <c r="C91" s="61" t="s">
        <v>326</v>
      </c>
      <c r="D91" s="87">
        <v>0</v>
      </c>
    </row>
    <row r="92" spans="2:4" ht="13.8">
      <c r="B92" s="70">
        <v>20113</v>
      </c>
      <c r="C92" s="71" t="s">
        <v>195</v>
      </c>
      <c r="D92" s="89">
        <v>5</v>
      </c>
    </row>
    <row r="93" spans="2:4" ht="13.8">
      <c r="B93" s="60">
        <v>20114</v>
      </c>
      <c r="C93" s="61" t="s">
        <v>82</v>
      </c>
      <c r="D93" s="87">
        <v>0</v>
      </c>
    </row>
    <row r="94" spans="2:4" ht="13.8">
      <c r="B94" s="70">
        <v>20201</v>
      </c>
      <c r="C94" s="71" t="s">
        <v>83</v>
      </c>
      <c r="D94" s="89">
        <v>409</v>
      </c>
    </row>
    <row r="95" spans="2:4" ht="13.8">
      <c r="B95" s="60">
        <v>20202</v>
      </c>
      <c r="C95" s="61" t="s">
        <v>84</v>
      </c>
      <c r="D95" s="87">
        <v>0</v>
      </c>
    </row>
    <row r="96" spans="2:4" ht="13.8">
      <c r="B96" s="70">
        <v>20203</v>
      </c>
      <c r="C96" s="71" t="s">
        <v>85</v>
      </c>
      <c r="D96" s="89">
        <v>480</v>
      </c>
    </row>
    <row r="97" spans="2:4" ht="13.8">
      <c r="B97" s="60">
        <v>20204</v>
      </c>
      <c r="C97" s="61" t="s">
        <v>86</v>
      </c>
      <c r="D97" s="87">
        <v>0</v>
      </c>
    </row>
    <row r="98" spans="2:4" ht="13.8">
      <c r="B98" s="70">
        <v>20205</v>
      </c>
      <c r="C98" s="71" t="s">
        <v>87</v>
      </c>
      <c r="D98" s="89">
        <v>0</v>
      </c>
    </row>
    <row r="99" spans="2:4" ht="13.8">
      <c r="B99" s="60">
        <v>20206</v>
      </c>
      <c r="C99" s="61" t="s">
        <v>88</v>
      </c>
      <c r="D99" s="87">
        <v>0</v>
      </c>
    </row>
    <row r="100" spans="2:4" ht="13.8">
      <c r="B100" s="70">
        <v>20207</v>
      </c>
      <c r="C100" s="71" t="s">
        <v>89</v>
      </c>
      <c r="D100" s="89">
        <v>18</v>
      </c>
    </row>
    <row r="101" spans="2:4" ht="13.8">
      <c r="B101" s="60">
        <v>20208</v>
      </c>
      <c r="C101" s="61" t="s">
        <v>90</v>
      </c>
      <c r="D101" s="87">
        <v>3</v>
      </c>
    </row>
    <row r="102" spans="2:4" ht="13.8">
      <c r="B102" s="70">
        <v>20209</v>
      </c>
      <c r="C102" s="71" t="s">
        <v>91</v>
      </c>
      <c r="D102" s="89">
        <v>0</v>
      </c>
    </row>
    <row r="103" spans="2:4" ht="13.8">
      <c r="B103" s="60">
        <v>20210</v>
      </c>
      <c r="C103" s="61" t="s">
        <v>192</v>
      </c>
      <c r="D103" s="87">
        <v>246</v>
      </c>
    </row>
    <row r="104" spans="2:4" ht="13.8">
      <c r="B104" s="70">
        <v>20211</v>
      </c>
      <c r="C104" s="71" t="s">
        <v>327</v>
      </c>
      <c r="D104" s="89">
        <v>0</v>
      </c>
    </row>
    <row r="105" spans="2:4" ht="13.8">
      <c r="B105" s="60">
        <v>20212</v>
      </c>
      <c r="C105" s="61" t="s">
        <v>93</v>
      </c>
      <c r="D105" s="87">
        <v>0</v>
      </c>
    </row>
    <row r="106" spans="2:4" ht="13.8">
      <c r="B106" s="70">
        <v>20213</v>
      </c>
      <c r="C106" s="71" t="s">
        <v>94</v>
      </c>
      <c r="D106" s="89">
        <v>0</v>
      </c>
    </row>
    <row r="107" spans="2:4" ht="13.8">
      <c r="B107" s="60">
        <v>20214</v>
      </c>
      <c r="C107" s="61" t="s">
        <v>328</v>
      </c>
      <c r="D107" s="87">
        <v>0</v>
      </c>
    </row>
    <row r="108" spans="2:4" ht="13.8">
      <c r="B108" s="70">
        <v>20301</v>
      </c>
      <c r="C108" s="71" t="s">
        <v>329</v>
      </c>
      <c r="D108" s="89">
        <v>659</v>
      </c>
    </row>
    <row r="109" spans="2:4" ht="13.8">
      <c r="B109" s="60">
        <v>20302</v>
      </c>
      <c r="C109" s="61" t="s">
        <v>330</v>
      </c>
      <c r="D109" s="87">
        <v>25</v>
      </c>
    </row>
    <row r="110" spans="2:4" ht="13.8">
      <c r="B110" s="70">
        <v>20303</v>
      </c>
      <c r="C110" s="71" t="s">
        <v>331</v>
      </c>
      <c r="D110" s="89">
        <v>173</v>
      </c>
    </row>
    <row r="111" spans="2:4" ht="13.8">
      <c r="B111" s="60">
        <v>20304</v>
      </c>
      <c r="C111" s="61" t="s">
        <v>332</v>
      </c>
      <c r="D111" s="87">
        <v>125</v>
      </c>
    </row>
    <row r="112" spans="2:4" ht="13.8">
      <c r="B112" s="70">
        <v>20305</v>
      </c>
      <c r="C112" s="71" t="s">
        <v>333</v>
      </c>
      <c r="D112" s="89">
        <v>31</v>
      </c>
    </row>
    <row r="113" spans="2:4" ht="13.8">
      <c r="B113" s="60">
        <v>20306</v>
      </c>
      <c r="C113" s="61" t="s">
        <v>334</v>
      </c>
      <c r="D113" s="87">
        <v>0</v>
      </c>
    </row>
    <row r="114" spans="2:4" ht="13.8">
      <c r="B114" s="70">
        <v>20307</v>
      </c>
      <c r="C114" s="71" t="s">
        <v>335</v>
      </c>
      <c r="D114" s="89">
        <v>252</v>
      </c>
    </row>
    <row r="115" spans="2:4" ht="13.8">
      <c r="B115" s="60">
        <v>20308</v>
      </c>
      <c r="C115" s="61" t="s">
        <v>336</v>
      </c>
      <c r="D115" s="87">
        <v>2640</v>
      </c>
    </row>
    <row r="116" spans="2:4" ht="13.8">
      <c r="B116" s="70">
        <v>20309</v>
      </c>
      <c r="C116" s="71" t="s">
        <v>337</v>
      </c>
      <c r="D116" s="89">
        <v>13</v>
      </c>
    </row>
    <row r="117" spans="2:4" ht="13.8">
      <c r="B117" s="60">
        <v>20310</v>
      </c>
      <c r="C117" s="61" t="s">
        <v>338</v>
      </c>
      <c r="D117" s="87">
        <v>39</v>
      </c>
    </row>
    <row r="118" spans="2:4" ht="13.8">
      <c r="B118" s="70">
        <v>20311</v>
      </c>
      <c r="C118" s="71" t="s">
        <v>339</v>
      </c>
      <c r="D118" s="89">
        <v>1326</v>
      </c>
    </row>
    <row r="119" spans="2:4" ht="13.8">
      <c r="B119" s="60">
        <v>20401</v>
      </c>
      <c r="C119" s="61" t="s">
        <v>340</v>
      </c>
      <c r="D119" s="87">
        <v>0</v>
      </c>
    </row>
    <row r="120" spans="2:4" ht="13.8">
      <c r="B120" s="70">
        <v>20402</v>
      </c>
      <c r="C120" s="71" t="s">
        <v>341</v>
      </c>
      <c r="D120" s="89">
        <v>41</v>
      </c>
    </row>
    <row r="121" spans="2:4" ht="13.8">
      <c r="B121" s="60">
        <v>20403</v>
      </c>
      <c r="C121" s="61" t="s">
        <v>342</v>
      </c>
      <c r="D121" s="87">
        <v>112</v>
      </c>
    </row>
    <row r="122" spans="2:4" ht="13.8">
      <c r="B122" s="70">
        <v>20404</v>
      </c>
      <c r="C122" s="71" t="s">
        <v>343</v>
      </c>
      <c r="D122" s="89">
        <v>71</v>
      </c>
    </row>
    <row r="123" spans="2:4" ht="13.8">
      <c r="B123" s="64">
        <v>30101</v>
      </c>
      <c r="C123" s="65" t="s">
        <v>344</v>
      </c>
      <c r="D123" s="90">
        <v>358</v>
      </c>
    </row>
    <row r="124" spans="2:4" ht="13.8">
      <c r="B124" s="62">
        <v>30102</v>
      </c>
      <c r="C124" s="63" t="s">
        <v>95</v>
      </c>
      <c r="D124" s="87">
        <v>103</v>
      </c>
    </row>
    <row r="125" spans="2:4" ht="13.8">
      <c r="B125" s="64">
        <v>30103</v>
      </c>
      <c r="C125" s="65" t="s">
        <v>75</v>
      </c>
      <c r="D125" s="90">
        <v>331</v>
      </c>
    </row>
    <row r="126" spans="2:4" ht="13.8">
      <c r="B126" s="62">
        <v>30201</v>
      </c>
      <c r="C126" s="63" t="s">
        <v>96</v>
      </c>
      <c r="D126" s="87">
        <v>0</v>
      </c>
    </row>
    <row r="127" spans="2:4" ht="13.8">
      <c r="B127" s="64">
        <v>30202</v>
      </c>
      <c r="C127" s="65" t="s">
        <v>415</v>
      </c>
      <c r="D127" s="90">
        <v>573</v>
      </c>
    </row>
    <row r="128" spans="2:4" ht="13.8">
      <c r="B128" s="62">
        <v>30203</v>
      </c>
      <c r="C128" s="63" t="s">
        <v>345</v>
      </c>
      <c r="D128" s="87">
        <v>0</v>
      </c>
    </row>
    <row r="129" spans="2:4" ht="13.8">
      <c r="B129" s="64">
        <v>30204</v>
      </c>
      <c r="C129" s="65" t="s">
        <v>98</v>
      </c>
      <c r="D129" s="90">
        <v>595</v>
      </c>
    </row>
    <row r="130" spans="2:4" ht="13.8">
      <c r="B130" s="62">
        <v>30205</v>
      </c>
      <c r="C130" s="63" t="s">
        <v>346</v>
      </c>
      <c r="D130" s="87">
        <v>46</v>
      </c>
    </row>
    <row r="131" spans="2:4" ht="13.8">
      <c r="B131" s="64">
        <v>30206</v>
      </c>
      <c r="C131" s="65" t="s">
        <v>347</v>
      </c>
      <c r="D131" s="90">
        <v>42</v>
      </c>
    </row>
    <row r="132" spans="2:4" ht="13.8">
      <c r="B132" s="62">
        <v>30207</v>
      </c>
      <c r="C132" s="63" t="s">
        <v>348</v>
      </c>
      <c r="D132" s="87">
        <v>0</v>
      </c>
    </row>
    <row r="133" spans="2:4" ht="13.8">
      <c r="B133" s="64">
        <v>30301</v>
      </c>
      <c r="C133" s="65" t="s">
        <v>99</v>
      </c>
      <c r="D133" s="90">
        <v>8</v>
      </c>
    </row>
    <row r="134" spans="2:4" ht="13.8">
      <c r="B134" s="62">
        <v>30302</v>
      </c>
      <c r="C134" s="63" t="s">
        <v>100</v>
      </c>
      <c r="D134" s="87">
        <v>343</v>
      </c>
    </row>
    <row r="135" spans="2:4" ht="13.8">
      <c r="B135" s="64">
        <v>30303</v>
      </c>
      <c r="C135" s="65" t="s">
        <v>349</v>
      </c>
      <c r="D135" s="90">
        <v>189</v>
      </c>
    </row>
    <row r="136" spans="2:4" ht="13.8">
      <c r="B136" s="62">
        <v>30304</v>
      </c>
      <c r="C136" s="63" t="s">
        <v>101</v>
      </c>
      <c r="D136" s="87">
        <v>2</v>
      </c>
    </row>
    <row r="137" spans="2:4" ht="13.8">
      <c r="B137" s="64">
        <v>30305</v>
      </c>
      <c r="C137" s="65" t="s">
        <v>102</v>
      </c>
      <c r="D137" s="90">
        <v>69</v>
      </c>
    </row>
    <row r="138" spans="2:4" ht="13.8">
      <c r="B138" s="62">
        <v>30306</v>
      </c>
      <c r="C138" s="63" t="s">
        <v>103</v>
      </c>
      <c r="D138" s="87">
        <v>47</v>
      </c>
    </row>
    <row r="139" spans="2:4" ht="13.8">
      <c r="B139" s="64">
        <v>30307</v>
      </c>
      <c r="C139" s="65" t="s">
        <v>104</v>
      </c>
      <c r="D139" s="90">
        <v>721</v>
      </c>
    </row>
    <row r="140" spans="2:4" ht="13.8">
      <c r="B140" s="62">
        <v>30308</v>
      </c>
      <c r="C140" s="63" t="s">
        <v>350</v>
      </c>
      <c r="D140" s="87">
        <v>101</v>
      </c>
    </row>
    <row r="141" spans="2:4" ht="13.8">
      <c r="B141" s="64">
        <v>30309</v>
      </c>
      <c r="C141" s="65" t="s">
        <v>351</v>
      </c>
      <c r="D141" s="90">
        <v>2355</v>
      </c>
    </row>
    <row r="142" spans="2:4" ht="13.8">
      <c r="B142" s="62">
        <v>30310</v>
      </c>
      <c r="C142" s="63" t="s">
        <v>352</v>
      </c>
      <c r="D142" s="87">
        <v>273</v>
      </c>
    </row>
    <row r="143" spans="2:4" ht="13.8">
      <c r="B143" s="64">
        <v>30401</v>
      </c>
      <c r="C143" s="65" t="s">
        <v>353</v>
      </c>
      <c r="D143" s="90">
        <v>1202</v>
      </c>
    </row>
    <row r="144" spans="2:4" ht="13.8">
      <c r="B144" s="62">
        <v>30402</v>
      </c>
      <c r="C144" s="63" t="s">
        <v>354</v>
      </c>
      <c r="D144" s="87">
        <v>617</v>
      </c>
    </row>
    <row r="145" spans="2:4" ht="13.8">
      <c r="B145" s="64">
        <v>30403</v>
      </c>
      <c r="C145" s="65" t="s">
        <v>355</v>
      </c>
      <c r="D145" s="90">
        <v>146</v>
      </c>
    </row>
    <row r="146" spans="2:4" ht="13.8">
      <c r="B146" s="62">
        <v>30404</v>
      </c>
      <c r="C146" s="63" t="s">
        <v>105</v>
      </c>
      <c r="D146" s="87">
        <v>301</v>
      </c>
    </row>
    <row r="147" spans="2:4" ht="13.8">
      <c r="B147" s="64">
        <v>30405</v>
      </c>
      <c r="C147" s="65" t="s">
        <v>106</v>
      </c>
      <c r="D147" s="90">
        <v>30</v>
      </c>
    </row>
    <row r="148" spans="2:4" ht="13.8">
      <c r="B148" s="62">
        <v>30406</v>
      </c>
      <c r="C148" s="63" t="s">
        <v>107</v>
      </c>
      <c r="D148" s="87">
        <v>39</v>
      </c>
    </row>
    <row r="149" spans="2:4" ht="13.8">
      <c r="B149" s="64">
        <v>30407</v>
      </c>
      <c r="C149" s="65" t="s">
        <v>356</v>
      </c>
      <c r="D149" s="90">
        <v>326</v>
      </c>
    </row>
    <row r="150" spans="2:4" ht="13.8">
      <c r="B150" s="62">
        <v>30408</v>
      </c>
      <c r="C150" s="63" t="s">
        <v>357</v>
      </c>
      <c r="D150" s="87">
        <v>5</v>
      </c>
    </row>
    <row r="151" spans="2:4" ht="13.8">
      <c r="B151" s="64">
        <v>30409</v>
      </c>
      <c r="C151" s="65" t="s">
        <v>109</v>
      </c>
      <c r="D151" s="90">
        <v>24</v>
      </c>
    </row>
    <row r="152" spans="2:4" ht="13.8">
      <c r="B152" s="62">
        <v>30410</v>
      </c>
      <c r="C152" s="63" t="s">
        <v>110</v>
      </c>
      <c r="D152" s="87">
        <v>3</v>
      </c>
    </row>
    <row r="153" spans="2:4" ht="13.8">
      <c r="B153" s="64">
        <v>30411</v>
      </c>
      <c r="C153" s="65" t="s">
        <v>358</v>
      </c>
      <c r="D153" s="90">
        <v>215</v>
      </c>
    </row>
    <row r="154" spans="2:4" ht="13.8">
      <c r="B154" s="62">
        <v>30412</v>
      </c>
      <c r="C154" s="63" t="s">
        <v>111</v>
      </c>
      <c r="D154" s="87">
        <v>2</v>
      </c>
    </row>
    <row r="155" spans="2:4" ht="13.8">
      <c r="B155" s="64">
        <v>30413</v>
      </c>
      <c r="C155" s="65" t="s">
        <v>112</v>
      </c>
      <c r="D155" s="90">
        <v>67</v>
      </c>
    </row>
    <row r="156" spans="2:4" ht="13.8">
      <c r="B156" s="62">
        <v>30414</v>
      </c>
      <c r="C156" s="63" t="s">
        <v>113</v>
      </c>
      <c r="D156" s="87">
        <v>261</v>
      </c>
    </row>
    <row r="157" spans="2:4" ht="13.8">
      <c r="B157" s="64">
        <v>30415</v>
      </c>
      <c r="C157" s="65" t="s">
        <v>114</v>
      </c>
      <c r="D157" s="90">
        <v>0</v>
      </c>
    </row>
    <row r="158" spans="2:4" ht="13.8">
      <c r="B158" s="62">
        <v>30416</v>
      </c>
      <c r="C158" s="63" t="s">
        <v>115</v>
      </c>
      <c r="D158" s="87">
        <v>13</v>
      </c>
    </row>
    <row r="159" spans="2:4" ht="13.8">
      <c r="B159" s="64">
        <v>30417</v>
      </c>
      <c r="C159" s="65" t="s">
        <v>116</v>
      </c>
      <c r="D159" s="90">
        <v>14</v>
      </c>
    </row>
    <row r="160" spans="2:4" ht="13.8">
      <c r="B160" s="62">
        <v>30418</v>
      </c>
      <c r="C160" s="63" t="s">
        <v>117</v>
      </c>
      <c r="D160" s="87">
        <v>24</v>
      </c>
    </row>
    <row r="161" spans="2:4" ht="13.8">
      <c r="B161" s="64">
        <v>30419</v>
      </c>
      <c r="C161" s="65" t="s">
        <v>118</v>
      </c>
      <c r="D161" s="90">
        <v>208</v>
      </c>
    </row>
    <row r="162" spans="2:4" ht="13.8">
      <c r="B162" s="62">
        <v>30420</v>
      </c>
      <c r="C162" s="63" t="s">
        <v>119</v>
      </c>
      <c r="D162" s="87">
        <v>181</v>
      </c>
    </row>
    <row r="163" spans="2:4" ht="13.8">
      <c r="B163" s="64">
        <v>30421</v>
      </c>
      <c r="C163" s="65" t="s">
        <v>120</v>
      </c>
      <c r="D163" s="90">
        <v>439</v>
      </c>
    </row>
    <row r="164" spans="2:4" ht="13.8">
      <c r="B164" s="62">
        <v>30422</v>
      </c>
      <c r="C164" s="63" t="s">
        <v>121</v>
      </c>
      <c r="D164" s="87">
        <v>126</v>
      </c>
    </row>
    <row r="165" spans="2:4" ht="13.8">
      <c r="B165" s="64">
        <v>30423</v>
      </c>
      <c r="C165" s="65" t="s">
        <v>122</v>
      </c>
      <c r="D165" s="90">
        <v>5</v>
      </c>
    </row>
    <row r="166" spans="2:4" ht="13.8">
      <c r="B166" s="62">
        <v>30424</v>
      </c>
      <c r="C166" s="63" t="s">
        <v>123</v>
      </c>
      <c r="D166" s="87">
        <v>2</v>
      </c>
    </row>
    <row r="167" spans="2:4" ht="13.8">
      <c r="B167" s="64">
        <v>30425</v>
      </c>
      <c r="C167" s="65" t="s">
        <v>124</v>
      </c>
      <c r="D167" s="90">
        <v>4</v>
      </c>
    </row>
    <row r="168" spans="2:4" ht="13.8">
      <c r="B168" s="62">
        <v>30426</v>
      </c>
      <c r="C168" s="63" t="s">
        <v>125</v>
      </c>
      <c r="D168" s="87">
        <v>12</v>
      </c>
    </row>
    <row r="169" spans="2:4" ht="13.8">
      <c r="B169" s="64">
        <v>30427</v>
      </c>
      <c r="C169" s="65" t="s">
        <v>126</v>
      </c>
      <c r="D169" s="90">
        <v>45</v>
      </c>
    </row>
    <row r="170" spans="2:4" ht="13.8">
      <c r="B170" s="62">
        <v>30428</v>
      </c>
      <c r="C170" s="63" t="s">
        <v>127</v>
      </c>
      <c r="D170" s="87">
        <v>24</v>
      </c>
    </row>
    <row r="171" spans="2:4" ht="13.8">
      <c r="B171" s="64">
        <v>30429</v>
      </c>
      <c r="C171" s="65" t="s">
        <v>128</v>
      </c>
      <c r="D171" s="90">
        <v>226</v>
      </c>
    </row>
    <row r="172" spans="2:4" ht="13.8">
      <c r="B172" s="62">
        <v>30430</v>
      </c>
      <c r="C172" s="63" t="s">
        <v>129</v>
      </c>
      <c r="D172" s="87">
        <v>595</v>
      </c>
    </row>
    <row r="173" spans="2:4" ht="13.8">
      <c r="B173" s="64">
        <v>30431</v>
      </c>
      <c r="C173" s="65" t="s">
        <v>130</v>
      </c>
      <c r="D173" s="90">
        <v>1</v>
      </c>
    </row>
    <row r="174" spans="2:4" ht="13.8">
      <c r="B174" s="62">
        <v>30432</v>
      </c>
      <c r="C174" s="63" t="s">
        <v>131</v>
      </c>
      <c r="D174" s="87">
        <v>0</v>
      </c>
    </row>
    <row r="175" spans="2:4" ht="13.8">
      <c r="B175" s="64">
        <v>30433</v>
      </c>
      <c r="C175" s="65" t="s">
        <v>132</v>
      </c>
      <c r="D175" s="90">
        <v>0</v>
      </c>
    </row>
    <row r="176" spans="2:4" ht="13.8">
      <c r="B176" s="62">
        <v>30434</v>
      </c>
      <c r="C176" s="63" t="s">
        <v>133</v>
      </c>
      <c r="D176" s="87">
        <v>3</v>
      </c>
    </row>
    <row r="177" spans="2:4" ht="13.8">
      <c r="B177" s="64">
        <v>30435</v>
      </c>
      <c r="C177" s="65" t="s">
        <v>134</v>
      </c>
      <c r="D177" s="90">
        <v>3</v>
      </c>
    </row>
    <row r="178" spans="2:4" ht="13.8">
      <c r="B178" s="62">
        <v>30436</v>
      </c>
      <c r="C178" s="63" t="s">
        <v>135</v>
      </c>
      <c r="D178" s="87">
        <v>27</v>
      </c>
    </row>
    <row r="179" spans="2:4" ht="13.8">
      <c r="B179" s="64">
        <v>30437</v>
      </c>
      <c r="C179" s="65" t="s">
        <v>136</v>
      </c>
      <c r="D179" s="90">
        <v>0</v>
      </c>
    </row>
    <row r="180" spans="2:4" ht="13.8">
      <c r="B180" s="62">
        <v>30438</v>
      </c>
      <c r="C180" s="63" t="s">
        <v>137</v>
      </c>
      <c r="D180" s="87">
        <v>0</v>
      </c>
    </row>
    <row r="181" spans="2:4" ht="13.8">
      <c r="B181" s="64">
        <v>30439</v>
      </c>
      <c r="C181" s="65" t="s">
        <v>138</v>
      </c>
      <c r="D181" s="90">
        <v>4</v>
      </c>
    </row>
    <row r="182" spans="2:4" ht="13.8">
      <c r="B182" s="62">
        <v>30440</v>
      </c>
      <c r="C182" s="63" t="s">
        <v>359</v>
      </c>
      <c r="D182" s="87">
        <v>86</v>
      </c>
    </row>
    <row r="183" spans="2:4" ht="13.8">
      <c r="B183" s="64">
        <v>30441</v>
      </c>
      <c r="C183" s="65" t="s">
        <v>360</v>
      </c>
      <c r="D183" s="90">
        <v>0</v>
      </c>
    </row>
    <row r="184" spans="2:4" ht="13.8">
      <c r="B184" s="62">
        <v>30442</v>
      </c>
      <c r="C184" s="63" t="s">
        <v>361</v>
      </c>
      <c r="D184" s="87">
        <v>0</v>
      </c>
    </row>
    <row r="185" spans="2:4" ht="13.8">
      <c r="B185" s="64">
        <v>30443</v>
      </c>
      <c r="C185" s="65" t="s">
        <v>362</v>
      </c>
      <c r="D185" s="90">
        <v>0</v>
      </c>
    </row>
    <row r="186" spans="2:4" ht="13.8">
      <c r="B186" s="62">
        <v>30444</v>
      </c>
      <c r="C186" s="63" t="s">
        <v>363</v>
      </c>
      <c r="D186" s="87">
        <v>0</v>
      </c>
    </row>
    <row r="187" spans="2:4" ht="13.8">
      <c r="B187" s="64">
        <v>30445</v>
      </c>
      <c r="C187" s="65" t="s">
        <v>364</v>
      </c>
      <c r="D187" s="90">
        <v>1</v>
      </c>
    </row>
    <row r="188" spans="2:4" ht="13.8">
      <c r="B188" s="62">
        <v>30446</v>
      </c>
      <c r="C188" s="63" t="s">
        <v>365</v>
      </c>
      <c r="D188" s="87">
        <v>651</v>
      </c>
    </row>
    <row r="189" spans="2:4" ht="13.8">
      <c r="B189" s="64">
        <v>30501</v>
      </c>
      <c r="C189" s="65" t="s">
        <v>139</v>
      </c>
      <c r="D189" s="90">
        <v>111</v>
      </c>
    </row>
    <row r="190" spans="2:4" ht="13.8">
      <c r="B190" s="62">
        <v>30502</v>
      </c>
      <c r="C190" s="63" t="s">
        <v>140</v>
      </c>
      <c r="D190" s="87">
        <v>3061</v>
      </c>
    </row>
    <row r="191" spans="2:4" ht="13.8">
      <c r="B191" s="64">
        <v>30503</v>
      </c>
      <c r="C191" s="65" t="s">
        <v>141</v>
      </c>
      <c r="D191" s="90">
        <v>2883</v>
      </c>
    </row>
    <row r="192" spans="2:4" ht="13.8">
      <c r="B192" s="62">
        <v>30504</v>
      </c>
      <c r="C192" s="63" t="s">
        <v>366</v>
      </c>
      <c r="D192" s="87">
        <v>205</v>
      </c>
    </row>
    <row r="193" spans="2:4" ht="13.8">
      <c r="B193" s="64">
        <v>30505</v>
      </c>
      <c r="C193" s="65" t="s">
        <v>367</v>
      </c>
      <c r="D193" s="90">
        <v>303</v>
      </c>
    </row>
    <row r="194" spans="2:4" ht="13.8">
      <c r="B194" s="62">
        <v>30601</v>
      </c>
      <c r="C194" s="63" t="s">
        <v>142</v>
      </c>
      <c r="D194" s="87">
        <v>352</v>
      </c>
    </row>
    <row r="195" spans="2:4" ht="13.8">
      <c r="B195" s="64">
        <v>30602</v>
      </c>
      <c r="C195" s="65" t="s">
        <v>143</v>
      </c>
      <c r="D195" s="90">
        <v>475</v>
      </c>
    </row>
    <row r="196" spans="2:4" ht="13.8">
      <c r="B196" s="62">
        <v>30603</v>
      </c>
      <c r="C196" s="63" t="s">
        <v>144</v>
      </c>
      <c r="D196" s="87">
        <v>89</v>
      </c>
    </row>
    <row r="197" spans="2:4" ht="13.8">
      <c r="B197" s="64">
        <v>30604</v>
      </c>
      <c r="C197" s="65" t="s">
        <v>145</v>
      </c>
      <c r="D197" s="90">
        <v>0</v>
      </c>
    </row>
    <row r="198" spans="2:4" ht="13.8">
      <c r="B198" s="62">
        <v>30605</v>
      </c>
      <c r="C198" s="63" t="s">
        <v>368</v>
      </c>
      <c r="D198" s="87">
        <v>11</v>
      </c>
    </row>
    <row r="199" spans="2:4" ht="13.8">
      <c r="B199" s="64">
        <v>30606</v>
      </c>
      <c r="C199" s="65" t="s">
        <v>369</v>
      </c>
      <c r="D199" s="90">
        <v>156</v>
      </c>
    </row>
    <row r="200" spans="2:4" ht="13.8">
      <c r="B200" s="62">
        <v>30607</v>
      </c>
      <c r="C200" s="63" t="s">
        <v>146</v>
      </c>
      <c r="D200" s="87">
        <v>140</v>
      </c>
    </row>
    <row r="201" spans="2:4" ht="13.8">
      <c r="B201" s="64">
        <v>30608</v>
      </c>
      <c r="C201" s="65" t="s">
        <v>147</v>
      </c>
      <c r="D201" s="90">
        <v>0</v>
      </c>
    </row>
    <row r="202" spans="2:4" ht="13.8">
      <c r="B202" s="62">
        <v>30609</v>
      </c>
      <c r="C202" s="63" t="s">
        <v>370</v>
      </c>
      <c r="D202" s="87">
        <v>199</v>
      </c>
    </row>
    <row r="203" spans="2:4" ht="13.8">
      <c r="B203" s="64">
        <v>30610</v>
      </c>
      <c r="C203" s="65" t="s">
        <v>371</v>
      </c>
      <c r="D203" s="90">
        <v>21</v>
      </c>
    </row>
    <row r="204" spans="2:4" ht="13.8">
      <c r="B204" s="62">
        <v>30611</v>
      </c>
      <c r="C204" s="63" t="s">
        <v>372</v>
      </c>
      <c r="D204" s="87">
        <v>41</v>
      </c>
    </row>
    <row r="205" spans="2:4" ht="13.8">
      <c r="B205" s="64">
        <v>30701</v>
      </c>
      <c r="C205" s="65" t="s">
        <v>148</v>
      </c>
      <c r="D205" s="90">
        <v>45</v>
      </c>
    </row>
    <row r="206" spans="2:4" ht="13.8">
      <c r="B206" s="62">
        <v>30702</v>
      </c>
      <c r="C206" s="63" t="s">
        <v>149</v>
      </c>
      <c r="D206" s="87">
        <v>69</v>
      </c>
    </row>
    <row r="207" spans="2:4" ht="13.8">
      <c r="B207" s="64">
        <v>30703</v>
      </c>
      <c r="C207" s="65" t="s">
        <v>150</v>
      </c>
      <c r="D207" s="90">
        <v>5</v>
      </c>
    </row>
    <row r="208" spans="2:4" ht="13.8">
      <c r="B208" s="62">
        <v>30704</v>
      </c>
      <c r="C208" s="63" t="s">
        <v>151</v>
      </c>
      <c r="D208" s="87">
        <v>0</v>
      </c>
    </row>
    <row r="209" spans="2:4" ht="13.8">
      <c r="B209" s="64">
        <v>30705</v>
      </c>
      <c r="C209" s="65" t="s">
        <v>152</v>
      </c>
      <c r="D209" s="90">
        <v>2</v>
      </c>
    </row>
    <row r="210" spans="2:4" ht="13.8">
      <c r="B210" s="62">
        <v>30706</v>
      </c>
      <c r="C210" s="63" t="s">
        <v>153</v>
      </c>
      <c r="D210" s="87">
        <v>1</v>
      </c>
    </row>
    <row r="211" spans="2:4" ht="13.8">
      <c r="B211" s="64">
        <v>30707</v>
      </c>
      <c r="C211" s="65" t="s">
        <v>154</v>
      </c>
      <c r="D211" s="90">
        <v>18</v>
      </c>
    </row>
    <row r="212" spans="2:4" ht="13.8">
      <c r="B212" s="62">
        <v>30708</v>
      </c>
      <c r="C212" s="63" t="s">
        <v>373</v>
      </c>
      <c r="D212" s="87">
        <v>11</v>
      </c>
    </row>
    <row r="213" spans="2:4" ht="13.8">
      <c r="B213" s="64">
        <v>30709</v>
      </c>
      <c r="C213" s="65" t="s">
        <v>158</v>
      </c>
      <c r="D213" s="90">
        <v>1</v>
      </c>
    </row>
    <row r="214" spans="2:4" ht="13.8">
      <c r="B214" s="62">
        <v>30710</v>
      </c>
      <c r="C214" s="63" t="s">
        <v>374</v>
      </c>
      <c r="D214" s="87">
        <v>0</v>
      </c>
    </row>
    <row r="215" spans="2:4" ht="13.8">
      <c r="B215" s="64">
        <v>30711</v>
      </c>
      <c r="C215" s="65" t="s">
        <v>157</v>
      </c>
      <c r="D215" s="90">
        <v>4</v>
      </c>
    </row>
    <row r="216" spans="2:4" ht="13.8">
      <c r="B216" s="62">
        <v>30801</v>
      </c>
      <c r="C216" s="63" t="s">
        <v>155</v>
      </c>
      <c r="D216" s="87">
        <v>0</v>
      </c>
    </row>
    <row r="217" spans="2:4" ht="13.8">
      <c r="B217" s="64">
        <v>30802</v>
      </c>
      <c r="C217" s="65" t="s">
        <v>156</v>
      </c>
      <c r="D217" s="90">
        <v>6</v>
      </c>
    </row>
    <row r="218" spans="2:4" ht="13.8">
      <c r="B218" s="62">
        <v>30803</v>
      </c>
      <c r="C218" s="63" t="s">
        <v>97</v>
      </c>
      <c r="D218" s="87">
        <v>0</v>
      </c>
    </row>
    <row r="219" spans="2:4" ht="13.8">
      <c r="B219" s="64">
        <v>30804</v>
      </c>
      <c r="C219" s="65" t="s">
        <v>184</v>
      </c>
      <c r="D219" s="90">
        <v>0</v>
      </c>
    </row>
    <row r="220" spans="2:4" ht="13.8">
      <c r="B220" s="62">
        <v>30805</v>
      </c>
      <c r="C220" s="63" t="s">
        <v>174</v>
      </c>
      <c r="D220" s="87">
        <v>1</v>
      </c>
    </row>
    <row r="221" spans="2:4" ht="13.8">
      <c r="B221" s="64">
        <v>30806</v>
      </c>
      <c r="C221" s="65" t="s">
        <v>375</v>
      </c>
      <c r="D221" s="90">
        <v>4</v>
      </c>
    </row>
    <row r="222" spans="2:4" ht="13.8">
      <c r="B222" s="62">
        <v>30807</v>
      </c>
      <c r="C222" s="63" t="s">
        <v>376</v>
      </c>
      <c r="D222" s="87">
        <v>0</v>
      </c>
    </row>
    <row r="223" spans="2:4" ht="13.8">
      <c r="B223" s="64">
        <v>30808</v>
      </c>
      <c r="C223" s="65" t="s">
        <v>171</v>
      </c>
      <c r="D223" s="90">
        <v>1</v>
      </c>
    </row>
    <row r="224" spans="2:4" ht="13.8">
      <c r="B224" s="62">
        <v>30809</v>
      </c>
      <c r="C224" s="63" t="s">
        <v>377</v>
      </c>
      <c r="D224" s="87">
        <v>0</v>
      </c>
    </row>
    <row r="225" spans="2:4" ht="13.8">
      <c r="B225" s="64">
        <v>30810</v>
      </c>
      <c r="C225" s="65" t="s">
        <v>378</v>
      </c>
      <c r="D225" s="90">
        <v>1</v>
      </c>
    </row>
    <row r="226" spans="2:4" ht="13.8">
      <c r="B226" s="62">
        <v>30901</v>
      </c>
      <c r="C226" s="63" t="s">
        <v>379</v>
      </c>
      <c r="D226" s="87">
        <v>8</v>
      </c>
    </row>
    <row r="227" spans="2:4" ht="13.8">
      <c r="B227" s="64">
        <v>30902</v>
      </c>
      <c r="C227" s="65" t="s">
        <v>380</v>
      </c>
      <c r="D227" s="90">
        <v>9</v>
      </c>
    </row>
    <row r="228" spans="2:4" ht="13.8">
      <c r="B228" s="62">
        <v>30903</v>
      </c>
      <c r="C228" s="63" t="s">
        <v>163</v>
      </c>
      <c r="D228" s="87">
        <v>1217</v>
      </c>
    </row>
    <row r="229" spans="2:4" ht="13.8">
      <c r="B229" s="64">
        <v>30904</v>
      </c>
      <c r="C229" s="65" t="s">
        <v>183</v>
      </c>
      <c r="D229" s="90">
        <v>2675</v>
      </c>
    </row>
    <row r="230" spans="2:4" ht="13.8">
      <c r="B230" s="62">
        <v>30905</v>
      </c>
      <c r="C230" s="63" t="s">
        <v>159</v>
      </c>
      <c r="D230" s="87">
        <v>67</v>
      </c>
    </row>
    <row r="231" spans="2:4" ht="13.8">
      <c r="B231" s="64">
        <v>30906</v>
      </c>
      <c r="C231" s="65" t="s">
        <v>160</v>
      </c>
      <c r="D231" s="90">
        <v>2</v>
      </c>
    </row>
    <row r="232" spans="2:4" ht="13.8">
      <c r="B232" s="62">
        <v>30907</v>
      </c>
      <c r="C232" s="63" t="s">
        <v>161</v>
      </c>
      <c r="D232" s="87">
        <v>3166</v>
      </c>
    </row>
    <row r="233" spans="2:4" ht="13.8">
      <c r="B233" s="64">
        <v>30908</v>
      </c>
      <c r="C233" s="65" t="s">
        <v>162</v>
      </c>
      <c r="D233" s="90">
        <v>4</v>
      </c>
    </row>
    <row r="234" spans="2:4" ht="13.8">
      <c r="B234" s="62">
        <v>30909</v>
      </c>
      <c r="C234" s="63" t="s">
        <v>381</v>
      </c>
      <c r="D234" s="87">
        <v>567</v>
      </c>
    </row>
    <row r="235" spans="2:4" ht="13.8">
      <c r="B235" s="64">
        <v>31001</v>
      </c>
      <c r="C235" s="65" t="s">
        <v>164</v>
      </c>
      <c r="D235" s="90">
        <v>428</v>
      </c>
    </row>
    <row r="236" spans="2:4" ht="13.8">
      <c r="B236" s="62">
        <v>31002</v>
      </c>
      <c r="C236" s="63" t="s">
        <v>382</v>
      </c>
      <c r="D236" s="87">
        <v>380</v>
      </c>
    </row>
    <row r="237" spans="2:4" ht="13.8">
      <c r="B237" s="64">
        <v>31003</v>
      </c>
      <c r="C237" s="65" t="s">
        <v>165</v>
      </c>
      <c r="D237" s="90">
        <v>80</v>
      </c>
    </row>
    <row r="238" spans="2:4" ht="13.8">
      <c r="B238" s="62">
        <v>31004</v>
      </c>
      <c r="C238" s="63" t="s">
        <v>166</v>
      </c>
      <c r="D238" s="87">
        <v>1</v>
      </c>
    </row>
    <row r="239" spans="2:4" ht="13.8">
      <c r="B239" s="64">
        <v>31005</v>
      </c>
      <c r="C239" s="65" t="s">
        <v>167</v>
      </c>
      <c r="D239" s="90">
        <v>0</v>
      </c>
    </row>
    <row r="240" spans="2:4" ht="13.8">
      <c r="B240" s="62">
        <v>31006</v>
      </c>
      <c r="C240" s="63" t="s">
        <v>168</v>
      </c>
      <c r="D240" s="87">
        <v>0</v>
      </c>
    </row>
    <row r="241" spans="2:4" ht="13.8">
      <c r="B241" s="64">
        <v>31007</v>
      </c>
      <c r="C241" s="65" t="s">
        <v>169</v>
      </c>
      <c r="D241" s="90">
        <v>29</v>
      </c>
    </row>
    <row r="242" spans="2:4" ht="13.8">
      <c r="B242" s="62">
        <v>31008</v>
      </c>
      <c r="C242" s="63" t="s">
        <v>383</v>
      </c>
      <c r="D242" s="87">
        <v>0</v>
      </c>
    </row>
    <row r="243" spans="2:4" ht="13.8">
      <c r="B243" s="64">
        <v>31009</v>
      </c>
      <c r="C243" s="65" t="s">
        <v>384</v>
      </c>
      <c r="D243" s="90">
        <v>0</v>
      </c>
    </row>
    <row r="244" spans="2:4" ht="13.8">
      <c r="B244" s="62">
        <v>31010</v>
      </c>
      <c r="C244" s="63" t="s">
        <v>92</v>
      </c>
      <c r="D244" s="87">
        <v>16</v>
      </c>
    </row>
    <row r="245" spans="2:4" ht="13.8">
      <c r="B245" s="64">
        <v>31011</v>
      </c>
      <c r="C245" s="65" t="s">
        <v>385</v>
      </c>
      <c r="D245" s="90">
        <v>0</v>
      </c>
    </row>
    <row r="246" spans="2:4" ht="13.8">
      <c r="B246" s="62">
        <v>31012</v>
      </c>
      <c r="C246" s="63" t="s">
        <v>386</v>
      </c>
      <c r="D246" s="87">
        <v>3</v>
      </c>
    </row>
    <row r="247" spans="2:4" ht="13.8">
      <c r="B247" s="64">
        <v>31013</v>
      </c>
      <c r="C247" s="65" t="s">
        <v>387</v>
      </c>
      <c r="D247" s="90">
        <v>1</v>
      </c>
    </row>
    <row r="248" spans="2:4" ht="13.8">
      <c r="B248" s="62">
        <v>31014</v>
      </c>
      <c r="C248" s="63" t="s">
        <v>388</v>
      </c>
      <c r="D248" s="87">
        <v>12</v>
      </c>
    </row>
    <row r="249" spans="2:4" ht="13.8">
      <c r="B249" s="64">
        <v>31015</v>
      </c>
      <c r="C249" s="65" t="s">
        <v>389</v>
      </c>
      <c r="D249" s="90">
        <v>10</v>
      </c>
    </row>
    <row r="250" spans="2:4" ht="13.8">
      <c r="B250" s="62">
        <v>31101</v>
      </c>
      <c r="C250" s="63" t="s">
        <v>172</v>
      </c>
      <c r="D250" s="87">
        <v>538</v>
      </c>
    </row>
    <row r="251" spans="2:4" ht="13.8">
      <c r="B251" s="64">
        <v>31102</v>
      </c>
      <c r="C251" s="65" t="s">
        <v>173</v>
      </c>
      <c r="D251" s="90">
        <v>144</v>
      </c>
    </row>
    <row r="252" spans="2:4" ht="13.8">
      <c r="B252" s="62">
        <v>31103</v>
      </c>
      <c r="C252" s="63" t="s">
        <v>175</v>
      </c>
      <c r="D252" s="87">
        <v>79</v>
      </c>
    </row>
    <row r="253" spans="2:4" ht="13.8">
      <c r="B253" s="64">
        <v>31104</v>
      </c>
      <c r="C253" s="65" t="s">
        <v>176</v>
      </c>
      <c r="D253" s="90">
        <v>318</v>
      </c>
    </row>
    <row r="254" spans="2:4" ht="13.8">
      <c r="B254" s="62">
        <v>31105</v>
      </c>
      <c r="C254" s="63" t="s">
        <v>177</v>
      </c>
      <c r="D254" s="87">
        <v>461</v>
      </c>
    </row>
    <row r="255" spans="2:4" ht="13.8">
      <c r="B255" s="64">
        <v>31106</v>
      </c>
      <c r="C255" s="65" t="s">
        <v>390</v>
      </c>
      <c r="D255" s="90">
        <v>0</v>
      </c>
    </row>
    <row r="256" spans="2:4" ht="13.8">
      <c r="B256" s="62">
        <v>31107</v>
      </c>
      <c r="C256" s="63" t="s">
        <v>391</v>
      </c>
      <c r="D256" s="87">
        <v>3</v>
      </c>
    </row>
    <row r="257" spans="2:4" ht="13.8">
      <c r="B257" s="64">
        <v>31108</v>
      </c>
      <c r="C257" s="65" t="s">
        <v>392</v>
      </c>
      <c r="D257" s="90">
        <v>32</v>
      </c>
    </row>
    <row r="258" spans="2:4" ht="13.8">
      <c r="B258" s="62">
        <v>31109</v>
      </c>
      <c r="C258" s="63" t="s">
        <v>178</v>
      </c>
      <c r="D258" s="87">
        <v>17</v>
      </c>
    </row>
    <row r="259" spans="2:4" ht="13.8">
      <c r="B259" s="64">
        <v>31110</v>
      </c>
      <c r="C259" s="65" t="s">
        <v>179</v>
      </c>
      <c r="D259" s="90">
        <v>1</v>
      </c>
    </row>
    <row r="260" spans="2:4" ht="13.8">
      <c r="B260" s="62">
        <v>31111</v>
      </c>
      <c r="C260" s="63" t="s">
        <v>180</v>
      </c>
      <c r="D260" s="87">
        <v>1</v>
      </c>
    </row>
    <row r="261" spans="2:4" ht="13.8">
      <c r="B261" s="64">
        <v>31112</v>
      </c>
      <c r="C261" s="65" t="s">
        <v>393</v>
      </c>
      <c r="D261" s="90">
        <v>585</v>
      </c>
    </row>
    <row r="262" spans="2:4" ht="13.8">
      <c r="B262" s="62">
        <v>31113</v>
      </c>
      <c r="C262" s="63" t="s">
        <v>181</v>
      </c>
      <c r="D262" s="87">
        <v>213</v>
      </c>
    </row>
    <row r="263" spans="2:4" ht="13.8">
      <c r="B263" s="64">
        <v>31114</v>
      </c>
      <c r="C263" s="65" t="s">
        <v>394</v>
      </c>
      <c r="D263" s="90">
        <v>84</v>
      </c>
    </row>
    <row r="264" spans="2:4" ht="13.8">
      <c r="B264" s="66">
        <v>40101</v>
      </c>
      <c r="C264" s="67" t="s">
        <v>187</v>
      </c>
      <c r="D264" s="91">
        <v>6</v>
      </c>
    </row>
    <row r="265" spans="2:4" ht="13.8">
      <c r="B265" s="62">
        <v>40102</v>
      </c>
      <c r="C265" s="63" t="s">
        <v>395</v>
      </c>
      <c r="D265" s="87">
        <v>95</v>
      </c>
    </row>
    <row r="266" spans="2:4" ht="13.8">
      <c r="B266" s="66">
        <v>40103</v>
      </c>
      <c r="C266" s="67" t="s">
        <v>188</v>
      </c>
      <c r="D266" s="91">
        <v>10</v>
      </c>
    </row>
    <row r="267" spans="2:4" ht="13.8">
      <c r="B267" s="62">
        <v>40104</v>
      </c>
      <c r="C267" s="63" t="s">
        <v>189</v>
      </c>
      <c r="D267" s="87">
        <v>301</v>
      </c>
    </row>
    <row r="268" spans="2:4" ht="13.8">
      <c r="B268" s="66">
        <v>40105</v>
      </c>
      <c r="C268" s="67" t="s">
        <v>191</v>
      </c>
      <c r="D268" s="91">
        <v>47</v>
      </c>
    </row>
    <row r="269" spans="2:4" ht="13.8">
      <c r="B269" s="62">
        <v>40106</v>
      </c>
      <c r="C269" s="63" t="s">
        <v>194</v>
      </c>
      <c r="D269" s="87">
        <v>224</v>
      </c>
    </row>
    <row r="270" spans="2:4" ht="13.8">
      <c r="B270" s="66">
        <v>40107</v>
      </c>
      <c r="C270" s="67" t="s">
        <v>196</v>
      </c>
      <c r="D270" s="91">
        <v>310</v>
      </c>
    </row>
    <row r="271" spans="2:4" ht="13.8">
      <c r="B271" s="62">
        <v>40108</v>
      </c>
      <c r="C271" s="63" t="s">
        <v>197</v>
      </c>
      <c r="D271" s="87">
        <v>3</v>
      </c>
    </row>
    <row r="272" spans="2:4" ht="13.8">
      <c r="B272" s="66">
        <v>40109</v>
      </c>
      <c r="C272" s="67" t="s">
        <v>77</v>
      </c>
      <c r="D272" s="91">
        <v>2</v>
      </c>
    </row>
    <row r="273" spans="2:4" ht="13.8">
      <c r="B273" s="62">
        <v>40110</v>
      </c>
      <c r="C273" s="63" t="s">
        <v>190</v>
      </c>
      <c r="D273" s="87">
        <v>17</v>
      </c>
    </row>
    <row r="274" spans="2:4" ht="13.8">
      <c r="B274" s="72">
        <v>50101</v>
      </c>
      <c r="C274" s="73" t="s">
        <v>396</v>
      </c>
      <c r="D274" s="92">
        <v>46</v>
      </c>
    </row>
    <row r="275" spans="2:4" ht="13.8">
      <c r="B275" s="62">
        <v>50102</v>
      </c>
      <c r="C275" s="63" t="s">
        <v>397</v>
      </c>
      <c r="D275" s="87">
        <v>156</v>
      </c>
    </row>
    <row r="276" spans="2:4" ht="13.8">
      <c r="B276" s="72">
        <v>50103</v>
      </c>
      <c r="C276" s="73" t="s">
        <v>398</v>
      </c>
      <c r="D276" s="92">
        <v>285</v>
      </c>
    </row>
    <row r="277" spans="2:4" ht="13.8">
      <c r="B277" s="62">
        <v>50104</v>
      </c>
      <c r="C277" s="63" t="s">
        <v>108</v>
      </c>
      <c r="D277" s="87">
        <v>127</v>
      </c>
    </row>
    <row r="278" spans="2:4" ht="13.8">
      <c r="B278" s="72">
        <v>50105</v>
      </c>
      <c r="C278" s="73" t="s">
        <v>182</v>
      </c>
      <c r="D278" s="92">
        <v>4622</v>
      </c>
    </row>
    <row r="279" spans="2:4" ht="13.8">
      <c r="B279" s="62">
        <v>50106</v>
      </c>
      <c r="C279" s="63" t="s">
        <v>170</v>
      </c>
      <c r="D279" s="87">
        <v>3</v>
      </c>
    </row>
    <row r="280" spans="2:4" ht="13.8">
      <c r="B280" s="72">
        <v>50107</v>
      </c>
      <c r="C280" s="73" t="s">
        <v>399</v>
      </c>
      <c r="D280" s="92">
        <v>81</v>
      </c>
    </row>
    <row r="281" spans="2:4" ht="13.8">
      <c r="B281" s="62">
        <v>50108</v>
      </c>
      <c r="C281" s="63" t="s">
        <v>400</v>
      </c>
      <c r="D281" s="87">
        <v>239</v>
      </c>
    </row>
    <row r="282" spans="2:4" ht="13.8">
      <c r="B282" s="72">
        <v>50201</v>
      </c>
      <c r="C282" s="73" t="s">
        <v>401</v>
      </c>
      <c r="D282" s="92">
        <v>31</v>
      </c>
    </row>
    <row r="283" spans="2:4" ht="13.8">
      <c r="B283" s="62">
        <v>50202</v>
      </c>
      <c r="C283" s="63" t="s">
        <v>402</v>
      </c>
      <c r="D283" s="87">
        <v>7</v>
      </c>
    </row>
    <row r="284" spans="2:4" ht="13.8">
      <c r="B284" s="72">
        <v>50203</v>
      </c>
      <c r="C284" s="73" t="s">
        <v>403</v>
      </c>
      <c r="D284" s="92">
        <v>471</v>
      </c>
    </row>
    <row r="285" spans="2:4" ht="13.8">
      <c r="B285" s="62">
        <v>50301</v>
      </c>
      <c r="C285" s="63" t="s">
        <v>404</v>
      </c>
      <c r="D285" s="87">
        <v>1045</v>
      </c>
    </row>
    <row r="286" spans="2:4" ht="13.8">
      <c r="B286" s="72">
        <v>50302</v>
      </c>
      <c r="C286" s="73" t="s">
        <v>405</v>
      </c>
      <c r="D286" s="92">
        <v>8</v>
      </c>
    </row>
    <row r="287" spans="2:4" ht="13.8">
      <c r="B287" s="62">
        <v>50303</v>
      </c>
      <c r="C287" s="63" t="s">
        <v>185</v>
      </c>
      <c r="D287" s="87">
        <v>175</v>
      </c>
    </row>
    <row r="288" spans="2:4" ht="13.8">
      <c r="B288" s="72">
        <v>50304</v>
      </c>
      <c r="C288" s="73" t="s">
        <v>186</v>
      </c>
      <c r="D288" s="92">
        <v>303</v>
      </c>
    </row>
    <row r="289" spans="2:4" ht="13.8">
      <c r="B289" s="62">
        <v>50305</v>
      </c>
      <c r="C289" s="63" t="s">
        <v>406</v>
      </c>
      <c r="D289" s="87">
        <v>60</v>
      </c>
    </row>
    <row r="290" spans="2:4" ht="13.8">
      <c r="B290" s="72">
        <v>50306</v>
      </c>
      <c r="C290" s="73" t="s">
        <v>407</v>
      </c>
      <c r="D290" s="92">
        <v>64</v>
      </c>
    </row>
    <row r="291" spans="2:4" ht="13.8">
      <c r="B291" s="74">
        <v>60101</v>
      </c>
      <c r="C291" s="75" t="s">
        <v>408</v>
      </c>
      <c r="D291" s="93">
        <v>4</v>
      </c>
    </row>
    <row r="292" spans="2:4" ht="13.8">
      <c r="B292" s="62">
        <v>60102</v>
      </c>
      <c r="C292" s="63" t="s">
        <v>193</v>
      </c>
      <c r="D292" s="87">
        <v>0</v>
      </c>
    </row>
    <row r="293" spans="2:4" ht="13.8">
      <c r="B293" s="74">
        <v>60103</v>
      </c>
      <c r="C293" s="75" t="s">
        <v>409</v>
      </c>
      <c r="D293" s="93">
        <v>7</v>
      </c>
    </row>
    <row r="294" spans="2:4" ht="13.8">
      <c r="B294" s="76">
        <v>70101</v>
      </c>
      <c r="C294" s="77" t="s">
        <v>410</v>
      </c>
      <c r="D294" s="94">
        <v>1358</v>
      </c>
    </row>
    <row r="295" spans="2:4" ht="13.8">
      <c r="B295" s="62">
        <v>70102</v>
      </c>
      <c r="C295" s="63" t="s">
        <v>198</v>
      </c>
      <c r="D295" s="95">
        <v>4686</v>
      </c>
    </row>
    <row r="296" spans="2:4" ht="13.8">
      <c r="B296" s="76">
        <v>70103</v>
      </c>
      <c r="C296" s="77" t="s">
        <v>199</v>
      </c>
      <c r="D296" s="96">
        <v>47223</v>
      </c>
    </row>
    <row r="297" spans="2:4" ht="13.8">
      <c r="B297" s="62">
        <v>70104</v>
      </c>
      <c r="C297" s="63" t="s">
        <v>411</v>
      </c>
      <c r="D297" s="95">
        <v>73482</v>
      </c>
    </row>
    <row r="298" spans="2:4" ht="13.8">
      <c r="B298" s="76">
        <v>70105</v>
      </c>
      <c r="C298" s="77" t="s">
        <v>200</v>
      </c>
      <c r="D298" s="96">
        <v>334</v>
      </c>
    </row>
    <row r="299" spans="2:4" ht="13.8">
      <c r="B299" s="62">
        <v>70106</v>
      </c>
      <c r="C299" s="63" t="s">
        <v>412</v>
      </c>
      <c r="D299" s="95">
        <v>182</v>
      </c>
    </row>
    <row r="300" spans="2:4" ht="13.8">
      <c r="B300" s="76">
        <v>70107</v>
      </c>
      <c r="C300" s="77" t="s">
        <v>413</v>
      </c>
      <c r="D300" s="96">
        <v>907</v>
      </c>
    </row>
    <row r="301" spans="2:4" ht="14.4" thickBot="1">
      <c r="B301" s="78">
        <v>70108</v>
      </c>
      <c r="C301" s="79" t="s">
        <v>414</v>
      </c>
      <c r="D301" s="95">
        <v>7408</v>
      </c>
    </row>
    <row r="302" spans="2:4" ht="20.100000000000001" customHeight="1" thickBot="1">
      <c r="B302" s="80" t="s">
        <v>1</v>
      </c>
      <c r="C302" s="81"/>
      <c r="D302" s="82">
        <f>SUM(D20:D301)</f>
        <v>195722</v>
      </c>
    </row>
  </sheetData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topLeftCell="A10" zoomScaleNormal="100" zoomScaleSheetLayoutView="10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44140625" style="17" customWidth="1"/>
    <col min="4" max="4" width="45.44140625" style="25" customWidth="1"/>
    <col min="5" max="5" width="5.33203125" style="17" customWidth="1"/>
    <col min="6" max="7" width="14.886718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242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3.8">
      <c r="B17" s="107" t="s">
        <v>243</v>
      </c>
      <c r="C17" s="108"/>
      <c r="D17" s="50" t="s">
        <v>4</v>
      </c>
    </row>
    <row r="18" spans="2:7" ht="13.8">
      <c r="B18" s="98" t="s">
        <v>244</v>
      </c>
      <c r="C18" s="99"/>
      <c r="D18" s="50" t="s">
        <v>422</v>
      </c>
    </row>
    <row r="19" spans="2:7" ht="13.8">
      <c r="B19" s="51" t="s">
        <v>73</v>
      </c>
      <c r="C19" s="52" t="s">
        <v>72</v>
      </c>
      <c r="D19" s="53" t="s">
        <v>71</v>
      </c>
      <c r="G19" s="29"/>
    </row>
    <row r="20" spans="2:7" ht="13.8">
      <c r="B20" s="68">
        <v>10101</v>
      </c>
      <c r="C20" s="69" t="s">
        <v>262</v>
      </c>
      <c r="D20" s="88">
        <v>2</v>
      </c>
    </row>
    <row r="21" spans="2:7" ht="13.8">
      <c r="B21" s="58">
        <v>10102</v>
      </c>
      <c r="C21" s="59" t="s">
        <v>263</v>
      </c>
      <c r="D21" s="87">
        <v>0</v>
      </c>
    </row>
    <row r="22" spans="2:7" ht="13.8">
      <c r="B22" s="68">
        <v>10103</v>
      </c>
      <c r="C22" s="69" t="s">
        <v>264</v>
      </c>
      <c r="D22" s="88">
        <v>85</v>
      </c>
    </row>
    <row r="23" spans="2:7" ht="13.8">
      <c r="B23" s="58">
        <v>10104</v>
      </c>
      <c r="C23" s="59" t="s">
        <v>265</v>
      </c>
      <c r="D23" s="87">
        <v>38</v>
      </c>
    </row>
    <row r="24" spans="2:7" ht="13.8">
      <c r="B24" s="68">
        <v>10105</v>
      </c>
      <c r="C24" s="69" t="s">
        <v>266</v>
      </c>
      <c r="D24" s="88">
        <v>0</v>
      </c>
    </row>
    <row r="25" spans="2:7" ht="13.8">
      <c r="B25" s="58">
        <v>10106</v>
      </c>
      <c r="C25" s="59" t="s">
        <v>267</v>
      </c>
      <c r="D25" s="87">
        <v>0</v>
      </c>
    </row>
    <row r="26" spans="2:7" ht="13.8">
      <c r="B26" s="68">
        <v>10107</v>
      </c>
      <c r="C26" s="69" t="s">
        <v>268</v>
      </c>
      <c r="D26" s="88">
        <v>5</v>
      </c>
    </row>
    <row r="27" spans="2:7" ht="13.8">
      <c r="B27" s="58">
        <v>10108</v>
      </c>
      <c r="C27" s="59" t="s">
        <v>269</v>
      </c>
      <c r="D27" s="87">
        <v>0</v>
      </c>
    </row>
    <row r="28" spans="2:7" ht="13.8">
      <c r="B28" s="68">
        <v>10109</v>
      </c>
      <c r="C28" s="69" t="s">
        <v>270</v>
      </c>
      <c r="D28" s="88">
        <v>2</v>
      </c>
    </row>
    <row r="29" spans="2:7" ht="13.8">
      <c r="B29" s="58">
        <v>10110</v>
      </c>
      <c r="C29" s="59" t="s">
        <v>271</v>
      </c>
      <c r="D29" s="87">
        <v>0</v>
      </c>
    </row>
    <row r="30" spans="2:7" ht="13.8">
      <c r="B30" s="68">
        <v>10111</v>
      </c>
      <c r="C30" s="69" t="s">
        <v>272</v>
      </c>
      <c r="D30" s="88">
        <v>0</v>
      </c>
    </row>
    <row r="31" spans="2:7" ht="13.8">
      <c r="B31" s="58">
        <v>10112</v>
      </c>
      <c r="C31" s="59" t="s">
        <v>273</v>
      </c>
      <c r="D31" s="87">
        <v>0</v>
      </c>
    </row>
    <row r="32" spans="2:7" ht="13.8">
      <c r="B32" s="68">
        <v>10113</v>
      </c>
      <c r="C32" s="69" t="s">
        <v>274</v>
      </c>
      <c r="D32" s="88">
        <v>0</v>
      </c>
    </row>
    <row r="33" spans="2:4" ht="13.8">
      <c r="B33" s="58">
        <v>10114</v>
      </c>
      <c r="C33" s="59" t="s">
        <v>275</v>
      </c>
      <c r="D33" s="87">
        <v>0</v>
      </c>
    </row>
    <row r="34" spans="2:4" ht="13.8">
      <c r="B34" s="68">
        <v>10115</v>
      </c>
      <c r="C34" s="69" t="s">
        <v>276</v>
      </c>
      <c r="D34" s="88">
        <v>0</v>
      </c>
    </row>
    <row r="35" spans="2:4" ht="13.8">
      <c r="B35" s="58">
        <v>10116</v>
      </c>
      <c r="C35" s="59" t="s">
        <v>277</v>
      </c>
      <c r="D35" s="87">
        <v>13</v>
      </c>
    </row>
    <row r="36" spans="2:4" ht="13.8">
      <c r="B36" s="68">
        <v>10117</v>
      </c>
      <c r="C36" s="69" t="s">
        <v>278</v>
      </c>
      <c r="D36" s="88">
        <v>0</v>
      </c>
    </row>
    <row r="37" spans="2:4" ht="13.8">
      <c r="B37" s="58">
        <v>10118</v>
      </c>
      <c r="C37" s="59" t="s">
        <v>279</v>
      </c>
      <c r="D37" s="87">
        <v>0</v>
      </c>
    </row>
    <row r="38" spans="2:4" ht="13.8">
      <c r="B38" s="68">
        <v>10119</v>
      </c>
      <c r="C38" s="69" t="s">
        <v>280</v>
      </c>
      <c r="D38" s="88">
        <v>0</v>
      </c>
    </row>
    <row r="39" spans="2:4" ht="13.8">
      <c r="B39" s="58">
        <v>10120</v>
      </c>
      <c r="C39" s="59" t="s">
        <v>281</v>
      </c>
      <c r="D39" s="87">
        <v>0</v>
      </c>
    </row>
    <row r="40" spans="2:4" ht="13.8">
      <c r="B40" s="68">
        <v>10121</v>
      </c>
      <c r="C40" s="69" t="s">
        <v>282</v>
      </c>
      <c r="D40" s="88">
        <v>11</v>
      </c>
    </row>
    <row r="41" spans="2:4" ht="13.8">
      <c r="B41" s="58">
        <v>10201</v>
      </c>
      <c r="C41" s="59" t="s">
        <v>283</v>
      </c>
      <c r="D41" s="87">
        <v>3</v>
      </c>
    </row>
    <row r="42" spans="2:4" ht="13.8">
      <c r="B42" s="68">
        <v>10202</v>
      </c>
      <c r="C42" s="69" t="s">
        <v>284</v>
      </c>
      <c r="D42" s="88">
        <v>0</v>
      </c>
    </row>
    <row r="43" spans="2:4" ht="13.8">
      <c r="B43" s="58">
        <v>10203</v>
      </c>
      <c r="C43" s="59" t="s">
        <v>285</v>
      </c>
      <c r="D43" s="87">
        <v>1</v>
      </c>
    </row>
    <row r="44" spans="2:4" ht="13.8">
      <c r="B44" s="68">
        <v>10204</v>
      </c>
      <c r="C44" s="69" t="s">
        <v>286</v>
      </c>
      <c r="D44" s="88">
        <v>87</v>
      </c>
    </row>
    <row r="45" spans="2:4" ht="13.8">
      <c r="B45" s="58">
        <v>10205</v>
      </c>
      <c r="C45" s="59" t="s">
        <v>287</v>
      </c>
      <c r="D45" s="87">
        <v>0</v>
      </c>
    </row>
    <row r="46" spans="2:4" ht="13.8">
      <c r="B46" s="68">
        <v>10206</v>
      </c>
      <c r="C46" s="69" t="s">
        <v>288</v>
      </c>
      <c r="D46" s="88">
        <v>3</v>
      </c>
    </row>
    <row r="47" spans="2:4" ht="13.8">
      <c r="B47" s="58">
        <v>10207</v>
      </c>
      <c r="C47" s="59" t="s">
        <v>289</v>
      </c>
      <c r="D47" s="87">
        <v>7</v>
      </c>
    </row>
    <row r="48" spans="2:4" ht="13.8">
      <c r="B48" s="68">
        <v>10208</v>
      </c>
      <c r="C48" s="69" t="s">
        <v>290</v>
      </c>
      <c r="D48" s="88">
        <v>4</v>
      </c>
    </row>
    <row r="49" spans="2:4" ht="13.8">
      <c r="B49" s="58">
        <v>10209</v>
      </c>
      <c r="C49" s="59" t="s">
        <v>291</v>
      </c>
      <c r="D49" s="87">
        <v>1</v>
      </c>
    </row>
    <row r="50" spans="2:4" ht="13.8">
      <c r="B50" s="68">
        <v>10210</v>
      </c>
      <c r="C50" s="69" t="s">
        <v>292</v>
      </c>
      <c r="D50" s="88">
        <v>36</v>
      </c>
    </row>
    <row r="51" spans="2:4" ht="13.8">
      <c r="B51" s="58">
        <v>10211</v>
      </c>
      <c r="C51" s="59" t="s">
        <v>76</v>
      </c>
      <c r="D51" s="87">
        <v>0</v>
      </c>
    </row>
    <row r="52" spans="2:4" ht="13.8">
      <c r="B52" s="68">
        <v>10212</v>
      </c>
      <c r="C52" s="69" t="s">
        <v>293</v>
      </c>
      <c r="D52" s="88">
        <v>0</v>
      </c>
    </row>
    <row r="53" spans="2:4" ht="13.8">
      <c r="B53" s="58">
        <v>10213</v>
      </c>
      <c r="C53" s="59" t="s">
        <v>294</v>
      </c>
      <c r="D53" s="87">
        <v>0</v>
      </c>
    </row>
    <row r="54" spans="2:4" ht="13.8">
      <c r="B54" s="68">
        <v>10214</v>
      </c>
      <c r="C54" s="69" t="s">
        <v>295</v>
      </c>
      <c r="D54" s="88">
        <v>0</v>
      </c>
    </row>
    <row r="55" spans="2:4" ht="13.8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3.8">
      <c r="B57" s="58">
        <v>10217</v>
      </c>
      <c r="C57" s="59" t="s">
        <v>298</v>
      </c>
      <c r="D57" s="87">
        <v>0</v>
      </c>
    </row>
    <row r="58" spans="2:4" ht="13.8">
      <c r="B58" s="68">
        <v>10218</v>
      </c>
      <c r="C58" s="69" t="s">
        <v>299</v>
      </c>
      <c r="D58" s="88">
        <v>0</v>
      </c>
    </row>
    <row r="59" spans="2:4" ht="13.8">
      <c r="B59" s="58">
        <v>10219</v>
      </c>
      <c r="C59" s="59" t="s">
        <v>300</v>
      </c>
      <c r="D59" s="87">
        <v>0</v>
      </c>
    </row>
    <row r="60" spans="2:4" ht="13.8">
      <c r="B60" s="68">
        <v>10220</v>
      </c>
      <c r="C60" s="69" t="s">
        <v>301</v>
      </c>
      <c r="D60" s="88">
        <v>6</v>
      </c>
    </row>
    <row r="61" spans="2:4" ht="13.8">
      <c r="B61" s="58">
        <v>10301</v>
      </c>
      <c r="C61" s="59" t="s">
        <v>302</v>
      </c>
      <c r="D61" s="87">
        <v>0</v>
      </c>
    </row>
    <row r="62" spans="2:4" ht="13.8">
      <c r="B62" s="68">
        <v>10302</v>
      </c>
      <c r="C62" s="69" t="s">
        <v>303</v>
      </c>
      <c r="D62" s="88">
        <v>0</v>
      </c>
    </row>
    <row r="63" spans="2:4" ht="13.8">
      <c r="B63" s="58">
        <v>10303</v>
      </c>
      <c r="C63" s="59" t="s">
        <v>304</v>
      </c>
      <c r="D63" s="87">
        <v>4</v>
      </c>
    </row>
    <row r="64" spans="2:4" ht="13.8">
      <c r="B64" s="68">
        <v>10304</v>
      </c>
      <c r="C64" s="69" t="s">
        <v>305</v>
      </c>
      <c r="D64" s="88">
        <v>0</v>
      </c>
    </row>
    <row r="65" spans="2:4" ht="13.8">
      <c r="B65" s="58">
        <v>10305</v>
      </c>
      <c r="C65" s="59" t="s">
        <v>306</v>
      </c>
      <c r="D65" s="87">
        <v>82</v>
      </c>
    </row>
    <row r="66" spans="2:4" ht="13.8">
      <c r="B66" s="68">
        <v>10306</v>
      </c>
      <c r="C66" s="69" t="s">
        <v>307</v>
      </c>
      <c r="D66" s="88">
        <v>3</v>
      </c>
    </row>
    <row r="67" spans="2:4" ht="13.8">
      <c r="B67" s="58">
        <v>10307</v>
      </c>
      <c r="C67" s="59" t="s">
        <v>74</v>
      </c>
      <c r="D67" s="87">
        <v>33</v>
      </c>
    </row>
    <row r="68" spans="2:4" ht="13.8">
      <c r="B68" s="68">
        <v>10308</v>
      </c>
      <c r="C68" s="69" t="s">
        <v>308</v>
      </c>
      <c r="D68" s="88">
        <v>102</v>
      </c>
    </row>
    <row r="69" spans="2:4" ht="13.8">
      <c r="B69" s="58">
        <v>10309</v>
      </c>
      <c r="C69" s="59" t="s">
        <v>309</v>
      </c>
      <c r="D69" s="87">
        <v>12</v>
      </c>
    </row>
    <row r="70" spans="2:4" ht="13.8">
      <c r="B70" s="68">
        <v>10310</v>
      </c>
      <c r="C70" s="69" t="s">
        <v>310</v>
      </c>
      <c r="D70" s="88">
        <v>96</v>
      </c>
    </row>
    <row r="71" spans="2:4" ht="13.8">
      <c r="B71" s="58">
        <v>10311</v>
      </c>
      <c r="C71" s="59" t="s">
        <v>311</v>
      </c>
      <c r="D71" s="87">
        <v>18</v>
      </c>
    </row>
    <row r="72" spans="2:4" ht="13.8">
      <c r="B72" s="68">
        <v>10312</v>
      </c>
      <c r="C72" s="69" t="s">
        <v>312</v>
      </c>
      <c r="D72" s="88">
        <v>9</v>
      </c>
    </row>
    <row r="73" spans="2:4" ht="13.8">
      <c r="B73" s="58">
        <v>10313</v>
      </c>
      <c r="C73" s="59" t="s">
        <v>313</v>
      </c>
      <c r="D73" s="87">
        <v>1</v>
      </c>
    </row>
    <row r="74" spans="2:4" ht="13.8">
      <c r="B74" s="68">
        <v>10314</v>
      </c>
      <c r="C74" s="69" t="s">
        <v>314</v>
      </c>
      <c r="D74" s="88">
        <v>9</v>
      </c>
    </row>
    <row r="75" spans="2:4" ht="13.8">
      <c r="B75" s="58">
        <v>10315</v>
      </c>
      <c r="C75" s="59" t="s">
        <v>315</v>
      </c>
      <c r="D75" s="87">
        <v>6</v>
      </c>
    </row>
    <row r="76" spans="2:4" ht="13.8">
      <c r="B76" s="68">
        <v>10316</v>
      </c>
      <c r="C76" s="69" t="s">
        <v>316</v>
      </c>
      <c r="D76" s="88">
        <v>11</v>
      </c>
    </row>
    <row r="77" spans="2:4" ht="13.8">
      <c r="B77" s="58">
        <v>10317</v>
      </c>
      <c r="C77" s="59" t="s">
        <v>317</v>
      </c>
      <c r="D77" s="87">
        <v>15</v>
      </c>
    </row>
    <row r="78" spans="2:4" ht="13.8">
      <c r="B78" s="68">
        <v>10318</v>
      </c>
      <c r="C78" s="69" t="s">
        <v>318</v>
      </c>
      <c r="D78" s="88">
        <v>10</v>
      </c>
    </row>
    <row r="79" spans="2:4" ht="13.8">
      <c r="B79" s="58">
        <v>10319</v>
      </c>
      <c r="C79" s="59" t="s">
        <v>80</v>
      </c>
      <c r="D79" s="87">
        <v>0</v>
      </c>
    </row>
    <row r="80" spans="2:4" ht="13.8">
      <c r="B80" s="70">
        <v>20101</v>
      </c>
      <c r="C80" s="71" t="s">
        <v>319</v>
      </c>
      <c r="D80" s="89">
        <v>0</v>
      </c>
    </row>
    <row r="81" spans="2:4" ht="13.8">
      <c r="B81" s="60">
        <v>20102</v>
      </c>
      <c r="C81" s="61" t="s">
        <v>261</v>
      </c>
      <c r="D81" s="87">
        <v>0</v>
      </c>
    </row>
    <row r="82" spans="2:4" ht="13.8">
      <c r="B82" s="70">
        <v>20103</v>
      </c>
      <c r="C82" s="71" t="s">
        <v>78</v>
      </c>
      <c r="D82" s="89">
        <v>59</v>
      </c>
    </row>
    <row r="83" spans="2:4" ht="13.8">
      <c r="B83" s="60">
        <v>20104</v>
      </c>
      <c r="C83" s="61" t="s">
        <v>79</v>
      </c>
      <c r="D83" s="87">
        <v>81</v>
      </c>
    </row>
    <row r="84" spans="2:4" ht="13.8">
      <c r="B84" s="70">
        <v>20105</v>
      </c>
      <c r="C84" s="71" t="s">
        <v>320</v>
      </c>
      <c r="D84" s="89">
        <v>0</v>
      </c>
    </row>
    <row r="85" spans="2:4" ht="13.8">
      <c r="B85" s="60">
        <v>20106</v>
      </c>
      <c r="C85" s="61" t="s">
        <v>321</v>
      </c>
      <c r="D85" s="87">
        <v>0</v>
      </c>
    </row>
    <row r="86" spans="2:4" ht="13.8">
      <c r="B86" s="70">
        <v>20107</v>
      </c>
      <c r="C86" s="71" t="s">
        <v>81</v>
      </c>
      <c r="D86" s="89">
        <v>2</v>
      </c>
    </row>
    <row r="87" spans="2:4" ht="13.8">
      <c r="B87" s="60">
        <v>20108</v>
      </c>
      <c r="C87" s="61" t="s">
        <v>322</v>
      </c>
      <c r="D87" s="87">
        <v>11</v>
      </c>
    </row>
    <row r="88" spans="2:4" ht="13.8">
      <c r="B88" s="70">
        <v>20109</v>
      </c>
      <c r="C88" s="71" t="s">
        <v>323</v>
      </c>
      <c r="D88" s="89">
        <v>0</v>
      </c>
    </row>
    <row r="89" spans="2:4" ht="13.8">
      <c r="B89" s="60">
        <v>20110</v>
      </c>
      <c r="C89" s="61" t="s">
        <v>324</v>
      </c>
      <c r="D89" s="87">
        <v>0</v>
      </c>
    </row>
    <row r="90" spans="2:4" ht="13.8">
      <c r="B90" s="70">
        <v>20111</v>
      </c>
      <c r="C90" s="71" t="s">
        <v>325</v>
      </c>
      <c r="D90" s="89">
        <v>8</v>
      </c>
    </row>
    <row r="91" spans="2:4" ht="13.8">
      <c r="B91" s="60">
        <v>20112</v>
      </c>
      <c r="C91" s="61" t="s">
        <v>326</v>
      </c>
      <c r="D91" s="87">
        <v>0</v>
      </c>
    </row>
    <row r="92" spans="2:4" ht="13.8">
      <c r="B92" s="70">
        <v>20113</v>
      </c>
      <c r="C92" s="71" t="s">
        <v>195</v>
      </c>
      <c r="D92" s="89">
        <v>0</v>
      </c>
    </row>
    <row r="93" spans="2:4" ht="13.8">
      <c r="B93" s="60">
        <v>20114</v>
      </c>
      <c r="C93" s="61" t="s">
        <v>82</v>
      </c>
      <c r="D93" s="87">
        <v>0</v>
      </c>
    </row>
    <row r="94" spans="2:4" ht="13.8">
      <c r="B94" s="70">
        <v>20201</v>
      </c>
      <c r="C94" s="71" t="s">
        <v>83</v>
      </c>
      <c r="D94" s="89">
        <v>40</v>
      </c>
    </row>
    <row r="95" spans="2:4" ht="13.8">
      <c r="B95" s="60">
        <v>20202</v>
      </c>
      <c r="C95" s="61" t="s">
        <v>84</v>
      </c>
      <c r="D95" s="87">
        <v>0</v>
      </c>
    </row>
    <row r="96" spans="2:4" ht="13.8">
      <c r="B96" s="70">
        <v>20203</v>
      </c>
      <c r="C96" s="71" t="s">
        <v>85</v>
      </c>
      <c r="D96" s="89">
        <v>83</v>
      </c>
    </row>
    <row r="97" spans="2:4" ht="13.8">
      <c r="B97" s="60">
        <v>20204</v>
      </c>
      <c r="C97" s="61" t="s">
        <v>86</v>
      </c>
      <c r="D97" s="87">
        <v>0</v>
      </c>
    </row>
    <row r="98" spans="2:4" ht="13.8">
      <c r="B98" s="70">
        <v>20205</v>
      </c>
      <c r="C98" s="71" t="s">
        <v>87</v>
      </c>
      <c r="D98" s="89">
        <v>0</v>
      </c>
    </row>
    <row r="99" spans="2:4" ht="13.8">
      <c r="B99" s="60">
        <v>20206</v>
      </c>
      <c r="C99" s="61" t="s">
        <v>88</v>
      </c>
      <c r="D99" s="87">
        <v>0</v>
      </c>
    </row>
    <row r="100" spans="2:4" ht="13.8">
      <c r="B100" s="70">
        <v>20207</v>
      </c>
      <c r="C100" s="71" t="s">
        <v>89</v>
      </c>
      <c r="D100" s="89">
        <v>0</v>
      </c>
    </row>
    <row r="101" spans="2:4" ht="13.8">
      <c r="B101" s="60">
        <v>20208</v>
      </c>
      <c r="C101" s="61" t="s">
        <v>90</v>
      </c>
      <c r="D101" s="87">
        <v>1</v>
      </c>
    </row>
    <row r="102" spans="2:4" ht="13.8">
      <c r="B102" s="70">
        <v>20209</v>
      </c>
      <c r="C102" s="71" t="s">
        <v>91</v>
      </c>
      <c r="D102" s="89">
        <v>0</v>
      </c>
    </row>
    <row r="103" spans="2:4" ht="13.8">
      <c r="B103" s="60">
        <v>20210</v>
      </c>
      <c r="C103" s="61" t="s">
        <v>192</v>
      </c>
      <c r="D103" s="87">
        <v>8</v>
      </c>
    </row>
    <row r="104" spans="2:4" ht="13.8">
      <c r="B104" s="70">
        <v>20211</v>
      </c>
      <c r="C104" s="71" t="s">
        <v>327</v>
      </c>
      <c r="D104" s="89">
        <v>0</v>
      </c>
    </row>
    <row r="105" spans="2:4" ht="13.8">
      <c r="B105" s="60">
        <v>20212</v>
      </c>
      <c r="C105" s="61" t="s">
        <v>93</v>
      </c>
      <c r="D105" s="87">
        <v>0</v>
      </c>
    </row>
    <row r="106" spans="2:4" ht="13.8">
      <c r="B106" s="70">
        <v>20213</v>
      </c>
      <c r="C106" s="71" t="s">
        <v>94</v>
      </c>
      <c r="D106" s="89">
        <v>0</v>
      </c>
    </row>
    <row r="107" spans="2:4" ht="13.8">
      <c r="B107" s="60">
        <v>20214</v>
      </c>
      <c r="C107" s="61" t="s">
        <v>328</v>
      </c>
      <c r="D107" s="87">
        <v>0</v>
      </c>
    </row>
    <row r="108" spans="2:4" ht="13.8">
      <c r="B108" s="70">
        <v>20301</v>
      </c>
      <c r="C108" s="71" t="s">
        <v>329</v>
      </c>
      <c r="D108" s="89">
        <v>21</v>
      </c>
    </row>
    <row r="109" spans="2:4" ht="13.8">
      <c r="B109" s="60">
        <v>20302</v>
      </c>
      <c r="C109" s="61" t="s">
        <v>330</v>
      </c>
      <c r="D109" s="87">
        <v>3</v>
      </c>
    </row>
    <row r="110" spans="2:4" ht="13.8">
      <c r="B110" s="70">
        <v>20303</v>
      </c>
      <c r="C110" s="71" t="s">
        <v>331</v>
      </c>
      <c r="D110" s="89">
        <v>11</v>
      </c>
    </row>
    <row r="111" spans="2:4" ht="13.8">
      <c r="B111" s="60">
        <v>20304</v>
      </c>
      <c r="C111" s="61" t="s">
        <v>332</v>
      </c>
      <c r="D111" s="87">
        <v>5</v>
      </c>
    </row>
    <row r="112" spans="2:4" ht="13.8">
      <c r="B112" s="70">
        <v>20305</v>
      </c>
      <c r="C112" s="71" t="s">
        <v>333</v>
      </c>
      <c r="D112" s="89">
        <v>0</v>
      </c>
    </row>
    <row r="113" spans="2:4" ht="13.8">
      <c r="B113" s="60">
        <v>20306</v>
      </c>
      <c r="C113" s="61" t="s">
        <v>334</v>
      </c>
      <c r="D113" s="87">
        <v>2</v>
      </c>
    </row>
    <row r="114" spans="2:4" ht="13.8">
      <c r="B114" s="70">
        <v>20307</v>
      </c>
      <c r="C114" s="71" t="s">
        <v>335</v>
      </c>
      <c r="D114" s="89">
        <v>75</v>
      </c>
    </row>
    <row r="115" spans="2:4" ht="13.8">
      <c r="B115" s="60">
        <v>20308</v>
      </c>
      <c r="C115" s="61" t="s">
        <v>336</v>
      </c>
      <c r="D115" s="87">
        <v>87</v>
      </c>
    </row>
    <row r="116" spans="2:4" ht="13.8">
      <c r="B116" s="70">
        <v>20309</v>
      </c>
      <c r="C116" s="71" t="s">
        <v>337</v>
      </c>
      <c r="D116" s="89">
        <v>1</v>
      </c>
    </row>
    <row r="117" spans="2:4" ht="13.8">
      <c r="B117" s="60">
        <v>20310</v>
      </c>
      <c r="C117" s="61" t="s">
        <v>338</v>
      </c>
      <c r="D117" s="87">
        <v>0</v>
      </c>
    </row>
    <row r="118" spans="2:4" ht="13.8">
      <c r="B118" s="70">
        <v>20311</v>
      </c>
      <c r="C118" s="71" t="s">
        <v>339</v>
      </c>
      <c r="D118" s="89">
        <v>136</v>
      </c>
    </row>
    <row r="119" spans="2:4" ht="13.8">
      <c r="B119" s="60">
        <v>20401</v>
      </c>
      <c r="C119" s="61" t="s">
        <v>340</v>
      </c>
      <c r="D119" s="87">
        <v>0</v>
      </c>
    </row>
    <row r="120" spans="2:4" ht="13.8">
      <c r="B120" s="70">
        <v>20402</v>
      </c>
      <c r="C120" s="71" t="s">
        <v>341</v>
      </c>
      <c r="D120" s="89">
        <v>0</v>
      </c>
    </row>
    <row r="121" spans="2:4" ht="13.8">
      <c r="B121" s="60">
        <v>20403</v>
      </c>
      <c r="C121" s="61" t="s">
        <v>342</v>
      </c>
      <c r="D121" s="87">
        <v>105</v>
      </c>
    </row>
    <row r="122" spans="2:4" ht="13.8">
      <c r="B122" s="70">
        <v>20404</v>
      </c>
      <c r="C122" s="71" t="s">
        <v>343</v>
      </c>
      <c r="D122" s="89">
        <v>5</v>
      </c>
    </row>
    <row r="123" spans="2:4" ht="13.8">
      <c r="B123" s="64">
        <v>30101</v>
      </c>
      <c r="C123" s="65" t="s">
        <v>344</v>
      </c>
      <c r="D123" s="90">
        <v>21</v>
      </c>
    </row>
    <row r="124" spans="2:4" ht="13.8">
      <c r="B124" s="62">
        <v>30102</v>
      </c>
      <c r="C124" s="63" t="s">
        <v>95</v>
      </c>
      <c r="D124" s="87">
        <v>3</v>
      </c>
    </row>
    <row r="125" spans="2:4" ht="13.8">
      <c r="B125" s="64">
        <v>30103</v>
      </c>
      <c r="C125" s="65" t="s">
        <v>75</v>
      </c>
      <c r="D125" s="90">
        <v>59</v>
      </c>
    </row>
    <row r="126" spans="2:4" ht="13.8">
      <c r="B126" s="62">
        <v>30201</v>
      </c>
      <c r="C126" s="63" t="s">
        <v>96</v>
      </c>
      <c r="D126" s="87">
        <v>0</v>
      </c>
    </row>
    <row r="127" spans="2:4" ht="13.8">
      <c r="B127" s="64">
        <v>30202</v>
      </c>
      <c r="C127" s="65" t="s">
        <v>415</v>
      </c>
      <c r="D127" s="90">
        <v>12</v>
      </c>
    </row>
    <row r="128" spans="2:4" ht="13.8">
      <c r="B128" s="62">
        <v>30203</v>
      </c>
      <c r="C128" s="63" t="s">
        <v>345</v>
      </c>
      <c r="D128" s="87">
        <v>0</v>
      </c>
    </row>
    <row r="129" spans="2:4" ht="13.8">
      <c r="B129" s="64">
        <v>30204</v>
      </c>
      <c r="C129" s="65" t="s">
        <v>98</v>
      </c>
      <c r="D129" s="90">
        <v>11</v>
      </c>
    </row>
    <row r="130" spans="2:4" ht="13.8">
      <c r="B130" s="62">
        <v>30205</v>
      </c>
      <c r="C130" s="63" t="s">
        <v>346</v>
      </c>
      <c r="D130" s="87">
        <v>0</v>
      </c>
    </row>
    <row r="131" spans="2:4" ht="13.8">
      <c r="B131" s="64">
        <v>30206</v>
      </c>
      <c r="C131" s="65" t="s">
        <v>347</v>
      </c>
      <c r="D131" s="90">
        <v>1</v>
      </c>
    </row>
    <row r="132" spans="2:4" ht="13.8">
      <c r="B132" s="62">
        <v>30207</v>
      </c>
      <c r="C132" s="63" t="s">
        <v>348</v>
      </c>
      <c r="D132" s="87">
        <v>0</v>
      </c>
    </row>
    <row r="133" spans="2:4" ht="13.8">
      <c r="B133" s="64">
        <v>30301</v>
      </c>
      <c r="C133" s="65" t="s">
        <v>99</v>
      </c>
      <c r="D133" s="90">
        <v>1</v>
      </c>
    </row>
    <row r="134" spans="2:4" ht="13.8">
      <c r="B134" s="62">
        <v>30302</v>
      </c>
      <c r="C134" s="63" t="s">
        <v>100</v>
      </c>
      <c r="D134" s="87">
        <v>7</v>
      </c>
    </row>
    <row r="135" spans="2:4" ht="13.8">
      <c r="B135" s="64">
        <v>30303</v>
      </c>
      <c r="C135" s="65" t="s">
        <v>349</v>
      </c>
      <c r="D135" s="90">
        <v>11</v>
      </c>
    </row>
    <row r="136" spans="2:4" ht="13.8">
      <c r="B136" s="62">
        <v>30304</v>
      </c>
      <c r="C136" s="63" t="s">
        <v>101</v>
      </c>
      <c r="D136" s="87">
        <v>0</v>
      </c>
    </row>
    <row r="137" spans="2:4" ht="13.8">
      <c r="B137" s="64">
        <v>30305</v>
      </c>
      <c r="C137" s="65" t="s">
        <v>102</v>
      </c>
      <c r="D137" s="90">
        <v>10</v>
      </c>
    </row>
    <row r="138" spans="2:4" ht="13.8">
      <c r="B138" s="62">
        <v>30306</v>
      </c>
      <c r="C138" s="63" t="s">
        <v>103</v>
      </c>
      <c r="D138" s="87">
        <v>4</v>
      </c>
    </row>
    <row r="139" spans="2:4" ht="13.8">
      <c r="B139" s="64">
        <v>30307</v>
      </c>
      <c r="C139" s="65" t="s">
        <v>104</v>
      </c>
      <c r="D139" s="90">
        <v>45</v>
      </c>
    </row>
    <row r="140" spans="2:4" ht="13.8">
      <c r="B140" s="62">
        <v>30308</v>
      </c>
      <c r="C140" s="63" t="s">
        <v>350</v>
      </c>
      <c r="D140" s="87">
        <v>9</v>
      </c>
    </row>
    <row r="141" spans="2:4" ht="13.8">
      <c r="B141" s="64">
        <v>30309</v>
      </c>
      <c r="C141" s="65" t="s">
        <v>351</v>
      </c>
      <c r="D141" s="90">
        <v>227</v>
      </c>
    </row>
    <row r="142" spans="2:4" ht="13.8">
      <c r="B142" s="62">
        <v>30310</v>
      </c>
      <c r="C142" s="63" t="s">
        <v>352</v>
      </c>
      <c r="D142" s="87">
        <v>100</v>
      </c>
    </row>
    <row r="143" spans="2:4" ht="13.8">
      <c r="B143" s="64">
        <v>30401</v>
      </c>
      <c r="C143" s="65" t="s">
        <v>353</v>
      </c>
      <c r="D143" s="90">
        <v>77</v>
      </c>
    </row>
    <row r="144" spans="2:4" ht="13.8">
      <c r="B144" s="62">
        <v>30402</v>
      </c>
      <c r="C144" s="63" t="s">
        <v>354</v>
      </c>
      <c r="D144" s="87">
        <v>41</v>
      </c>
    </row>
    <row r="145" spans="2:4" ht="13.8">
      <c r="B145" s="64">
        <v>30403</v>
      </c>
      <c r="C145" s="65" t="s">
        <v>355</v>
      </c>
      <c r="D145" s="90">
        <v>9</v>
      </c>
    </row>
    <row r="146" spans="2:4" ht="13.8">
      <c r="B146" s="62">
        <v>30404</v>
      </c>
      <c r="C146" s="63" t="s">
        <v>105</v>
      </c>
      <c r="D146" s="87">
        <v>55</v>
      </c>
    </row>
    <row r="147" spans="2:4" ht="13.8">
      <c r="B147" s="64">
        <v>30405</v>
      </c>
      <c r="C147" s="65" t="s">
        <v>106</v>
      </c>
      <c r="D147" s="90">
        <v>1</v>
      </c>
    </row>
    <row r="148" spans="2:4" ht="13.8">
      <c r="B148" s="62">
        <v>30406</v>
      </c>
      <c r="C148" s="63" t="s">
        <v>107</v>
      </c>
      <c r="D148" s="87">
        <v>6</v>
      </c>
    </row>
    <row r="149" spans="2:4" ht="13.8">
      <c r="B149" s="64">
        <v>30407</v>
      </c>
      <c r="C149" s="65" t="s">
        <v>356</v>
      </c>
      <c r="D149" s="90">
        <v>15</v>
      </c>
    </row>
    <row r="150" spans="2:4" ht="13.8">
      <c r="B150" s="62">
        <v>30408</v>
      </c>
      <c r="C150" s="63" t="s">
        <v>357</v>
      </c>
      <c r="D150" s="87">
        <v>0</v>
      </c>
    </row>
    <row r="151" spans="2:4" ht="13.8">
      <c r="B151" s="64">
        <v>30409</v>
      </c>
      <c r="C151" s="65" t="s">
        <v>109</v>
      </c>
      <c r="D151" s="90">
        <v>0</v>
      </c>
    </row>
    <row r="152" spans="2:4" ht="13.8">
      <c r="B152" s="62">
        <v>30410</v>
      </c>
      <c r="C152" s="63" t="s">
        <v>110</v>
      </c>
      <c r="D152" s="87">
        <v>0</v>
      </c>
    </row>
    <row r="153" spans="2:4" ht="13.8">
      <c r="B153" s="64">
        <v>30411</v>
      </c>
      <c r="C153" s="65" t="s">
        <v>358</v>
      </c>
      <c r="D153" s="90">
        <v>3</v>
      </c>
    </row>
    <row r="154" spans="2:4" ht="13.8">
      <c r="B154" s="62">
        <v>30412</v>
      </c>
      <c r="C154" s="63" t="s">
        <v>111</v>
      </c>
      <c r="D154" s="87">
        <v>0</v>
      </c>
    </row>
    <row r="155" spans="2:4" ht="13.8">
      <c r="B155" s="64">
        <v>30413</v>
      </c>
      <c r="C155" s="65" t="s">
        <v>112</v>
      </c>
      <c r="D155" s="90">
        <v>2</v>
      </c>
    </row>
    <row r="156" spans="2:4" ht="13.8">
      <c r="B156" s="62">
        <v>30414</v>
      </c>
      <c r="C156" s="63" t="s">
        <v>113</v>
      </c>
      <c r="D156" s="87">
        <v>39</v>
      </c>
    </row>
    <row r="157" spans="2:4" ht="13.8">
      <c r="B157" s="64">
        <v>30415</v>
      </c>
      <c r="C157" s="65" t="s">
        <v>114</v>
      </c>
      <c r="D157" s="90">
        <v>0</v>
      </c>
    </row>
    <row r="158" spans="2:4" ht="13.8">
      <c r="B158" s="62">
        <v>30416</v>
      </c>
      <c r="C158" s="63" t="s">
        <v>115</v>
      </c>
      <c r="D158" s="87">
        <v>5</v>
      </c>
    </row>
    <row r="159" spans="2:4" ht="13.8">
      <c r="B159" s="64">
        <v>30417</v>
      </c>
      <c r="C159" s="65" t="s">
        <v>116</v>
      </c>
      <c r="D159" s="90">
        <v>1</v>
      </c>
    </row>
    <row r="160" spans="2:4" ht="13.8">
      <c r="B160" s="62">
        <v>30418</v>
      </c>
      <c r="C160" s="63" t="s">
        <v>117</v>
      </c>
      <c r="D160" s="87">
        <v>0</v>
      </c>
    </row>
    <row r="161" spans="2:4" ht="13.8">
      <c r="B161" s="64">
        <v>30419</v>
      </c>
      <c r="C161" s="65" t="s">
        <v>118</v>
      </c>
      <c r="D161" s="90">
        <v>8</v>
      </c>
    </row>
    <row r="162" spans="2:4" ht="13.8">
      <c r="B162" s="62">
        <v>30420</v>
      </c>
      <c r="C162" s="63" t="s">
        <v>119</v>
      </c>
      <c r="D162" s="87">
        <v>23</v>
      </c>
    </row>
    <row r="163" spans="2:4" ht="13.8">
      <c r="B163" s="64">
        <v>30421</v>
      </c>
      <c r="C163" s="65" t="s">
        <v>120</v>
      </c>
      <c r="D163" s="90">
        <v>13</v>
      </c>
    </row>
    <row r="164" spans="2:4" ht="13.8">
      <c r="B164" s="62">
        <v>30422</v>
      </c>
      <c r="C164" s="63" t="s">
        <v>121</v>
      </c>
      <c r="D164" s="87">
        <v>37</v>
      </c>
    </row>
    <row r="165" spans="2:4" ht="13.8">
      <c r="B165" s="64">
        <v>30423</v>
      </c>
      <c r="C165" s="65" t="s">
        <v>122</v>
      </c>
      <c r="D165" s="90">
        <v>0</v>
      </c>
    </row>
    <row r="166" spans="2:4" ht="13.8">
      <c r="B166" s="62">
        <v>30424</v>
      </c>
      <c r="C166" s="63" t="s">
        <v>123</v>
      </c>
      <c r="D166" s="87">
        <v>0</v>
      </c>
    </row>
    <row r="167" spans="2:4" ht="13.8">
      <c r="B167" s="64">
        <v>30425</v>
      </c>
      <c r="C167" s="65" t="s">
        <v>124</v>
      </c>
      <c r="D167" s="90">
        <v>0</v>
      </c>
    </row>
    <row r="168" spans="2:4" ht="13.8">
      <c r="B168" s="62">
        <v>30426</v>
      </c>
      <c r="C168" s="63" t="s">
        <v>125</v>
      </c>
      <c r="D168" s="87">
        <v>0</v>
      </c>
    </row>
    <row r="169" spans="2:4" ht="13.8">
      <c r="B169" s="64">
        <v>30427</v>
      </c>
      <c r="C169" s="65" t="s">
        <v>126</v>
      </c>
      <c r="D169" s="90">
        <v>0</v>
      </c>
    </row>
    <row r="170" spans="2:4" ht="13.8">
      <c r="B170" s="62">
        <v>30428</v>
      </c>
      <c r="C170" s="63" t="s">
        <v>127</v>
      </c>
      <c r="D170" s="87">
        <v>0</v>
      </c>
    </row>
    <row r="171" spans="2:4" ht="13.8">
      <c r="B171" s="64">
        <v>30429</v>
      </c>
      <c r="C171" s="65" t="s">
        <v>128</v>
      </c>
      <c r="D171" s="90">
        <v>6</v>
      </c>
    </row>
    <row r="172" spans="2:4" ht="13.8">
      <c r="B172" s="62">
        <v>30430</v>
      </c>
      <c r="C172" s="63" t="s">
        <v>129</v>
      </c>
      <c r="D172" s="87">
        <v>21</v>
      </c>
    </row>
    <row r="173" spans="2:4" ht="13.8">
      <c r="B173" s="64">
        <v>30431</v>
      </c>
      <c r="C173" s="65" t="s">
        <v>130</v>
      </c>
      <c r="D173" s="90">
        <v>0</v>
      </c>
    </row>
    <row r="174" spans="2:4" ht="13.8">
      <c r="B174" s="62">
        <v>30432</v>
      </c>
      <c r="C174" s="63" t="s">
        <v>131</v>
      </c>
      <c r="D174" s="87">
        <v>0</v>
      </c>
    </row>
    <row r="175" spans="2:4" ht="13.8">
      <c r="B175" s="64">
        <v>30433</v>
      </c>
      <c r="C175" s="65" t="s">
        <v>132</v>
      </c>
      <c r="D175" s="90">
        <v>0</v>
      </c>
    </row>
    <row r="176" spans="2:4" ht="13.8">
      <c r="B176" s="62">
        <v>30434</v>
      </c>
      <c r="C176" s="63" t="s">
        <v>133</v>
      </c>
      <c r="D176" s="87">
        <v>0</v>
      </c>
    </row>
    <row r="177" spans="2:4" ht="13.8">
      <c r="B177" s="64">
        <v>30435</v>
      </c>
      <c r="C177" s="65" t="s">
        <v>134</v>
      </c>
      <c r="D177" s="90">
        <v>0</v>
      </c>
    </row>
    <row r="178" spans="2:4" ht="13.8">
      <c r="B178" s="62">
        <v>30436</v>
      </c>
      <c r="C178" s="63" t="s">
        <v>135</v>
      </c>
      <c r="D178" s="87">
        <v>0</v>
      </c>
    </row>
    <row r="179" spans="2:4" ht="13.8">
      <c r="B179" s="64">
        <v>30437</v>
      </c>
      <c r="C179" s="65" t="s">
        <v>136</v>
      </c>
      <c r="D179" s="90">
        <v>0</v>
      </c>
    </row>
    <row r="180" spans="2:4" ht="13.8">
      <c r="B180" s="62">
        <v>30438</v>
      </c>
      <c r="C180" s="63" t="s">
        <v>137</v>
      </c>
      <c r="D180" s="87">
        <v>0</v>
      </c>
    </row>
    <row r="181" spans="2:4" ht="13.8">
      <c r="B181" s="64">
        <v>30439</v>
      </c>
      <c r="C181" s="65" t="s">
        <v>138</v>
      </c>
      <c r="D181" s="90">
        <v>0</v>
      </c>
    </row>
    <row r="182" spans="2:4" ht="13.8">
      <c r="B182" s="62">
        <v>30440</v>
      </c>
      <c r="C182" s="63" t="s">
        <v>359</v>
      </c>
      <c r="D182" s="87">
        <v>5</v>
      </c>
    </row>
    <row r="183" spans="2:4" ht="13.8">
      <c r="B183" s="64">
        <v>30441</v>
      </c>
      <c r="C183" s="65" t="s">
        <v>360</v>
      </c>
      <c r="D183" s="90">
        <v>0</v>
      </c>
    </row>
    <row r="184" spans="2:4" ht="13.8">
      <c r="B184" s="62">
        <v>30442</v>
      </c>
      <c r="C184" s="63" t="s">
        <v>361</v>
      </c>
      <c r="D184" s="87">
        <v>0</v>
      </c>
    </row>
    <row r="185" spans="2:4" ht="13.8">
      <c r="B185" s="64">
        <v>30443</v>
      </c>
      <c r="C185" s="65" t="s">
        <v>362</v>
      </c>
      <c r="D185" s="90">
        <v>0</v>
      </c>
    </row>
    <row r="186" spans="2:4" ht="13.8">
      <c r="B186" s="62">
        <v>30444</v>
      </c>
      <c r="C186" s="63" t="s">
        <v>363</v>
      </c>
      <c r="D186" s="87">
        <v>0</v>
      </c>
    </row>
    <row r="187" spans="2:4" ht="13.8">
      <c r="B187" s="64">
        <v>30445</v>
      </c>
      <c r="C187" s="65" t="s">
        <v>364</v>
      </c>
      <c r="D187" s="90">
        <v>0</v>
      </c>
    </row>
    <row r="188" spans="2:4" ht="13.8">
      <c r="B188" s="62">
        <v>30446</v>
      </c>
      <c r="C188" s="63" t="s">
        <v>365</v>
      </c>
      <c r="D188" s="87">
        <v>50</v>
      </c>
    </row>
    <row r="189" spans="2:4" ht="13.8">
      <c r="B189" s="64">
        <v>30501</v>
      </c>
      <c r="C189" s="65" t="s">
        <v>139</v>
      </c>
      <c r="D189" s="90">
        <v>3</v>
      </c>
    </row>
    <row r="190" spans="2:4" ht="13.8">
      <c r="B190" s="62">
        <v>30502</v>
      </c>
      <c r="C190" s="63" t="s">
        <v>140</v>
      </c>
      <c r="D190" s="87">
        <v>211</v>
      </c>
    </row>
    <row r="191" spans="2:4" ht="13.8">
      <c r="B191" s="64">
        <v>30503</v>
      </c>
      <c r="C191" s="65" t="s">
        <v>141</v>
      </c>
      <c r="D191" s="90">
        <v>161</v>
      </c>
    </row>
    <row r="192" spans="2:4" ht="13.8">
      <c r="B192" s="62">
        <v>30504</v>
      </c>
      <c r="C192" s="63" t="s">
        <v>366</v>
      </c>
      <c r="D192" s="87">
        <v>39</v>
      </c>
    </row>
    <row r="193" spans="2:4" ht="13.8">
      <c r="B193" s="64">
        <v>30505</v>
      </c>
      <c r="C193" s="65" t="s">
        <v>367</v>
      </c>
      <c r="D193" s="90">
        <v>29</v>
      </c>
    </row>
    <row r="194" spans="2:4" ht="13.8">
      <c r="B194" s="62">
        <v>30601</v>
      </c>
      <c r="C194" s="63" t="s">
        <v>142</v>
      </c>
      <c r="D194" s="87">
        <v>15</v>
      </c>
    </row>
    <row r="195" spans="2:4" ht="13.8">
      <c r="B195" s="64">
        <v>30602</v>
      </c>
      <c r="C195" s="65" t="s">
        <v>143</v>
      </c>
      <c r="D195" s="90">
        <v>31</v>
      </c>
    </row>
    <row r="196" spans="2:4" ht="13.8">
      <c r="B196" s="62">
        <v>30603</v>
      </c>
      <c r="C196" s="63" t="s">
        <v>144</v>
      </c>
      <c r="D196" s="87">
        <v>1</v>
      </c>
    </row>
    <row r="197" spans="2:4" ht="13.8">
      <c r="B197" s="64">
        <v>30604</v>
      </c>
      <c r="C197" s="65" t="s">
        <v>145</v>
      </c>
      <c r="D197" s="90">
        <v>0</v>
      </c>
    </row>
    <row r="198" spans="2:4" ht="13.8">
      <c r="B198" s="62">
        <v>30605</v>
      </c>
      <c r="C198" s="63" t="s">
        <v>368</v>
      </c>
      <c r="D198" s="87">
        <v>0</v>
      </c>
    </row>
    <row r="199" spans="2:4" ht="13.8">
      <c r="B199" s="64">
        <v>30606</v>
      </c>
      <c r="C199" s="65" t="s">
        <v>369</v>
      </c>
      <c r="D199" s="90">
        <v>19</v>
      </c>
    </row>
    <row r="200" spans="2:4" ht="13.8">
      <c r="B200" s="62">
        <v>30607</v>
      </c>
      <c r="C200" s="63" t="s">
        <v>146</v>
      </c>
      <c r="D200" s="87">
        <v>2</v>
      </c>
    </row>
    <row r="201" spans="2:4" ht="13.8">
      <c r="B201" s="64">
        <v>30608</v>
      </c>
      <c r="C201" s="65" t="s">
        <v>147</v>
      </c>
      <c r="D201" s="90">
        <v>0</v>
      </c>
    </row>
    <row r="202" spans="2:4" ht="13.8">
      <c r="B202" s="62">
        <v>30609</v>
      </c>
      <c r="C202" s="63" t="s">
        <v>370</v>
      </c>
      <c r="D202" s="87">
        <v>0</v>
      </c>
    </row>
    <row r="203" spans="2:4" ht="13.8">
      <c r="B203" s="64">
        <v>30610</v>
      </c>
      <c r="C203" s="65" t="s">
        <v>371</v>
      </c>
      <c r="D203" s="90">
        <v>0</v>
      </c>
    </row>
    <row r="204" spans="2:4" ht="13.8">
      <c r="B204" s="62">
        <v>30611</v>
      </c>
      <c r="C204" s="63" t="s">
        <v>372</v>
      </c>
      <c r="D204" s="87">
        <v>0</v>
      </c>
    </row>
    <row r="205" spans="2:4" ht="13.8">
      <c r="B205" s="64">
        <v>30701</v>
      </c>
      <c r="C205" s="65" t="s">
        <v>148</v>
      </c>
      <c r="D205" s="90">
        <v>2</v>
      </c>
    </row>
    <row r="206" spans="2:4" ht="13.8">
      <c r="B206" s="62">
        <v>30702</v>
      </c>
      <c r="C206" s="63" t="s">
        <v>149</v>
      </c>
      <c r="D206" s="87">
        <v>8</v>
      </c>
    </row>
    <row r="207" spans="2:4" ht="13.8">
      <c r="B207" s="64">
        <v>30703</v>
      </c>
      <c r="C207" s="65" t="s">
        <v>150</v>
      </c>
      <c r="D207" s="90">
        <v>0</v>
      </c>
    </row>
    <row r="208" spans="2:4" ht="13.8">
      <c r="B208" s="62">
        <v>30704</v>
      </c>
      <c r="C208" s="63" t="s">
        <v>151</v>
      </c>
      <c r="D208" s="87">
        <v>0</v>
      </c>
    </row>
    <row r="209" spans="2:4" ht="13.8">
      <c r="B209" s="64">
        <v>30705</v>
      </c>
      <c r="C209" s="65" t="s">
        <v>152</v>
      </c>
      <c r="D209" s="90">
        <v>0</v>
      </c>
    </row>
    <row r="210" spans="2:4" ht="13.8">
      <c r="B210" s="62">
        <v>30706</v>
      </c>
      <c r="C210" s="63" t="s">
        <v>153</v>
      </c>
      <c r="D210" s="87">
        <v>1</v>
      </c>
    </row>
    <row r="211" spans="2:4" ht="13.8">
      <c r="B211" s="64">
        <v>30707</v>
      </c>
      <c r="C211" s="65" t="s">
        <v>154</v>
      </c>
      <c r="D211" s="90">
        <v>0</v>
      </c>
    </row>
    <row r="212" spans="2:4" ht="13.8">
      <c r="B212" s="62">
        <v>30708</v>
      </c>
      <c r="C212" s="63" t="s">
        <v>373</v>
      </c>
      <c r="D212" s="87">
        <v>3</v>
      </c>
    </row>
    <row r="213" spans="2:4" ht="13.8">
      <c r="B213" s="64">
        <v>30709</v>
      </c>
      <c r="C213" s="65" t="s">
        <v>158</v>
      </c>
      <c r="D213" s="90">
        <v>0</v>
      </c>
    </row>
    <row r="214" spans="2:4" ht="13.8">
      <c r="B214" s="62">
        <v>30710</v>
      </c>
      <c r="C214" s="63" t="s">
        <v>374</v>
      </c>
      <c r="D214" s="87">
        <v>0</v>
      </c>
    </row>
    <row r="215" spans="2:4" ht="13.8">
      <c r="B215" s="64">
        <v>30711</v>
      </c>
      <c r="C215" s="65" t="s">
        <v>157</v>
      </c>
      <c r="D215" s="90">
        <v>0</v>
      </c>
    </row>
    <row r="216" spans="2:4" ht="13.8">
      <c r="B216" s="62">
        <v>30801</v>
      </c>
      <c r="C216" s="63" t="s">
        <v>155</v>
      </c>
      <c r="D216" s="87">
        <v>0</v>
      </c>
    </row>
    <row r="217" spans="2:4" ht="13.8">
      <c r="B217" s="64">
        <v>30802</v>
      </c>
      <c r="C217" s="65" t="s">
        <v>156</v>
      </c>
      <c r="D217" s="90">
        <v>0</v>
      </c>
    </row>
    <row r="218" spans="2:4" ht="13.8">
      <c r="B218" s="62">
        <v>30803</v>
      </c>
      <c r="C218" s="63" t="s">
        <v>97</v>
      </c>
      <c r="D218" s="87">
        <v>0</v>
      </c>
    </row>
    <row r="219" spans="2:4" ht="13.8">
      <c r="B219" s="64">
        <v>30804</v>
      </c>
      <c r="C219" s="65" t="s">
        <v>184</v>
      </c>
      <c r="D219" s="90">
        <v>0</v>
      </c>
    </row>
    <row r="220" spans="2:4" ht="13.8">
      <c r="B220" s="62">
        <v>30805</v>
      </c>
      <c r="C220" s="63" t="s">
        <v>174</v>
      </c>
      <c r="D220" s="87">
        <v>0</v>
      </c>
    </row>
    <row r="221" spans="2:4" ht="13.8">
      <c r="B221" s="64">
        <v>30806</v>
      </c>
      <c r="C221" s="65" t="s">
        <v>375</v>
      </c>
      <c r="D221" s="90">
        <v>2</v>
      </c>
    </row>
    <row r="222" spans="2:4" ht="13.8">
      <c r="B222" s="62">
        <v>30807</v>
      </c>
      <c r="C222" s="63" t="s">
        <v>376</v>
      </c>
      <c r="D222" s="87">
        <v>0</v>
      </c>
    </row>
    <row r="223" spans="2:4" ht="13.8">
      <c r="B223" s="64">
        <v>30808</v>
      </c>
      <c r="C223" s="65" t="s">
        <v>171</v>
      </c>
      <c r="D223" s="90">
        <v>0</v>
      </c>
    </row>
    <row r="224" spans="2:4" ht="13.8">
      <c r="B224" s="62">
        <v>30809</v>
      </c>
      <c r="C224" s="63" t="s">
        <v>377</v>
      </c>
      <c r="D224" s="87">
        <v>0</v>
      </c>
    </row>
    <row r="225" spans="2:4" ht="13.8">
      <c r="B225" s="64">
        <v>30810</v>
      </c>
      <c r="C225" s="65" t="s">
        <v>378</v>
      </c>
      <c r="D225" s="90">
        <v>0</v>
      </c>
    </row>
    <row r="226" spans="2:4" ht="13.8">
      <c r="B226" s="62">
        <v>30901</v>
      </c>
      <c r="C226" s="63" t="s">
        <v>379</v>
      </c>
      <c r="D226" s="87">
        <v>2</v>
      </c>
    </row>
    <row r="227" spans="2:4" ht="13.8">
      <c r="B227" s="64">
        <v>30902</v>
      </c>
      <c r="C227" s="65" t="s">
        <v>380</v>
      </c>
      <c r="D227" s="90">
        <v>3</v>
      </c>
    </row>
    <row r="228" spans="2:4" ht="13.8">
      <c r="B228" s="62">
        <v>30903</v>
      </c>
      <c r="C228" s="63" t="s">
        <v>163</v>
      </c>
      <c r="D228" s="87">
        <v>57</v>
      </c>
    </row>
    <row r="229" spans="2:4" ht="13.8">
      <c r="B229" s="64">
        <v>30904</v>
      </c>
      <c r="C229" s="65" t="s">
        <v>183</v>
      </c>
      <c r="D229" s="90">
        <v>302</v>
      </c>
    </row>
    <row r="230" spans="2:4" ht="13.8">
      <c r="B230" s="62">
        <v>30905</v>
      </c>
      <c r="C230" s="63" t="s">
        <v>159</v>
      </c>
      <c r="D230" s="87">
        <v>5</v>
      </c>
    </row>
    <row r="231" spans="2:4" ht="13.8">
      <c r="B231" s="64">
        <v>30906</v>
      </c>
      <c r="C231" s="65" t="s">
        <v>160</v>
      </c>
      <c r="D231" s="90">
        <v>0</v>
      </c>
    </row>
    <row r="232" spans="2:4" ht="13.8">
      <c r="B232" s="62">
        <v>30907</v>
      </c>
      <c r="C232" s="63" t="s">
        <v>161</v>
      </c>
      <c r="D232" s="87">
        <v>651</v>
      </c>
    </row>
    <row r="233" spans="2:4" ht="13.8">
      <c r="B233" s="64">
        <v>30908</v>
      </c>
      <c r="C233" s="65" t="s">
        <v>162</v>
      </c>
      <c r="D233" s="90">
        <v>4</v>
      </c>
    </row>
    <row r="234" spans="2:4" ht="13.8">
      <c r="B234" s="62">
        <v>30909</v>
      </c>
      <c r="C234" s="63" t="s">
        <v>381</v>
      </c>
      <c r="D234" s="87">
        <v>34</v>
      </c>
    </row>
    <row r="235" spans="2:4" ht="13.8">
      <c r="B235" s="64">
        <v>31001</v>
      </c>
      <c r="C235" s="65" t="s">
        <v>164</v>
      </c>
      <c r="D235" s="90">
        <v>19</v>
      </c>
    </row>
    <row r="236" spans="2:4" ht="13.8">
      <c r="B236" s="62">
        <v>31002</v>
      </c>
      <c r="C236" s="63" t="s">
        <v>382</v>
      </c>
      <c r="D236" s="87">
        <v>27</v>
      </c>
    </row>
    <row r="237" spans="2:4" ht="13.8">
      <c r="B237" s="64">
        <v>31003</v>
      </c>
      <c r="C237" s="65" t="s">
        <v>165</v>
      </c>
      <c r="D237" s="90">
        <v>4</v>
      </c>
    </row>
    <row r="238" spans="2:4" ht="13.8">
      <c r="B238" s="62">
        <v>31004</v>
      </c>
      <c r="C238" s="63" t="s">
        <v>166</v>
      </c>
      <c r="D238" s="87">
        <v>3</v>
      </c>
    </row>
    <row r="239" spans="2:4" ht="13.8">
      <c r="B239" s="64">
        <v>31005</v>
      </c>
      <c r="C239" s="65" t="s">
        <v>167</v>
      </c>
      <c r="D239" s="90">
        <v>0</v>
      </c>
    </row>
    <row r="240" spans="2:4" ht="13.8">
      <c r="B240" s="62">
        <v>31006</v>
      </c>
      <c r="C240" s="63" t="s">
        <v>168</v>
      </c>
      <c r="D240" s="87">
        <v>0</v>
      </c>
    </row>
    <row r="241" spans="2:4" ht="13.8">
      <c r="B241" s="64">
        <v>31007</v>
      </c>
      <c r="C241" s="65" t="s">
        <v>169</v>
      </c>
      <c r="D241" s="90">
        <v>1</v>
      </c>
    </row>
    <row r="242" spans="2:4" ht="13.8">
      <c r="B242" s="62">
        <v>31008</v>
      </c>
      <c r="C242" s="63" t="s">
        <v>383</v>
      </c>
      <c r="D242" s="87">
        <v>0</v>
      </c>
    </row>
    <row r="243" spans="2:4" ht="13.8">
      <c r="B243" s="64">
        <v>31009</v>
      </c>
      <c r="C243" s="65" t="s">
        <v>384</v>
      </c>
      <c r="D243" s="90">
        <v>0</v>
      </c>
    </row>
    <row r="244" spans="2:4" ht="13.8">
      <c r="B244" s="62">
        <v>31010</v>
      </c>
      <c r="C244" s="63" t="s">
        <v>92</v>
      </c>
      <c r="D244" s="87">
        <v>4</v>
      </c>
    </row>
    <row r="245" spans="2:4" ht="13.8">
      <c r="B245" s="64">
        <v>31011</v>
      </c>
      <c r="C245" s="65" t="s">
        <v>385</v>
      </c>
      <c r="D245" s="90">
        <v>0</v>
      </c>
    </row>
    <row r="246" spans="2:4" ht="13.8">
      <c r="B246" s="62">
        <v>31012</v>
      </c>
      <c r="C246" s="63" t="s">
        <v>386</v>
      </c>
      <c r="D246" s="87">
        <v>1</v>
      </c>
    </row>
    <row r="247" spans="2:4" ht="13.8">
      <c r="B247" s="64">
        <v>31013</v>
      </c>
      <c r="C247" s="65" t="s">
        <v>387</v>
      </c>
      <c r="D247" s="90">
        <v>0</v>
      </c>
    </row>
    <row r="248" spans="2:4" ht="13.8">
      <c r="B248" s="62">
        <v>31014</v>
      </c>
      <c r="C248" s="63" t="s">
        <v>388</v>
      </c>
      <c r="D248" s="87">
        <v>1</v>
      </c>
    </row>
    <row r="249" spans="2:4" ht="13.8">
      <c r="B249" s="64">
        <v>31015</v>
      </c>
      <c r="C249" s="65" t="s">
        <v>389</v>
      </c>
      <c r="D249" s="90">
        <v>0</v>
      </c>
    </row>
    <row r="250" spans="2:4" ht="13.8">
      <c r="B250" s="62">
        <v>31101</v>
      </c>
      <c r="C250" s="63" t="s">
        <v>172</v>
      </c>
      <c r="D250" s="87">
        <v>119</v>
      </c>
    </row>
    <row r="251" spans="2:4" ht="13.8">
      <c r="B251" s="64">
        <v>31102</v>
      </c>
      <c r="C251" s="65" t="s">
        <v>173</v>
      </c>
      <c r="D251" s="90">
        <v>32</v>
      </c>
    </row>
    <row r="252" spans="2:4" ht="13.8">
      <c r="B252" s="62">
        <v>31103</v>
      </c>
      <c r="C252" s="63" t="s">
        <v>175</v>
      </c>
      <c r="D252" s="87">
        <v>12</v>
      </c>
    </row>
    <row r="253" spans="2:4" ht="13.8">
      <c r="B253" s="64">
        <v>31104</v>
      </c>
      <c r="C253" s="65" t="s">
        <v>176</v>
      </c>
      <c r="D253" s="90">
        <v>19</v>
      </c>
    </row>
    <row r="254" spans="2:4" ht="13.8">
      <c r="B254" s="62">
        <v>31105</v>
      </c>
      <c r="C254" s="63" t="s">
        <v>177</v>
      </c>
      <c r="D254" s="87">
        <v>63</v>
      </c>
    </row>
    <row r="255" spans="2:4" ht="13.8">
      <c r="B255" s="64">
        <v>31106</v>
      </c>
      <c r="C255" s="65" t="s">
        <v>390</v>
      </c>
      <c r="D255" s="90">
        <v>0</v>
      </c>
    </row>
    <row r="256" spans="2:4" ht="13.8">
      <c r="B256" s="62">
        <v>31107</v>
      </c>
      <c r="C256" s="63" t="s">
        <v>391</v>
      </c>
      <c r="D256" s="87">
        <v>0</v>
      </c>
    </row>
    <row r="257" spans="2:4" ht="13.8">
      <c r="B257" s="64">
        <v>31108</v>
      </c>
      <c r="C257" s="65" t="s">
        <v>392</v>
      </c>
      <c r="D257" s="90">
        <v>0</v>
      </c>
    </row>
    <row r="258" spans="2:4" ht="13.8">
      <c r="B258" s="62">
        <v>31109</v>
      </c>
      <c r="C258" s="63" t="s">
        <v>178</v>
      </c>
      <c r="D258" s="87">
        <v>1</v>
      </c>
    </row>
    <row r="259" spans="2:4" ht="13.8">
      <c r="B259" s="64">
        <v>31110</v>
      </c>
      <c r="C259" s="65" t="s">
        <v>179</v>
      </c>
      <c r="D259" s="90">
        <v>0</v>
      </c>
    </row>
    <row r="260" spans="2:4" ht="13.8">
      <c r="B260" s="62">
        <v>31111</v>
      </c>
      <c r="C260" s="63" t="s">
        <v>180</v>
      </c>
      <c r="D260" s="87">
        <v>0</v>
      </c>
    </row>
    <row r="261" spans="2:4" ht="13.8">
      <c r="B261" s="64">
        <v>31112</v>
      </c>
      <c r="C261" s="65" t="s">
        <v>393</v>
      </c>
      <c r="D261" s="90">
        <v>118</v>
      </c>
    </row>
    <row r="262" spans="2:4" ht="13.8">
      <c r="B262" s="62">
        <v>31113</v>
      </c>
      <c r="C262" s="63" t="s">
        <v>181</v>
      </c>
      <c r="D262" s="87">
        <v>25</v>
      </c>
    </row>
    <row r="263" spans="2:4" ht="13.8">
      <c r="B263" s="64">
        <v>31114</v>
      </c>
      <c r="C263" s="65" t="s">
        <v>394</v>
      </c>
      <c r="D263" s="90">
        <v>5</v>
      </c>
    </row>
    <row r="264" spans="2:4" ht="13.8">
      <c r="B264" s="66">
        <v>40101</v>
      </c>
      <c r="C264" s="67" t="s">
        <v>187</v>
      </c>
      <c r="D264" s="91">
        <v>0</v>
      </c>
    </row>
    <row r="265" spans="2:4" ht="13.8">
      <c r="B265" s="62">
        <v>40102</v>
      </c>
      <c r="C265" s="63" t="s">
        <v>395</v>
      </c>
      <c r="D265" s="87">
        <v>4</v>
      </c>
    </row>
    <row r="266" spans="2:4" ht="13.8">
      <c r="B266" s="66">
        <v>40103</v>
      </c>
      <c r="C266" s="67" t="s">
        <v>188</v>
      </c>
      <c r="D266" s="91">
        <v>0</v>
      </c>
    </row>
    <row r="267" spans="2:4" ht="13.8">
      <c r="B267" s="62">
        <v>40104</v>
      </c>
      <c r="C267" s="63" t="s">
        <v>189</v>
      </c>
      <c r="D267" s="87">
        <v>7</v>
      </c>
    </row>
    <row r="268" spans="2:4" ht="13.8">
      <c r="B268" s="66">
        <v>40105</v>
      </c>
      <c r="C268" s="67" t="s">
        <v>191</v>
      </c>
      <c r="D268" s="91">
        <v>5</v>
      </c>
    </row>
    <row r="269" spans="2:4" ht="13.8">
      <c r="B269" s="62">
        <v>40106</v>
      </c>
      <c r="C269" s="63" t="s">
        <v>194</v>
      </c>
      <c r="D269" s="87">
        <v>20</v>
      </c>
    </row>
    <row r="270" spans="2:4" ht="13.8">
      <c r="B270" s="66">
        <v>40107</v>
      </c>
      <c r="C270" s="67" t="s">
        <v>196</v>
      </c>
      <c r="D270" s="91">
        <v>38</v>
      </c>
    </row>
    <row r="271" spans="2:4" ht="13.8">
      <c r="B271" s="62">
        <v>40108</v>
      </c>
      <c r="C271" s="63" t="s">
        <v>197</v>
      </c>
      <c r="D271" s="87">
        <v>1</v>
      </c>
    </row>
    <row r="272" spans="2:4" ht="13.8">
      <c r="B272" s="66">
        <v>40109</v>
      </c>
      <c r="C272" s="67" t="s">
        <v>77</v>
      </c>
      <c r="D272" s="91">
        <v>0</v>
      </c>
    </row>
    <row r="273" spans="2:4" ht="13.8">
      <c r="B273" s="62">
        <v>40110</v>
      </c>
      <c r="C273" s="63" t="s">
        <v>190</v>
      </c>
      <c r="D273" s="87">
        <v>6</v>
      </c>
    </row>
    <row r="274" spans="2:4" ht="13.8">
      <c r="B274" s="72">
        <v>50101</v>
      </c>
      <c r="C274" s="73" t="s">
        <v>396</v>
      </c>
      <c r="D274" s="92">
        <v>0</v>
      </c>
    </row>
    <row r="275" spans="2:4" ht="13.8">
      <c r="B275" s="62">
        <v>50102</v>
      </c>
      <c r="C275" s="63" t="s">
        <v>397</v>
      </c>
      <c r="D275" s="87">
        <v>3</v>
      </c>
    </row>
    <row r="276" spans="2:4" ht="13.8">
      <c r="B276" s="72">
        <v>50103</v>
      </c>
      <c r="C276" s="73" t="s">
        <v>398</v>
      </c>
      <c r="D276" s="92">
        <v>6</v>
      </c>
    </row>
    <row r="277" spans="2:4" ht="13.8">
      <c r="B277" s="62">
        <v>50104</v>
      </c>
      <c r="C277" s="63" t="s">
        <v>108</v>
      </c>
      <c r="D277" s="87">
        <v>5</v>
      </c>
    </row>
    <row r="278" spans="2:4" ht="13.8">
      <c r="B278" s="72">
        <v>50105</v>
      </c>
      <c r="C278" s="73" t="s">
        <v>182</v>
      </c>
      <c r="D278" s="92">
        <v>429</v>
      </c>
    </row>
    <row r="279" spans="2:4" ht="13.8">
      <c r="B279" s="62">
        <v>50106</v>
      </c>
      <c r="C279" s="63" t="s">
        <v>170</v>
      </c>
      <c r="D279" s="87">
        <v>0</v>
      </c>
    </row>
    <row r="280" spans="2:4" ht="13.8">
      <c r="B280" s="72">
        <v>50107</v>
      </c>
      <c r="C280" s="73" t="s">
        <v>399</v>
      </c>
      <c r="D280" s="92">
        <v>24</v>
      </c>
    </row>
    <row r="281" spans="2:4" ht="13.8">
      <c r="B281" s="62">
        <v>50108</v>
      </c>
      <c r="C281" s="63" t="s">
        <v>400</v>
      </c>
      <c r="D281" s="87">
        <v>6</v>
      </c>
    </row>
    <row r="282" spans="2:4" ht="13.8">
      <c r="B282" s="72">
        <v>50201</v>
      </c>
      <c r="C282" s="73" t="s">
        <v>401</v>
      </c>
      <c r="D282" s="92">
        <v>0</v>
      </c>
    </row>
    <row r="283" spans="2:4" ht="13.8">
      <c r="B283" s="62">
        <v>50202</v>
      </c>
      <c r="C283" s="63" t="s">
        <v>402</v>
      </c>
      <c r="D283" s="87">
        <v>0</v>
      </c>
    </row>
    <row r="284" spans="2:4" ht="13.8">
      <c r="B284" s="72">
        <v>50203</v>
      </c>
      <c r="C284" s="73" t="s">
        <v>403</v>
      </c>
      <c r="D284" s="92">
        <v>30</v>
      </c>
    </row>
    <row r="285" spans="2:4" ht="13.8">
      <c r="B285" s="62">
        <v>50301</v>
      </c>
      <c r="C285" s="63" t="s">
        <v>404</v>
      </c>
      <c r="D285" s="87">
        <v>305</v>
      </c>
    </row>
    <row r="286" spans="2:4" ht="13.8">
      <c r="B286" s="72">
        <v>50302</v>
      </c>
      <c r="C286" s="73" t="s">
        <v>405</v>
      </c>
      <c r="D286" s="92">
        <v>3</v>
      </c>
    </row>
    <row r="287" spans="2:4" ht="13.8">
      <c r="B287" s="62">
        <v>50303</v>
      </c>
      <c r="C287" s="63" t="s">
        <v>185</v>
      </c>
      <c r="D287" s="87">
        <v>69</v>
      </c>
    </row>
    <row r="288" spans="2:4" ht="13.8">
      <c r="B288" s="72">
        <v>50304</v>
      </c>
      <c r="C288" s="73" t="s">
        <v>186</v>
      </c>
      <c r="D288" s="92">
        <v>16</v>
      </c>
    </row>
    <row r="289" spans="2:4" ht="13.8">
      <c r="B289" s="62">
        <v>50305</v>
      </c>
      <c r="C289" s="63" t="s">
        <v>406</v>
      </c>
      <c r="D289" s="87">
        <v>7</v>
      </c>
    </row>
    <row r="290" spans="2:4" ht="13.8">
      <c r="B290" s="72">
        <v>50306</v>
      </c>
      <c r="C290" s="73" t="s">
        <v>407</v>
      </c>
      <c r="D290" s="92">
        <v>5</v>
      </c>
    </row>
    <row r="291" spans="2:4" ht="13.8">
      <c r="B291" s="74">
        <v>60101</v>
      </c>
      <c r="C291" s="75" t="s">
        <v>408</v>
      </c>
      <c r="D291" s="93">
        <v>0</v>
      </c>
    </row>
    <row r="292" spans="2:4" ht="13.8">
      <c r="B292" s="62">
        <v>60102</v>
      </c>
      <c r="C292" s="63" t="s">
        <v>193</v>
      </c>
      <c r="D292" s="87">
        <v>0</v>
      </c>
    </row>
    <row r="293" spans="2:4" ht="13.8">
      <c r="B293" s="74">
        <v>60103</v>
      </c>
      <c r="C293" s="75" t="s">
        <v>409</v>
      </c>
      <c r="D293" s="93">
        <v>1</v>
      </c>
    </row>
    <row r="294" spans="2:4" ht="13.8">
      <c r="B294" s="76">
        <v>70101</v>
      </c>
      <c r="C294" s="77" t="s">
        <v>410</v>
      </c>
      <c r="D294" s="94">
        <v>158</v>
      </c>
    </row>
    <row r="295" spans="2:4" ht="13.8">
      <c r="B295" s="62">
        <v>70102</v>
      </c>
      <c r="C295" s="63" t="s">
        <v>198</v>
      </c>
      <c r="D295" s="95">
        <v>143</v>
      </c>
    </row>
    <row r="296" spans="2:4" ht="13.8">
      <c r="B296" s="76">
        <v>70103</v>
      </c>
      <c r="C296" s="77" t="s">
        <v>199</v>
      </c>
      <c r="D296" s="96">
        <v>4990</v>
      </c>
    </row>
    <row r="297" spans="2:4" ht="13.8">
      <c r="B297" s="62">
        <v>70104</v>
      </c>
      <c r="C297" s="63" t="s">
        <v>411</v>
      </c>
      <c r="D297" s="95">
        <v>5953</v>
      </c>
    </row>
    <row r="298" spans="2:4" ht="13.8">
      <c r="B298" s="76">
        <v>70105</v>
      </c>
      <c r="C298" s="77" t="s">
        <v>200</v>
      </c>
      <c r="D298" s="96">
        <v>85</v>
      </c>
    </row>
    <row r="299" spans="2:4" ht="13.8">
      <c r="B299" s="62">
        <v>70106</v>
      </c>
      <c r="C299" s="63" t="s">
        <v>412</v>
      </c>
      <c r="D299" s="95">
        <v>30</v>
      </c>
    </row>
    <row r="300" spans="2:4" ht="13.8">
      <c r="B300" s="76">
        <v>70107</v>
      </c>
      <c r="C300" s="77" t="s">
        <v>413</v>
      </c>
      <c r="D300" s="96">
        <v>177</v>
      </c>
    </row>
    <row r="301" spans="2:4" ht="14.4" thickBot="1">
      <c r="B301" s="78">
        <v>70108</v>
      </c>
      <c r="C301" s="79" t="s">
        <v>414</v>
      </c>
      <c r="D301" s="95">
        <v>1780</v>
      </c>
    </row>
    <row r="302" spans="2:4" ht="20.100000000000001" customHeight="1" thickBot="1">
      <c r="B302" s="80" t="s">
        <v>1</v>
      </c>
      <c r="C302" s="81"/>
      <c r="D302" s="82">
        <f>SUM(D20:D301)</f>
        <v>18742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2"/>
  <sheetViews>
    <sheetView showGridLines="0" view="pageBreakPreview" zoomScaleNormal="100" zoomScaleSheetLayoutView="100" workbookViewId="0">
      <selection activeCell="D302" sqref="D302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44140625" style="17" customWidth="1"/>
    <col min="4" max="4" width="45.44140625" style="25" customWidth="1"/>
    <col min="5" max="5" width="5.33203125" style="17" customWidth="1"/>
    <col min="6" max="7" width="14.886718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242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3.8">
      <c r="B17" s="107" t="s">
        <v>243</v>
      </c>
      <c r="C17" s="108"/>
      <c r="D17" s="50" t="s">
        <v>4</v>
      </c>
    </row>
    <row r="18" spans="2:7" ht="13.8">
      <c r="B18" s="98" t="s">
        <v>244</v>
      </c>
      <c r="C18" s="99"/>
      <c r="D18" s="50" t="s">
        <v>428</v>
      </c>
    </row>
    <row r="19" spans="2:7" ht="13.8">
      <c r="B19" s="51" t="s">
        <v>73</v>
      </c>
      <c r="C19" s="52" t="s">
        <v>72</v>
      </c>
      <c r="D19" s="53" t="s">
        <v>71</v>
      </c>
      <c r="G19" s="29"/>
    </row>
    <row r="20" spans="2:7" ht="13.8">
      <c r="B20" s="68">
        <v>10101</v>
      </c>
      <c r="C20" s="69" t="s">
        <v>262</v>
      </c>
      <c r="D20" s="88">
        <v>0</v>
      </c>
    </row>
    <row r="21" spans="2:7" ht="13.8">
      <c r="B21" s="58">
        <v>10102</v>
      </c>
      <c r="C21" s="59" t="s">
        <v>263</v>
      </c>
      <c r="D21" s="87">
        <v>0</v>
      </c>
    </row>
    <row r="22" spans="2:7" ht="13.8">
      <c r="B22" s="68">
        <v>10103</v>
      </c>
      <c r="C22" s="69" t="s">
        <v>264</v>
      </c>
      <c r="D22" s="88">
        <v>48</v>
      </c>
    </row>
    <row r="23" spans="2:7" ht="13.8">
      <c r="B23" s="58">
        <v>10104</v>
      </c>
      <c r="C23" s="59" t="s">
        <v>265</v>
      </c>
      <c r="D23" s="87">
        <v>42</v>
      </c>
    </row>
    <row r="24" spans="2:7" ht="13.8">
      <c r="B24" s="68">
        <v>10105</v>
      </c>
      <c r="C24" s="69" t="s">
        <v>266</v>
      </c>
      <c r="D24" s="88">
        <v>1</v>
      </c>
    </row>
    <row r="25" spans="2:7" ht="13.8">
      <c r="B25" s="58">
        <v>10106</v>
      </c>
      <c r="C25" s="59" t="s">
        <v>267</v>
      </c>
      <c r="D25" s="87">
        <v>0</v>
      </c>
    </row>
    <row r="26" spans="2:7" ht="13.8">
      <c r="B26" s="68">
        <v>10107</v>
      </c>
      <c r="C26" s="69" t="s">
        <v>268</v>
      </c>
      <c r="D26" s="88">
        <v>29</v>
      </c>
    </row>
    <row r="27" spans="2:7" ht="13.8">
      <c r="B27" s="58">
        <v>10108</v>
      </c>
      <c r="C27" s="59" t="s">
        <v>269</v>
      </c>
      <c r="D27" s="87">
        <v>0</v>
      </c>
    </row>
    <row r="28" spans="2:7" ht="13.8">
      <c r="B28" s="68">
        <v>10109</v>
      </c>
      <c r="C28" s="69" t="s">
        <v>270</v>
      </c>
      <c r="D28" s="88">
        <v>0</v>
      </c>
    </row>
    <row r="29" spans="2:7" ht="13.8">
      <c r="B29" s="58">
        <v>10110</v>
      </c>
      <c r="C29" s="59" t="s">
        <v>271</v>
      </c>
      <c r="D29" s="87">
        <v>0</v>
      </c>
    </row>
    <row r="30" spans="2:7" ht="13.8">
      <c r="B30" s="68">
        <v>10111</v>
      </c>
      <c r="C30" s="69" t="s">
        <v>272</v>
      </c>
      <c r="D30" s="88">
        <v>4</v>
      </c>
    </row>
    <row r="31" spans="2:7" ht="13.8">
      <c r="B31" s="58">
        <v>10112</v>
      </c>
      <c r="C31" s="59" t="s">
        <v>273</v>
      </c>
      <c r="D31" s="87">
        <v>0</v>
      </c>
    </row>
    <row r="32" spans="2:7" ht="13.8">
      <c r="B32" s="68">
        <v>10113</v>
      </c>
      <c r="C32" s="69" t="s">
        <v>274</v>
      </c>
      <c r="D32" s="88">
        <v>0</v>
      </c>
    </row>
    <row r="33" spans="2:4" ht="13.8">
      <c r="B33" s="58">
        <v>10114</v>
      </c>
      <c r="C33" s="59" t="s">
        <v>275</v>
      </c>
      <c r="D33" s="87">
        <v>0</v>
      </c>
    </row>
    <row r="34" spans="2:4" ht="13.8">
      <c r="B34" s="68">
        <v>10115</v>
      </c>
      <c r="C34" s="69" t="s">
        <v>276</v>
      </c>
      <c r="D34" s="88">
        <v>0</v>
      </c>
    </row>
    <row r="35" spans="2:4" ht="13.8">
      <c r="B35" s="58">
        <v>10116</v>
      </c>
      <c r="C35" s="59" t="s">
        <v>277</v>
      </c>
      <c r="D35" s="87">
        <v>11</v>
      </c>
    </row>
    <row r="36" spans="2:4" ht="13.8">
      <c r="B36" s="68">
        <v>10117</v>
      </c>
      <c r="C36" s="69" t="s">
        <v>278</v>
      </c>
      <c r="D36" s="88">
        <v>0</v>
      </c>
    </row>
    <row r="37" spans="2:4" ht="13.8">
      <c r="B37" s="58">
        <v>10118</v>
      </c>
      <c r="C37" s="59" t="s">
        <v>279</v>
      </c>
      <c r="D37" s="87">
        <v>0</v>
      </c>
    </row>
    <row r="38" spans="2:4" ht="13.8">
      <c r="B38" s="68">
        <v>10119</v>
      </c>
      <c r="C38" s="69" t="s">
        <v>280</v>
      </c>
      <c r="D38" s="88">
        <v>0</v>
      </c>
    </row>
    <row r="39" spans="2:4" ht="13.8">
      <c r="B39" s="58">
        <v>10120</v>
      </c>
      <c r="C39" s="59" t="s">
        <v>281</v>
      </c>
      <c r="D39" s="87">
        <v>0</v>
      </c>
    </row>
    <row r="40" spans="2:4" ht="13.8">
      <c r="B40" s="68">
        <v>10121</v>
      </c>
      <c r="C40" s="69" t="s">
        <v>282</v>
      </c>
      <c r="D40" s="88">
        <v>3</v>
      </c>
    </row>
    <row r="41" spans="2:4" ht="13.8">
      <c r="B41" s="58">
        <v>10201</v>
      </c>
      <c r="C41" s="59" t="s">
        <v>283</v>
      </c>
      <c r="D41" s="87">
        <v>0</v>
      </c>
    </row>
    <row r="42" spans="2:4" ht="13.8">
      <c r="B42" s="68">
        <v>10202</v>
      </c>
      <c r="C42" s="69" t="s">
        <v>284</v>
      </c>
      <c r="D42" s="88">
        <v>0</v>
      </c>
    </row>
    <row r="43" spans="2:4" ht="13.8">
      <c r="B43" s="58">
        <v>10203</v>
      </c>
      <c r="C43" s="59" t="s">
        <v>285</v>
      </c>
      <c r="D43" s="87">
        <v>0</v>
      </c>
    </row>
    <row r="44" spans="2:4" ht="13.8">
      <c r="B44" s="68">
        <v>10204</v>
      </c>
      <c r="C44" s="69" t="s">
        <v>286</v>
      </c>
      <c r="D44" s="88">
        <v>58</v>
      </c>
    </row>
    <row r="45" spans="2:4" ht="13.8">
      <c r="B45" s="58">
        <v>10205</v>
      </c>
      <c r="C45" s="59" t="s">
        <v>287</v>
      </c>
      <c r="D45" s="87">
        <v>2</v>
      </c>
    </row>
    <row r="46" spans="2:4" ht="13.8">
      <c r="B46" s="68">
        <v>10206</v>
      </c>
      <c r="C46" s="69" t="s">
        <v>288</v>
      </c>
      <c r="D46" s="88">
        <v>0</v>
      </c>
    </row>
    <row r="47" spans="2:4" ht="13.8">
      <c r="B47" s="58">
        <v>10207</v>
      </c>
      <c r="C47" s="59" t="s">
        <v>289</v>
      </c>
      <c r="D47" s="87">
        <v>6</v>
      </c>
    </row>
    <row r="48" spans="2:4" ht="13.8">
      <c r="B48" s="68">
        <v>10208</v>
      </c>
      <c r="C48" s="69" t="s">
        <v>290</v>
      </c>
      <c r="D48" s="88">
        <v>4</v>
      </c>
    </row>
    <row r="49" spans="2:4" ht="13.8">
      <c r="B49" s="58">
        <v>10209</v>
      </c>
      <c r="C49" s="59" t="s">
        <v>291</v>
      </c>
      <c r="D49" s="87">
        <v>0</v>
      </c>
    </row>
    <row r="50" spans="2:4" ht="13.8">
      <c r="B50" s="68">
        <v>10210</v>
      </c>
      <c r="C50" s="69" t="s">
        <v>292</v>
      </c>
      <c r="D50" s="88">
        <v>6</v>
      </c>
    </row>
    <row r="51" spans="2:4" ht="13.8">
      <c r="B51" s="58">
        <v>10211</v>
      </c>
      <c r="C51" s="59" t="s">
        <v>76</v>
      </c>
      <c r="D51" s="87">
        <v>0</v>
      </c>
    </row>
    <row r="52" spans="2:4" ht="13.8">
      <c r="B52" s="68">
        <v>10212</v>
      </c>
      <c r="C52" s="69" t="s">
        <v>293</v>
      </c>
      <c r="D52" s="88">
        <v>0</v>
      </c>
    </row>
    <row r="53" spans="2:4" ht="13.8">
      <c r="B53" s="58">
        <v>10213</v>
      </c>
      <c r="C53" s="59" t="s">
        <v>294</v>
      </c>
      <c r="D53" s="87">
        <v>0</v>
      </c>
    </row>
    <row r="54" spans="2:4" ht="13.8">
      <c r="B54" s="68">
        <v>10214</v>
      </c>
      <c r="C54" s="69" t="s">
        <v>295</v>
      </c>
      <c r="D54" s="88">
        <v>0</v>
      </c>
    </row>
    <row r="55" spans="2:4" ht="13.8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3.8">
      <c r="B57" s="58">
        <v>10217</v>
      </c>
      <c r="C57" s="59" t="s">
        <v>298</v>
      </c>
      <c r="D57" s="87">
        <v>0</v>
      </c>
    </row>
    <row r="58" spans="2:4" ht="13.8">
      <c r="B58" s="68">
        <v>10218</v>
      </c>
      <c r="C58" s="69" t="s">
        <v>299</v>
      </c>
      <c r="D58" s="88">
        <v>0</v>
      </c>
    </row>
    <row r="59" spans="2:4" ht="13.8">
      <c r="B59" s="58">
        <v>10219</v>
      </c>
      <c r="C59" s="59" t="s">
        <v>300</v>
      </c>
      <c r="D59" s="87">
        <v>0</v>
      </c>
    </row>
    <row r="60" spans="2:4" ht="13.8">
      <c r="B60" s="68">
        <v>10220</v>
      </c>
      <c r="C60" s="69" t="s">
        <v>301</v>
      </c>
      <c r="D60" s="88">
        <v>1</v>
      </c>
    </row>
    <row r="61" spans="2:4" ht="13.8">
      <c r="B61" s="58">
        <v>10301</v>
      </c>
      <c r="C61" s="59" t="s">
        <v>302</v>
      </c>
      <c r="D61" s="87">
        <v>4</v>
      </c>
    </row>
    <row r="62" spans="2:4" ht="13.8">
      <c r="B62" s="68">
        <v>10302</v>
      </c>
      <c r="C62" s="69" t="s">
        <v>303</v>
      </c>
      <c r="D62" s="88">
        <v>1</v>
      </c>
    </row>
    <row r="63" spans="2:4" ht="13.8">
      <c r="B63" s="58">
        <v>10303</v>
      </c>
      <c r="C63" s="59" t="s">
        <v>304</v>
      </c>
      <c r="D63" s="87">
        <v>4</v>
      </c>
    </row>
    <row r="64" spans="2:4" ht="13.8">
      <c r="B64" s="68">
        <v>10304</v>
      </c>
      <c r="C64" s="69" t="s">
        <v>305</v>
      </c>
      <c r="D64" s="88">
        <v>0</v>
      </c>
    </row>
    <row r="65" spans="2:4" ht="13.8">
      <c r="B65" s="58">
        <v>10305</v>
      </c>
      <c r="C65" s="59" t="s">
        <v>306</v>
      </c>
      <c r="D65" s="87">
        <v>20</v>
      </c>
    </row>
    <row r="66" spans="2:4" ht="13.8">
      <c r="B66" s="68">
        <v>10306</v>
      </c>
      <c r="C66" s="69" t="s">
        <v>307</v>
      </c>
      <c r="D66" s="88">
        <v>4</v>
      </c>
    </row>
    <row r="67" spans="2:4" ht="13.8">
      <c r="B67" s="58">
        <v>10307</v>
      </c>
      <c r="C67" s="59" t="s">
        <v>74</v>
      </c>
      <c r="D67" s="87">
        <v>26</v>
      </c>
    </row>
    <row r="68" spans="2:4" ht="13.8">
      <c r="B68" s="68">
        <v>10308</v>
      </c>
      <c r="C68" s="69" t="s">
        <v>308</v>
      </c>
      <c r="D68" s="88">
        <v>53</v>
      </c>
    </row>
    <row r="69" spans="2:4" ht="13.8">
      <c r="B69" s="58">
        <v>10309</v>
      </c>
      <c r="C69" s="59" t="s">
        <v>309</v>
      </c>
      <c r="D69" s="87">
        <v>3</v>
      </c>
    </row>
    <row r="70" spans="2:4" ht="13.8">
      <c r="B70" s="68">
        <v>10310</v>
      </c>
      <c r="C70" s="69" t="s">
        <v>310</v>
      </c>
      <c r="D70" s="88">
        <v>46</v>
      </c>
    </row>
    <row r="71" spans="2:4" ht="13.8">
      <c r="B71" s="58">
        <v>10311</v>
      </c>
      <c r="C71" s="59" t="s">
        <v>311</v>
      </c>
      <c r="D71" s="87">
        <v>6</v>
      </c>
    </row>
    <row r="72" spans="2:4" ht="13.8">
      <c r="B72" s="68">
        <v>10312</v>
      </c>
      <c r="C72" s="69" t="s">
        <v>312</v>
      </c>
      <c r="D72" s="88">
        <v>20</v>
      </c>
    </row>
    <row r="73" spans="2:4" ht="13.8">
      <c r="B73" s="58">
        <v>10313</v>
      </c>
      <c r="C73" s="59" t="s">
        <v>313</v>
      </c>
      <c r="D73" s="87">
        <v>0</v>
      </c>
    </row>
    <row r="74" spans="2:4" ht="13.8">
      <c r="B74" s="68">
        <v>10314</v>
      </c>
      <c r="C74" s="69" t="s">
        <v>314</v>
      </c>
      <c r="D74" s="88">
        <v>2</v>
      </c>
    </row>
    <row r="75" spans="2:4" ht="13.8">
      <c r="B75" s="58">
        <v>10315</v>
      </c>
      <c r="C75" s="59" t="s">
        <v>315</v>
      </c>
      <c r="D75" s="87">
        <v>4</v>
      </c>
    </row>
    <row r="76" spans="2:4" ht="13.8">
      <c r="B76" s="68">
        <v>10316</v>
      </c>
      <c r="C76" s="69" t="s">
        <v>316</v>
      </c>
      <c r="D76" s="88">
        <v>16</v>
      </c>
    </row>
    <row r="77" spans="2:4" ht="13.8">
      <c r="B77" s="58">
        <v>10317</v>
      </c>
      <c r="C77" s="59" t="s">
        <v>317</v>
      </c>
      <c r="D77" s="87">
        <v>1</v>
      </c>
    </row>
    <row r="78" spans="2:4" ht="13.8">
      <c r="B78" s="68">
        <v>10318</v>
      </c>
      <c r="C78" s="69" t="s">
        <v>318</v>
      </c>
      <c r="D78" s="88">
        <v>4</v>
      </c>
    </row>
    <row r="79" spans="2:4" ht="13.8">
      <c r="B79" s="58">
        <v>10319</v>
      </c>
      <c r="C79" s="59" t="s">
        <v>80</v>
      </c>
      <c r="D79" s="87">
        <v>0</v>
      </c>
    </row>
    <row r="80" spans="2:4" ht="13.8">
      <c r="B80" s="70">
        <v>20101</v>
      </c>
      <c r="C80" s="71" t="s">
        <v>319</v>
      </c>
      <c r="D80" s="89">
        <v>0</v>
      </c>
    </row>
    <row r="81" spans="2:4" ht="13.8">
      <c r="B81" s="60">
        <v>20102</v>
      </c>
      <c r="C81" s="61" t="s">
        <v>261</v>
      </c>
      <c r="D81" s="87">
        <v>0</v>
      </c>
    </row>
    <row r="82" spans="2:4" ht="13.8">
      <c r="B82" s="70">
        <v>20103</v>
      </c>
      <c r="C82" s="71" t="s">
        <v>78</v>
      </c>
      <c r="D82" s="89">
        <v>14</v>
      </c>
    </row>
    <row r="83" spans="2:4" ht="13.8">
      <c r="B83" s="60">
        <v>20104</v>
      </c>
      <c r="C83" s="61" t="s">
        <v>79</v>
      </c>
      <c r="D83" s="87">
        <v>5</v>
      </c>
    </row>
    <row r="84" spans="2:4" ht="13.8">
      <c r="B84" s="70">
        <v>20105</v>
      </c>
      <c r="C84" s="71" t="s">
        <v>320</v>
      </c>
      <c r="D84" s="89">
        <v>0</v>
      </c>
    </row>
    <row r="85" spans="2:4" ht="13.8">
      <c r="B85" s="60">
        <v>20106</v>
      </c>
      <c r="C85" s="61" t="s">
        <v>321</v>
      </c>
      <c r="D85" s="87">
        <v>0</v>
      </c>
    </row>
    <row r="86" spans="2:4" ht="13.8">
      <c r="B86" s="70">
        <v>20107</v>
      </c>
      <c r="C86" s="71" t="s">
        <v>81</v>
      </c>
      <c r="D86" s="89">
        <v>2</v>
      </c>
    </row>
    <row r="87" spans="2:4" ht="13.8">
      <c r="B87" s="60">
        <v>20108</v>
      </c>
      <c r="C87" s="61" t="s">
        <v>322</v>
      </c>
      <c r="D87" s="87">
        <v>2</v>
      </c>
    </row>
    <row r="88" spans="2:4" ht="13.8">
      <c r="B88" s="70">
        <v>20109</v>
      </c>
      <c r="C88" s="71" t="s">
        <v>323</v>
      </c>
      <c r="D88" s="89">
        <v>2</v>
      </c>
    </row>
    <row r="89" spans="2:4" ht="13.8">
      <c r="B89" s="60">
        <v>20110</v>
      </c>
      <c r="C89" s="61" t="s">
        <v>324</v>
      </c>
      <c r="D89" s="87">
        <v>0</v>
      </c>
    </row>
    <row r="90" spans="2:4" ht="13.8">
      <c r="B90" s="70">
        <v>20111</v>
      </c>
      <c r="C90" s="71" t="s">
        <v>325</v>
      </c>
      <c r="D90" s="89">
        <v>4</v>
      </c>
    </row>
    <row r="91" spans="2:4" ht="13.8">
      <c r="B91" s="60">
        <v>20112</v>
      </c>
      <c r="C91" s="61" t="s">
        <v>326</v>
      </c>
      <c r="D91" s="87">
        <v>0</v>
      </c>
    </row>
    <row r="92" spans="2:4" ht="13.8">
      <c r="B92" s="70">
        <v>20113</v>
      </c>
      <c r="C92" s="71" t="s">
        <v>195</v>
      </c>
      <c r="D92" s="89">
        <v>0</v>
      </c>
    </row>
    <row r="93" spans="2:4" ht="13.8">
      <c r="B93" s="60">
        <v>20114</v>
      </c>
      <c r="C93" s="61" t="s">
        <v>82</v>
      </c>
      <c r="D93" s="87">
        <v>0</v>
      </c>
    </row>
    <row r="94" spans="2:4" ht="13.8">
      <c r="B94" s="70">
        <v>20201</v>
      </c>
      <c r="C94" s="71" t="s">
        <v>83</v>
      </c>
      <c r="D94" s="89">
        <v>0</v>
      </c>
    </row>
    <row r="95" spans="2:4" ht="13.8">
      <c r="B95" s="60">
        <v>20202</v>
      </c>
      <c r="C95" s="61" t="s">
        <v>84</v>
      </c>
      <c r="D95" s="87">
        <v>0</v>
      </c>
    </row>
    <row r="96" spans="2:4" ht="13.8">
      <c r="B96" s="70">
        <v>20203</v>
      </c>
      <c r="C96" s="71" t="s">
        <v>85</v>
      </c>
      <c r="D96" s="89">
        <v>4</v>
      </c>
    </row>
    <row r="97" spans="2:4" ht="13.8">
      <c r="B97" s="60">
        <v>20204</v>
      </c>
      <c r="C97" s="61" t="s">
        <v>86</v>
      </c>
      <c r="D97" s="87">
        <v>0</v>
      </c>
    </row>
    <row r="98" spans="2:4" ht="13.8">
      <c r="B98" s="70">
        <v>20205</v>
      </c>
      <c r="C98" s="71" t="s">
        <v>87</v>
      </c>
      <c r="D98" s="89">
        <v>0</v>
      </c>
    </row>
    <row r="99" spans="2:4" ht="13.8">
      <c r="B99" s="60">
        <v>20206</v>
      </c>
      <c r="C99" s="61" t="s">
        <v>88</v>
      </c>
      <c r="D99" s="87">
        <v>0</v>
      </c>
    </row>
    <row r="100" spans="2:4" ht="13.8">
      <c r="B100" s="70">
        <v>20207</v>
      </c>
      <c r="C100" s="71" t="s">
        <v>89</v>
      </c>
      <c r="D100" s="89">
        <v>0</v>
      </c>
    </row>
    <row r="101" spans="2:4" ht="13.8">
      <c r="B101" s="60">
        <v>20208</v>
      </c>
      <c r="C101" s="61" t="s">
        <v>90</v>
      </c>
      <c r="D101" s="87">
        <v>0</v>
      </c>
    </row>
    <row r="102" spans="2:4" ht="13.8">
      <c r="B102" s="70">
        <v>20209</v>
      </c>
      <c r="C102" s="71" t="s">
        <v>91</v>
      </c>
      <c r="D102" s="89">
        <v>0</v>
      </c>
    </row>
    <row r="103" spans="2:4" ht="13.8">
      <c r="B103" s="60">
        <v>20210</v>
      </c>
      <c r="C103" s="61" t="s">
        <v>192</v>
      </c>
      <c r="D103" s="87">
        <v>6</v>
      </c>
    </row>
    <row r="104" spans="2:4" ht="13.8">
      <c r="B104" s="70">
        <v>20211</v>
      </c>
      <c r="C104" s="71" t="s">
        <v>327</v>
      </c>
      <c r="D104" s="89">
        <v>0</v>
      </c>
    </row>
    <row r="105" spans="2:4" ht="13.8">
      <c r="B105" s="60">
        <v>20212</v>
      </c>
      <c r="C105" s="61" t="s">
        <v>93</v>
      </c>
      <c r="D105" s="87">
        <v>0</v>
      </c>
    </row>
    <row r="106" spans="2:4" ht="13.8">
      <c r="B106" s="70">
        <v>20213</v>
      </c>
      <c r="C106" s="71" t="s">
        <v>94</v>
      </c>
      <c r="D106" s="89">
        <v>0</v>
      </c>
    </row>
    <row r="107" spans="2:4" ht="13.8">
      <c r="B107" s="60">
        <v>20214</v>
      </c>
      <c r="C107" s="61" t="s">
        <v>328</v>
      </c>
      <c r="D107" s="87">
        <v>0</v>
      </c>
    </row>
    <row r="108" spans="2:4" ht="13.8">
      <c r="B108" s="70">
        <v>20301</v>
      </c>
      <c r="C108" s="71" t="s">
        <v>329</v>
      </c>
      <c r="D108" s="89">
        <v>9</v>
      </c>
    </row>
    <row r="109" spans="2:4" ht="13.8">
      <c r="B109" s="60">
        <v>20302</v>
      </c>
      <c r="C109" s="61" t="s">
        <v>330</v>
      </c>
      <c r="D109" s="87">
        <v>1</v>
      </c>
    </row>
    <row r="110" spans="2:4" ht="13.8">
      <c r="B110" s="70">
        <v>20303</v>
      </c>
      <c r="C110" s="71" t="s">
        <v>331</v>
      </c>
      <c r="D110" s="89">
        <v>5</v>
      </c>
    </row>
    <row r="111" spans="2:4" ht="13.8">
      <c r="B111" s="60">
        <v>20304</v>
      </c>
      <c r="C111" s="61" t="s">
        <v>332</v>
      </c>
      <c r="D111" s="87">
        <v>1</v>
      </c>
    </row>
    <row r="112" spans="2:4" ht="13.8">
      <c r="B112" s="70">
        <v>20305</v>
      </c>
      <c r="C112" s="71" t="s">
        <v>333</v>
      </c>
      <c r="D112" s="89">
        <v>0</v>
      </c>
    </row>
    <row r="113" spans="2:4" ht="13.8">
      <c r="B113" s="60">
        <v>20306</v>
      </c>
      <c r="C113" s="61" t="s">
        <v>334</v>
      </c>
      <c r="D113" s="87">
        <v>0</v>
      </c>
    </row>
    <row r="114" spans="2:4" ht="13.8">
      <c r="B114" s="70">
        <v>20307</v>
      </c>
      <c r="C114" s="71" t="s">
        <v>335</v>
      </c>
      <c r="D114" s="89">
        <v>11</v>
      </c>
    </row>
    <row r="115" spans="2:4" ht="13.8">
      <c r="B115" s="60">
        <v>20308</v>
      </c>
      <c r="C115" s="61" t="s">
        <v>336</v>
      </c>
      <c r="D115" s="87">
        <v>71</v>
      </c>
    </row>
    <row r="116" spans="2:4" ht="13.8">
      <c r="B116" s="70">
        <v>20309</v>
      </c>
      <c r="C116" s="71" t="s">
        <v>337</v>
      </c>
      <c r="D116" s="89">
        <v>1</v>
      </c>
    </row>
    <row r="117" spans="2:4" ht="13.8">
      <c r="B117" s="60">
        <v>20310</v>
      </c>
      <c r="C117" s="61" t="s">
        <v>338</v>
      </c>
      <c r="D117" s="87">
        <v>0</v>
      </c>
    </row>
    <row r="118" spans="2:4" ht="13.8">
      <c r="B118" s="70">
        <v>20311</v>
      </c>
      <c r="C118" s="71" t="s">
        <v>339</v>
      </c>
      <c r="D118" s="89">
        <v>42</v>
      </c>
    </row>
    <row r="119" spans="2:4" ht="13.8">
      <c r="B119" s="60">
        <v>20401</v>
      </c>
      <c r="C119" s="61" t="s">
        <v>340</v>
      </c>
      <c r="D119" s="87">
        <v>0</v>
      </c>
    </row>
    <row r="120" spans="2:4" ht="13.8">
      <c r="B120" s="70">
        <v>20402</v>
      </c>
      <c r="C120" s="71" t="s">
        <v>341</v>
      </c>
      <c r="D120" s="89">
        <v>0</v>
      </c>
    </row>
    <row r="121" spans="2:4" ht="13.8">
      <c r="B121" s="60">
        <v>20403</v>
      </c>
      <c r="C121" s="61" t="s">
        <v>342</v>
      </c>
      <c r="D121" s="87">
        <v>8</v>
      </c>
    </row>
    <row r="122" spans="2:4" ht="13.8">
      <c r="B122" s="70">
        <v>20404</v>
      </c>
      <c r="C122" s="71" t="s">
        <v>343</v>
      </c>
      <c r="D122" s="89">
        <v>0</v>
      </c>
    </row>
    <row r="123" spans="2:4" ht="13.8">
      <c r="B123" s="64">
        <v>30101</v>
      </c>
      <c r="C123" s="65" t="s">
        <v>344</v>
      </c>
      <c r="D123" s="90">
        <v>5</v>
      </c>
    </row>
    <row r="124" spans="2:4" ht="13.8">
      <c r="B124" s="62">
        <v>30102</v>
      </c>
      <c r="C124" s="63" t="s">
        <v>95</v>
      </c>
      <c r="D124" s="87">
        <v>1</v>
      </c>
    </row>
    <row r="125" spans="2:4" ht="13.8">
      <c r="B125" s="64">
        <v>30103</v>
      </c>
      <c r="C125" s="65" t="s">
        <v>75</v>
      </c>
      <c r="D125" s="90">
        <v>26</v>
      </c>
    </row>
    <row r="126" spans="2:4" ht="13.8">
      <c r="B126" s="62">
        <v>30201</v>
      </c>
      <c r="C126" s="63" t="s">
        <v>96</v>
      </c>
      <c r="D126" s="87">
        <v>0</v>
      </c>
    </row>
    <row r="127" spans="2:4" ht="13.8">
      <c r="B127" s="64">
        <v>30202</v>
      </c>
      <c r="C127" s="65" t="s">
        <v>415</v>
      </c>
      <c r="D127" s="90">
        <v>0</v>
      </c>
    </row>
    <row r="128" spans="2:4" ht="13.8">
      <c r="B128" s="62">
        <v>30203</v>
      </c>
      <c r="C128" s="63" t="s">
        <v>345</v>
      </c>
      <c r="D128" s="87">
        <v>0</v>
      </c>
    </row>
    <row r="129" spans="2:4" ht="13.8">
      <c r="B129" s="64">
        <v>30204</v>
      </c>
      <c r="C129" s="65" t="s">
        <v>98</v>
      </c>
      <c r="D129" s="90">
        <v>5</v>
      </c>
    </row>
    <row r="130" spans="2:4" ht="13.8">
      <c r="B130" s="62">
        <v>30205</v>
      </c>
      <c r="C130" s="63" t="s">
        <v>346</v>
      </c>
      <c r="D130" s="87">
        <v>0</v>
      </c>
    </row>
    <row r="131" spans="2:4" ht="13.8">
      <c r="B131" s="64">
        <v>30206</v>
      </c>
      <c r="C131" s="65" t="s">
        <v>347</v>
      </c>
      <c r="D131" s="90">
        <v>1</v>
      </c>
    </row>
    <row r="132" spans="2:4" ht="13.8">
      <c r="B132" s="62">
        <v>30207</v>
      </c>
      <c r="C132" s="63" t="s">
        <v>348</v>
      </c>
      <c r="D132" s="87">
        <v>0</v>
      </c>
    </row>
    <row r="133" spans="2:4" ht="13.8">
      <c r="B133" s="64">
        <v>30301</v>
      </c>
      <c r="C133" s="65" t="s">
        <v>99</v>
      </c>
      <c r="D133" s="90">
        <v>0</v>
      </c>
    </row>
    <row r="134" spans="2:4" ht="13.8">
      <c r="B134" s="62">
        <v>30302</v>
      </c>
      <c r="C134" s="63" t="s">
        <v>100</v>
      </c>
      <c r="D134" s="87">
        <v>1</v>
      </c>
    </row>
    <row r="135" spans="2:4" ht="13.8">
      <c r="B135" s="64">
        <v>30303</v>
      </c>
      <c r="C135" s="65" t="s">
        <v>349</v>
      </c>
      <c r="D135" s="90">
        <v>1</v>
      </c>
    </row>
    <row r="136" spans="2:4" ht="13.8">
      <c r="B136" s="62">
        <v>30304</v>
      </c>
      <c r="C136" s="63" t="s">
        <v>101</v>
      </c>
      <c r="D136" s="87">
        <v>0</v>
      </c>
    </row>
    <row r="137" spans="2:4" ht="13.8">
      <c r="B137" s="64">
        <v>30305</v>
      </c>
      <c r="C137" s="65" t="s">
        <v>102</v>
      </c>
      <c r="D137" s="90">
        <v>2</v>
      </c>
    </row>
    <row r="138" spans="2:4" ht="13.8">
      <c r="B138" s="62">
        <v>30306</v>
      </c>
      <c r="C138" s="63" t="s">
        <v>103</v>
      </c>
      <c r="D138" s="87">
        <v>0</v>
      </c>
    </row>
    <row r="139" spans="2:4" ht="13.8">
      <c r="B139" s="64">
        <v>30307</v>
      </c>
      <c r="C139" s="65" t="s">
        <v>104</v>
      </c>
      <c r="D139" s="90">
        <v>12</v>
      </c>
    </row>
    <row r="140" spans="2:4" ht="13.8">
      <c r="B140" s="62">
        <v>30308</v>
      </c>
      <c r="C140" s="63" t="s">
        <v>350</v>
      </c>
      <c r="D140" s="87">
        <v>3</v>
      </c>
    </row>
    <row r="141" spans="2:4" ht="13.8">
      <c r="B141" s="64">
        <v>30309</v>
      </c>
      <c r="C141" s="65" t="s">
        <v>351</v>
      </c>
      <c r="D141" s="90">
        <v>48</v>
      </c>
    </row>
    <row r="142" spans="2:4" ht="13.8">
      <c r="B142" s="62">
        <v>30310</v>
      </c>
      <c r="C142" s="63" t="s">
        <v>352</v>
      </c>
      <c r="D142" s="87">
        <v>17</v>
      </c>
    </row>
    <row r="143" spans="2:4" ht="13.8">
      <c r="B143" s="64">
        <v>30401</v>
      </c>
      <c r="C143" s="65" t="s">
        <v>353</v>
      </c>
      <c r="D143" s="90">
        <v>139</v>
      </c>
    </row>
    <row r="144" spans="2:4" ht="13.8">
      <c r="B144" s="62">
        <v>30402</v>
      </c>
      <c r="C144" s="63" t="s">
        <v>354</v>
      </c>
      <c r="D144" s="87">
        <v>15</v>
      </c>
    </row>
    <row r="145" spans="2:4" ht="13.8">
      <c r="B145" s="64">
        <v>30403</v>
      </c>
      <c r="C145" s="65" t="s">
        <v>355</v>
      </c>
      <c r="D145" s="90">
        <v>3</v>
      </c>
    </row>
    <row r="146" spans="2:4" ht="13.8">
      <c r="B146" s="62">
        <v>30404</v>
      </c>
      <c r="C146" s="63" t="s">
        <v>105</v>
      </c>
      <c r="D146" s="87">
        <v>11</v>
      </c>
    </row>
    <row r="147" spans="2:4" ht="13.8">
      <c r="B147" s="64">
        <v>30405</v>
      </c>
      <c r="C147" s="65" t="s">
        <v>106</v>
      </c>
      <c r="D147" s="90">
        <v>0</v>
      </c>
    </row>
    <row r="148" spans="2:4" ht="13.8">
      <c r="B148" s="62">
        <v>30406</v>
      </c>
      <c r="C148" s="63" t="s">
        <v>107</v>
      </c>
      <c r="D148" s="87">
        <v>6</v>
      </c>
    </row>
    <row r="149" spans="2:4" ht="13.8">
      <c r="B149" s="64">
        <v>30407</v>
      </c>
      <c r="C149" s="65" t="s">
        <v>356</v>
      </c>
      <c r="D149" s="90">
        <v>10</v>
      </c>
    </row>
    <row r="150" spans="2:4" ht="13.8">
      <c r="B150" s="62">
        <v>30408</v>
      </c>
      <c r="C150" s="63" t="s">
        <v>357</v>
      </c>
      <c r="D150" s="87">
        <v>0</v>
      </c>
    </row>
    <row r="151" spans="2:4" ht="13.8">
      <c r="B151" s="64">
        <v>30409</v>
      </c>
      <c r="C151" s="65" t="s">
        <v>109</v>
      </c>
      <c r="D151" s="90">
        <v>0</v>
      </c>
    </row>
    <row r="152" spans="2:4" ht="13.8">
      <c r="B152" s="62">
        <v>30410</v>
      </c>
      <c r="C152" s="63" t="s">
        <v>110</v>
      </c>
      <c r="D152" s="87">
        <v>0</v>
      </c>
    </row>
    <row r="153" spans="2:4" ht="13.8">
      <c r="B153" s="64">
        <v>30411</v>
      </c>
      <c r="C153" s="65" t="s">
        <v>358</v>
      </c>
      <c r="D153" s="90">
        <v>1</v>
      </c>
    </row>
    <row r="154" spans="2:4" ht="13.8">
      <c r="B154" s="62">
        <v>30412</v>
      </c>
      <c r="C154" s="63" t="s">
        <v>111</v>
      </c>
      <c r="D154" s="87">
        <v>0</v>
      </c>
    </row>
    <row r="155" spans="2:4" ht="13.8">
      <c r="B155" s="64">
        <v>30413</v>
      </c>
      <c r="C155" s="65" t="s">
        <v>112</v>
      </c>
      <c r="D155" s="90">
        <v>2</v>
      </c>
    </row>
    <row r="156" spans="2:4" ht="13.8">
      <c r="B156" s="62">
        <v>30414</v>
      </c>
      <c r="C156" s="63" t="s">
        <v>113</v>
      </c>
      <c r="D156" s="87">
        <v>12</v>
      </c>
    </row>
    <row r="157" spans="2:4" ht="13.8">
      <c r="B157" s="64">
        <v>30415</v>
      </c>
      <c r="C157" s="65" t="s">
        <v>114</v>
      </c>
      <c r="D157" s="90">
        <v>0</v>
      </c>
    </row>
    <row r="158" spans="2:4" ht="13.8">
      <c r="B158" s="62">
        <v>30416</v>
      </c>
      <c r="C158" s="63" t="s">
        <v>115</v>
      </c>
      <c r="D158" s="87">
        <v>0</v>
      </c>
    </row>
    <row r="159" spans="2:4" ht="13.8">
      <c r="B159" s="64">
        <v>30417</v>
      </c>
      <c r="C159" s="65" t="s">
        <v>116</v>
      </c>
      <c r="D159" s="90">
        <v>0</v>
      </c>
    </row>
    <row r="160" spans="2:4" ht="13.8">
      <c r="B160" s="62">
        <v>30418</v>
      </c>
      <c r="C160" s="63" t="s">
        <v>117</v>
      </c>
      <c r="D160" s="87">
        <v>0</v>
      </c>
    </row>
    <row r="161" spans="2:4" ht="13.8">
      <c r="B161" s="64">
        <v>30419</v>
      </c>
      <c r="C161" s="65" t="s">
        <v>118</v>
      </c>
      <c r="D161" s="90">
        <v>5</v>
      </c>
    </row>
    <row r="162" spans="2:4" ht="13.8">
      <c r="B162" s="62">
        <v>30420</v>
      </c>
      <c r="C162" s="63" t="s">
        <v>119</v>
      </c>
      <c r="D162" s="87">
        <v>11</v>
      </c>
    </row>
    <row r="163" spans="2:4" ht="13.8">
      <c r="B163" s="64">
        <v>30421</v>
      </c>
      <c r="C163" s="65" t="s">
        <v>120</v>
      </c>
      <c r="D163" s="90">
        <v>5</v>
      </c>
    </row>
    <row r="164" spans="2:4" ht="13.8">
      <c r="B164" s="62">
        <v>30422</v>
      </c>
      <c r="C164" s="63" t="s">
        <v>121</v>
      </c>
      <c r="D164" s="87">
        <v>4</v>
      </c>
    </row>
    <row r="165" spans="2:4" ht="13.8">
      <c r="B165" s="64">
        <v>30423</v>
      </c>
      <c r="C165" s="65" t="s">
        <v>122</v>
      </c>
      <c r="D165" s="90">
        <v>1</v>
      </c>
    </row>
    <row r="166" spans="2:4" ht="13.8">
      <c r="B166" s="62">
        <v>30424</v>
      </c>
      <c r="C166" s="63" t="s">
        <v>123</v>
      </c>
      <c r="D166" s="87">
        <v>0</v>
      </c>
    </row>
    <row r="167" spans="2:4" ht="13.8">
      <c r="B167" s="64">
        <v>30425</v>
      </c>
      <c r="C167" s="65" t="s">
        <v>124</v>
      </c>
      <c r="D167" s="90">
        <v>0</v>
      </c>
    </row>
    <row r="168" spans="2:4" ht="13.8">
      <c r="B168" s="62">
        <v>30426</v>
      </c>
      <c r="C168" s="63" t="s">
        <v>125</v>
      </c>
      <c r="D168" s="87">
        <v>0</v>
      </c>
    </row>
    <row r="169" spans="2:4" ht="13.8">
      <c r="B169" s="64">
        <v>30427</v>
      </c>
      <c r="C169" s="65" t="s">
        <v>126</v>
      </c>
      <c r="D169" s="90">
        <v>1</v>
      </c>
    </row>
    <row r="170" spans="2:4" ht="13.8">
      <c r="B170" s="62">
        <v>30428</v>
      </c>
      <c r="C170" s="63" t="s">
        <v>127</v>
      </c>
      <c r="D170" s="87">
        <v>0</v>
      </c>
    </row>
    <row r="171" spans="2:4" ht="13.8">
      <c r="B171" s="64">
        <v>30429</v>
      </c>
      <c r="C171" s="65" t="s">
        <v>128</v>
      </c>
      <c r="D171" s="90">
        <v>8</v>
      </c>
    </row>
    <row r="172" spans="2:4" ht="13.8">
      <c r="B172" s="62">
        <v>30430</v>
      </c>
      <c r="C172" s="63" t="s">
        <v>129</v>
      </c>
      <c r="D172" s="87">
        <v>12</v>
      </c>
    </row>
    <row r="173" spans="2:4" ht="13.8">
      <c r="B173" s="64">
        <v>30431</v>
      </c>
      <c r="C173" s="65" t="s">
        <v>130</v>
      </c>
      <c r="D173" s="90">
        <v>0</v>
      </c>
    </row>
    <row r="174" spans="2:4" ht="13.8">
      <c r="B174" s="62">
        <v>30432</v>
      </c>
      <c r="C174" s="63" t="s">
        <v>131</v>
      </c>
      <c r="D174" s="87">
        <v>0</v>
      </c>
    </row>
    <row r="175" spans="2:4" ht="13.8">
      <c r="B175" s="64">
        <v>30433</v>
      </c>
      <c r="C175" s="65" t="s">
        <v>132</v>
      </c>
      <c r="D175" s="90">
        <v>0</v>
      </c>
    </row>
    <row r="176" spans="2:4" ht="13.8">
      <c r="B176" s="62">
        <v>30434</v>
      </c>
      <c r="C176" s="63" t="s">
        <v>133</v>
      </c>
      <c r="D176" s="87">
        <v>0</v>
      </c>
    </row>
    <row r="177" spans="2:4" ht="13.8">
      <c r="B177" s="64">
        <v>30435</v>
      </c>
      <c r="C177" s="65" t="s">
        <v>134</v>
      </c>
      <c r="D177" s="90">
        <v>0</v>
      </c>
    </row>
    <row r="178" spans="2:4" ht="13.8">
      <c r="B178" s="62">
        <v>30436</v>
      </c>
      <c r="C178" s="63" t="s">
        <v>135</v>
      </c>
      <c r="D178" s="87">
        <v>0</v>
      </c>
    </row>
    <row r="179" spans="2:4" ht="13.8">
      <c r="B179" s="64">
        <v>30437</v>
      </c>
      <c r="C179" s="65" t="s">
        <v>136</v>
      </c>
      <c r="D179" s="90">
        <v>0</v>
      </c>
    </row>
    <row r="180" spans="2:4" ht="13.8">
      <c r="B180" s="62">
        <v>30438</v>
      </c>
      <c r="C180" s="63" t="s">
        <v>137</v>
      </c>
      <c r="D180" s="87">
        <v>0</v>
      </c>
    </row>
    <row r="181" spans="2:4" ht="13.8">
      <c r="B181" s="64">
        <v>30439</v>
      </c>
      <c r="C181" s="65" t="s">
        <v>138</v>
      </c>
      <c r="D181" s="90">
        <v>0</v>
      </c>
    </row>
    <row r="182" spans="2:4" ht="13.8">
      <c r="B182" s="62">
        <v>30440</v>
      </c>
      <c r="C182" s="63" t="s">
        <v>359</v>
      </c>
      <c r="D182" s="87">
        <v>1</v>
      </c>
    </row>
    <row r="183" spans="2:4" ht="13.8">
      <c r="B183" s="64">
        <v>30441</v>
      </c>
      <c r="C183" s="65" t="s">
        <v>360</v>
      </c>
      <c r="D183" s="90">
        <v>0</v>
      </c>
    </row>
    <row r="184" spans="2:4" ht="13.8">
      <c r="B184" s="62">
        <v>30442</v>
      </c>
      <c r="C184" s="63" t="s">
        <v>361</v>
      </c>
      <c r="D184" s="87">
        <v>0</v>
      </c>
    </row>
    <row r="185" spans="2:4" ht="13.8">
      <c r="B185" s="64">
        <v>30443</v>
      </c>
      <c r="C185" s="65" t="s">
        <v>362</v>
      </c>
      <c r="D185" s="90">
        <v>0</v>
      </c>
    </row>
    <row r="186" spans="2:4" ht="13.8">
      <c r="B186" s="62">
        <v>30444</v>
      </c>
      <c r="C186" s="63" t="s">
        <v>363</v>
      </c>
      <c r="D186" s="87">
        <v>0</v>
      </c>
    </row>
    <row r="187" spans="2:4" ht="13.8">
      <c r="B187" s="64">
        <v>30445</v>
      </c>
      <c r="C187" s="65" t="s">
        <v>364</v>
      </c>
      <c r="D187" s="90">
        <v>0</v>
      </c>
    </row>
    <row r="188" spans="2:4" ht="13.8">
      <c r="B188" s="62">
        <v>30446</v>
      </c>
      <c r="C188" s="63" t="s">
        <v>365</v>
      </c>
      <c r="D188" s="87">
        <v>20</v>
      </c>
    </row>
    <row r="189" spans="2:4" ht="13.8">
      <c r="B189" s="64">
        <v>30501</v>
      </c>
      <c r="C189" s="65" t="s">
        <v>139</v>
      </c>
      <c r="D189" s="90">
        <v>4</v>
      </c>
    </row>
    <row r="190" spans="2:4" ht="13.8">
      <c r="B190" s="62">
        <v>30502</v>
      </c>
      <c r="C190" s="63" t="s">
        <v>140</v>
      </c>
      <c r="D190" s="87">
        <v>109</v>
      </c>
    </row>
    <row r="191" spans="2:4" ht="13.8">
      <c r="B191" s="64">
        <v>30503</v>
      </c>
      <c r="C191" s="65" t="s">
        <v>141</v>
      </c>
      <c r="D191" s="90">
        <v>89</v>
      </c>
    </row>
    <row r="192" spans="2:4" ht="13.8">
      <c r="B192" s="62">
        <v>30504</v>
      </c>
      <c r="C192" s="63" t="s">
        <v>366</v>
      </c>
      <c r="D192" s="87">
        <v>28</v>
      </c>
    </row>
    <row r="193" spans="2:4" ht="13.8">
      <c r="B193" s="64">
        <v>30505</v>
      </c>
      <c r="C193" s="65" t="s">
        <v>367</v>
      </c>
      <c r="D193" s="90">
        <v>11</v>
      </c>
    </row>
    <row r="194" spans="2:4" ht="13.8">
      <c r="B194" s="62">
        <v>30601</v>
      </c>
      <c r="C194" s="63" t="s">
        <v>142</v>
      </c>
      <c r="D194" s="87">
        <v>8</v>
      </c>
    </row>
    <row r="195" spans="2:4" ht="13.8">
      <c r="B195" s="64">
        <v>30602</v>
      </c>
      <c r="C195" s="65" t="s">
        <v>143</v>
      </c>
      <c r="D195" s="90">
        <v>12</v>
      </c>
    </row>
    <row r="196" spans="2:4" ht="13.8">
      <c r="B196" s="62">
        <v>30603</v>
      </c>
      <c r="C196" s="63" t="s">
        <v>144</v>
      </c>
      <c r="D196" s="87">
        <v>3</v>
      </c>
    </row>
    <row r="197" spans="2:4" ht="13.8">
      <c r="B197" s="64">
        <v>30604</v>
      </c>
      <c r="C197" s="65" t="s">
        <v>145</v>
      </c>
      <c r="D197" s="90">
        <v>0</v>
      </c>
    </row>
    <row r="198" spans="2:4" ht="13.8">
      <c r="B198" s="62">
        <v>30605</v>
      </c>
      <c r="C198" s="63" t="s">
        <v>368</v>
      </c>
      <c r="D198" s="87">
        <v>0</v>
      </c>
    </row>
    <row r="199" spans="2:4" ht="13.8">
      <c r="B199" s="64">
        <v>30606</v>
      </c>
      <c r="C199" s="65" t="s">
        <v>369</v>
      </c>
      <c r="D199" s="90">
        <v>5</v>
      </c>
    </row>
    <row r="200" spans="2:4" ht="13.8">
      <c r="B200" s="62">
        <v>30607</v>
      </c>
      <c r="C200" s="63" t="s">
        <v>146</v>
      </c>
      <c r="D200" s="87">
        <v>2</v>
      </c>
    </row>
    <row r="201" spans="2:4" ht="13.8">
      <c r="B201" s="64">
        <v>30608</v>
      </c>
      <c r="C201" s="65" t="s">
        <v>147</v>
      </c>
      <c r="D201" s="90">
        <v>0</v>
      </c>
    </row>
    <row r="202" spans="2:4" ht="13.8">
      <c r="B202" s="62">
        <v>30609</v>
      </c>
      <c r="C202" s="63" t="s">
        <v>370</v>
      </c>
      <c r="D202" s="87">
        <v>1</v>
      </c>
    </row>
    <row r="203" spans="2:4" ht="13.8">
      <c r="B203" s="64">
        <v>30610</v>
      </c>
      <c r="C203" s="65" t="s">
        <v>371</v>
      </c>
      <c r="D203" s="90">
        <v>1</v>
      </c>
    </row>
    <row r="204" spans="2:4" ht="13.8">
      <c r="B204" s="62">
        <v>30611</v>
      </c>
      <c r="C204" s="63" t="s">
        <v>372</v>
      </c>
      <c r="D204" s="87">
        <v>0</v>
      </c>
    </row>
    <row r="205" spans="2:4" ht="13.8">
      <c r="B205" s="64">
        <v>30701</v>
      </c>
      <c r="C205" s="65" t="s">
        <v>148</v>
      </c>
      <c r="D205" s="90">
        <v>5</v>
      </c>
    </row>
    <row r="206" spans="2:4" ht="13.8">
      <c r="B206" s="62">
        <v>30702</v>
      </c>
      <c r="C206" s="63" t="s">
        <v>149</v>
      </c>
      <c r="D206" s="87">
        <v>1</v>
      </c>
    </row>
    <row r="207" spans="2:4" ht="13.8">
      <c r="B207" s="64">
        <v>30703</v>
      </c>
      <c r="C207" s="65" t="s">
        <v>150</v>
      </c>
      <c r="D207" s="90">
        <v>0</v>
      </c>
    </row>
    <row r="208" spans="2:4" ht="13.8">
      <c r="B208" s="62">
        <v>30704</v>
      </c>
      <c r="C208" s="63" t="s">
        <v>151</v>
      </c>
      <c r="D208" s="87">
        <v>0</v>
      </c>
    </row>
    <row r="209" spans="2:4" ht="13.8">
      <c r="B209" s="64">
        <v>30705</v>
      </c>
      <c r="C209" s="65" t="s">
        <v>152</v>
      </c>
      <c r="D209" s="90">
        <v>0</v>
      </c>
    </row>
    <row r="210" spans="2:4" ht="13.8">
      <c r="B210" s="62">
        <v>30706</v>
      </c>
      <c r="C210" s="63" t="s">
        <v>153</v>
      </c>
      <c r="D210" s="87">
        <v>0</v>
      </c>
    </row>
    <row r="211" spans="2:4" ht="13.8">
      <c r="B211" s="64">
        <v>30707</v>
      </c>
      <c r="C211" s="65" t="s">
        <v>154</v>
      </c>
      <c r="D211" s="90">
        <v>0</v>
      </c>
    </row>
    <row r="212" spans="2:4" ht="13.8">
      <c r="B212" s="62">
        <v>30708</v>
      </c>
      <c r="C212" s="63" t="s">
        <v>373</v>
      </c>
      <c r="D212" s="87">
        <v>1</v>
      </c>
    </row>
    <row r="213" spans="2:4" ht="13.8">
      <c r="B213" s="64">
        <v>30709</v>
      </c>
      <c r="C213" s="65" t="s">
        <v>158</v>
      </c>
      <c r="D213" s="90">
        <v>0</v>
      </c>
    </row>
    <row r="214" spans="2:4" ht="13.8">
      <c r="B214" s="62">
        <v>30710</v>
      </c>
      <c r="C214" s="63" t="s">
        <v>374</v>
      </c>
      <c r="D214" s="87">
        <v>0</v>
      </c>
    </row>
    <row r="215" spans="2:4" ht="13.8">
      <c r="B215" s="64">
        <v>30711</v>
      </c>
      <c r="C215" s="65" t="s">
        <v>157</v>
      </c>
      <c r="D215" s="90">
        <v>0</v>
      </c>
    </row>
    <row r="216" spans="2:4" ht="13.8">
      <c r="B216" s="62">
        <v>30801</v>
      </c>
      <c r="C216" s="63" t="s">
        <v>155</v>
      </c>
      <c r="D216" s="87">
        <v>0</v>
      </c>
    </row>
    <row r="217" spans="2:4" ht="13.8">
      <c r="B217" s="64">
        <v>30802</v>
      </c>
      <c r="C217" s="65" t="s">
        <v>156</v>
      </c>
      <c r="D217" s="90">
        <v>0</v>
      </c>
    </row>
    <row r="218" spans="2:4" ht="13.8">
      <c r="B218" s="62">
        <v>30803</v>
      </c>
      <c r="C218" s="63" t="s">
        <v>97</v>
      </c>
      <c r="D218" s="87">
        <v>0</v>
      </c>
    </row>
    <row r="219" spans="2:4" ht="13.8">
      <c r="B219" s="64">
        <v>30804</v>
      </c>
      <c r="C219" s="65" t="s">
        <v>184</v>
      </c>
      <c r="D219" s="90">
        <v>0</v>
      </c>
    </row>
    <row r="220" spans="2:4" ht="13.8">
      <c r="B220" s="62">
        <v>30805</v>
      </c>
      <c r="C220" s="63" t="s">
        <v>174</v>
      </c>
      <c r="D220" s="87">
        <v>0</v>
      </c>
    </row>
    <row r="221" spans="2:4" ht="13.8">
      <c r="B221" s="64">
        <v>30806</v>
      </c>
      <c r="C221" s="65" t="s">
        <v>375</v>
      </c>
      <c r="D221" s="90">
        <v>1</v>
      </c>
    </row>
    <row r="222" spans="2:4" ht="13.8">
      <c r="B222" s="62">
        <v>30807</v>
      </c>
      <c r="C222" s="63" t="s">
        <v>376</v>
      </c>
      <c r="D222" s="87">
        <v>0</v>
      </c>
    </row>
    <row r="223" spans="2:4" ht="13.8">
      <c r="B223" s="64">
        <v>30808</v>
      </c>
      <c r="C223" s="65" t="s">
        <v>171</v>
      </c>
      <c r="D223" s="90">
        <v>0</v>
      </c>
    </row>
    <row r="224" spans="2:4" ht="13.8">
      <c r="B224" s="62">
        <v>30809</v>
      </c>
      <c r="C224" s="63" t="s">
        <v>377</v>
      </c>
      <c r="D224" s="87">
        <v>0</v>
      </c>
    </row>
    <row r="225" spans="2:4" ht="13.8">
      <c r="B225" s="64">
        <v>30810</v>
      </c>
      <c r="C225" s="65" t="s">
        <v>378</v>
      </c>
      <c r="D225" s="90">
        <v>0</v>
      </c>
    </row>
    <row r="226" spans="2:4" ht="13.8">
      <c r="B226" s="62">
        <v>30901</v>
      </c>
      <c r="C226" s="63" t="s">
        <v>379</v>
      </c>
      <c r="D226" s="87">
        <v>1</v>
      </c>
    </row>
    <row r="227" spans="2:4" ht="13.8">
      <c r="B227" s="64">
        <v>30902</v>
      </c>
      <c r="C227" s="65" t="s">
        <v>380</v>
      </c>
      <c r="D227" s="90">
        <v>3</v>
      </c>
    </row>
    <row r="228" spans="2:4" ht="13.8">
      <c r="B228" s="62">
        <v>30903</v>
      </c>
      <c r="C228" s="63" t="s">
        <v>163</v>
      </c>
      <c r="D228" s="87">
        <v>30</v>
      </c>
    </row>
    <row r="229" spans="2:4" ht="13.8">
      <c r="B229" s="64">
        <v>30904</v>
      </c>
      <c r="C229" s="65" t="s">
        <v>183</v>
      </c>
      <c r="D229" s="90">
        <v>109</v>
      </c>
    </row>
    <row r="230" spans="2:4" ht="13.8">
      <c r="B230" s="62">
        <v>30905</v>
      </c>
      <c r="C230" s="63" t="s">
        <v>159</v>
      </c>
      <c r="D230" s="87">
        <v>2</v>
      </c>
    </row>
    <row r="231" spans="2:4" ht="13.8">
      <c r="B231" s="64">
        <v>30906</v>
      </c>
      <c r="C231" s="65" t="s">
        <v>160</v>
      </c>
      <c r="D231" s="90">
        <v>0</v>
      </c>
    </row>
    <row r="232" spans="2:4" ht="13.8">
      <c r="B232" s="62">
        <v>30907</v>
      </c>
      <c r="C232" s="63" t="s">
        <v>161</v>
      </c>
      <c r="D232" s="87">
        <v>200</v>
      </c>
    </row>
    <row r="233" spans="2:4" ht="13.8">
      <c r="B233" s="64">
        <v>30908</v>
      </c>
      <c r="C233" s="65" t="s">
        <v>162</v>
      </c>
      <c r="D233" s="90">
        <v>2</v>
      </c>
    </row>
    <row r="234" spans="2:4" ht="13.8">
      <c r="B234" s="62">
        <v>30909</v>
      </c>
      <c r="C234" s="63" t="s">
        <v>381</v>
      </c>
      <c r="D234" s="87">
        <v>6</v>
      </c>
    </row>
    <row r="235" spans="2:4" ht="13.8">
      <c r="B235" s="64">
        <v>31001</v>
      </c>
      <c r="C235" s="65" t="s">
        <v>164</v>
      </c>
      <c r="D235" s="90">
        <v>14</v>
      </c>
    </row>
    <row r="236" spans="2:4" ht="13.8">
      <c r="B236" s="62">
        <v>31002</v>
      </c>
      <c r="C236" s="63" t="s">
        <v>382</v>
      </c>
      <c r="D236" s="87">
        <v>10</v>
      </c>
    </row>
    <row r="237" spans="2:4" ht="13.8">
      <c r="B237" s="64">
        <v>31003</v>
      </c>
      <c r="C237" s="65" t="s">
        <v>165</v>
      </c>
      <c r="D237" s="90">
        <v>1</v>
      </c>
    </row>
    <row r="238" spans="2:4" ht="13.8">
      <c r="B238" s="62">
        <v>31004</v>
      </c>
      <c r="C238" s="63" t="s">
        <v>166</v>
      </c>
      <c r="D238" s="87">
        <v>1</v>
      </c>
    </row>
    <row r="239" spans="2:4" ht="13.8">
      <c r="B239" s="64">
        <v>31005</v>
      </c>
      <c r="C239" s="65" t="s">
        <v>167</v>
      </c>
      <c r="D239" s="90">
        <v>0</v>
      </c>
    </row>
    <row r="240" spans="2:4" ht="13.8">
      <c r="B240" s="62">
        <v>31006</v>
      </c>
      <c r="C240" s="63" t="s">
        <v>168</v>
      </c>
      <c r="D240" s="87">
        <v>0</v>
      </c>
    </row>
    <row r="241" spans="2:4" ht="13.8">
      <c r="B241" s="64">
        <v>31007</v>
      </c>
      <c r="C241" s="65" t="s">
        <v>169</v>
      </c>
      <c r="D241" s="90">
        <v>0</v>
      </c>
    </row>
    <row r="242" spans="2:4" ht="13.8">
      <c r="B242" s="62">
        <v>31008</v>
      </c>
      <c r="C242" s="63" t="s">
        <v>383</v>
      </c>
      <c r="D242" s="87">
        <v>0</v>
      </c>
    </row>
    <row r="243" spans="2:4" ht="13.8">
      <c r="B243" s="64">
        <v>31009</v>
      </c>
      <c r="C243" s="65" t="s">
        <v>384</v>
      </c>
      <c r="D243" s="90">
        <v>0</v>
      </c>
    </row>
    <row r="244" spans="2:4" ht="13.8">
      <c r="B244" s="62">
        <v>31010</v>
      </c>
      <c r="C244" s="63" t="s">
        <v>92</v>
      </c>
      <c r="D244" s="87">
        <v>1</v>
      </c>
    </row>
    <row r="245" spans="2:4" ht="13.8">
      <c r="B245" s="64">
        <v>31011</v>
      </c>
      <c r="C245" s="65" t="s">
        <v>385</v>
      </c>
      <c r="D245" s="90">
        <v>0</v>
      </c>
    </row>
    <row r="246" spans="2:4" ht="13.8">
      <c r="B246" s="62">
        <v>31012</v>
      </c>
      <c r="C246" s="63" t="s">
        <v>386</v>
      </c>
      <c r="D246" s="87">
        <v>0</v>
      </c>
    </row>
    <row r="247" spans="2:4" ht="13.8">
      <c r="B247" s="64">
        <v>31013</v>
      </c>
      <c r="C247" s="65" t="s">
        <v>387</v>
      </c>
      <c r="D247" s="90">
        <v>0</v>
      </c>
    </row>
    <row r="248" spans="2:4" ht="13.8">
      <c r="B248" s="62">
        <v>31014</v>
      </c>
      <c r="C248" s="63" t="s">
        <v>388</v>
      </c>
      <c r="D248" s="87">
        <v>0</v>
      </c>
    </row>
    <row r="249" spans="2:4" ht="13.8">
      <c r="B249" s="64">
        <v>31015</v>
      </c>
      <c r="C249" s="65" t="s">
        <v>389</v>
      </c>
      <c r="D249" s="90">
        <v>0</v>
      </c>
    </row>
    <row r="250" spans="2:4" ht="13.8">
      <c r="B250" s="62">
        <v>31101</v>
      </c>
      <c r="C250" s="63" t="s">
        <v>172</v>
      </c>
      <c r="D250" s="87">
        <v>127</v>
      </c>
    </row>
    <row r="251" spans="2:4" ht="13.8">
      <c r="B251" s="64">
        <v>31102</v>
      </c>
      <c r="C251" s="65" t="s">
        <v>173</v>
      </c>
      <c r="D251" s="90">
        <v>26</v>
      </c>
    </row>
    <row r="252" spans="2:4" ht="13.8">
      <c r="B252" s="62">
        <v>31103</v>
      </c>
      <c r="C252" s="63" t="s">
        <v>175</v>
      </c>
      <c r="D252" s="87">
        <v>5</v>
      </c>
    </row>
    <row r="253" spans="2:4" ht="13.8">
      <c r="B253" s="64">
        <v>31104</v>
      </c>
      <c r="C253" s="65" t="s">
        <v>176</v>
      </c>
      <c r="D253" s="90">
        <v>19</v>
      </c>
    </row>
    <row r="254" spans="2:4" ht="13.8">
      <c r="B254" s="62">
        <v>31105</v>
      </c>
      <c r="C254" s="63" t="s">
        <v>177</v>
      </c>
      <c r="D254" s="87">
        <v>7</v>
      </c>
    </row>
    <row r="255" spans="2:4" ht="13.8">
      <c r="B255" s="64">
        <v>31106</v>
      </c>
      <c r="C255" s="65" t="s">
        <v>390</v>
      </c>
      <c r="D255" s="90">
        <v>0</v>
      </c>
    </row>
    <row r="256" spans="2:4" ht="13.8">
      <c r="B256" s="62">
        <v>31107</v>
      </c>
      <c r="C256" s="63" t="s">
        <v>391</v>
      </c>
      <c r="D256" s="87">
        <v>3</v>
      </c>
    </row>
    <row r="257" spans="2:4" ht="13.8">
      <c r="B257" s="64">
        <v>31108</v>
      </c>
      <c r="C257" s="65" t="s">
        <v>392</v>
      </c>
      <c r="D257" s="90">
        <v>0</v>
      </c>
    </row>
    <row r="258" spans="2:4" ht="13.8">
      <c r="B258" s="62">
        <v>31109</v>
      </c>
      <c r="C258" s="63" t="s">
        <v>178</v>
      </c>
      <c r="D258" s="87">
        <v>0</v>
      </c>
    </row>
    <row r="259" spans="2:4" ht="13.8">
      <c r="B259" s="64">
        <v>31110</v>
      </c>
      <c r="C259" s="65" t="s">
        <v>179</v>
      </c>
      <c r="D259" s="90">
        <v>0</v>
      </c>
    </row>
    <row r="260" spans="2:4" ht="13.8">
      <c r="B260" s="62">
        <v>31111</v>
      </c>
      <c r="C260" s="63" t="s">
        <v>180</v>
      </c>
      <c r="D260" s="87">
        <v>0</v>
      </c>
    </row>
    <row r="261" spans="2:4" ht="13.8">
      <c r="B261" s="64">
        <v>31112</v>
      </c>
      <c r="C261" s="65" t="s">
        <v>393</v>
      </c>
      <c r="D261" s="90">
        <v>65</v>
      </c>
    </row>
    <row r="262" spans="2:4" ht="13.8">
      <c r="B262" s="62">
        <v>31113</v>
      </c>
      <c r="C262" s="63" t="s">
        <v>181</v>
      </c>
      <c r="D262" s="87">
        <v>5</v>
      </c>
    </row>
    <row r="263" spans="2:4" ht="13.8">
      <c r="B263" s="64">
        <v>31114</v>
      </c>
      <c r="C263" s="65" t="s">
        <v>394</v>
      </c>
      <c r="D263" s="90">
        <v>10</v>
      </c>
    </row>
    <row r="264" spans="2:4" ht="13.8">
      <c r="B264" s="66">
        <v>40101</v>
      </c>
      <c r="C264" s="67" t="s">
        <v>187</v>
      </c>
      <c r="D264" s="91">
        <v>0</v>
      </c>
    </row>
    <row r="265" spans="2:4" ht="13.8">
      <c r="B265" s="62">
        <v>40102</v>
      </c>
      <c r="C265" s="63" t="s">
        <v>395</v>
      </c>
      <c r="D265" s="87">
        <v>2</v>
      </c>
    </row>
    <row r="266" spans="2:4" ht="13.8">
      <c r="B266" s="66">
        <v>40103</v>
      </c>
      <c r="C266" s="67" t="s">
        <v>188</v>
      </c>
      <c r="D266" s="91">
        <v>0</v>
      </c>
    </row>
    <row r="267" spans="2:4" ht="13.8">
      <c r="B267" s="62">
        <v>40104</v>
      </c>
      <c r="C267" s="63" t="s">
        <v>189</v>
      </c>
      <c r="D267" s="87">
        <v>2</v>
      </c>
    </row>
    <row r="268" spans="2:4" ht="13.8">
      <c r="B268" s="66">
        <v>40105</v>
      </c>
      <c r="C268" s="67" t="s">
        <v>191</v>
      </c>
      <c r="D268" s="91">
        <v>0</v>
      </c>
    </row>
    <row r="269" spans="2:4" ht="13.8">
      <c r="B269" s="62">
        <v>40106</v>
      </c>
      <c r="C269" s="63" t="s">
        <v>194</v>
      </c>
      <c r="D269" s="87">
        <v>7</v>
      </c>
    </row>
    <row r="270" spans="2:4" ht="13.8">
      <c r="B270" s="66">
        <v>40107</v>
      </c>
      <c r="C270" s="67" t="s">
        <v>196</v>
      </c>
      <c r="D270" s="91">
        <v>6</v>
      </c>
    </row>
    <row r="271" spans="2:4" ht="13.8">
      <c r="B271" s="62">
        <v>40108</v>
      </c>
      <c r="C271" s="63" t="s">
        <v>197</v>
      </c>
      <c r="D271" s="87">
        <v>0</v>
      </c>
    </row>
    <row r="272" spans="2:4" ht="13.8">
      <c r="B272" s="66">
        <v>40109</v>
      </c>
      <c r="C272" s="67" t="s">
        <v>77</v>
      </c>
      <c r="D272" s="91">
        <v>0</v>
      </c>
    </row>
    <row r="273" spans="2:4" ht="13.8">
      <c r="B273" s="62">
        <v>40110</v>
      </c>
      <c r="C273" s="63" t="s">
        <v>190</v>
      </c>
      <c r="D273" s="87">
        <v>0</v>
      </c>
    </row>
    <row r="274" spans="2:4" ht="13.8">
      <c r="B274" s="72">
        <v>50101</v>
      </c>
      <c r="C274" s="73" t="s">
        <v>396</v>
      </c>
      <c r="D274" s="92">
        <v>0</v>
      </c>
    </row>
    <row r="275" spans="2:4" ht="13.8">
      <c r="B275" s="62">
        <v>50102</v>
      </c>
      <c r="C275" s="63" t="s">
        <v>397</v>
      </c>
      <c r="D275" s="87">
        <v>3</v>
      </c>
    </row>
    <row r="276" spans="2:4" ht="13.8">
      <c r="B276" s="72">
        <v>50103</v>
      </c>
      <c r="C276" s="73" t="s">
        <v>398</v>
      </c>
      <c r="D276" s="92">
        <v>2</v>
      </c>
    </row>
    <row r="277" spans="2:4" ht="13.8">
      <c r="B277" s="62">
        <v>50104</v>
      </c>
      <c r="C277" s="63" t="s">
        <v>108</v>
      </c>
      <c r="D277" s="87">
        <v>0</v>
      </c>
    </row>
    <row r="278" spans="2:4" ht="13.8">
      <c r="B278" s="72">
        <v>50105</v>
      </c>
      <c r="C278" s="73" t="s">
        <v>182</v>
      </c>
      <c r="D278" s="92">
        <v>34</v>
      </c>
    </row>
    <row r="279" spans="2:4" ht="13.8">
      <c r="B279" s="62">
        <v>50106</v>
      </c>
      <c r="C279" s="63" t="s">
        <v>170</v>
      </c>
      <c r="D279" s="87">
        <v>1</v>
      </c>
    </row>
    <row r="280" spans="2:4" ht="13.8">
      <c r="B280" s="72">
        <v>50107</v>
      </c>
      <c r="C280" s="73" t="s">
        <v>399</v>
      </c>
      <c r="D280" s="92">
        <v>11</v>
      </c>
    </row>
    <row r="281" spans="2:4" ht="13.8">
      <c r="B281" s="62">
        <v>50108</v>
      </c>
      <c r="C281" s="63" t="s">
        <v>400</v>
      </c>
      <c r="D281" s="87">
        <v>3</v>
      </c>
    </row>
    <row r="282" spans="2:4" ht="13.8">
      <c r="B282" s="72">
        <v>50201</v>
      </c>
      <c r="C282" s="73" t="s">
        <v>401</v>
      </c>
      <c r="D282" s="92">
        <v>1</v>
      </c>
    </row>
    <row r="283" spans="2:4" ht="13.8">
      <c r="B283" s="62">
        <v>50202</v>
      </c>
      <c r="C283" s="63" t="s">
        <v>402</v>
      </c>
      <c r="D283" s="87">
        <v>0</v>
      </c>
    </row>
    <row r="284" spans="2:4" ht="13.8">
      <c r="B284" s="72">
        <v>50203</v>
      </c>
      <c r="C284" s="73" t="s">
        <v>403</v>
      </c>
      <c r="D284" s="92">
        <v>6</v>
      </c>
    </row>
    <row r="285" spans="2:4" ht="13.8">
      <c r="B285" s="62">
        <v>50301</v>
      </c>
      <c r="C285" s="63" t="s">
        <v>404</v>
      </c>
      <c r="D285" s="87">
        <v>94</v>
      </c>
    </row>
    <row r="286" spans="2:4" ht="13.8">
      <c r="B286" s="72">
        <v>50302</v>
      </c>
      <c r="C286" s="73" t="s">
        <v>405</v>
      </c>
      <c r="D286" s="92">
        <v>2</v>
      </c>
    </row>
    <row r="287" spans="2:4" ht="13.8">
      <c r="B287" s="62">
        <v>50303</v>
      </c>
      <c r="C287" s="63" t="s">
        <v>185</v>
      </c>
      <c r="D287" s="87">
        <v>14</v>
      </c>
    </row>
    <row r="288" spans="2:4" ht="13.8">
      <c r="B288" s="72">
        <v>50304</v>
      </c>
      <c r="C288" s="73" t="s">
        <v>186</v>
      </c>
      <c r="D288" s="92">
        <v>8</v>
      </c>
    </row>
    <row r="289" spans="2:4" ht="13.8">
      <c r="B289" s="62">
        <v>50305</v>
      </c>
      <c r="C289" s="63" t="s">
        <v>406</v>
      </c>
      <c r="D289" s="87">
        <v>4</v>
      </c>
    </row>
    <row r="290" spans="2:4" ht="13.8">
      <c r="B290" s="72">
        <v>50306</v>
      </c>
      <c r="C290" s="73" t="s">
        <v>407</v>
      </c>
      <c r="D290" s="92">
        <v>2</v>
      </c>
    </row>
    <row r="291" spans="2:4" ht="13.8">
      <c r="B291" s="74">
        <v>60101</v>
      </c>
      <c r="C291" s="75" t="s">
        <v>408</v>
      </c>
      <c r="D291" s="93">
        <v>0</v>
      </c>
    </row>
    <row r="292" spans="2:4" ht="13.8">
      <c r="B292" s="62">
        <v>60102</v>
      </c>
      <c r="C292" s="63" t="s">
        <v>193</v>
      </c>
      <c r="D292" s="87">
        <v>0</v>
      </c>
    </row>
    <row r="293" spans="2:4" ht="13.8">
      <c r="B293" s="74">
        <v>60103</v>
      </c>
      <c r="C293" s="75" t="s">
        <v>409</v>
      </c>
      <c r="D293" s="93">
        <v>8</v>
      </c>
    </row>
    <row r="294" spans="2:4" ht="13.8">
      <c r="B294" s="76">
        <v>70101</v>
      </c>
      <c r="C294" s="77" t="s">
        <v>410</v>
      </c>
      <c r="D294" s="94">
        <v>909</v>
      </c>
    </row>
    <row r="295" spans="2:4" ht="13.8">
      <c r="B295" s="62">
        <v>70102</v>
      </c>
      <c r="C295" s="63" t="s">
        <v>198</v>
      </c>
      <c r="D295" s="95">
        <v>38</v>
      </c>
    </row>
    <row r="296" spans="2:4" ht="13.8">
      <c r="B296" s="76">
        <v>70103</v>
      </c>
      <c r="C296" s="77" t="s">
        <v>199</v>
      </c>
      <c r="D296" s="96">
        <v>3165</v>
      </c>
    </row>
    <row r="297" spans="2:4" ht="13.8">
      <c r="B297" s="62">
        <v>70104</v>
      </c>
      <c r="C297" s="63" t="s">
        <v>411</v>
      </c>
      <c r="D297" s="95">
        <v>6019</v>
      </c>
    </row>
    <row r="298" spans="2:4" ht="13.8">
      <c r="B298" s="76">
        <v>70105</v>
      </c>
      <c r="C298" s="77" t="s">
        <v>200</v>
      </c>
      <c r="D298" s="96">
        <v>109</v>
      </c>
    </row>
    <row r="299" spans="2:4" ht="13.8">
      <c r="B299" s="62">
        <v>70106</v>
      </c>
      <c r="C299" s="63" t="s">
        <v>412</v>
      </c>
      <c r="D299" s="95">
        <v>47</v>
      </c>
    </row>
    <row r="300" spans="2:4" ht="13.8">
      <c r="B300" s="76">
        <v>70107</v>
      </c>
      <c r="C300" s="77" t="s">
        <v>413</v>
      </c>
      <c r="D300" s="96">
        <v>1206</v>
      </c>
    </row>
    <row r="301" spans="2:4" ht="14.4" thickBot="1">
      <c r="B301" s="78">
        <v>70108</v>
      </c>
      <c r="C301" s="79" t="s">
        <v>414</v>
      </c>
      <c r="D301" s="95">
        <v>1175</v>
      </c>
    </row>
    <row r="302" spans="2:4" ht="20.100000000000001" customHeight="1" thickBot="1">
      <c r="B302" s="80" t="s">
        <v>1</v>
      </c>
      <c r="C302" s="81"/>
      <c r="D302" s="82">
        <f>SUM(D20:D301)</f>
        <v>14812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2"/>
  <sheetViews>
    <sheetView showGridLines="0" view="pageBreakPreview" topLeftCell="A7" zoomScaleNormal="100" zoomScaleSheetLayoutView="10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44140625" style="17" customWidth="1"/>
    <col min="4" max="4" width="45.44140625" style="25" customWidth="1"/>
    <col min="5" max="5" width="5.33203125" style="17" customWidth="1"/>
    <col min="6" max="7" width="14.886718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242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3.8">
      <c r="B17" s="107" t="s">
        <v>243</v>
      </c>
      <c r="C17" s="108"/>
      <c r="D17" s="50" t="s">
        <v>4</v>
      </c>
    </row>
    <row r="18" spans="2:7" ht="13.8">
      <c r="B18" s="98" t="s">
        <v>244</v>
      </c>
      <c r="C18" s="99"/>
      <c r="D18" s="50" t="s">
        <v>426</v>
      </c>
    </row>
    <row r="19" spans="2:7" ht="13.8">
      <c r="B19" s="51" t="s">
        <v>73</v>
      </c>
      <c r="C19" s="52" t="s">
        <v>72</v>
      </c>
      <c r="D19" s="53" t="s">
        <v>71</v>
      </c>
      <c r="G19" s="29"/>
    </row>
    <row r="20" spans="2:7" ht="13.8">
      <c r="B20" s="68">
        <v>10101</v>
      </c>
      <c r="C20" s="69" t="s">
        <v>262</v>
      </c>
      <c r="D20" s="88">
        <v>0</v>
      </c>
    </row>
    <row r="21" spans="2:7" ht="13.8">
      <c r="B21" s="58">
        <v>10102</v>
      </c>
      <c r="C21" s="59" t="s">
        <v>263</v>
      </c>
      <c r="D21" s="87">
        <v>0</v>
      </c>
    </row>
    <row r="22" spans="2:7" ht="13.8">
      <c r="B22" s="68">
        <v>10103</v>
      </c>
      <c r="C22" s="69" t="s">
        <v>264</v>
      </c>
      <c r="D22" s="88">
        <v>106</v>
      </c>
    </row>
    <row r="23" spans="2:7" ht="13.8">
      <c r="B23" s="58">
        <v>10104</v>
      </c>
      <c r="C23" s="59" t="s">
        <v>265</v>
      </c>
      <c r="D23" s="87">
        <v>61</v>
      </c>
    </row>
    <row r="24" spans="2:7" ht="13.8">
      <c r="B24" s="68">
        <v>10105</v>
      </c>
      <c r="C24" s="69" t="s">
        <v>266</v>
      </c>
      <c r="D24" s="88">
        <v>2</v>
      </c>
    </row>
    <row r="25" spans="2:7" ht="13.8">
      <c r="B25" s="58">
        <v>10106</v>
      </c>
      <c r="C25" s="59" t="s">
        <v>267</v>
      </c>
      <c r="D25" s="87">
        <v>0</v>
      </c>
    </row>
    <row r="26" spans="2:7" ht="13.8">
      <c r="B26" s="68">
        <v>10107</v>
      </c>
      <c r="C26" s="69" t="s">
        <v>268</v>
      </c>
      <c r="D26" s="88">
        <v>3</v>
      </c>
    </row>
    <row r="27" spans="2:7" ht="13.8">
      <c r="B27" s="58">
        <v>10108</v>
      </c>
      <c r="C27" s="59" t="s">
        <v>269</v>
      </c>
      <c r="D27" s="87">
        <v>0</v>
      </c>
    </row>
    <row r="28" spans="2:7" ht="13.8">
      <c r="B28" s="68">
        <v>10109</v>
      </c>
      <c r="C28" s="69" t="s">
        <v>270</v>
      </c>
      <c r="D28" s="88">
        <v>1</v>
      </c>
    </row>
    <row r="29" spans="2:7" ht="13.8">
      <c r="B29" s="58">
        <v>10110</v>
      </c>
      <c r="C29" s="59" t="s">
        <v>271</v>
      </c>
      <c r="D29" s="87">
        <v>1</v>
      </c>
    </row>
    <row r="30" spans="2:7" ht="13.8">
      <c r="B30" s="68">
        <v>10111</v>
      </c>
      <c r="C30" s="69" t="s">
        <v>272</v>
      </c>
      <c r="D30" s="88">
        <v>0</v>
      </c>
    </row>
    <row r="31" spans="2:7" ht="13.8">
      <c r="B31" s="58">
        <v>10112</v>
      </c>
      <c r="C31" s="59" t="s">
        <v>273</v>
      </c>
      <c r="D31" s="87">
        <v>0</v>
      </c>
    </row>
    <row r="32" spans="2:7" ht="13.8">
      <c r="B32" s="68">
        <v>10113</v>
      </c>
      <c r="C32" s="69" t="s">
        <v>274</v>
      </c>
      <c r="D32" s="88">
        <v>0</v>
      </c>
    </row>
    <row r="33" spans="2:4" ht="13.8">
      <c r="B33" s="58">
        <v>10114</v>
      </c>
      <c r="C33" s="59" t="s">
        <v>275</v>
      </c>
      <c r="D33" s="87">
        <v>0</v>
      </c>
    </row>
    <row r="34" spans="2:4" ht="13.8">
      <c r="B34" s="68">
        <v>10115</v>
      </c>
      <c r="C34" s="69" t="s">
        <v>276</v>
      </c>
      <c r="D34" s="88">
        <v>0</v>
      </c>
    </row>
    <row r="35" spans="2:4" ht="13.8">
      <c r="B35" s="58">
        <v>10116</v>
      </c>
      <c r="C35" s="59" t="s">
        <v>277</v>
      </c>
      <c r="D35" s="87">
        <v>16</v>
      </c>
    </row>
    <row r="36" spans="2:4" ht="13.8">
      <c r="B36" s="68">
        <v>10117</v>
      </c>
      <c r="C36" s="69" t="s">
        <v>278</v>
      </c>
      <c r="D36" s="88">
        <v>0</v>
      </c>
    </row>
    <row r="37" spans="2:4" ht="13.8">
      <c r="B37" s="58">
        <v>10118</v>
      </c>
      <c r="C37" s="59" t="s">
        <v>279</v>
      </c>
      <c r="D37" s="87">
        <v>0</v>
      </c>
    </row>
    <row r="38" spans="2:4" ht="13.8">
      <c r="B38" s="68">
        <v>10119</v>
      </c>
      <c r="C38" s="69" t="s">
        <v>280</v>
      </c>
      <c r="D38" s="88">
        <v>0</v>
      </c>
    </row>
    <row r="39" spans="2:4" ht="13.8">
      <c r="B39" s="58">
        <v>10120</v>
      </c>
      <c r="C39" s="59" t="s">
        <v>281</v>
      </c>
      <c r="D39" s="87">
        <v>0</v>
      </c>
    </row>
    <row r="40" spans="2:4" ht="13.8">
      <c r="B40" s="68">
        <v>10121</v>
      </c>
      <c r="C40" s="69" t="s">
        <v>282</v>
      </c>
      <c r="D40" s="88">
        <v>12</v>
      </c>
    </row>
    <row r="41" spans="2:4" ht="13.8">
      <c r="B41" s="58">
        <v>10201</v>
      </c>
      <c r="C41" s="59" t="s">
        <v>283</v>
      </c>
      <c r="D41" s="87">
        <v>0</v>
      </c>
    </row>
    <row r="42" spans="2:4" ht="13.8">
      <c r="B42" s="68">
        <v>10202</v>
      </c>
      <c r="C42" s="69" t="s">
        <v>284</v>
      </c>
      <c r="D42" s="88">
        <v>0</v>
      </c>
    </row>
    <row r="43" spans="2:4" ht="13.8">
      <c r="B43" s="58">
        <v>10203</v>
      </c>
      <c r="C43" s="59" t="s">
        <v>285</v>
      </c>
      <c r="D43" s="87">
        <v>0</v>
      </c>
    </row>
    <row r="44" spans="2:4" ht="13.8">
      <c r="B44" s="68">
        <v>10204</v>
      </c>
      <c r="C44" s="69" t="s">
        <v>286</v>
      </c>
      <c r="D44" s="88">
        <v>39</v>
      </c>
    </row>
    <row r="45" spans="2:4" ht="13.8">
      <c r="B45" s="58">
        <v>10205</v>
      </c>
      <c r="C45" s="59" t="s">
        <v>287</v>
      </c>
      <c r="D45" s="87">
        <v>0</v>
      </c>
    </row>
    <row r="46" spans="2:4" ht="13.8">
      <c r="B46" s="68">
        <v>10206</v>
      </c>
      <c r="C46" s="69" t="s">
        <v>288</v>
      </c>
      <c r="D46" s="88">
        <v>2</v>
      </c>
    </row>
    <row r="47" spans="2:4" ht="13.8">
      <c r="B47" s="58">
        <v>10207</v>
      </c>
      <c r="C47" s="59" t="s">
        <v>289</v>
      </c>
      <c r="D47" s="87">
        <v>1</v>
      </c>
    </row>
    <row r="48" spans="2:4" ht="13.8">
      <c r="B48" s="68">
        <v>10208</v>
      </c>
      <c r="C48" s="69" t="s">
        <v>290</v>
      </c>
      <c r="D48" s="88">
        <v>4</v>
      </c>
    </row>
    <row r="49" spans="2:4" ht="13.8">
      <c r="B49" s="58">
        <v>10209</v>
      </c>
      <c r="C49" s="59" t="s">
        <v>291</v>
      </c>
      <c r="D49" s="87">
        <v>1</v>
      </c>
    </row>
    <row r="50" spans="2:4" ht="13.8">
      <c r="B50" s="68">
        <v>10210</v>
      </c>
      <c r="C50" s="69" t="s">
        <v>292</v>
      </c>
      <c r="D50" s="88">
        <v>0</v>
      </c>
    </row>
    <row r="51" spans="2:4" ht="13.8">
      <c r="B51" s="58">
        <v>10211</v>
      </c>
      <c r="C51" s="59" t="s">
        <v>76</v>
      </c>
      <c r="D51" s="87">
        <v>1</v>
      </c>
    </row>
    <row r="52" spans="2:4" ht="13.8">
      <c r="B52" s="68">
        <v>10212</v>
      </c>
      <c r="C52" s="69" t="s">
        <v>293</v>
      </c>
      <c r="D52" s="88">
        <v>0</v>
      </c>
    </row>
    <row r="53" spans="2:4" ht="13.8">
      <c r="B53" s="58">
        <v>10213</v>
      </c>
      <c r="C53" s="59" t="s">
        <v>294</v>
      </c>
      <c r="D53" s="87">
        <v>0</v>
      </c>
    </row>
    <row r="54" spans="2:4" ht="13.8">
      <c r="B54" s="68">
        <v>10214</v>
      </c>
      <c r="C54" s="69" t="s">
        <v>295</v>
      </c>
      <c r="D54" s="88">
        <v>0</v>
      </c>
    </row>
    <row r="55" spans="2:4" ht="13.8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3.8">
      <c r="B57" s="58">
        <v>10217</v>
      </c>
      <c r="C57" s="59" t="s">
        <v>298</v>
      </c>
      <c r="D57" s="87">
        <v>0</v>
      </c>
    </row>
    <row r="58" spans="2:4" ht="13.8">
      <c r="B58" s="68">
        <v>10218</v>
      </c>
      <c r="C58" s="69" t="s">
        <v>299</v>
      </c>
      <c r="D58" s="88">
        <v>0</v>
      </c>
    </row>
    <row r="59" spans="2:4" ht="13.8">
      <c r="B59" s="58">
        <v>10219</v>
      </c>
      <c r="C59" s="59" t="s">
        <v>300</v>
      </c>
      <c r="D59" s="87">
        <v>0</v>
      </c>
    </row>
    <row r="60" spans="2:4" ht="13.8">
      <c r="B60" s="68">
        <v>10220</v>
      </c>
      <c r="C60" s="69" t="s">
        <v>301</v>
      </c>
      <c r="D60" s="88">
        <v>16</v>
      </c>
    </row>
    <row r="61" spans="2:4" ht="13.8">
      <c r="B61" s="58">
        <v>10301</v>
      </c>
      <c r="C61" s="59" t="s">
        <v>302</v>
      </c>
      <c r="D61" s="87">
        <v>0</v>
      </c>
    </row>
    <row r="62" spans="2:4" ht="13.8">
      <c r="B62" s="68">
        <v>10302</v>
      </c>
      <c r="C62" s="69" t="s">
        <v>303</v>
      </c>
      <c r="D62" s="88">
        <v>1</v>
      </c>
    </row>
    <row r="63" spans="2:4" ht="13.8">
      <c r="B63" s="58">
        <v>10303</v>
      </c>
      <c r="C63" s="59" t="s">
        <v>304</v>
      </c>
      <c r="D63" s="87">
        <v>5</v>
      </c>
    </row>
    <row r="64" spans="2:4" ht="13.8">
      <c r="B64" s="68">
        <v>10304</v>
      </c>
      <c r="C64" s="69" t="s">
        <v>305</v>
      </c>
      <c r="D64" s="88">
        <v>0</v>
      </c>
    </row>
    <row r="65" spans="2:4" ht="13.8">
      <c r="B65" s="58">
        <v>10305</v>
      </c>
      <c r="C65" s="59" t="s">
        <v>306</v>
      </c>
      <c r="D65" s="87">
        <v>31</v>
      </c>
    </row>
    <row r="66" spans="2:4" ht="13.8">
      <c r="B66" s="68">
        <v>10306</v>
      </c>
      <c r="C66" s="69" t="s">
        <v>307</v>
      </c>
      <c r="D66" s="88">
        <v>0</v>
      </c>
    </row>
    <row r="67" spans="2:4" ht="13.8">
      <c r="B67" s="58">
        <v>10307</v>
      </c>
      <c r="C67" s="59" t="s">
        <v>74</v>
      </c>
      <c r="D67" s="87">
        <v>25</v>
      </c>
    </row>
    <row r="68" spans="2:4" ht="13.8">
      <c r="B68" s="68">
        <v>10308</v>
      </c>
      <c r="C68" s="69" t="s">
        <v>308</v>
      </c>
      <c r="D68" s="88">
        <v>66</v>
      </c>
    </row>
    <row r="69" spans="2:4" ht="13.8">
      <c r="B69" s="58">
        <v>10309</v>
      </c>
      <c r="C69" s="59" t="s">
        <v>309</v>
      </c>
      <c r="D69" s="87">
        <v>5</v>
      </c>
    </row>
    <row r="70" spans="2:4" ht="13.8">
      <c r="B70" s="68">
        <v>10310</v>
      </c>
      <c r="C70" s="69" t="s">
        <v>310</v>
      </c>
      <c r="D70" s="88">
        <v>0</v>
      </c>
    </row>
    <row r="71" spans="2:4" ht="13.8">
      <c r="B71" s="58">
        <v>10311</v>
      </c>
      <c r="C71" s="59" t="s">
        <v>311</v>
      </c>
      <c r="D71" s="87">
        <v>14</v>
      </c>
    </row>
    <row r="72" spans="2:4" ht="13.8">
      <c r="B72" s="68">
        <v>10312</v>
      </c>
      <c r="C72" s="69" t="s">
        <v>312</v>
      </c>
      <c r="D72" s="88">
        <v>7</v>
      </c>
    </row>
    <row r="73" spans="2:4" ht="13.8">
      <c r="B73" s="58">
        <v>10313</v>
      </c>
      <c r="C73" s="59" t="s">
        <v>313</v>
      </c>
      <c r="D73" s="87">
        <v>0</v>
      </c>
    </row>
    <row r="74" spans="2:4" ht="13.8">
      <c r="B74" s="68">
        <v>10314</v>
      </c>
      <c r="C74" s="69" t="s">
        <v>314</v>
      </c>
      <c r="D74" s="88">
        <v>9</v>
      </c>
    </row>
    <row r="75" spans="2:4" ht="13.8">
      <c r="B75" s="58">
        <v>10315</v>
      </c>
      <c r="C75" s="59" t="s">
        <v>315</v>
      </c>
      <c r="D75" s="87">
        <v>8</v>
      </c>
    </row>
    <row r="76" spans="2:4" ht="13.8">
      <c r="B76" s="68">
        <v>10316</v>
      </c>
      <c r="C76" s="69" t="s">
        <v>316</v>
      </c>
      <c r="D76" s="88">
        <v>76</v>
      </c>
    </row>
    <row r="77" spans="2:4" ht="13.8">
      <c r="B77" s="58">
        <v>10317</v>
      </c>
      <c r="C77" s="59" t="s">
        <v>317</v>
      </c>
      <c r="D77" s="87">
        <v>1</v>
      </c>
    </row>
    <row r="78" spans="2:4" ht="13.8">
      <c r="B78" s="68">
        <v>10318</v>
      </c>
      <c r="C78" s="69" t="s">
        <v>318</v>
      </c>
      <c r="D78" s="88">
        <v>4</v>
      </c>
    </row>
    <row r="79" spans="2:4" ht="13.8">
      <c r="B79" s="58">
        <v>10319</v>
      </c>
      <c r="C79" s="59" t="s">
        <v>80</v>
      </c>
      <c r="D79" s="87">
        <v>0</v>
      </c>
    </row>
    <row r="80" spans="2:4" ht="13.8">
      <c r="B80" s="70">
        <v>20101</v>
      </c>
      <c r="C80" s="71" t="s">
        <v>319</v>
      </c>
      <c r="D80" s="89">
        <v>0</v>
      </c>
    </row>
    <row r="81" spans="2:4" ht="13.8">
      <c r="B81" s="60">
        <v>20102</v>
      </c>
      <c r="C81" s="61" t="s">
        <v>261</v>
      </c>
      <c r="D81" s="87">
        <v>0</v>
      </c>
    </row>
    <row r="82" spans="2:4" ht="13.8">
      <c r="B82" s="70">
        <v>20103</v>
      </c>
      <c r="C82" s="71" t="s">
        <v>78</v>
      </c>
      <c r="D82" s="89">
        <v>5</v>
      </c>
    </row>
    <row r="83" spans="2:4" ht="13.8">
      <c r="B83" s="60">
        <v>20104</v>
      </c>
      <c r="C83" s="61" t="s">
        <v>79</v>
      </c>
      <c r="D83" s="87">
        <v>4</v>
      </c>
    </row>
    <row r="84" spans="2:4" ht="13.8">
      <c r="B84" s="70">
        <v>20105</v>
      </c>
      <c r="C84" s="71" t="s">
        <v>320</v>
      </c>
      <c r="D84" s="89">
        <v>0</v>
      </c>
    </row>
    <row r="85" spans="2:4" ht="13.8">
      <c r="B85" s="60">
        <v>20106</v>
      </c>
      <c r="C85" s="61" t="s">
        <v>321</v>
      </c>
      <c r="D85" s="87">
        <v>0</v>
      </c>
    </row>
    <row r="86" spans="2:4" ht="13.8">
      <c r="B86" s="70">
        <v>20107</v>
      </c>
      <c r="C86" s="71" t="s">
        <v>81</v>
      </c>
      <c r="D86" s="89">
        <v>1</v>
      </c>
    </row>
    <row r="87" spans="2:4" ht="13.8">
      <c r="B87" s="60">
        <v>20108</v>
      </c>
      <c r="C87" s="61" t="s">
        <v>322</v>
      </c>
      <c r="D87" s="87">
        <v>1</v>
      </c>
    </row>
    <row r="88" spans="2:4" ht="13.8">
      <c r="B88" s="70">
        <v>20109</v>
      </c>
      <c r="C88" s="71" t="s">
        <v>323</v>
      </c>
      <c r="D88" s="89">
        <v>0</v>
      </c>
    </row>
    <row r="89" spans="2:4" ht="13.8">
      <c r="B89" s="60">
        <v>20110</v>
      </c>
      <c r="C89" s="61" t="s">
        <v>324</v>
      </c>
      <c r="D89" s="87">
        <v>0</v>
      </c>
    </row>
    <row r="90" spans="2:4" ht="13.8">
      <c r="B90" s="70">
        <v>20111</v>
      </c>
      <c r="C90" s="71" t="s">
        <v>325</v>
      </c>
      <c r="D90" s="89">
        <v>1</v>
      </c>
    </row>
    <row r="91" spans="2:4" ht="13.8">
      <c r="B91" s="60">
        <v>20112</v>
      </c>
      <c r="C91" s="61" t="s">
        <v>326</v>
      </c>
      <c r="D91" s="87">
        <v>0</v>
      </c>
    </row>
    <row r="92" spans="2:4" ht="13.8">
      <c r="B92" s="70">
        <v>20113</v>
      </c>
      <c r="C92" s="71" t="s">
        <v>195</v>
      </c>
      <c r="D92" s="89">
        <v>0</v>
      </c>
    </row>
    <row r="93" spans="2:4" ht="13.8">
      <c r="B93" s="60">
        <v>20114</v>
      </c>
      <c r="C93" s="61" t="s">
        <v>82</v>
      </c>
      <c r="D93" s="87">
        <v>0</v>
      </c>
    </row>
    <row r="94" spans="2:4" ht="13.8">
      <c r="B94" s="70">
        <v>20201</v>
      </c>
      <c r="C94" s="71" t="s">
        <v>83</v>
      </c>
      <c r="D94" s="89">
        <v>0</v>
      </c>
    </row>
    <row r="95" spans="2:4" ht="13.8">
      <c r="B95" s="60">
        <v>20202</v>
      </c>
      <c r="C95" s="61" t="s">
        <v>84</v>
      </c>
      <c r="D95" s="87">
        <v>0</v>
      </c>
    </row>
    <row r="96" spans="2:4" ht="13.8">
      <c r="B96" s="70">
        <v>20203</v>
      </c>
      <c r="C96" s="71" t="s">
        <v>85</v>
      </c>
      <c r="D96" s="89">
        <v>10</v>
      </c>
    </row>
    <row r="97" spans="2:4" ht="13.8">
      <c r="B97" s="60">
        <v>20204</v>
      </c>
      <c r="C97" s="61" t="s">
        <v>86</v>
      </c>
      <c r="D97" s="87">
        <v>0</v>
      </c>
    </row>
    <row r="98" spans="2:4" ht="13.8">
      <c r="B98" s="70">
        <v>20205</v>
      </c>
      <c r="C98" s="71" t="s">
        <v>87</v>
      </c>
      <c r="D98" s="89">
        <v>0</v>
      </c>
    </row>
    <row r="99" spans="2:4" ht="13.8">
      <c r="B99" s="60">
        <v>20206</v>
      </c>
      <c r="C99" s="61" t="s">
        <v>88</v>
      </c>
      <c r="D99" s="87">
        <v>0</v>
      </c>
    </row>
    <row r="100" spans="2:4" ht="13.8">
      <c r="B100" s="70">
        <v>20207</v>
      </c>
      <c r="C100" s="71" t="s">
        <v>89</v>
      </c>
      <c r="D100" s="89">
        <v>0</v>
      </c>
    </row>
    <row r="101" spans="2:4" ht="13.8">
      <c r="B101" s="60">
        <v>20208</v>
      </c>
      <c r="C101" s="61" t="s">
        <v>90</v>
      </c>
      <c r="D101" s="87">
        <v>0</v>
      </c>
    </row>
    <row r="102" spans="2:4" ht="13.8">
      <c r="B102" s="70">
        <v>20209</v>
      </c>
      <c r="C102" s="71" t="s">
        <v>91</v>
      </c>
      <c r="D102" s="89">
        <v>0</v>
      </c>
    </row>
    <row r="103" spans="2:4" ht="13.8">
      <c r="B103" s="60">
        <v>20210</v>
      </c>
      <c r="C103" s="61" t="s">
        <v>192</v>
      </c>
      <c r="D103" s="87">
        <v>4</v>
      </c>
    </row>
    <row r="104" spans="2:4" ht="13.8">
      <c r="B104" s="70">
        <v>20211</v>
      </c>
      <c r="C104" s="71" t="s">
        <v>327</v>
      </c>
      <c r="D104" s="89">
        <v>0</v>
      </c>
    </row>
    <row r="105" spans="2:4" ht="13.8">
      <c r="B105" s="60">
        <v>20212</v>
      </c>
      <c r="C105" s="61" t="s">
        <v>93</v>
      </c>
      <c r="D105" s="87">
        <v>0</v>
      </c>
    </row>
    <row r="106" spans="2:4" ht="13.8">
      <c r="B106" s="70">
        <v>20213</v>
      </c>
      <c r="C106" s="71" t="s">
        <v>94</v>
      </c>
      <c r="D106" s="89">
        <v>0</v>
      </c>
    </row>
    <row r="107" spans="2:4" ht="13.8">
      <c r="B107" s="60">
        <v>20214</v>
      </c>
      <c r="C107" s="61" t="s">
        <v>328</v>
      </c>
      <c r="D107" s="87">
        <v>0</v>
      </c>
    </row>
    <row r="108" spans="2:4" ht="13.8">
      <c r="B108" s="70">
        <v>20301</v>
      </c>
      <c r="C108" s="71" t="s">
        <v>329</v>
      </c>
      <c r="D108" s="89">
        <v>14</v>
      </c>
    </row>
    <row r="109" spans="2:4" ht="13.8">
      <c r="B109" s="60">
        <v>20302</v>
      </c>
      <c r="C109" s="61" t="s">
        <v>330</v>
      </c>
      <c r="D109" s="87">
        <v>0</v>
      </c>
    </row>
    <row r="110" spans="2:4" ht="13.8">
      <c r="B110" s="70">
        <v>20303</v>
      </c>
      <c r="C110" s="71" t="s">
        <v>331</v>
      </c>
      <c r="D110" s="89">
        <v>8</v>
      </c>
    </row>
    <row r="111" spans="2:4" ht="13.8">
      <c r="B111" s="60">
        <v>20304</v>
      </c>
      <c r="C111" s="61" t="s">
        <v>332</v>
      </c>
      <c r="D111" s="87">
        <v>2</v>
      </c>
    </row>
    <row r="112" spans="2:4" ht="13.8">
      <c r="B112" s="70">
        <v>20305</v>
      </c>
      <c r="C112" s="71" t="s">
        <v>333</v>
      </c>
      <c r="D112" s="89">
        <v>0</v>
      </c>
    </row>
    <row r="113" spans="2:4" ht="13.8">
      <c r="B113" s="60">
        <v>20306</v>
      </c>
      <c r="C113" s="61" t="s">
        <v>334</v>
      </c>
      <c r="D113" s="87">
        <v>0</v>
      </c>
    </row>
    <row r="114" spans="2:4" ht="13.8">
      <c r="B114" s="70">
        <v>20307</v>
      </c>
      <c r="C114" s="71" t="s">
        <v>335</v>
      </c>
      <c r="D114" s="89">
        <v>8</v>
      </c>
    </row>
    <row r="115" spans="2:4" ht="13.8">
      <c r="B115" s="60">
        <v>20308</v>
      </c>
      <c r="C115" s="61" t="s">
        <v>336</v>
      </c>
      <c r="D115" s="87">
        <v>5</v>
      </c>
    </row>
    <row r="116" spans="2:4" ht="13.8">
      <c r="B116" s="70">
        <v>20309</v>
      </c>
      <c r="C116" s="71" t="s">
        <v>337</v>
      </c>
      <c r="D116" s="89">
        <v>0</v>
      </c>
    </row>
    <row r="117" spans="2:4" ht="13.8">
      <c r="B117" s="60">
        <v>20310</v>
      </c>
      <c r="C117" s="61" t="s">
        <v>338</v>
      </c>
      <c r="D117" s="87">
        <v>4</v>
      </c>
    </row>
    <row r="118" spans="2:4" ht="13.8">
      <c r="B118" s="70">
        <v>20311</v>
      </c>
      <c r="C118" s="71" t="s">
        <v>339</v>
      </c>
      <c r="D118" s="89">
        <v>141</v>
      </c>
    </row>
    <row r="119" spans="2:4" ht="13.8">
      <c r="B119" s="60">
        <v>20401</v>
      </c>
      <c r="C119" s="61" t="s">
        <v>340</v>
      </c>
      <c r="D119" s="87">
        <v>0</v>
      </c>
    </row>
    <row r="120" spans="2:4" ht="13.8">
      <c r="B120" s="70">
        <v>20402</v>
      </c>
      <c r="C120" s="71" t="s">
        <v>341</v>
      </c>
      <c r="D120" s="89">
        <v>1</v>
      </c>
    </row>
    <row r="121" spans="2:4" ht="13.8">
      <c r="B121" s="60">
        <v>20403</v>
      </c>
      <c r="C121" s="61" t="s">
        <v>342</v>
      </c>
      <c r="D121" s="87">
        <v>5</v>
      </c>
    </row>
    <row r="122" spans="2:4" ht="13.8">
      <c r="B122" s="70">
        <v>20404</v>
      </c>
      <c r="C122" s="71" t="s">
        <v>343</v>
      </c>
      <c r="D122" s="89">
        <v>0</v>
      </c>
    </row>
    <row r="123" spans="2:4" ht="13.8">
      <c r="B123" s="64">
        <v>30101</v>
      </c>
      <c r="C123" s="65" t="s">
        <v>344</v>
      </c>
      <c r="D123" s="90">
        <v>10</v>
      </c>
    </row>
    <row r="124" spans="2:4" ht="13.8">
      <c r="B124" s="62">
        <v>30102</v>
      </c>
      <c r="C124" s="63" t="s">
        <v>95</v>
      </c>
      <c r="D124" s="87">
        <v>3</v>
      </c>
    </row>
    <row r="125" spans="2:4" ht="13.8">
      <c r="B125" s="64">
        <v>30103</v>
      </c>
      <c r="C125" s="65" t="s">
        <v>75</v>
      </c>
      <c r="D125" s="90">
        <v>25</v>
      </c>
    </row>
    <row r="126" spans="2:4" ht="13.8">
      <c r="B126" s="62">
        <v>30201</v>
      </c>
      <c r="C126" s="63" t="s">
        <v>96</v>
      </c>
      <c r="D126" s="87">
        <v>0</v>
      </c>
    </row>
    <row r="127" spans="2:4" ht="13.8">
      <c r="B127" s="64">
        <v>30202</v>
      </c>
      <c r="C127" s="65" t="s">
        <v>415</v>
      </c>
      <c r="D127" s="90">
        <v>2</v>
      </c>
    </row>
    <row r="128" spans="2:4" ht="13.8">
      <c r="B128" s="62">
        <v>30203</v>
      </c>
      <c r="C128" s="63" t="s">
        <v>345</v>
      </c>
      <c r="D128" s="87">
        <v>0</v>
      </c>
    </row>
    <row r="129" spans="2:4" ht="13.8">
      <c r="B129" s="64">
        <v>30204</v>
      </c>
      <c r="C129" s="65" t="s">
        <v>98</v>
      </c>
      <c r="D129" s="90">
        <v>3</v>
      </c>
    </row>
    <row r="130" spans="2:4" ht="13.8">
      <c r="B130" s="62">
        <v>30205</v>
      </c>
      <c r="C130" s="63" t="s">
        <v>346</v>
      </c>
      <c r="D130" s="87">
        <v>0</v>
      </c>
    </row>
    <row r="131" spans="2:4" ht="13.8">
      <c r="B131" s="64">
        <v>30206</v>
      </c>
      <c r="C131" s="65" t="s">
        <v>347</v>
      </c>
      <c r="D131" s="90">
        <v>0</v>
      </c>
    </row>
    <row r="132" spans="2:4" ht="13.8">
      <c r="B132" s="62">
        <v>30207</v>
      </c>
      <c r="C132" s="63" t="s">
        <v>348</v>
      </c>
      <c r="D132" s="87">
        <v>0</v>
      </c>
    </row>
    <row r="133" spans="2:4" ht="13.8">
      <c r="B133" s="64">
        <v>30301</v>
      </c>
      <c r="C133" s="65" t="s">
        <v>99</v>
      </c>
      <c r="D133" s="90">
        <v>0</v>
      </c>
    </row>
    <row r="134" spans="2:4" ht="13.8">
      <c r="B134" s="62">
        <v>30302</v>
      </c>
      <c r="C134" s="63" t="s">
        <v>100</v>
      </c>
      <c r="D134" s="87">
        <v>2</v>
      </c>
    </row>
    <row r="135" spans="2:4" ht="13.8">
      <c r="B135" s="64">
        <v>30303</v>
      </c>
      <c r="C135" s="65" t="s">
        <v>349</v>
      </c>
      <c r="D135" s="90">
        <v>0</v>
      </c>
    </row>
    <row r="136" spans="2:4" ht="13.8">
      <c r="B136" s="62">
        <v>30304</v>
      </c>
      <c r="C136" s="63" t="s">
        <v>101</v>
      </c>
      <c r="D136" s="87">
        <v>0</v>
      </c>
    </row>
    <row r="137" spans="2:4" ht="13.8">
      <c r="B137" s="64">
        <v>30305</v>
      </c>
      <c r="C137" s="65" t="s">
        <v>102</v>
      </c>
      <c r="D137" s="90">
        <v>4</v>
      </c>
    </row>
    <row r="138" spans="2:4" ht="13.8">
      <c r="B138" s="62">
        <v>30306</v>
      </c>
      <c r="C138" s="63" t="s">
        <v>103</v>
      </c>
      <c r="D138" s="87">
        <v>0</v>
      </c>
    </row>
    <row r="139" spans="2:4" ht="13.8">
      <c r="B139" s="64">
        <v>30307</v>
      </c>
      <c r="C139" s="65" t="s">
        <v>104</v>
      </c>
      <c r="D139" s="90">
        <v>28</v>
      </c>
    </row>
    <row r="140" spans="2:4" ht="13.8">
      <c r="B140" s="62">
        <v>30308</v>
      </c>
      <c r="C140" s="63" t="s">
        <v>350</v>
      </c>
      <c r="D140" s="87">
        <v>5</v>
      </c>
    </row>
    <row r="141" spans="2:4" ht="13.8">
      <c r="B141" s="64">
        <v>30309</v>
      </c>
      <c r="C141" s="65" t="s">
        <v>351</v>
      </c>
      <c r="D141" s="90">
        <v>59</v>
      </c>
    </row>
    <row r="142" spans="2:4" ht="13.8">
      <c r="B142" s="62">
        <v>30310</v>
      </c>
      <c r="C142" s="63" t="s">
        <v>352</v>
      </c>
      <c r="D142" s="87">
        <v>18</v>
      </c>
    </row>
    <row r="143" spans="2:4" ht="13.8">
      <c r="B143" s="64">
        <v>30401</v>
      </c>
      <c r="C143" s="65" t="s">
        <v>353</v>
      </c>
      <c r="D143" s="90">
        <v>82</v>
      </c>
    </row>
    <row r="144" spans="2:4" ht="13.8">
      <c r="B144" s="62">
        <v>30402</v>
      </c>
      <c r="C144" s="63" t="s">
        <v>354</v>
      </c>
      <c r="D144" s="87">
        <v>14</v>
      </c>
    </row>
    <row r="145" spans="2:4" ht="13.8">
      <c r="B145" s="64">
        <v>30403</v>
      </c>
      <c r="C145" s="65" t="s">
        <v>355</v>
      </c>
      <c r="D145" s="90">
        <v>2</v>
      </c>
    </row>
    <row r="146" spans="2:4" ht="13.8">
      <c r="B146" s="62">
        <v>30404</v>
      </c>
      <c r="C146" s="63" t="s">
        <v>105</v>
      </c>
      <c r="D146" s="87">
        <v>9</v>
      </c>
    </row>
    <row r="147" spans="2:4" ht="13.8">
      <c r="B147" s="64">
        <v>30405</v>
      </c>
      <c r="C147" s="65" t="s">
        <v>106</v>
      </c>
      <c r="D147" s="90">
        <v>0</v>
      </c>
    </row>
    <row r="148" spans="2:4" ht="13.8">
      <c r="B148" s="62">
        <v>30406</v>
      </c>
      <c r="C148" s="63" t="s">
        <v>107</v>
      </c>
      <c r="D148" s="87">
        <v>1</v>
      </c>
    </row>
    <row r="149" spans="2:4" ht="13.8">
      <c r="B149" s="64">
        <v>30407</v>
      </c>
      <c r="C149" s="65" t="s">
        <v>356</v>
      </c>
      <c r="D149" s="90">
        <v>4</v>
      </c>
    </row>
    <row r="150" spans="2:4" ht="13.8">
      <c r="B150" s="62">
        <v>30408</v>
      </c>
      <c r="C150" s="63" t="s">
        <v>357</v>
      </c>
      <c r="D150" s="87">
        <v>0</v>
      </c>
    </row>
    <row r="151" spans="2:4" ht="13.8">
      <c r="B151" s="64">
        <v>30409</v>
      </c>
      <c r="C151" s="65" t="s">
        <v>109</v>
      </c>
      <c r="D151" s="90">
        <v>0</v>
      </c>
    </row>
    <row r="152" spans="2:4" ht="13.8">
      <c r="B152" s="62">
        <v>30410</v>
      </c>
      <c r="C152" s="63" t="s">
        <v>110</v>
      </c>
      <c r="D152" s="87">
        <v>0</v>
      </c>
    </row>
    <row r="153" spans="2:4" ht="13.8">
      <c r="B153" s="64">
        <v>30411</v>
      </c>
      <c r="C153" s="65" t="s">
        <v>358</v>
      </c>
      <c r="D153" s="90">
        <v>0</v>
      </c>
    </row>
    <row r="154" spans="2:4" ht="13.8">
      <c r="B154" s="62">
        <v>30412</v>
      </c>
      <c r="C154" s="63" t="s">
        <v>111</v>
      </c>
      <c r="D154" s="87">
        <v>0</v>
      </c>
    </row>
    <row r="155" spans="2:4" ht="13.8">
      <c r="B155" s="64">
        <v>30413</v>
      </c>
      <c r="C155" s="65" t="s">
        <v>112</v>
      </c>
      <c r="D155" s="90">
        <v>1</v>
      </c>
    </row>
    <row r="156" spans="2:4" ht="13.8">
      <c r="B156" s="62">
        <v>30414</v>
      </c>
      <c r="C156" s="63" t="s">
        <v>113</v>
      </c>
      <c r="D156" s="87">
        <v>7</v>
      </c>
    </row>
    <row r="157" spans="2:4" ht="13.8">
      <c r="B157" s="64">
        <v>30415</v>
      </c>
      <c r="C157" s="65" t="s">
        <v>114</v>
      </c>
      <c r="D157" s="90">
        <v>0</v>
      </c>
    </row>
    <row r="158" spans="2:4" ht="13.8">
      <c r="B158" s="62">
        <v>30416</v>
      </c>
      <c r="C158" s="63" t="s">
        <v>115</v>
      </c>
      <c r="D158" s="87">
        <v>0</v>
      </c>
    </row>
    <row r="159" spans="2:4" ht="13.8">
      <c r="B159" s="64">
        <v>30417</v>
      </c>
      <c r="C159" s="65" t="s">
        <v>116</v>
      </c>
      <c r="D159" s="90">
        <v>0</v>
      </c>
    </row>
    <row r="160" spans="2:4" ht="13.8">
      <c r="B160" s="62">
        <v>30418</v>
      </c>
      <c r="C160" s="63" t="s">
        <v>117</v>
      </c>
      <c r="D160" s="87">
        <v>0</v>
      </c>
    </row>
    <row r="161" spans="2:4" ht="13.8">
      <c r="B161" s="64">
        <v>30419</v>
      </c>
      <c r="C161" s="65" t="s">
        <v>118</v>
      </c>
      <c r="D161" s="90">
        <v>4</v>
      </c>
    </row>
    <row r="162" spans="2:4" ht="13.8">
      <c r="B162" s="62">
        <v>30420</v>
      </c>
      <c r="C162" s="63" t="s">
        <v>119</v>
      </c>
      <c r="D162" s="87">
        <v>2</v>
      </c>
    </row>
    <row r="163" spans="2:4" ht="13.8">
      <c r="B163" s="64">
        <v>30421</v>
      </c>
      <c r="C163" s="65" t="s">
        <v>120</v>
      </c>
      <c r="D163" s="90">
        <v>3</v>
      </c>
    </row>
    <row r="164" spans="2:4" ht="13.8">
      <c r="B164" s="62">
        <v>30422</v>
      </c>
      <c r="C164" s="63" t="s">
        <v>121</v>
      </c>
      <c r="D164" s="87">
        <v>3</v>
      </c>
    </row>
    <row r="165" spans="2:4" ht="13.8">
      <c r="B165" s="64">
        <v>30423</v>
      </c>
      <c r="C165" s="65" t="s">
        <v>122</v>
      </c>
      <c r="D165" s="90">
        <v>0</v>
      </c>
    </row>
    <row r="166" spans="2:4" ht="13.8">
      <c r="B166" s="62">
        <v>30424</v>
      </c>
      <c r="C166" s="63" t="s">
        <v>123</v>
      </c>
      <c r="D166" s="87">
        <v>0</v>
      </c>
    </row>
    <row r="167" spans="2:4" ht="13.8">
      <c r="B167" s="64">
        <v>30425</v>
      </c>
      <c r="C167" s="65" t="s">
        <v>124</v>
      </c>
      <c r="D167" s="90">
        <v>0</v>
      </c>
    </row>
    <row r="168" spans="2:4" ht="13.8">
      <c r="B168" s="62">
        <v>30426</v>
      </c>
      <c r="C168" s="63" t="s">
        <v>125</v>
      </c>
      <c r="D168" s="87">
        <v>0</v>
      </c>
    </row>
    <row r="169" spans="2:4" ht="13.8">
      <c r="B169" s="64">
        <v>30427</v>
      </c>
      <c r="C169" s="65" t="s">
        <v>126</v>
      </c>
      <c r="D169" s="90">
        <v>12</v>
      </c>
    </row>
    <row r="170" spans="2:4" ht="13.8">
      <c r="B170" s="62">
        <v>30428</v>
      </c>
      <c r="C170" s="63" t="s">
        <v>127</v>
      </c>
      <c r="D170" s="87">
        <v>1</v>
      </c>
    </row>
    <row r="171" spans="2:4" ht="13.8">
      <c r="B171" s="64">
        <v>30429</v>
      </c>
      <c r="C171" s="65" t="s">
        <v>128</v>
      </c>
      <c r="D171" s="90">
        <v>11</v>
      </c>
    </row>
    <row r="172" spans="2:4" ht="13.8">
      <c r="B172" s="62">
        <v>30430</v>
      </c>
      <c r="C172" s="63" t="s">
        <v>129</v>
      </c>
      <c r="D172" s="87">
        <v>9</v>
      </c>
    </row>
    <row r="173" spans="2:4" ht="13.8">
      <c r="B173" s="64">
        <v>30431</v>
      </c>
      <c r="C173" s="65" t="s">
        <v>130</v>
      </c>
      <c r="D173" s="90">
        <v>0</v>
      </c>
    </row>
    <row r="174" spans="2:4" ht="13.8">
      <c r="B174" s="62">
        <v>30432</v>
      </c>
      <c r="C174" s="63" t="s">
        <v>131</v>
      </c>
      <c r="D174" s="87">
        <v>0</v>
      </c>
    </row>
    <row r="175" spans="2:4" ht="13.8">
      <c r="B175" s="64">
        <v>30433</v>
      </c>
      <c r="C175" s="65" t="s">
        <v>132</v>
      </c>
      <c r="D175" s="90">
        <v>0</v>
      </c>
    </row>
    <row r="176" spans="2:4" ht="13.8">
      <c r="B176" s="62">
        <v>30434</v>
      </c>
      <c r="C176" s="63" t="s">
        <v>133</v>
      </c>
      <c r="D176" s="87">
        <v>0</v>
      </c>
    </row>
    <row r="177" spans="2:4" ht="13.8">
      <c r="B177" s="64">
        <v>30435</v>
      </c>
      <c r="C177" s="65" t="s">
        <v>134</v>
      </c>
      <c r="D177" s="90">
        <v>0</v>
      </c>
    </row>
    <row r="178" spans="2:4" ht="13.8">
      <c r="B178" s="62">
        <v>30436</v>
      </c>
      <c r="C178" s="63" t="s">
        <v>135</v>
      </c>
      <c r="D178" s="87">
        <v>1</v>
      </c>
    </row>
    <row r="179" spans="2:4" ht="13.8">
      <c r="B179" s="64">
        <v>30437</v>
      </c>
      <c r="C179" s="65" t="s">
        <v>136</v>
      </c>
      <c r="D179" s="90">
        <v>0</v>
      </c>
    </row>
    <row r="180" spans="2:4" ht="13.8">
      <c r="B180" s="62">
        <v>30438</v>
      </c>
      <c r="C180" s="63" t="s">
        <v>137</v>
      </c>
      <c r="D180" s="87">
        <v>0</v>
      </c>
    </row>
    <row r="181" spans="2:4" ht="13.8">
      <c r="B181" s="64">
        <v>30439</v>
      </c>
      <c r="C181" s="65" t="s">
        <v>138</v>
      </c>
      <c r="D181" s="90">
        <v>0</v>
      </c>
    </row>
    <row r="182" spans="2:4" ht="13.8">
      <c r="B182" s="62">
        <v>30440</v>
      </c>
      <c r="C182" s="63" t="s">
        <v>359</v>
      </c>
      <c r="D182" s="87">
        <v>0</v>
      </c>
    </row>
    <row r="183" spans="2:4" ht="13.8">
      <c r="B183" s="64">
        <v>30441</v>
      </c>
      <c r="C183" s="65" t="s">
        <v>360</v>
      </c>
      <c r="D183" s="90">
        <v>0</v>
      </c>
    </row>
    <row r="184" spans="2:4" ht="13.8">
      <c r="B184" s="62">
        <v>30442</v>
      </c>
      <c r="C184" s="63" t="s">
        <v>361</v>
      </c>
      <c r="D184" s="87">
        <v>0</v>
      </c>
    </row>
    <row r="185" spans="2:4" ht="13.8">
      <c r="B185" s="64">
        <v>30443</v>
      </c>
      <c r="C185" s="65" t="s">
        <v>362</v>
      </c>
      <c r="D185" s="90">
        <v>0</v>
      </c>
    </row>
    <row r="186" spans="2:4" ht="13.8">
      <c r="B186" s="62">
        <v>30444</v>
      </c>
      <c r="C186" s="63" t="s">
        <v>363</v>
      </c>
      <c r="D186" s="87">
        <v>0</v>
      </c>
    </row>
    <row r="187" spans="2:4" ht="13.8">
      <c r="B187" s="64">
        <v>30445</v>
      </c>
      <c r="C187" s="65" t="s">
        <v>364</v>
      </c>
      <c r="D187" s="90">
        <v>0</v>
      </c>
    </row>
    <row r="188" spans="2:4" ht="13.8">
      <c r="B188" s="62">
        <v>30446</v>
      </c>
      <c r="C188" s="63" t="s">
        <v>365</v>
      </c>
      <c r="D188" s="87">
        <v>6</v>
      </c>
    </row>
    <row r="189" spans="2:4" ht="13.8">
      <c r="B189" s="64">
        <v>30501</v>
      </c>
      <c r="C189" s="65" t="s">
        <v>139</v>
      </c>
      <c r="D189" s="90">
        <v>1</v>
      </c>
    </row>
    <row r="190" spans="2:4" ht="13.8">
      <c r="B190" s="62">
        <v>30502</v>
      </c>
      <c r="C190" s="63" t="s">
        <v>140</v>
      </c>
      <c r="D190" s="87">
        <v>91</v>
      </c>
    </row>
    <row r="191" spans="2:4" ht="13.8">
      <c r="B191" s="64">
        <v>30503</v>
      </c>
      <c r="C191" s="65" t="s">
        <v>141</v>
      </c>
      <c r="D191" s="90">
        <v>87</v>
      </c>
    </row>
    <row r="192" spans="2:4" ht="13.8">
      <c r="B192" s="62">
        <v>30504</v>
      </c>
      <c r="C192" s="63" t="s">
        <v>366</v>
      </c>
      <c r="D192" s="87">
        <v>19</v>
      </c>
    </row>
    <row r="193" spans="2:4" ht="13.8">
      <c r="B193" s="64">
        <v>30505</v>
      </c>
      <c r="C193" s="65" t="s">
        <v>367</v>
      </c>
      <c r="D193" s="90">
        <v>5</v>
      </c>
    </row>
    <row r="194" spans="2:4" ht="13.8">
      <c r="B194" s="62">
        <v>30601</v>
      </c>
      <c r="C194" s="63" t="s">
        <v>142</v>
      </c>
      <c r="D194" s="87">
        <v>8</v>
      </c>
    </row>
    <row r="195" spans="2:4" ht="13.8">
      <c r="B195" s="64">
        <v>30602</v>
      </c>
      <c r="C195" s="65" t="s">
        <v>143</v>
      </c>
      <c r="D195" s="90">
        <v>6</v>
      </c>
    </row>
    <row r="196" spans="2:4" ht="13.8">
      <c r="B196" s="62">
        <v>30603</v>
      </c>
      <c r="C196" s="63" t="s">
        <v>144</v>
      </c>
      <c r="D196" s="87">
        <v>1</v>
      </c>
    </row>
    <row r="197" spans="2:4" ht="13.8">
      <c r="B197" s="64">
        <v>30604</v>
      </c>
      <c r="C197" s="65" t="s">
        <v>145</v>
      </c>
      <c r="D197" s="90">
        <v>0</v>
      </c>
    </row>
    <row r="198" spans="2:4" ht="13.8">
      <c r="B198" s="62">
        <v>30605</v>
      </c>
      <c r="C198" s="63" t="s">
        <v>368</v>
      </c>
      <c r="D198" s="87">
        <v>0</v>
      </c>
    </row>
    <row r="199" spans="2:4" ht="13.8">
      <c r="B199" s="64">
        <v>30606</v>
      </c>
      <c r="C199" s="65" t="s">
        <v>369</v>
      </c>
      <c r="D199" s="90">
        <v>9</v>
      </c>
    </row>
    <row r="200" spans="2:4" ht="13.8">
      <c r="B200" s="62">
        <v>30607</v>
      </c>
      <c r="C200" s="63" t="s">
        <v>146</v>
      </c>
      <c r="D200" s="87">
        <v>4</v>
      </c>
    </row>
    <row r="201" spans="2:4" ht="13.8">
      <c r="B201" s="64">
        <v>30608</v>
      </c>
      <c r="C201" s="65" t="s">
        <v>147</v>
      </c>
      <c r="D201" s="90">
        <v>0</v>
      </c>
    </row>
    <row r="202" spans="2:4" ht="13.8">
      <c r="B202" s="62">
        <v>30609</v>
      </c>
      <c r="C202" s="63" t="s">
        <v>370</v>
      </c>
      <c r="D202" s="87">
        <v>1</v>
      </c>
    </row>
    <row r="203" spans="2:4" ht="13.8">
      <c r="B203" s="64">
        <v>30610</v>
      </c>
      <c r="C203" s="65" t="s">
        <v>371</v>
      </c>
      <c r="D203" s="90">
        <v>0</v>
      </c>
    </row>
    <row r="204" spans="2:4" ht="13.8">
      <c r="B204" s="62">
        <v>30611</v>
      </c>
      <c r="C204" s="63" t="s">
        <v>372</v>
      </c>
      <c r="D204" s="87">
        <v>0</v>
      </c>
    </row>
    <row r="205" spans="2:4" ht="13.8">
      <c r="B205" s="64">
        <v>30701</v>
      </c>
      <c r="C205" s="65" t="s">
        <v>148</v>
      </c>
      <c r="D205" s="90">
        <v>2</v>
      </c>
    </row>
    <row r="206" spans="2:4" ht="13.8">
      <c r="B206" s="62">
        <v>30702</v>
      </c>
      <c r="C206" s="63" t="s">
        <v>149</v>
      </c>
      <c r="D206" s="87">
        <v>2</v>
      </c>
    </row>
    <row r="207" spans="2:4" ht="13.8">
      <c r="B207" s="64">
        <v>30703</v>
      </c>
      <c r="C207" s="65" t="s">
        <v>150</v>
      </c>
      <c r="D207" s="90">
        <v>0</v>
      </c>
    </row>
    <row r="208" spans="2:4" ht="13.8">
      <c r="B208" s="62">
        <v>30704</v>
      </c>
      <c r="C208" s="63" t="s">
        <v>151</v>
      </c>
      <c r="D208" s="87">
        <v>0</v>
      </c>
    </row>
    <row r="209" spans="2:4" ht="13.8">
      <c r="B209" s="64">
        <v>30705</v>
      </c>
      <c r="C209" s="65" t="s">
        <v>152</v>
      </c>
      <c r="D209" s="90">
        <v>0</v>
      </c>
    </row>
    <row r="210" spans="2:4" ht="13.8">
      <c r="B210" s="62">
        <v>30706</v>
      </c>
      <c r="C210" s="63" t="s">
        <v>153</v>
      </c>
      <c r="D210" s="87">
        <v>0</v>
      </c>
    </row>
    <row r="211" spans="2:4" ht="13.8">
      <c r="B211" s="64">
        <v>30707</v>
      </c>
      <c r="C211" s="65" t="s">
        <v>154</v>
      </c>
      <c r="D211" s="90">
        <v>0</v>
      </c>
    </row>
    <row r="212" spans="2:4" ht="13.8">
      <c r="B212" s="62">
        <v>30708</v>
      </c>
      <c r="C212" s="63" t="s">
        <v>373</v>
      </c>
      <c r="D212" s="87">
        <v>0</v>
      </c>
    </row>
    <row r="213" spans="2:4" ht="13.8">
      <c r="B213" s="64">
        <v>30709</v>
      </c>
      <c r="C213" s="65" t="s">
        <v>158</v>
      </c>
      <c r="D213" s="90">
        <v>0</v>
      </c>
    </row>
    <row r="214" spans="2:4" ht="13.8">
      <c r="B214" s="62">
        <v>30710</v>
      </c>
      <c r="C214" s="63" t="s">
        <v>374</v>
      </c>
      <c r="D214" s="87">
        <v>0</v>
      </c>
    </row>
    <row r="215" spans="2:4" ht="13.8">
      <c r="B215" s="64">
        <v>30711</v>
      </c>
      <c r="C215" s="65" t="s">
        <v>157</v>
      </c>
      <c r="D215" s="90">
        <v>0</v>
      </c>
    </row>
    <row r="216" spans="2:4" ht="13.8">
      <c r="B216" s="62">
        <v>30801</v>
      </c>
      <c r="C216" s="63" t="s">
        <v>155</v>
      </c>
      <c r="D216" s="87">
        <v>0</v>
      </c>
    </row>
    <row r="217" spans="2:4" ht="13.8">
      <c r="B217" s="64">
        <v>30802</v>
      </c>
      <c r="C217" s="65" t="s">
        <v>156</v>
      </c>
      <c r="D217" s="90">
        <v>0</v>
      </c>
    </row>
    <row r="218" spans="2:4" ht="13.8">
      <c r="B218" s="62">
        <v>30803</v>
      </c>
      <c r="C218" s="63" t="s">
        <v>97</v>
      </c>
      <c r="D218" s="87">
        <v>0</v>
      </c>
    </row>
    <row r="219" spans="2:4" ht="13.8">
      <c r="B219" s="64">
        <v>30804</v>
      </c>
      <c r="C219" s="65" t="s">
        <v>184</v>
      </c>
      <c r="D219" s="90">
        <v>0</v>
      </c>
    </row>
    <row r="220" spans="2:4" ht="13.8">
      <c r="B220" s="62">
        <v>30805</v>
      </c>
      <c r="C220" s="63" t="s">
        <v>174</v>
      </c>
      <c r="D220" s="87">
        <v>0</v>
      </c>
    </row>
    <row r="221" spans="2:4" ht="13.8">
      <c r="B221" s="64">
        <v>30806</v>
      </c>
      <c r="C221" s="65" t="s">
        <v>375</v>
      </c>
      <c r="D221" s="90">
        <v>0</v>
      </c>
    </row>
    <row r="222" spans="2:4" ht="13.8">
      <c r="B222" s="62">
        <v>30807</v>
      </c>
      <c r="C222" s="63" t="s">
        <v>376</v>
      </c>
      <c r="D222" s="87">
        <v>0</v>
      </c>
    </row>
    <row r="223" spans="2:4" ht="13.8">
      <c r="B223" s="64">
        <v>30808</v>
      </c>
      <c r="C223" s="65" t="s">
        <v>171</v>
      </c>
      <c r="D223" s="90">
        <v>0</v>
      </c>
    </row>
    <row r="224" spans="2:4" ht="13.8">
      <c r="B224" s="62">
        <v>30809</v>
      </c>
      <c r="C224" s="63" t="s">
        <v>377</v>
      </c>
      <c r="D224" s="87">
        <v>0</v>
      </c>
    </row>
    <row r="225" spans="2:4" ht="13.8">
      <c r="B225" s="64">
        <v>30810</v>
      </c>
      <c r="C225" s="65" t="s">
        <v>378</v>
      </c>
      <c r="D225" s="90">
        <v>0</v>
      </c>
    </row>
    <row r="226" spans="2:4" ht="13.8">
      <c r="B226" s="62">
        <v>30901</v>
      </c>
      <c r="C226" s="63" t="s">
        <v>379</v>
      </c>
      <c r="D226" s="87">
        <v>0</v>
      </c>
    </row>
    <row r="227" spans="2:4" ht="13.8">
      <c r="B227" s="64">
        <v>30902</v>
      </c>
      <c r="C227" s="65" t="s">
        <v>380</v>
      </c>
      <c r="D227" s="90">
        <v>1</v>
      </c>
    </row>
    <row r="228" spans="2:4" ht="13.8">
      <c r="B228" s="62">
        <v>30903</v>
      </c>
      <c r="C228" s="63" t="s">
        <v>163</v>
      </c>
      <c r="D228" s="87">
        <v>9</v>
      </c>
    </row>
    <row r="229" spans="2:4" ht="13.8">
      <c r="B229" s="64">
        <v>30904</v>
      </c>
      <c r="C229" s="65" t="s">
        <v>183</v>
      </c>
      <c r="D229" s="90">
        <v>129</v>
      </c>
    </row>
    <row r="230" spans="2:4" ht="13.8">
      <c r="B230" s="62">
        <v>30905</v>
      </c>
      <c r="C230" s="63" t="s">
        <v>159</v>
      </c>
      <c r="D230" s="87">
        <v>0</v>
      </c>
    </row>
    <row r="231" spans="2:4" ht="13.8">
      <c r="B231" s="64">
        <v>30906</v>
      </c>
      <c r="C231" s="65" t="s">
        <v>160</v>
      </c>
      <c r="D231" s="90">
        <v>0</v>
      </c>
    </row>
    <row r="232" spans="2:4" ht="13.8">
      <c r="B232" s="62">
        <v>30907</v>
      </c>
      <c r="C232" s="63" t="s">
        <v>161</v>
      </c>
      <c r="D232" s="87">
        <v>219</v>
      </c>
    </row>
    <row r="233" spans="2:4" ht="13.8">
      <c r="B233" s="64">
        <v>30908</v>
      </c>
      <c r="C233" s="65" t="s">
        <v>162</v>
      </c>
      <c r="D233" s="90">
        <v>4</v>
      </c>
    </row>
    <row r="234" spans="2:4" ht="13.8">
      <c r="B234" s="62">
        <v>30909</v>
      </c>
      <c r="C234" s="63" t="s">
        <v>381</v>
      </c>
      <c r="D234" s="87">
        <v>11</v>
      </c>
    </row>
    <row r="235" spans="2:4" ht="13.8">
      <c r="B235" s="64">
        <v>31001</v>
      </c>
      <c r="C235" s="65" t="s">
        <v>164</v>
      </c>
      <c r="D235" s="90">
        <v>1</v>
      </c>
    </row>
    <row r="236" spans="2:4" ht="13.8">
      <c r="B236" s="62">
        <v>31002</v>
      </c>
      <c r="C236" s="63" t="s">
        <v>382</v>
      </c>
      <c r="D236" s="87">
        <v>4</v>
      </c>
    </row>
    <row r="237" spans="2:4" ht="13.8">
      <c r="B237" s="64">
        <v>31003</v>
      </c>
      <c r="C237" s="65" t="s">
        <v>165</v>
      </c>
      <c r="D237" s="90">
        <v>0</v>
      </c>
    </row>
    <row r="238" spans="2:4" ht="13.8">
      <c r="B238" s="62">
        <v>31004</v>
      </c>
      <c r="C238" s="63" t="s">
        <v>166</v>
      </c>
      <c r="D238" s="87">
        <v>1</v>
      </c>
    </row>
    <row r="239" spans="2:4" ht="13.8">
      <c r="B239" s="64">
        <v>31005</v>
      </c>
      <c r="C239" s="65" t="s">
        <v>167</v>
      </c>
      <c r="D239" s="90">
        <v>0</v>
      </c>
    </row>
    <row r="240" spans="2:4" ht="13.8">
      <c r="B240" s="62">
        <v>31006</v>
      </c>
      <c r="C240" s="63" t="s">
        <v>168</v>
      </c>
      <c r="D240" s="87">
        <v>0</v>
      </c>
    </row>
    <row r="241" spans="2:4" ht="13.8">
      <c r="B241" s="64">
        <v>31007</v>
      </c>
      <c r="C241" s="65" t="s">
        <v>169</v>
      </c>
      <c r="D241" s="90">
        <v>0</v>
      </c>
    </row>
    <row r="242" spans="2:4" ht="13.8">
      <c r="B242" s="62">
        <v>31008</v>
      </c>
      <c r="C242" s="63" t="s">
        <v>383</v>
      </c>
      <c r="D242" s="87">
        <v>0</v>
      </c>
    </row>
    <row r="243" spans="2:4" ht="13.8">
      <c r="B243" s="64">
        <v>31009</v>
      </c>
      <c r="C243" s="65" t="s">
        <v>384</v>
      </c>
      <c r="D243" s="90">
        <v>0</v>
      </c>
    </row>
    <row r="244" spans="2:4" ht="13.8">
      <c r="B244" s="62">
        <v>31010</v>
      </c>
      <c r="C244" s="63" t="s">
        <v>92</v>
      </c>
      <c r="D244" s="87">
        <v>0</v>
      </c>
    </row>
    <row r="245" spans="2:4" ht="13.8">
      <c r="B245" s="64">
        <v>31011</v>
      </c>
      <c r="C245" s="65" t="s">
        <v>385</v>
      </c>
      <c r="D245" s="90">
        <v>0</v>
      </c>
    </row>
    <row r="246" spans="2:4" ht="13.8">
      <c r="B246" s="62">
        <v>31012</v>
      </c>
      <c r="C246" s="63" t="s">
        <v>386</v>
      </c>
      <c r="D246" s="87">
        <v>1</v>
      </c>
    </row>
    <row r="247" spans="2:4" ht="13.8">
      <c r="B247" s="64">
        <v>31013</v>
      </c>
      <c r="C247" s="65" t="s">
        <v>387</v>
      </c>
      <c r="D247" s="90">
        <v>0</v>
      </c>
    </row>
    <row r="248" spans="2:4" ht="13.8">
      <c r="B248" s="62">
        <v>31014</v>
      </c>
      <c r="C248" s="63" t="s">
        <v>388</v>
      </c>
      <c r="D248" s="87">
        <v>0</v>
      </c>
    </row>
    <row r="249" spans="2:4" ht="13.8">
      <c r="B249" s="64">
        <v>31015</v>
      </c>
      <c r="C249" s="65" t="s">
        <v>389</v>
      </c>
      <c r="D249" s="90">
        <v>0</v>
      </c>
    </row>
    <row r="250" spans="2:4" ht="13.8">
      <c r="B250" s="62">
        <v>31101</v>
      </c>
      <c r="C250" s="63" t="s">
        <v>172</v>
      </c>
      <c r="D250" s="87">
        <v>53</v>
      </c>
    </row>
    <row r="251" spans="2:4" ht="13.8">
      <c r="B251" s="64">
        <v>31102</v>
      </c>
      <c r="C251" s="65" t="s">
        <v>173</v>
      </c>
      <c r="D251" s="90">
        <v>4</v>
      </c>
    </row>
    <row r="252" spans="2:4" ht="13.8">
      <c r="B252" s="62">
        <v>31103</v>
      </c>
      <c r="C252" s="63" t="s">
        <v>175</v>
      </c>
      <c r="D252" s="87">
        <v>0</v>
      </c>
    </row>
    <row r="253" spans="2:4" ht="13.8">
      <c r="B253" s="64">
        <v>31104</v>
      </c>
      <c r="C253" s="65" t="s">
        <v>176</v>
      </c>
      <c r="D253" s="90">
        <v>1</v>
      </c>
    </row>
    <row r="254" spans="2:4" ht="13.8">
      <c r="B254" s="62">
        <v>31105</v>
      </c>
      <c r="C254" s="63" t="s">
        <v>177</v>
      </c>
      <c r="D254" s="87">
        <v>5</v>
      </c>
    </row>
    <row r="255" spans="2:4" ht="13.8">
      <c r="B255" s="64">
        <v>31106</v>
      </c>
      <c r="C255" s="65" t="s">
        <v>390</v>
      </c>
      <c r="D255" s="90">
        <v>0</v>
      </c>
    </row>
    <row r="256" spans="2:4" ht="13.8">
      <c r="B256" s="62">
        <v>31107</v>
      </c>
      <c r="C256" s="63" t="s">
        <v>391</v>
      </c>
      <c r="D256" s="87">
        <v>0</v>
      </c>
    </row>
    <row r="257" spans="2:4" ht="13.8">
      <c r="B257" s="64">
        <v>31108</v>
      </c>
      <c r="C257" s="65" t="s">
        <v>392</v>
      </c>
      <c r="D257" s="90">
        <v>0</v>
      </c>
    </row>
    <row r="258" spans="2:4" ht="13.8">
      <c r="B258" s="62">
        <v>31109</v>
      </c>
      <c r="C258" s="63" t="s">
        <v>178</v>
      </c>
      <c r="D258" s="87">
        <v>0</v>
      </c>
    </row>
    <row r="259" spans="2:4" ht="13.8">
      <c r="B259" s="64">
        <v>31110</v>
      </c>
      <c r="C259" s="65" t="s">
        <v>179</v>
      </c>
      <c r="D259" s="90">
        <v>0</v>
      </c>
    </row>
    <row r="260" spans="2:4" ht="13.8">
      <c r="B260" s="62">
        <v>31111</v>
      </c>
      <c r="C260" s="63" t="s">
        <v>180</v>
      </c>
      <c r="D260" s="87">
        <v>0</v>
      </c>
    </row>
    <row r="261" spans="2:4" ht="13.8">
      <c r="B261" s="64">
        <v>31112</v>
      </c>
      <c r="C261" s="65" t="s">
        <v>393</v>
      </c>
      <c r="D261" s="90">
        <v>59</v>
      </c>
    </row>
    <row r="262" spans="2:4" ht="13.8">
      <c r="B262" s="62">
        <v>31113</v>
      </c>
      <c r="C262" s="63" t="s">
        <v>181</v>
      </c>
      <c r="D262" s="87">
        <v>14</v>
      </c>
    </row>
    <row r="263" spans="2:4" ht="13.8">
      <c r="B263" s="64">
        <v>31114</v>
      </c>
      <c r="C263" s="65" t="s">
        <v>394</v>
      </c>
      <c r="D263" s="90">
        <v>0</v>
      </c>
    </row>
    <row r="264" spans="2:4" ht="13.8">
      <c r="B264" s="66">
        <v>40101</v>
      </c>
      <c r="C264" s="67" t="s">
        <v>187</v>
      </c>
      <c r="D264" s="91">
        <v>0</v>
      </c>
    </row>
    <row r="265" spans="2:4" ht="13.8">
      <c r="B265" s="62">
        <v>40102</v>
      </c>
      <c r="C265" s="63" t="s">
        <v>395</v>
      </c>
      <c r="D265" s="87">
        <v>4</v>
      </c>
    </row>
    <row r="266" spans="2:4" ht="13.8">
      <c r="B266" s="66">
        <v>40103</v>
      </c>
      <c r="C266" s="67" t="s">
        <v>188</v>
      </c>
      <c r="D266" s="91">
        <v>1</v>
      </c>
    </row>
    <row r="267" spans="2:4" ht="13.8">
      <c r="B267" s="62">
        <v>40104</v>
      </c>
      <c r="C267" s="63" t="s">
        <v>189</v>
      </c>
      <c r="D267" s="87">
        <v>0</v>
      </c>
    </row>
    <row r="268" spans="2:4" ht="13.8">
      <c r="B268" s="66">
        <v>40105</v>
      </c>
      <c r="C268" s="67" t="s">
        <v>191</v>
      </c>
      <c r="D268" s="91">
        <v>1</v>
      </c>
    </row>
    <row r="269" spans="2:4" ht="13.8">
      <c r="B269" s="62">
        <v>40106</v>
      </c>
      <c r="C269" s="63" t="s">
        <v>194</v>
      </c>
      <c r="D269" s="87">
        <v>5</v>
      </c>
    </row>
    <row r="270" spans="2:4" ht="13.8">
      <c r="B270" s="66">
        <v>40107</v>
      </c>
      <c r="C270" s="67" t="s">
        <v>196</v>
      </c>
      <c r="D270" s="91">
        <v>2</v>
      </c>
    </row>
    <row r="271" spans="2:4" ht="13.8">
      <c r="B271" s="62">
        <v>40108</v>
      </c>
      <c r="C271" s="63" t="s">
        <v>197</v>
      </c>
      <c r="D271" s="87">
        <v>0</v>
      </c>
    </row>
    <row r="272" spans="2:4" ht="13.8">
      <c r="B272" s="66">
        <v>40109</v>
      </c>
      <c r="C272" s="67" t="s">
        <v>77</v>
      </c>
      <c r="D272" s="91">
        <v>0</v>
      </c>
    </row>
    <row r="273" spans="2:4" ht="13.8">
      <c r="B273" s="62">
        <v>40110</v>
      </c>
      <c r="C273" s="63" t="s">
        <v>190</v>
      </c>
      <c r="D273" s="87">
        <v>0</v>
      </c>
    </row>
    <row r="274" spans="2:4" ht="13.8">
      <c r="B274" s="72">
        <v>50101</v>
      </c>
      <c r="C274" s="73" t="s">
        <v>396</v>
      </c>
      <c r="D274" s="92">
        <v>0</v>
      </c>
    </row>
    <row r="275" spans="2:4" ht="13.8">
      <c r="B275" s="62">
        <v>50102</v>
      </c>
      <c r="C275" s="63" t="s">
        <v>397</v>
      </c>
      <c r="D275" s="87">
        <v>3</v>
      </c>
    </row>
    <row r="276" spans="2:4" ht="13.8">
      <c r="B276" s="72">
        <v>50103</v>
      </c>
      <c r="C276" s="73" t="s">
        <v>398</v>
      </c>
      <c r="D276" s="92">
        <v>0</v>
      </c>
    </row>
    <row r="277" spans="2:4" ht="13.8">
      <c r="B277" s="62">
        <v>50104</v>
      </c>
      <c r="C277" s="63" t="s">
        <v>108</v>
      </c>
      <c r="D277" s="87">
        <v>0</v>
      </c>
    </row>
    <row r="278" spans="2:4" ht="13.8">
      <c r="B278" s="72">
        <v>50105</v>
      </c>
      <c r="C278" s="73" t="s">
        <v>182</v>
      </c>
      <c r="D278" s="92">
        <v>68</v>
      </c>
    </row>
    <row r="279" spans="2:4" ht="13.8">
      <c r="B279" s="62">
        <v>50106</v>
      </c>
      <c r="C279" s="63" t="s">
        <v>170</v>
      </c>
      <c r="D279" s="87">
        <v>0</v>
      </c>
    </row>
    <row r="280" spans="2:4" ht="13.8">
      <c r="B280" s="72">
        <v>50107</v>
      </c>
      <c r="C280" s="73" t="s">
        <v>399</v>
      </c>
      <c r="D280" s="92">
        <v>6</v>
      </c>
    </row>
    <row r="281" spans="2:4" ht="13.8">
      <c r="B281" s="62">
        <v>50108</v>
      </c>
      <c r="C281" s="63" t="s">
        <v>400</v>
      </c>
      <c r="D281" s="87">
        <v>3</v>
      </c>
    </row>
    <row r="282" spans="2:4" ht="13.8">
      <c r="B282" s="72">
        <v>50201</v>
      </c>
      <c r="C282" s="73" t="s">
        <v>401</v>
      </c>
      <c r="D282" s="92">
        <v>3</v>
      </c>
    </row>
    <row r="283" spans="2:4" ht="13.8">
      <c r="B283" s="62">
        <v>50202</v>
      </c>
      <c r="C283" s="63" t="s">
        <v>402</v>
      </c>
      <c r="D283" s="87">
        <v>0</v>
      </c>
    </row>
    <row r="284" spans="2:4" ht="13.8">
      <c r="B284" s="72">
        <v>50203</v>
      </c>
      <c r="C284" s="73" t="s">
        <v>403</v>
      </c>
      <c r="D284" s="92">
        <v>29</v>
      </c>
    </row>
    <row r="285" spans="2:4" ht="13.8">
      <c r="B285" s="62">
        <v>50301</v>
      </c>
      <c r="C285" s="63" t="s">
        <v>404</v>
      </c>
      <c r="D285" s="87">
        <v>170</v>
      </c>
    </row>
    <row r="286" spans="2:4" ht="13.8">
      <c r="B286" s="72">
        <v>50302</v>
      </c>
      <c r="C286" s="73" t="s">
        <v>405</v>
      </c>
      <c r="D286" s="92">
        <v>1</v>
      </c>
    </row>
    <row r="287" spans="2:4" ht="13.8">
      <c r="B287" s="62">
        <v>50303</v>
      </c>
      <c r="C287" s="63" t="s">
        <v>185</v>
      </c>
      <c r="D287" s="87">
        <v>5</v>
      </c>
    </row>
    <row r="288" spans="2:4" ht="13.8">
      <c r="B288" s="72">
        <v>50304</v>
      </c>
      <c r="C288" s="73" t="s">
        <v>186</v>
      </c>
      <c r="D288" s="92">
        <v>0</v>
      </c>
    </row>
    <row r="289" spans="2:4" ht="13.8">
      <c r="B289" s="62">
        <v>50305</v>
      </c>
      <c r="C289" s="63" t="s">
        <v>406</v>
      </c>
      <c r="D289" s="87">
        <v>1</v>
      </c>
    </row>
    <row r="290" spans="2:4" ht="13.8">
      <c r="B290" s="72">
        <v>50306</v>
      </c>
      <c r="C290" s="73" t="s">
        <v>407</v>
      </c>
      <c r="D290" s="92">
        <v>0</v>
      </c>
    </row>
    <row r="291" spans="2:4" ht="13.8">
      <c r="B291" s="74">
        <v>60101</v>
      </c>
      <c r="C291" s="75" t="s">
        <v>408</v>
      </c>
      <c r="D291" s="93">
        <v>0</v>
      </c>
    </row>
    <row r="292" spans="2:4" ht="13.8">
      <c r="B292" s="62">
        <v>60102</v>
      </c>
      <c r="C292" s="63" t="s">
        <v>193</v>
      </c>
      <c r="D292" s="87">
        <v>0</v>
      </c>
    </row>
    <row r="293" spans="2:4" ht="13.8">
      <c r="B293" s="74">
        <v>60103</v>
      </c>
      <c r="C293" s="75" t="s">
        <v>409</v>
      </c>
      <c r="D293" s="93">
        <v>0</v>
      </c>
    </row>
    <row r="294" spans="2:4" ht="13.8">
      <c r="B294" s="76">
        <v>70101</v>
      </c>
      <c r="C294" s="77" t="s">
        <v>410</v>
      </c>
      <c r="D294" s="94">
        <v>550</v>
      </c>
    </row>
    <row r="295" spans="2:4" ht="13.8">
      <c r="B295" s="62">
        <v>70102</v>
      </c>
      <c r="C295" s="63" t="s">
        <v>198</v>
      </c>
      <c r="D295" s="95">
        <v>225</v>
      </c>
    </row>
    <row r="296" spans="2:4" ht="13.8">
      <c r="B296" s="76">
        <v>70103</v>
      </c>
      <c r="C296" s="77" t="s">
        <v>199</v>
      </c>
      <c r="D296" s="96">
        <v>2040</v>
      </c>
    </row>
    <row r="297" spans="2:4" ht="13.8">
      <c r="B297" s="62">
        <v>70104</v>
      </c>
      <c r="C297" s="63" t="s">
        <v>411</v>
      </c>
      <c r="D297" s="95">
        <v>8401</v>
      </c>
    </row>
    <row r="298" spans="2:4" ht="13.8">
      <c r="B298" s="76">
        <v>70105</v>
      </c>
      <c r="C298" s="77" t="s">
        <v>200</v>
      </c>
      <c r="D298" s="96">
        <v>166</v>
      </c>
    </row>
    <row r="299" spans="2:4" ht="13.8">
      <c r="B299" s="62">
        <v>70106</v>
      </c>
      <c r="C299" s="63" t="s">
        <v>412</v>
      </c>
      <c r="D299" s="95">
        <v>59</v>
      </c>
    </row>
    <row r="300" spans="2:4" ht="13.8">
      <c r="B300" s="76">
        <v>70107</v>
      </c>
      <c r="C300" s="77" t="s">
        <v>413</v>
      </c>
      <c r="D300" s="96">
        <v>361</v>
      </c>
    </row>
    <row r="301" spans="2:4" ht="14.4" thickBot="1">
      <c r="B301" s="78">
        <v>70108</v>
      </c>
      <c r="C301" s="79" t="s">
        <v>414</v>
      </c>
      <c r="D301" s="95">
        <v>1624</v>
      </c>
    </row>
    <row r="302" spans="2:4" ht="20.100000000000001" customHeight="1" thickBot="1">
      <c r="B302" s="80" t="s">
        <v>1</v>
      </c>
      <c r="C302" s="81"/>
      <c r="D302" s="82">
        <f>SUM(D20:D301)</f>
        <v>15543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2"/>
  <sheetViews>
    <sheetView showGridLines="0" view="pageBreakPreview" topLeftCell="A8" zoomScaleNormal="100" zoomScaleSheetLayoutView="10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44140625" style="17" customWidth="1"/>
    <col min="4" max="4" width="45.44140625" style="25" customWidth="1"/>
    <col min="5" max="5" width="5.33203125" style="17" customWidth="1"/>
    <col min="6" max="7" width="14.886718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242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3.8">
      <c r="B17" s="107" t="s">
        <v>243</v>
      </c>
      <c r="C17" s="108"/>
      <c r="D17" s="50" t="s">
        <v>4</v>
      </c>
    </row>
    <row r="18" spans="2:7" ht="13.8">
      <c r="B18" s="98" t="s">
        <v>244</v>
      </c>
      <c r="C18" s="99"/>
      <c r="D18" s="50" t="s">
        <v>423</v>
      </c>
    </row>
    <row r="19" spans="2:7" ht="13.8">
      <c r="B19" s="51" t="s">
        <v>73</v>
      </c>
      <c r="C19" s="52" t="s">
        <v>72</v>
      </c>
      <c r="D19" s="53" t="s">
        <v>71</v>
      </c>
      <c r="G19" s="29"/>
    </row>
    <row r="20" spans="2:7" ht="13.8">
      <c r="B20" s="68">
        <v>10101</v>
      </c>
      <c r="C20" s="69" t="s">
        <v>262</v>
      </c>
      <c r="D20" s="88">
        <v>0</v>
      </c>
    </row>
    <row r="21" spans="2:7" ht="13.8">
      <c r="B21" s="58">
        <v>10102</v>
      </c>
      <c r="C21" s="59" t="s">
        <v>263</v>
      </c>
      <c r="D21" s="87">
        <v>0</v>
      </c>
    </row>
    <row r="22" spans="2:7" ht="13.8">
      <c r="B22" s="68">
        <v>10103</v>
      </c>
      <c r="C22" s="69" t="s">
        <v>264</v>
      </c>
      <c r="D22" s="88">
        <v>69</v>
      </c>
    </row>
    <row r="23" spans="2:7" ht="13.8">
      <c r="B23" s="58">
        <v>10104</v>
      </c>
      <c r="C23" s="59" t="s">
        <v>265</v>
      </c>
      <c r="D23" s="87">
        <v>52</v>
      </c>
    </row>
    <row r="24" spans="2:7" ht="13.8">
      <c r="B24" s="68">
        <v>10105</v>
      </c>
      <c r="C24" s="69" t="s">
        <v>266</v>
      </c>
      <c r="D24" s="88">
        <v>1</v>
      </c>
    </row>
    <row r="25" spans="2:7" ht="13.8">
      <c r="B25" s="58">
        <v>10106</v>
      </c>
      <c r="C25" s="59" t="s">
        <v>267</v>
      </c>
      <c r="D25" s="87">
        <v>0</v>
      </c>
    </row>
    <row r="26" spans="2:7" ht="13.8">
      <c r="B26" s="68">
        <v>10107</v>
      </c>
      <c r="C26" s="69" t="s">
        <v>268</v>
      </c>
      <c r="D26" s="88">
        <v>78</v>
      </c>
    </row>
    <row r="27" spans="2:7" ht="13.8">
      <c r="B27" s="58">
        <v>10108</v>
      </c>
      <c r="C27" s="59" t="s">
        <v>269</v>
      </c>
      <c r="D27" s="87">
        <v>0</v>
      </c>
    </row>
    <row r="28" spans="2:7" ht="13.8">
      <c r="B28" s="68">
        <v>10109</v>
      </c>
      <c r="C28" s="69" t="s">
        <v>270</v>
      </c>
      <c r="D28" s="88">
        <v>1</v>
      </c>
    </row>
    <row r="29" spans="2:7" ht="13.8">
      <c r="B29" s="58">
        <v>10110</v>
      </c>
      <c r="C29" s="59" t="s">
        <v>271</v>
      </c>
      <c r="D29" s="87">
        <v>0</v>
      </c>
    </row>
    <row r="30" spans="2:7" ht="13.8">
      <c r="B30" s="68">
        <v>10111</v>
      </c>
      <c r="C30" s="69" t="s">
        <v>272</v>
      </c>
      <c r="D30" s="88">
        <v>1</v>
      </c>
    </row>
    <row r="31" spans="2:7" ht="13.8">
      <c r="B31" s="58">
        <v>10112</v>
      </c>
      <c r="C31" s="59" t="s">
        <v>273</v>
      </c>
      <c r="D31" s="87">
        <v>0</v>
      </c>
    </row>
    <row r="32" spans="2:7" ht="13.8">
      <c r="B32" s="68">
        <v>10113</v>
      </c>
      <c r="C32" s="69" t="s">
        <v>274</v>
      </c>
      <c r="D32" s="88">
        <v>0</v>
      </c>
    </row>
    <row r="33" spans="2:4" ht="13.8">
      <c r="B33" s="58">
        <v>10114</v>
      </c>
      <c r="C33" s="59" t="s">
        <v>275</v>
      </c>
      <c r="D33" s="87">
        <v>0</v>
      </c>
    </row>
    <row r="34" spans="2:4" ht="13.8">
      <c r="B34" s="68">
        <v>10115</v>
      </c>
      <c r="C34" s="69" t="s">
        <v>276</v>
      </c>
      <c r="D34" s="88">
        <v>0</v>
      </c>
    </row>
    <row r="35" spans="2:4" ht="13.8">
      <c r="B35" s="58">
        <v>10116</v>
      </c>
      <c r="C35" s="59" t="s">
        <v>277</v>
      </c>
      <c r="D35" s="87">
        <v>11</v>
      </c>
    </row>
    <row r="36" spans="2:4" ht="13.8">
      <c r="B36" s="68">
        <v>10117</v>
      </c>
      <c r="C36" s="69" t="s">
        <v>278</v>
      </c>
      <c r="D36" s="88">
        <v>0</v>
      </c>
    </row>
    <row r="37" spans="2:4" ht="13.8">
      <c r="B37" s="58">
        <v>10118</v>
      </c>
      <c r="C37" s="59" t="s">
        <v>279</v>
      </c>
      <c r="D37" s="87">
        <v>0</v>
      </c>
    </row>
    <row r="38" spans="2:4" ht="13.8">
      <c r="B38" s="68">
        <v>10119</v>
      </c>
      <c r="C38" s="69" t="s">
        <v>280</v>
      </c>
      <c r="D38" s="88">
        <v>0</v>
      </c>
    </row>
    <row r="39" spans="2:4" ht="13.8">
      <c r="B39" s="58">
        <v>10120</v>
      </c>
      <c r="C39" s="59" t="s">
        <v>281</v>
      </c>
      <c r="D39" s="87">
        <v>0</v>
      </c>
    </row>
    <row r="40" spans="2:4" ht="13.8">
      <c r="B40" s="68">
        <v>10121</v>
      </c>
      <c r="C40" s="69" t="s">
        <v>282</v>
      </c>
      <c r="D40" s="88">
        <v>4</v>
      </c>
    </row>
    <row r="41" spans="2:4" ht="13.8">
      <c r="B41" s="58">
        <v>10201</v>
      </c>
      <c r="C41" s="59" t="s">
        <v>283</v>
      </c>
      <c r="D41" s="87">
        <v>0</v>
      </c>
    </row>
    <row r="42" spans="2:4" ht="13.8">
      <c r="B42" s="68">
        <v>10202</v>
      </c>
      <c r="C42" s="69" t="s">
        <v>284</v>
      </c>
      <c r="D42" s="88">
        <v>0</v>
      </c>
    </row>
    <row r="43" spans="2:4" ht="13.8">
      <c r="B43" s="58">
        <v>10203</v>
      </c>
      <c r="C43" s="59" t="s">
        <v>285</v>
      </c>
      <c r="D43" s="87">
        <v>1</v>
      </c>
    </row>
    <row r="44" spans="2:4" ht="13.8">
      <c r="B44" s="68">
        <v>10204</v>
      </c>
      <c r="C44" s="69" t="s">
        <v>286</v>
      </c>
      <c r="D44" s="88">
        <v>42</v>
      </c>
    </row>
    <row r="45" spans="2:4" ht="13.8">
      <c r="B45" s="58">
        <v>10205</v>
      </c>
      <c r="C45" s="59" t="s">
        <v>287</v>
      </c>
      <c r="D45" s="87">
        <v>1</v>
      </c>
    </row>
    <row r="46" spans="2:4" ht="13.8">
      <c r="B46" s="68">
        <v>10206</v>
      </c>
      <c r="C46" s="69" t="s">
        <v>288</v>
      </c>
      <c r="D46" s="88">
        <v>7</v>
      </c>
    </row>
    <row r="47" spans="2:4" ht="13.8">
      <c r="B47" s="58">
        <v>10207</v>
      </c>
      <c r="C47" s="59" t="s">
        <v>289</v>
      </c>
      <c r="D47" s="87">
        <v>4</v>
      </c>
    </row>
    <row r="48" spans="2:4" ht="13.8">
      <c r="B48" s="68">
        <v>10208</v>
      </c>
      <c r="C48" s="69" t="s">
        <v>290</v>
      </c>
      <c r="D48" s="88">
        <v>3</v>
      </c>
    </row>
    <row r="49" spans="2:4" ht="13.8">
      <c r="B49" s="58">
        <v>10209</v>
      </c>
      <c r="C49" s="59" t="s">
        <v>291</v>
      </c>
      <c r="D49" s="87">
        <v>1</v>
      </c>
    </row>
    <row r="50" spans="2:4" ht="13.8">
      <c r="B50" s="68">
        <v>10210</v>
      </c>
      <c r="C50" s="69" t="s">
        <v>292</v>
      </c>
      <c r="D50" s="88">
        <v>3</v>
      </c>
    </row>
    <row r="51" spans="2:4" ht="13.8">
      <c r="B51" s="58">
        <v>10211</v>
      </c>
      <c r="C51" s="59" t="s">
        <v>76</v>
      </c>
      <c r="D51" s="87">
        <v>1</v>
      </c>
    </row>
    <row r="52" spans="2:4" ht="13.8">
      <c r="B52" s="68">
        <v>10212</v>
      </c>
      <c r="C52" s="69" t="s">
        <v>293</v>
      </c>
      <c r="D52" s="88">
        <v>0</v>
      </c>
    </row>
    <row r="53" spans="2:4" ht="13.8">
      <c r="B53" s="58">
        <v>10213</v>
      </c>
      <c r="C53" s="59" t="s">
        <v>294</v>
      </c>
      <c r="D53" s="87">
        <v>0</v>
      </c>
    </row>
    <row r="54" spans="2:4" ht="13.8">
      <c r="B54" s="68">
        <v>10214</v>
      </c>
      <c r="C54" s="69" t="s">
        <v>295</v>
      </c>
      <c r="D54" s="88">
        <v>0</v>
      </c>
    </row>
    <row r="55" spans="2:4" ht="13.8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3.8">
      <c r="B57" s="58">
        <v>10217</v>
      </c>
      <c r="C57" s="59" t="s">
        <v>298</v>
      </c>
      <c r="D57" s="87">
        <v>0</v>
      </c>
    </row>
    <row r="58" spans="2:4" ht="13.8">
      <c r="B58" s="68">
        <v>10218</v>
      </c>
      <c r="C58" s="69" t="s">
        <v>299</v>
      </c>
      <c r="D58" s="88">
        <v>0</v>
      </c>
    </row>
    <row r="59" spans="2:4" ht="13.8">
      <c r="B59" s="58">
        <v>10219</v>
      </c>
      <c r="C59" s="59" t="s">
        <v>300</v>
      </c>
      <c r="D59" s="87">
        <v>2</v>
      </c>
    </row>
    <row r="60" spans="2:4" ht="13.8">
      <c r="B60" s="68">
        <v>10220</v>
      </c>
      <c r="C60" s="69" t="s">
        <v>301</v>
      </c>
      <c r="D60" s="88">
        <v>9</v>
      </c>
    </row>
    <row r="61" spans="2:4" ht="13.8">
      <c r="B61" s="58">
        <v>10301</v>
      </c>
      <c r="C61" s="59" t="s">
        <v>302</v>
      </c>
      <c r="D61" s="87">
        <v>3</v>
      </c>
    </row>
    <row r="62" spans="2:4" ht="13.8">
      <c r="B62" s="68">
        <v>10302</v>
      </c>
      <c r="C62" s="69" t="s">
        <v>303</v>
      </c>
      <c r="D62" s="88">
        <v>3</v>
      </c>
    </row>
    <row r="63" spans="2:4" ht="13.8">
      <c r="B63" s="58">
        <v>10303</v>
      </c>
      <c r="C63" s="59" t="s">
        <v>304</v>
      </c>
      <c r="D63" s="87">
        <v>4</v>
      </c>
    </row>
    <row r="64" spans="2:4" ht="13.8">
      <c r="B64" s="68">
        <v>10304</v>
      </c>
      <c r="C64" s="69" t="s">
        <v>305</v>
      </c>
      <c r="D64" s="88">
        <v>1</v>
      </c>
    </row>
    <row r="65" spans="2:4" ht="13.8">
      <c r="B65" s="58">
        <v>10305</v>
      </c>
      <c r="C65" s="59" t="s">
        <v>306</v>
      </c>
      <c r="D65" s="87">
        <v>26</v>
      </c>
    </row>
    <row r="66" spans="2:4" ht="13.8">
      <c r="B66" s="68">
        <v>10306</v>
      </c>
      <c r="C66" s="69" t="s">
        <v>307</v>
      </c>
      <c r="D66" s="88">
        <v>5</v>
      </c>
    </row>
    <row r="67" spans="2:4" ht="13.8">
      <c r="B67" s="58">
        <v>10307</v>
      </c>
      <c r="C67" s="59" t="s">
        <v>74</v>
      </c>
      <c r="D67" s="87">
        <v>33</v>
      </c>
    </row>
    <row r="68" spans="2:4" ht="13.8">
      <c r="B68" s="68">
        <v>10308</v>
      </c>
      <c r="C68" s="69" t="s">
        <v>308</v>
      </c>
      <c r="D68" s="88">
        <v>68</v>
      </c>
    </row>
    <row r="69" spans="2:4" ht="13.8">
      <c r="B69" s="58">
        <v>10309</v>
      </c>
      <c r="C69" s="59" t="s">
        <v>309</v>
      </c>
      <c r="D69" s="87">
        <v>12</v>
      </c>
    </row>
    <row r="70" spans="2:4" ht="13.8">
      <c r="B70" s="68">
        <v>10310</v>
      </c>
      <c r="C70" s="69" t="s">
        <v>310</v>
      </c>
      <c r="D70" s="88">
        <v>46</v>
      </c>
    </row>
    <row r="71" spans="2:4" ht="13.8">
      <c r="B71" s="58">
        <v>10311</v>
      </c>
      <c r="C71" s="59" t="s">
        <v>311</v>
      </c>
      <c r="D71" s="87">
        <v>12</v>
      </c>
    </row>
    <row r="72" spans="2:4" ht="13.8">
      <c r="B72" s="68">
        <v>10312</v>
      </c>
      <c r="C72" s="69" t="s">
        <v>312</v>
      </c>
      <c r="D72" s="88">
        <v>11</v>
      </c>
    </row>
    <row r="73" spans="2:4" ht="13.8">
      <c r="B73" s="58">
        <v>10313</v>
      </c>
      <c r="C73" s="59" t="s">
        <v>313</v>
      </c>
      <c r="D73" s="87">
        <v>5</v>
      </c>
    </row>
    <row r="74" spans="2:4" ht="13.8">
      <c r="B74" s="68">
        <v>10314</v>
      </c>
      <c r="C74" s="69" t="s">
        <v>314</v>
      </c>
      <c r="D74" s="88">
        <v>10</v>
      </c>
    </row>
    <row r="75" spans="2:4" ht="13.8">
      <c r="B75" s="58">
        <v>10315</v>
      </c>
      <c r="C75" s="59" t="s">
        <v>315</v>
      </c>
      <c r="D75" s="87">
        <v>3</v>
      </c>
    </row>
    <row r="76" spans="2:4" ht="13.8">
      <c r="B76" s="68">
        <v>10316</v>
      </c>
      <c r="C76" s="69" t="s">
        <v>316</v>
      </c>
      <c r="D76" s="88">
        <v>52</v>
      </c>
    </row>
    <row r="77" spans="2:4" ht="13.8">
      <c r="B77" s="58">
        <v>10317</v>
      </c>
      <c r="C77" s="59" t="s">
        <v>317</v>
      </c>
      <c r="D77" s="87">
        <v>2</v>
      </c>
    </row>
    <row r="78" spans="2:4" ht="13.8">
      <c r="B78" s="68">
        <v>10318</v>
      </c>
      <c r="C78" s="69" t="s">
        <v>318</v>
      </c>
      <c r="D78" s="88">
        <v>7</v>
      </c>
    </row>
    <row r="79" spans="2:4" ht="13.8">
      <c r="B79" s="58">
        <v>10319</v>
      </c>
      <c r="C79" s="59" t="s">
        <v>80</v>
      </c>
      <c r="D79" s="87">
        <v>0</v>
      </c>
    </row>
    <row r="80" spans="2:4" ht="13.8">
      <c r="B80" s="70">
        <v>20101</v>
      </c>
      <c r="C80" s="71" t="s">
        <v>319</v>
      </c>
      <c r="D80" s="89">
        <v>0</v>
      </c>
    </row>
    <row r="81" spans="2:4" ht="13.8">
      <c r="B81" s="60">
        <v>20102</v>
      </c>
      <c r="C81" s="61" t="s">
        <v>261</v>
      </c>
      <c r="D81" s="87">
        <v>0</v>
      </c>
    </row>
    <row r="82" spans="2:4" ht="13.8">
      <c r="B82" s="70">
        <v>20103</v>
      </c>
      <c r="C82" s="71" t="s">
        <v>78</v>
      </c>
      <c r="D82" s="89">
        <v>5</v>
      </c>
    </row>
    <row r="83" spans="2:4" ht="13.8">
      <c r="B83" s="60">
        <v>20104</v>
      </c>
      <c r="C83" s="61" t="s">
        <v>79</v>
      </c>
      <c r="D83" s="87">
        <v>15</v>
      </c>
    </row>
    <row r="84" spans="2:4" ht="13.8">
      <c r="B84" s="70">
        <v>20105</v>
      </c>
      <c r="C84" s="71" t="s">
        <v>320</v>
      </c>
      <c r="D84" s="89">
        <v>0</v>
      </c>
    </row>
    <row r="85" spans="2:4" ht="13.8">
      <c r="B85" s="60">
        <v>20106</v>
      </c>
      <c r="C85" s="61" t="s">
        <v>321</v>
      </c>
      <c r="D85" s="87">
        <v>0</v>
      </c>
    </row>
    <row r="86" spans="2:4" ht="13.8">
      <c r="B86" s="70">
        <v>20107</v>
      </c>
      <c r="C86" s="71" t="s">
        <v>81</v>
      </c>
      <c r="D86" s="89">
        <v>2</v>
      </c>
    </row>
    <row r="87" spans="2:4" ht="13.8">
      <c r="B87" s="60">
        <v>20108</v>
      </c>
      <c r="C87" s="61" t="s">
        <v>322</v>
      </c>
      <c r="D87" s="87">
        <v>2</v>
      </c>
    </row>
    <row r="88" spans="2:4" ht="13.8">
      <c r="B88" s="70">
        <v>20109</v>
      </c>
      <c r="C88" s="71" t="s">
        <v>323</v>
      </c>
      <c r="D88" s="89">
        <v>0</v>
      </c>
    </row>
    <row r="89" spans="2:4" ht="13.8">
      <c r="B89" s="60">
        <v>20110</v>
      </c>
      <c r="C89" s="61" t="s">
        <v>324</v>
      </c>
      <c r="D89" s="87">
        <v>2</v>
      </c>
    </row>
    <row r="90" spans="2:4" ht="13.8">
      <c r="B90" s="70">
        <v>20111</v>
      </c>
      <c r="C90" s="71" t="s">
        <v>325</v>
      </c>
      <c r="D90" s="89">
        <v>2</v>
      </c>
    </row>
    <row r="91" spans="2:4" ht="13.8">
      <c r="B91" s="60">
        <v>20112</v>
      </c>
      <c r="C91" s="61" t="s">
        <v>326</v>
      </c>
      <c r="D91" s="87">
        <v>0</v>
      </c>
    </row>
    <row r="92" spans="2:4" ht="13.8">
      <c r="B92" s="70">
        <v>20113</v>
      </c>
      <c r="C92" s="71" t="s">
        <v>195</v>
      </c>
      <c r="D92" s="89">
        <v>0</v>
      </c>
    </row>
    <row r="93" spans="2:4" ht="13.8">
      <c r="B93" s="60">
        <v>20114</v>
      </c>
      <c r="C93" s="61" t="s">
        <v>82</v>
      </c>
      <c r="D93" s="87">
        <v>0</v>
      </c>
    </row>
    <row r="94" spans="2:4" ht="13.8">
      <c r="B94" s="70">
        <v>20201</v>
      </c>
      <c r="C94" s="71" t="s">
        <v>83</v>
      </c>
      <c r="D94" s="89">
        <v>14</v>
      </c>
    </row>
    <row r="95" spans="2:4" ht="13.8">
      <c r="B95" s="60">
        <v>20202</v>
      </c>
      <c r="C95" s="61" t="s">
        <v>84</v>
      </c>
      <c r="D95" s="87">
        <v>0</v>
      </c>
    </row>
    <row r="96" spans="2:4" ht="13.8">
      <c r="B96" s="70">
        <v>20203</v>
      </c>
      <c r="C96" s="71" t="s">
        <v>85</v>
      </c>
      <c r="D96" s="89">
        <v>12</v>
      </c>
    </row>
    <row r="97" spans="2:4" ht="13.8">
      <c r="B97" s="60">
        <v>20204</v>
      </c>
      <c r="C97" s="61" t="s">
        <v>86</v>
      </c>
      <c r="D97" s="87">
        <v>0</v>
      </c>
    </row>
    <row r="98" spans="2:4" ht="13.8">
      <c r="B98" s="70">
        <v>20205</v>
      </c>
      <c r="C98" s="71" t="s">
        <v>87</v>
      </c>
      <c r="D98" s="89">
        <v>0</v>
      </c>
    </row>
    <row r="99" spans="2:4" ht="13.8">
      <c r="B99" s="60">
        <v>20206</v>
      </c>
      <c r="C99" s="61" t="s">
        <v>88</v>
      </c>
      <c r="D99" s="87">
        <v>0</v>
      </c>
    </row>
    <row r="100" spans="2:4" ht="13.8">
      <c r="B100" s="70">
        <v>20207</v>
      </c>
      <c r="C100" s="71" t="s">
        <v>89</v>
      </c>
      <c r="D100" s="89">
        <v>0</v>
      </c>
    </row>
    <row r="101" spans="2:4" ht="13.8">
      <c r="B101" s="60">
        <v>20208</v>
      </c>
      <c r="C101" s="61" t="s">
        <v>90</v>
      </c>
      <c r="D101" s="87">
        <v>1</v>
      </c>
    </row>
    <row r="102" spans="2:4" ht="13.8">
      <c r="B102" s="70">
        <v>20209</v>
      </c>
      <c r="C102" s="71" t="s">
        <v>91</v>
      </c>
      <c r="D102" s="89">
        <v>1</v>
      </c>
    </row>
    <row r="103" spans="2:4" ht="13.8">
      <c r="B103" s="60">
        <v>20210</v>
      </c>
      <c r="C103" s="61" t="s">
        <v>192</v>
      </c>
      <c r="D103" s="87">
        <v>8</v>
      </c>
    </row>
    <row r="104" spans="2:4" ht="13.8">
      <c r="B104" s="70">
        <v>20211</v>
      </c>
      <c r="C104" s="71" t="s">
        <v>327</v>
      </c>
      <c r="D104" s="89">
        <v>0</v>
      </c>
    </row>
    <row r="105" spans="2:4" ht="13.8">
      <c r="B105" s="60">
        <v>20212</v>
      </c>
      <c r="C105" s="61" t="s">
        <v>93</v>
      </c>
      <c r="D105" s="87">
        <v>0</v>
      </c>
    </row>
    <row r="106" spans="2:4" ht="13.8">
      <c r="B106" s="70">
        <v>20213</v>
      </c>
      <c r="C106" s="71" t="s">
        <v>94</v>
      </c>
      <c r="D106" s="89">
        <v>0</v>
      </c>
    </row>
    <row r="107" spans="2:4" ht="13.8">
      <c r="B107" s="60">
        <v>20214</v>
      </c>
      <c r="C107" s="61" t="s">
        <v>328</v>
      </c>
      <c r="D107" s="87">
        <v>0</v>
      </c>
    </row>
    <row r="108" spans="2:4" ht="13.8">
      <c r="B108" s="70">
        <v>20301</v>
      </c>
      <c r="C108" s="71" t="s">
        <v>329</v>
      </c>
      <c r="D108" s="89">
        <v>23</v>
      </c>
    </row>
    <row r="109" spans="2:4" ht="13.8">
      <c r="B109" s="60">
        <v>20302</v>
      </c>
      <c r="C109" s="61" t="s">
        <v>330</v>
      </c>
      <c r="D109" s="87">
        <v>0</v>
      </c>
    </row>
    <row r="110" spans="2:4" ht="13.8">
      <c r="B110" s="70">
        <v>20303</v>
      </c>
      <c r="C110" s="71" t="s">
        <v>331</v>
      </c>
      <c r="D110" s="89">
        <v>10</v>
      </c>
    </row>
    <row r="111" spans="2:4" ht="13.8">
      <c r="B111" s="60">
        <v>20304</v>
      </c>
      <c r="C111" s="61" t="s">
        <v>332</v>
      </c>
      <c r="D111" s="87">
        <v>4</v>
      </c>
    </row>
    <row r="112" spans="2:4" ht="13.8">
      <c r="B112" s="70">
        <v>20305</v>
      </c>
      <c r="C112" s="71" t="s">
        <v>333</v>
      </c>
      <c r="D112" s="89">
        <v>2</v>
      </c>
    </row>
    <row r="113" spans="2:4" ht="13.8">
      <c r="B113" s="60">
        <v>20306</v>
      </c>
      <c r="C113" s="61" t="s">
        <v>334</v>
      </c>
      <c r="D113" s="87">
        <v>0</v>
      </c>
    </row>
    <row r="114" spans="2:4" ht="13.8">
      <c r="B114" s="70">
        <v>20307</v>
      </c>
      <c r="C114" s="71" t="s">
        <v>335</v>
      </c>
      <c r="D114" s="89">
        <v>36</v>
      </c>
    </row>
    <row r="115" spans="2:4" ht="13.8">
      <c r="B115" s="60">
        <v>20308</v>
      </c>
      <c r="C115" s="61" t="s">
        <v>336</v>
      </c>
      <c r="D115" s="87">
        <v>66</v>
      </c>
    </row>
    <row r="116" spans="2:4" ht="13.8">
      <c r="B116" s="70">
        <v>20309</v>
      </c>
      <c r="C116" s="71" t="s">
        <v>337</v>
      </c>
      <c r="D116" s="89">
        <v>5</v>
      </c>
    </row>
    <row r="117" spans="2:4" ht="13.8">
      <c r="B117" s="60">
        <v>20310</v>
      </c>
      <c r="C117" s="61" t="s">
        <v>338</v>
      </c>
      <c r="D117" s="87">
        <v>1</v>
      </c>
    </row>
    <row r="118" spans="2:4" ht="13.8">
      <c r="B118" s="70">
        <v>20311</v>
      </c>
      <c r="C118" s="71" t="s">
        <v>339</v>
      </c>
      <c r="D118" s="89">
        <v>159</v>
      </c>
    </row>
    <row r="119" spans="2:4" ht="13.8">
      <c r="B119" s="60">
        <v>20401</v>
      </c>
      <c r="C119" s="61" t="s">
        <v>340</v>
      </c>
      <c r="D119" s="87">
        <v>0</v>
      </c>
    </row>
    <row r="120" spans="2:4" ht="13.8">
      <c r="B120" s="70">
        <v>20402</v>
      </c>
      <c r="C120" s="71" t="s">
        <v>341</v>
      </c>
      <c r="D120" s="89">
        <v>0</v>
      </c>
    </row>
    <row r="121" spans="2:4" ht="13.8">
      <c r="B121" s="60">
        <v>20403</v>
      </c>
      <c r="C121" s="61" t="s">
        <v>342</v>
      </c>
      <c r="D121" s="87">
        <v>13</v>
      </c>
    </row>
    <row r="122" spans="2:4" ht="13.8">
      <c r="B122" s="70">
        <v>20404</v>
      </c>
      <c r="C122" s="71" t="s">
        <v>343</v>
      </c>
      <c r="D122" s="89">
        <v>5</v>
      </c>
    </row>
    <row r="123" spans="2:4" ht="13.8">
      <c r="B123" s="64">
        <v>30101</v>
      </c>
      <c r="C123" s="65" t="s">
        <v>344</v>
      </c>
      <c r="D123" s="90">
        <v>9</v>
      </c>
    </row>
    <row r="124" spans="2:4" ht="13.8">
      <c r="B124" s="62">
        <v>30102</v>
      </c>
      <c r="C124" s="63" t="s">
        <v>95</v>
      </c>
      <c r="D124" s="87">
        <v>4</v>
      </c>
    </row>
    <row r="125" spans="2:4" ht="13.8">
      <c r="B125" s="64">
        <v>30103</v>
      </c>
      <c r="C125" s="65" t="s">
        <v>75</v>
      </c>
      <c r="D125" s="90">
        <v>14</v>
      </c>
    </row>
    <row r="126" spans="2:4" ht="13.8">
      <c r="B126" s="62">
        <v>30201</v>
      </c>
      <c r="C126" s="63" t="s">
        <v>96</v>
      </c>
      <c r="D126" s="87">
        <v>0</v>
      </c>
    </row>
    <row r="127" spans="2:4" ht="13.8">
      <c r="B127" s="64">
        <v>30202</v>
      </c>
      <c r="C127" s="65" t="s">
        <v>415</v>
      </c>
      <c r="D127" s="90">
        <v>9</v>
      </c>
    </row>
    <row r="128" spans="2:4" ht="13.8">
      <c r="B128" s="62">
        <v>30203</v>
      </c>
      <c r="C128" s="63" t="s">
        <v>345</v>
      </c>
      <c r="D128" s="87">
        <v>0</v>
      </c>
    </row>
    <row r="129" spans="2:4" ht="13.8">
      <c r="B129" s="64">
        <v>30204</v>
      </c>
      <c r="C129" s="65" t="s">
        <v>98</v>
      </c>
      <c r="D129" s="90">
        <v>13</v>
      </c>
    </row>
    <row r="130" spans="2:4" ht="13.8">
      <c r="B130" s="62">
        <v>30205</v>
      </c>
      <c r="C130" s="63" t="s">
        <v>346</v>
      </c>
      <c r="D130" s="87">
        <v>0</v>
      </c>
    </row>
    <row r="131" spans="2:4" ht="13.8">
      <c r="B131" s="64">
        <v>30206</v>
      </c>
      <c r="C131" s="65" t="s">
        <v>347</v>
      </c>
      <c r="D131" s="90">
        <v>0</v>
      </c>
    </row>
    <row r="132" spans="2:4" ht="13.8">
      <c r="B132" s="62">
        <v>30207</v>
      </c>
      <c r="C132" s="63" t="s">
        <v>348</v>
      </c>
      <c r="D132" s="87">
        <v>0</v>
      </c>
    </row>
    <row r="133" spans="2:4" ht="13.8">
      <c r="B133" s="64">
        <v>30301</v>
      </c>
      <c r="C133" s="65" t="s">
        <v>99</v>
      </c>
      <c r="D133" s="90">
        <v>0</v>
      </c>
    </row>
    <row r="134" spans="2:4" ht="13.8">
      <c r="B134" s="62">
        <v>30302</v>
      </c>
      <c r="C134" s="63" t="s">
        <v>100</v>
      </c>
      <c r="D134" s="87">
        <v>1</v>
      </c>
    </row>
    <row r="135" spans="2:4" ht="13.8">
      <c r="B135" s="64">
        <v>30303</v>
      </c>
      <c r="C135" s="65" t="s">
        <v>349</v>
      </c>
      <c r="D135" s="90">
        <v>6</v>
      </c>
    </row>
    <row r="136" spans="2:4" ht="13.8">
      <c r="B136" s="62">
        <v>30304</v>
      </c>
      <c r="C136" s="63" t="s">
        <v>101</v>
      </c>
      <c r="D136" s="87">
        <v>0</v>
      </c>
    </row>
    <row r="137" spans="2:4" ht="13.8">
      <c r="B137" s="64">
        <v>30305</v>
      </c>
      <c r="C137" s="65" t="s">
        <v>102</v>
      </c>
      <c r="D137" s="90">
        <v>11</v>
      </c>
    </row>
    <row r="138" spans="2:4" ht="13.8">
      <c r="B138" s="62">
        <v>30306</v>
      </c>
      <c r="C138" s="63" t="s">
        <v>103</v>
      </c>
      <c r="D138" s="87">
        <v>1</v>
      </c>
    </row>
    <row r="139" spans="2:4" ht="13.8">
      <c r="B139" s="64">
        <v>30307</v>
      </c>
      <c r="C139" s="65" t="s">
        <v>104</v>
      </c>
      <c r="D139" s="90">
        <v>12</v>
      </c>
    </row>
    <row r="140" spans="2:4" ht="13.8">
      <c r="B140" s="62">
        <v>30308</v>
      </c>
      <c r="C140" s="63" t="s">
        <v>350</v>
      </c>
      <c r="D140" s="87">
        <v>18</v>
      </c>
    </row>
    <row r="141" spans="2:4" ht="13.8">
      <c r="B141" s="64">
        <v>30309</v>
      </c>
      <c r="C141" s="65" t="s">
        <v>351</v>
      </c>
      <c r="D141" s="90">
        <v>23</v>
      </c>
    </row>
    <row r="142" spans="2:4" ht="13.8">
      <c r="B142" s="62">
        <v>30310</v>
      </c>
      <c r="C142" s="63" t="s">
        <v>352</v>
      </c>
      <c r="D142" s="87">
        <v>8</v>
      </c>
    </row>
    <row r="143" spans="2:4" ht="13.8">
      <c r="B143" s="64">
        <v>30401</v>
      </c>
      <c r="C143" s="65" t="s">
        <v>353</v>
      </c>
      <c r="D143" s="90">
        <v>15</v>
      </c>
    </row>
    <row r="144" spans="2:4" ht="13.8">
      <c r="B144" s="62">
        <v>30402</v>
      </c>
      <c r="C144" s="63" t="s">
        <v>354</v>
      </c>
      <c r="D144" s="87">
        <v>3</v>
      </c>
    </row>
    <row r="145" spans="2:4" ht="13.8">
      <c r="B145" s="64">
        <v>30403</v>
      </c>
      <c r="C145" s="65" t="s">
        <v>355</v>
      </c>
      <c r="D145" s="90">
        <v>0</v>
      </c>
    </row>
    <row r="146" spans="2:4" ht="13.8">
      <c r="B146" s="62">
        <v>30404</v>
      </c>
      <c r="C146" s="63" t="s">
        <v>105</v>
      </c>
      <c r="D146" s="87">
        <v>27</v>
      </c>
    </row>
    <row r="147" spans="2:4" ht="13.8">
      <c r="B147" s="64">
        <v>30405</v>
      </c>
      <c r="C147" s="65" t="s">
        <v>106</v>
      </c>
      <c r="D147" s="90">
        <v>1</v>
      </c>
    </row>
    <row r="148" spans="2:4" ht="13.8">
      <c r="B148" s="62">
        <v>30406</v>
      </c>
      <c r="C148" s="63" t="s">
        <v>107</v>
      </c>
      <c r="D148" s="87">
        <v>1</v>
      </c>
    </row>
    <row r="149" spans="2:4" ht="13.8">
      <c r="B149" s="64">
        <v>30407</v>
      </c>
      <c r="C149" s="65" t="s">
        <v>356</v>
      </c>
      <c r="D149" s="90">
        <v>13</v>
      </c>
    </row>
    <row r="150" spans="2:4" ht="13.8">
      <c r="B150" s="62">
        <v>30408</v>
      </c>
      <c r="C150" s="63" t="s">
        <v>357</v>
      </c>
      <c r="D150" s="87">
        <v>0</v>
      </c>
    </row>
    <row r="151" spans="2:4" ht="13.8">
      <c r="B151" s="64">
        <v>30409</v>
      </c>
      <c r="C151" s="65" t="s">
        <v>109</v>
      </c>
      <c r="D151" s="90">
        <v>0</v>
      </c>
    </row>
    <row r="152" spans="2:4" ht="13.8">
      <c r="B152" s="62">
        <v>30410</v>
      </c>
      <c r="C152" s="63" t="s">
        <v>110</v>
      </c>
      <c r="D152" s="87">
        <v>0</v>
      </c>
    </row>
    <row r="153" spans="2:4" ht="13.8">
      <c r="B153" s="64">
        <v>30411</v>
      </c>
      <c r="C153" s="65" t="s">
        <v>358</v>
      </c>
      <c r="D153" s="90">
        <v>1</v>
      </c>
    </row>
    <row r="154" spans="2:4" ht="13.8">
      <c r="B154" s="62">
        <v>30412</v>
      </c>
      <c r="C154" s="63" t="s">
        <v>111</v>
      </c>
      <c r="D154" s="87">
        <v>1</v>
      </c>
    </row>
    <row r="155" spans="2:4" ht="13.8">
      <c r="B155" s="64">
        <v>30413</v>
      </c>
      <c r="C155" s="65" t="s">
        <v>112</v>
      </c>
      <c r="D155" s="90">
        <v>1</v>
      </c>
    </row>
    <row r="156" spans="2:4" ht="13.8">
      <c r="B156" s="62">
        <v>30414</v>
      </c>
      <c r="C156" s="63" t="s">
        <v>113</v>
      </c>
      <c r="D156" s="87">
        <v>10</v>
      </c>
    </row>
    <row r="157" spans="2:4" ht="13.8">
      <c r="B157" s="64">
        <v>30415</v>
      </c>
      <c r="C157" s="65" t="s">
        <v>114</v>
      </c>
      <c r="D157" s="90">
        <v>0</v>
      </c>
    </row>
    <row r="158" spans="2:4" ht="13.8">
      <c r="B158" s="62">
        <v>30416</v>
      </c>
      <c r="C158" s="63" t="s">
        <v>115</v>
      </c>
      <c r="D158" s="87">
        <v>1</v>
      </c>
    </row>
    <row r="159" spans="2:4" ht="13.8">
      <c r="B159" s="64">
        <v>30417</v>
      </c>
      <c r="C159" s="65" t="s">
        <v>116</v>
      </c>
      <c r="D159" s="90">
        <v>0</v>
      </c>
    </row>
    <row r="160" spans="2:4" ht="13.8">
      <c r="B160" s="62">
        <v>30418</v>
      </c>
      <c r="C160" s="63" t="s">
        <v>117</v>
      </c>
      <c r="D160" s="87">
        <v>0</v>
      </c>
    </row>
    <row r="161" spans="2:4" ht="13.8">
      <c r="B161" s="64">
        <v>30419</v>
      </c>
      <c r="C161" s="65" t="s">
        <v>118</v>
      </c>
      <c r="D161" s="90">
        <v>3</v>
      </c>
    </row>
    <row r="162" spans="2:4" ht="13.8">
      <c r="B162" s="62">
        <v>30420</v>
      </c>
      <c r="C162" s="63" t="s">
        <v>119</v>
      </c>
      <c r="D162" s="87">
        <v>6</v>
      </c>
    </row>
    <row r="163" spans="2:4" ht="13.8">
      <c r="B163" s="64">
        <v>30421</v>
      </c>
      <c r="C163" s="65" t="s">
        <v>120</v>
      </c>
      <c r="D163" s="90">
        <v>1</v>
      </c>
    </row>
    <row r="164" spans="2:4" ht="13.8">
      <c r="B164" s="62">
        <v>30422</v>
      </c>
      <c r="C164" s="63" t="s">
        <v>121</v>
      </c>
      <c r="D164" s="87">
        <v>0</v>
      </c>
    </row>
    <row r="165" spans="2:4" ht="13.8">
      <c r="B165" s="64">
        <v>30423</v>
      </c>
      <c r="C165" s="65" t="s">
        <v>122</v>
      </c>
      <c r="D165" s="90">
        <v>0</v>
      </c>
    </row>
    <row r="166" spans="2:4" ht="13.8">
      <c r="B166" s="62">
        <v>30424</v>
      </c>
      <c r="C166" s="63" t="s">
        <v>123</v>
      </c>
      <c r="D166" s="87">
        <v>0</v>
      </c>
    </row>
    <row r="167" spans="2:4" ht="13.8">
      <c r="B167" s="64">
        <v>30425</v>
      </c>
      <c r="C167" s="65" t="s">
        <v>124</v>
      </c>
      <c r="D167" s="90">
        <v>0</v>
      </c>
    </row>
    <row r="168" spans="2:4" ht="13.8">
      <c r="B168" s="62">
        <v>30426</v>
      </c>
      <c r="C168" s="63" t="s">
        <v>125</v>
      </c>
      <c r="D168" s="87">
        <v>0</v>
      </c>
    </row>
    <row r="169" spans="2:4" ht="13.8">
      <c r="B169" s="64">
        <v>30427</v>
      </c>
      <c r="C169" s="65" t="s">
        <v>126</v>
      </c>
      <c r="D169" s="90">
        <v>1</v>
      </c>
    </row>
    <row r="170" spans="2:4" ht="13.8">
      <c r="B170" s="62">
        <v>30428</v>
      </c>
      <c r="C170" s="63" t="s">
        <v>127</v>
      </c>
      <c r="D170" s="87">
        <v>2</v>
      </c>
    </row>
    <row r="171" spans="2:4" ht="13.8">
      <c r="B171" s="64">
        <v>30429</v>
      </c>
      <c r="C171" s="65" t="s">
        <v>128</v>
      </c>
      <c r="D171" s="90">
        <v>11</v>
      </c>
    </row>
    <row r="172" spans="2:4" ht="13.8">
      <c r="B172" s="62">
        <v>30430</v>
      </c>
      <c r="C172" s="63" t="s">
        <v>129</v>
      </c>
      <c r="D172" s="87">
        <v>14</v>
      </c>
    </row>
    <row r="173" spans="2:4" ht="13.8">
      <c r="B173" s="64">
        <v>30431</v>
      </c>
      <c r="C173" s="65" t="s">
        <v>130</v>
      </c>
      <c r="D173" s="90">
        <v>0</v>
      </c>
    </row>
    <row r="174" spans="2:4" ht="13.8">
      <c r="B174" s="62">
        <v>30432</v>
      </c>
      <c r="C174" s="63" t="s">
        <v>131</v>
      </c>
      <c r="D174" s="87">
        <v>0</v>
      </c>
    </row>
    <row r="175" spans="2:4" ht="13.8">
      <c r="B175" s="64">
        <v>30433</v>
      </c>
      <c r="C175" s="65" t="s">
        <v>132</v>
      </c>
      <c r="D175" s="90">
        <v>0</v>
      </c>
    </row>
    <row r="176" spans="2:4" ht="13.8">
      <c r="B176" s="62">
        <v>30434</v>
      </c>
      <c r="C176" s="63" t="s">
        <v>133</v>
      </c>
      <c r="D176" s="87">
        <v>0</v>
      </c>
    </row>
    <row r="177" spans="2:4" ht="13.8">
      <c r="B177" s="64">
        <v>30435</v>
      </c>
      <c r="C177" s="65" t="s">
        <v>134</v>
      </c>
      <c r="D177" s="90">
        <v>0</v>
      </c>
    </row>
    <row r="178" spans="2:4" ht="13.8">
      <c r="B178" s="62">
        <v>30436</v>
      </c>
      <c r="C178" s="63" t="s">
        <v>135</v>
      </c>
      <c r="D178" s="87">
        <v>0</v>
      </c>
    </row>
    <row r="179" spans="2:4" ht="13.8">
      <c r="B179" s="64">
        <v>30437</v>
      </c>
      <c r="C179" s="65" t="s">
        <v>136</v>
      </c>
      <c r="D179" s="90">
        <v>0</v>
      </c>
    </row>
    <row r="180" spans="2:4" ht="13.8">
      <c r="B180" s="62">
        <v>30438</v>
      </c>
      <c r="C180" s="63" t="s">
        <v>137</v>
      </c>
      <c r="D180" s="87">
        <v>0</v>
      </c>
    </row>
    <row r="181" spans="2:4" ht="13.8">
      <c r="B181" s="64">
        <v>30439</v>
      </c>
      <c r="C181" s="65" t="s">
        <v>138</v>
      </c>
      <c r="D181" s="90">
        <v>0</v>
      </c>
    </row>
    <row r="182" spans="2:4" ht="13.8">
      <c r="B182" s="62">
        <v>30440</v>
      </c>
      <c r="C182" s="63" t="s">
        <v>359</v>
      </c>
      <c r="D182" s="87">
        <v>5</v>
      </c>
    </row>
    <row r="183" spans="2:4" ht="13.8">
      <c r="B183" s="64">
        <v>30441</v>
      </c>
      <c r="C183" s="65" t="s">
        <v>360</v>
      </c>
      <c r="D183" s="90">
        <v>0</v>
      </c>
    </row>
    <row r="184" spans="2:4" ht="13.8">
      <c r="B184" s="62">
        <v>30442</v>
      </c>
      <c r="C184" s="63" t="s">
        <v>361</v>
      </c>
      <c r="D184" s="87">
        <v>0</v>
      </c>
    </row>
    <row r="185" spans="2:4" ht="13.8">
      <c r="B185" s="64">
        <v>30443</v>
      </c>
      <c r="C185" s="65" t="s">
        <v>362</v>
      </c>
      <c r="D185" s="90">
        <v>0</v>
      </c>
    </row>
    <row r="186" spans="2:4" ht="13.8">
      <c r="B186" s="62">
        <v>30444</v>
      </c>
      <c r="C186" s="63" t="s">
        <v>363</v>
      </c>
      <c r="D186" s="87">
        <v>0</v>
      </c>
    </row>
    <row r="187" spans="2:4" ht="13.8">
      <c r="B187" s="64">
        <v>30445</v>
      </c>
      <c r="C187" s="65" t="s">
        <v>364</v>
      </c>
      <c r="D187" s="90">
        <v>0</v>
      </c>
    </row>
    <row r="188" spans="2:4" ht="13.8">
      <c r="B188" s="62">
        <v>30446</v>
      </c>
      <c r="C188" s="63" t="s">
        <v>365</v>
      </c>
      <c r="D188" s="87">
        <v>2</v>
      </c>
    </row>
    <row r="189" spans="2:4" ht="13.8">
      <c r="B189" s="64">
        <v>30501</v>
      </c>
      <c r="C189" s="65" t="s">
        <v>139</v>
      </c>
      <c r="D189" s="90">
        <v>3</v>
      </c>
    </row>
    <row r="190" spans="2:4" ht="13.8">
      <c r="B190" s="62">
        <v>30502</v>
      </c>
      <c r="C190" s="63" t="s">
        <v>140</v>
      </c>
      <c r="D190" s="87">
        <v>61</v>
      </c>
    </row>
    <row r="191" spans="2:4" ht="13.8">
      <c r="B191" s="64">
        <v>30503</v>
      </c>
      <c r="C191" s="65" t="s">
        <v>141</v>
      </c>
      <c r="D191" s="90">
        <v>173</v>
      </c>
    </row>
    <row r="192" spans="2:4" ht="13.8">
      <c r="B192" s="62">
        <v>30504</v>
      </c>
      <c r="C192" s="63" t="s">
        <v>366</v>
      </c>
      <c r="D192" s="87">
        <v>4</v>
      </c>
    </row>
    <row r="193" spans="2:4" ht="13.8">
      <c r="B193" s="64">
        <v>30505</v>
      </c>
      <c r="C193" s="65" t="s">
        <v>367</v>
      </c>
      <c r="D193" s="90">
        <v>14</v>
      </c>
    </row>
    <row r="194" spans="2:4" ht="13.8">
      <c r="B194" s="62">
        <v>30601</v>
      </c>
      <c r="C194" s="63" t="s">
        <v>142</v>
      </c>
      <c r="D194" s="87">
        <v>5</v>
      </c>
    </row>
    <row r="195" spans="2:4" ht="13.8">
      <c r="B195" s="64">
        <v>30602</v>
      </c>
      <c r="C195" s="65" t="s">
        <v>143</v>
      </c>
      <c r="D195" s="90">
        <v>8</v>
      </c>
    </row>
    <row r="196" spans="2:4" ht="13.8">
      <c r="B196" s="62">
        <v>30603</v>
      </c>
      <c r="C196" s="63" t="s">
        <v>144</v>
      </c>
      <c r="D196" s="87">
        <v>2</v>
      </c>
    </row>
    <row r="197" spans="2:4" ht="13.8">
      <c r="B197" s="64">
        <v>30604</v>
      </c>
      <c r="C197" s="65" t="s">
        <v>145</v>
      </c>
      <c r="D197" s="90">
        <v>0</v>
      </c>
    </row>
    <row r="198" spans="2:4" ht="13.8">
      <c r="B198" s="62">
        <v>30605</v>
      </c>
      <c r="C198" s="63" t="s">
        <v>368</v>
      </c>
      <c r="D198" s="87">
        <v>1</v>
      </c>
    </row>
    <row r="199" spans="2:4" ht="13.8">
      <c r="B199" s="64">
        <v>30606</v>
      </c>
      <c r="C199" s="65" t="s">
        <v>369</v>
      </c>
      <c r="D199" s="90">
        <v>2</v>
      </c>
    </row>
    <row r="200" spans="2:4" ht="13.8">
      <c r="B200" s="62">
        <v>30607</v>
      </c>
      <c r="C200" s="63" t="s">
        <v>146</v>
      </c>
      <c r="D200" s="87">
        <v>7</v>
      </c>
    </row>
    <row r="201" spans="2:4" ht="13.8">
      <c r="B201" s="64">
        <v>30608</v>
      </c>
      <c r="C201" s="65" t="s">
        <v>147</v>
      </c>
      <c r="D201" s="90">
        <v>0</v>
      </c>
    </row>
    <row r="202" spans="2:4" ht="13.8">
      <c r="B202" s="62">
        <v>30609</v>
      </c>
      <c r="C202" s="63" t="s">
        <v>370</v>
      </c>
      <c r="D202" s="87">
        <v>5</v>
      </c>
    </row>
    <row r="203" spans="2:4" ht="13.8">
      <c r="B203" s="64">
        <v>30610</v>
      </c>
      <c r="C203" s="65" t="s">
        <v>371</v>
      </c>
      <c r="D203" s="90">
        <v>0</v>
      </c>
    </row>
    <row r="204" spans="2:4" ht="13.8">
      <c r="B204" s="62">
        <v>30611</v>
      </c>
      <c r="C204" s="63" t="s">
        <v>372</v>
      </c>
      <c r="D204" s="87">
        <v>2</v>
      </c>
    </row>
    <row r="205" spans="2:4" ht="13.8">
      <c r="B205" s="64">
        <v>30701</v>
      </c>
      <c r="C205" s="65" t="s">
        <v>148</v>
      </c>
      <c r="D205" s="90">
        <v>2</v>
      </c>
    </row>
    <row r="206" spans="2:4" ht="13.8">
      <c r="B206" s="62">
        <v>30702</v>
      </c>
      <c r="C206" s="63" t="s">
        <v>149</v>
      </c>
      <c r="D206" s="87">
        <v>0</v>
      </c>
    </row>
    <row r="207" spans="2:4" ht="13.8">
      <c r="B207" s="64">
        <v>30703</v>
      </c>
      <c r="C207" s="65" t="s">
        <v>150</v>
      </c>
      <c r="D207" s="90">
        <v>1</v>
      </c>
    </row>
    <row r="208" spans="2:4" ht="13.8">
      <c r="B208" s="62">
        <v>30704</v>
      </c>
      <c r="C208" s="63" t="s">
        <v>151</v>
      </c>
      <c r="D208" s="87">
        <v>0</v>
      </c>
    </row>
    <row r="209" spans="2:4" ht="13.8">
      <c r="B209" s="64">
        <v>30705</v>
      </c>
      <c r="C209" s="65" t="s">
        <v>152</v>
      </c>
      <c r="D209" s="90">
        <v>0</v>
      </c>
    </row>
    <row r="210" spans="2:4" ht="13.8">
      <c r="B210" s="62">
        <v>30706</v>
      </c>
      <c r="C210" s="63" t="s">
        <v>153</v>
      </c>
      <c r="D210" s="87">
        <v>0</v>
      </c>
    </row>
    <row r="211" spans="2:4" ht="13.8">
      <c r="B211" s="64">
        <v>30707</v>
      </c>
      <c r="C211" s="65" t="s">
        <v>154</v>
      </c>
      <c r="D211" s="90">
        <v>2</v>
      </c>
    </row>
    <row r="212" spans="2:4" ht="13.8">
      <c r="B212" s="62">
        <v>30708</v>
      </c>
      <c r="C212" s="63" t="s">
        <v>373</v>
      </c>
      <c r="D212" s="87">
        <v>0</v>
      </c>
    </row>
    <row r="213" spans="2:4" ht="13.8">
      <c r="B213" s="64">
        <v>30709</v>
      </c>
      <c r="C213" s="65" t="s">
        <v>158</v>
      </c>
      <c r="D213" s="90">
        <v>0</v>
      </c>
    </row>
    <row r="214" spans="2:4" ht="13.8">
      <c r="B214" s="62">
        <v>30710</v>
      </c>
      <c r="C214" s="63" t="s">
        <v>374</v>
      </c>
      <c r="D214" s="87">
        <v>0</v>
      </c>
    </row>
    <row r="215" spans="2:4" ht="13.8">
      <c r="B215" s="64">
        <v>30711</v>
      </c>
      <c r="C215" s="65" t="s">
        <v>157</v>
      </c>
      <c r="D215" s="90">
        <v>0</v>
      </c>
    </row>
    <row r="216" spans="2:4" ht="13.8">
      <c r="B216" s="62">
        <v>30801</v>
      </c>
      <c r="C216" s="63" t="s">
        <v>155</v>
      </c>
      <c r="D216" s="87">
        <v>0</v>
      </c>
    </row>
    <row r="217" spans="2:4" ht="13.8">
      <c r="B217" s="64">
        <v>30802</v>
      </c>
      <c r="C217" s="65" t="s">
        <v>156</v>
      </c>
      <c r="D217" s="90">
        <v>0</v>
      </c>
    </row>
    <row r="218" spans="2:4" ht="13.8">
      <c r="B218" s="62">
        <v>30803</v>
      </c>
      <c r="C218" s="63" t="s">
        <v>97</v>
      </c>
      <c r="D218" s="87">
        <v>0</v>
      </c>
    </row>
    <row r="219" spans="2:4" ht="13.8">
      <c r="B219" s="64">
        <v>30804</v>
      </c>
      <c r="C219" s="65" t="s">
        <v>184</v>
      </c>
      <c r="D219" s="90">
        <v>0</v>
      </c>
    </row>
    <row r="220" spans="2:4" ht="13.8">
      <c r="B220" s="62">
        <v>30805</v>
      </c>
      <c r="C220" s="63" t="s">
        <v>174</v>
      </c>
      <c r="D220" s="87">
        <v>0</v>
      </c>
    </row>
    <row r="221" spans="2:4" ht="13.8">
      <c r="B221" s="64">
        <v>30806</v>
      </c>
      <c r="C221" s="65" t="s">
        <v>375</v>
      </c>
      <c r="D221" s="90">
        <v>0</v>
      </c>
    </row>
    <row r="222" spans="2:4" ht="13.8">
      <c r="B222" s="62">
        <v>30807</v>
      </c>
      <c r="C222" s="63" t="s">
        <v>376</v>
      </c>
      <c r="D222" s="87">
        <v>0</v>
      </c>
    </row>
    <row r="223" spans="2:4" ht="13.8">
      <c r="B223" s="64">
        <v>30808</v>
      </c>
      <c r="C223" s="65" t="s">
        <v>171</v>
      </c>
      <c r="D223" s="90">
        <v>0</v>
      </c>
    </row>
    <row r="224" spans="2:4" ht="13.8">
      <c r="B224" s="62">
        <v>30809</v>
      </c>
      <c r="C224" s="63" t="s">
        <v>377</v>
      </c>
      <c r="D224" s="87">
        <v>0</v>
      </c>
    </row>
    <row r="225" spans="2:4" ht="13.8">
      <c r="B225" s="64">
        <v>30810</v>
      </c>
      <c r="C225" s="65" t="s">
        <v>378</v>
      </c>
      <c r="D225" s="90">
        <v>0</v>
      </c>
    </row>
    <row r="226" spans="2:4" ht="13.8">
      <c r="B226" s="62">
        <v>30901</v>
      </c>
      <c r="C226" s="63" t="s">
        <v>379</v>
      </c>
      <c r="D226" s="87">
        <v>0</v>
      </c>
    </row>
    <row r="227" spans="2:4" ht="13.8">
      <c r="B227" s="64">
        <v>30902</v>
      </c>
      <c r="C227" s="65" t="s">
        <v>380</v>
      </c>
      <c r="D227" s="90">
        <v>1</v>
      </c>
    </row>
    <row r="228" spans="2:4" ht="13.8">
      <c r="B228" s="62">
        <v>30903</v>
      </c>
      <c r="C228" s="63" t="s">
        <v>163</v>
      </c>
      <c r="D228" s="87">
        <v>23</v>
      </c>
    </row>
    <row r="229" spans="2:4" ht="13.8">
      <c r="B229" s="64">
        <v>30904</v>
      </c>
      <c r="C229" s="65" t="s">
        <v>183</v>
      </c>
      <c r="D229" s="90">
        <v>54</v>
      </c>
    </row>
    <row r="230" spans="2:4" ht="13.8">
      <c r="B230" s="62">
        <v>30905</v>
      </c>
      <c r="C230" s="63" t="s">
        <v>159</v>
      </c>
      <c r="D230" s="87">
        <v>4</v>
      </c>
    </row>
    <row r="231" spans="2:4" ht="13.8">
      <c r="B231" s="64">
        <v>30906</v>
      </c>
      <c r="C231" s="65" t="s">
        <v>160</v>
      </c>
      <c r="D231" s="90">
        <v>0</v>
      </c>
    </row>
    <row r="232" spans="2:4" ht="13.8">
      <c r="B232" s="62">
        <v>30907</v>
      </c>
      <c r="C232" s="63" t="s">
        <v>161</v>
      </c>
      <c r="D232" s="87">
        <v>83</v>
      </c>
    </row>
    <row r="233" spans="2:4" ht="13.8">
      <c r="B233" s="64">
        <v>30908</v>
      </c>
      <c r="C233" s="65" t="s">
        <v>162</v>
      </c>
      <c r="D233" s="90">
        <v>2</v>
      </c>
    </row>
    <row r="234" spans="2:4" ht="13.8">
      <c r="B234" s="62">
        <v>30909</v>
      </c>
      <c r="C234" s="63" t="s">
        <v>381</v>
      </c>
      <c r="D234" s="87">
        <v>12</v>
      </c>
    </row>
    <row r="235" spans="2:4" ht="13.8">
      <c r="B235" s="64">
        <v>31001</v>
      </c>
      <c r="C235" s="65" t="s">
        <v>164</v>
      </c>
      <c r="D235" s="90">
        <v>10</v>
      </c>
    </row>
    <row r="236" spans="2:4" ht="13.8">
      <c r="B236" s="62">
        <v>31002</v>
      </c>
      <c r="C236" s="63" t="s">
        <v>382</v>
      </c>
      <c r="D236" s="87">
        <v>12</v>
      </c>
    </row>
    <row r="237" spans="2:4" ht="13.8">
      <c r="B237" s="64">
        <v>31003</v>
      </c>
      <c r="C237" s="65" t="s">
        <v>165</v>
      </c>
      <c r="D237" s="90">
        <v>0</v>
      </c>
    </row>
    <row r="238" spans="2:4" ht="13.8">
      <c r="B238" s="62">
        <v>31004</v>
      </c>
      <c r="C238" s="63" t="s">
        <v>166</v>
      </c>
      <c r="D238" s="87">
        <v>0</v>
      </c>
    </row>
    <row r="239" spans="2:4" ht="13.8">
      <c r="B239" s="64">
        <v>31005</v>
      </c>
      <c r="C239" s="65" t="s">
        <v>167</v>
      </c>
      <c r="D239" s="90">
        <v>0</v>
      </c>
    </row>
    <row r="240" spans="2:4" ht="13.8">
      <c r="B240" s="62">
        <v>31006</v>
      </c>
      <c r="C240" s="63" t="s">
        <v>168</v>
      </c>
      <c r="D240" s="87">
        <v>0</v>
      </c>
    </row>
    <row r="241" spans="2:4" ht="13.8">
      <c r="B241" s="64">
        <v>31007</v>
      </c>
      <c r="C241" s="65" t="s">
        <v>169</v>
      </c>
      <c r="D241" s="90">
        <v>1</v>
      </c>
    </row>
    <row r="242" spans="2:4" ht="13.8">
      <c r="B242" s="62">
        <v>31008</v>
      </c>
      <c r="C242" s="63" t="s">
        <v>383</v>
      </c>
      <c r="D242" s="87">
        <v>0</v>
      </c>
    </row>
    <row r="243" spans="2:4" ht="13.8">
      <c r="B243" s="64">
        <v>31009</v>
      </c>
      <c r="C243" s="65" t="s">
        <v>384</v>
      </c>
      <c r="D243" s="90">
        <v>0</v>
      </c>
    </row>
    <row r="244" spans="2:4" ht="13.8">
      <c r="B244" s="62">
        <v>31010</v>
      </c>
      <c r="C244" s="63" t="s">
        <v>92</v>
      </c>
      <c r="D244" s="87">
        <v>1</v>
      </c>
    </row>
    <row r="245" spans="2:4" ht="13.8">
      <c r="B245" s="64">
        <v>31011</v>
      </c>
      <c r="C245" s="65" t="s">
        <v>385</v>
      </c>
      <c r="D245" s="90">
        <v>0</v>
      </c>
    </row>
    <row r="246" spans="2:4" ht="13.8">
      <c r="B246" s="62">
        <v>31012</v>
      </c>
      <c r="C246" s="63" t="s">
        <v>386</v>
      </c>
      <c r="D246" s="87">
        <v>0</v>
      </c>
    </row>
    <row r="247" spans="2:4" ht="13.8">
      <c r="B247" s="64">
        <v>31013</v>
      </c>
      <c r="C247" s="65" t="s">
        <v>387</v>
      </c>
      <c r="D247" s="90">
        <v>0</v>
      </c>
    </row>
    <row r="248" spans="2:4" ht="13.8">
      <c r="B248" s="62">
        <v>31014</v>
      </c>
      <c r="C248" s="63" t="s">
        <v>388</v>
      </c>
      <c r="D248" s="87">
        <v>0</v>
      </c>
    </row>
    <row r="249" spans="2:4" ht="13.8">
      <c r="B249" s="64">
        <v>31015</v>
      </c>
      <c r="C249" s="65" t="s">
        <v>389</v>
      </c>
      <c r="D249" s="90">
        <v>0</v>
      </c>
    </row>
    <row r="250" spans="2:4" ht="13.8">
      <c r="B250" s="62">
        <v>31101</v>
      </c>
      <c r="C250" s="63" t="s">
        <v>172</v>
      </c>
      <c r="D250" s="87">
        <v>62</v>
      </c>
    </row>
    <row r="251" spans="2:4" ht="13.8">
      <c r="B251" s="64">
        <v>31102</v>
      </c>
      <c r="C251" s="65" t="s">
        <v>173</v>
      </c>
      <c r="D251" s="90">
        <v>4</v>
      </c>
    </row>
    <row r="252" spans="2:4" ht="13.8">
      <c r="B252" s="62">
        <v>31103</v>
      </c>
      <c r="C252" s="63" t="s">
        <v>175</v>
      </c>
      <c r="D252" s="87">
        <v>3</v>
      </c>
    </row>
    <row r="253" spans="2:4" ht="13.8">
      <c r="B253" s="64">
        <v>31104</v>
      </c>
      <c r="C253" s="65" t="s">
        <v>176</v>
      </c>
      <c r="D253" s="90">
        <v>1</v>
      </c>
    </row>
    <row r="254" spans="2:4" ht="13.8">
      <c r="B254" s="62">
        <v>31105</v>
      </c>
      <c r="C254" s="63" t="s">
        <v>177</v>
      </c>
      <c r="D254" s="87">
        <v>6</v>
      </c>
    </row>
    <row r="255" spans="2:4" ht="13.8">
      <c r="B255" s="64">
        <v>31106</v>
      </c>
      <c r="C255" s="65" t="s">
        <v>390</v>
      </c>
      <c r="D255" s="90">
        <v>0</v>
      </c>
    </row>
    <row r="256" spans="2:4" ht="13.8">
      <c r="B256" s="62">
        <v>31107</v>
      </c>
      <c r="C256" s="63" t="s">
        <v>391</v>
      </c>
      <c r="D256" s="87">
        <v>0</v>
      </c>
    </row>
    <row r="257" spans="2:4" ht="13.8">
      <c r="B257" s="64">
        <v>31108</v>
      </c>
      <c r="C257" s="65" t="s">
        <v>392</v>
      </c>
      <c r="D257" s="90">
        <v>0</v>
      </c>
    </row>
    <row r="258" spans="2:4" ht="13.8">
      <c r="B258" s="62">
        <v>31109</v>
      </c>
      <c r="C258" s="63" t="s">
        <v>178</v>
      </c>
      <c r="D258" s="87">
        <v>0</v>
      </c>
    </row>
    <row r="259" spans="2:4" ht="13.8">
      <c r="B259" s="64">
        <v>31110</v>
      </c>
      <c r="C259" s="65" t="s">
        <v>179</v>
      </c>
      <c r="D259" s="90">
        <v>0</v>
      </c>
    </row>
    <row r="260" spans="2:4" ht="13.8">
      <c r="B260" s="62">
        <v>31111</v>
      </c>
      <c r="C260" s="63" t="s">
        <v>180</v>
      </c>
      <c r="D260" s="87">
        <v>0</v>
      </c>
    </row>
    <row r="261" spans="2:4" ht="13.8">
      <c r="B261" s="64">
        <v>31112</v>
      </c>
      <c r="C261" s="65" t="s">
        <v>393</v>
      </c>
      <c r="D261" s="90">
        <v>37</v>
      </c>
    </row>
    <row r="262" spans="2:4" ht="13.8">
      <c r="B262" s="62">
        <v>31113</v>
      </c>
      <c r="C262" s="63" t="s">
        <v>181</v>
      </c>
      <c r="D262" s="87">
        <v>4</v>
      </c>
    </row>
    <row r="263" spans="2:4" ht="13.8">
      <c r="B263" s="64">
        <v>31114</v>
      </c>
      <c r="C263" s="65" t="s">
        <v>394</v>
      </c>
      <c r="D263" s="90">
        <v>2</v>
      </c>
    </row>
    <row r="264" spans="2:4" ht="13.8">
      <c r="B264" s="66">
        <v>40101</v>
      </c>
      <c r="C264" s="67" t="s">
        <v>187</v>
      </c>
      <c r="D264" s="91">
        <v>0</v>
      </c>
    </row>
    <row r="265" spans="2:4" ht="13.8">
      <c r="B265" s="62">
        <v>40102</v>
      </c>
      <c r="C265" s="63" t="s">
        <v>395</v>
      </c>
      <c r="D265" s="87">
        <v>1</v>
      </c>
    </row>
    <row r="266" spans="2:4" ht="13.8">
      <c r="B266" s="66">
        <v>40103</v>
      </c>
      <c r="C266" s="67" t="s">
        <v>188</v>
      </c>
      <c r="D266" s="91">
        <v>0</v>
      </c>
    </row>
    <row r="267" spans="2:4" ht="13.8">
      <c r="B267" s="62">
        <v>40104</v>
      </c>
      <c r="C267" s="63" t="s">
        <v>189</v>
      </c>
      <c r="D267" s="87">
        <v>1</v>
      </c>
    </row>
    <row r="268" spans="2:4" ht="13.8">
      <c r="B268" s="66">
        <v>40105</v>
      </c>
      <c r="C268" s="67" t="s">
        <v>191</v>
      </c>
      <c r="D268" s="91">
        <v>1</v>
      </c>
    </row>
    <row r="269" spans="2:4" ht="13.8">
      <c r="B269" s="62">
        <v>40106</v>
      </c>
      <c r="C269" s="63" t="s">
        <v>194</v>
      </c>
      <c r="D269" s="87">
        <v>13</v>
      </c>
    </row>
    <row r="270" spans="2:4" ht="13.8">
      <c r="B270" s="66">
        <v>40107</v>
      </c>
      <c r="C270" s="67" t="s">
        <v>196</v>
      </c>
      <c r="D270" s="91">
        <v>8</v>
      </c>
    </row>
    <row r="271" spans="2:4" ht="13.8">
      <c r="B271" s="62">
        <v>40108</v>
      </c>
      <c r="C271" s="63" t="s">
        <v>197</v>
      </c>
      <c r="D271" s="87">
        <v>1</v>
      </c>
    </row>
    <row r="272" spans="2:4" ht="13.8">
      <c r="B272" s="66">
        <v>40109</v>
      </c>
      <c r="C272" s="67" t="s">
        <v>77</v>
      </c>
      <c r="D272" s="91">
        <v>0</v>
      </c>
    </row>
    <row r="273" spans="2:4" ht="13.8">
      <c r="B273" s="62">
        <v>40110</v>
      </c>
      <c r="C273" s="63" t="s">
        <v>190</v>
      </c>
      <c r="D273" s="87">
        <v>0</v>
      </c>
    </row>
    <row r="274" spans="2:4" ht="13.8">
      <c r="B274" s="72">
        <v>50101</v>
      </c>
      <c r="C274" s="73" t="s">
        <v>396</v>
      </c>
      <c r="D274" s="92">
        <v>3</v>
      </c>
    </row>
    <row r="275" spans="2:4" ht="13.8">
      <c r="B275" s="62">
        <v>50102</v>
      </c>
      <c r="C275" s="63" t="s">
        <v>397</v>
      </c>
      <c r="D275" s="87">
        <v>1</v>
      </c>
    </row>
    <row r="276" spans="2:4" ht="13.8">
      <c r="B276" s="72">
        <v>50103</v>
      </c>
      <c r="C276" s="73" t="s">
        <v>398</v>
      </c>
      <c r="D276" s="92">
        <v>52</v>
      </c>
    </row>
    <row r="277" spans="2:4" ht="13.8">
      <c r="B277" s="62">
        <v>50104</v>
      </c>
      <c r="C277" s="63" t="s">
        <v>108</v>
      </c>
      <c r="D277" s="87">
        <v>3</v>
      </c>
    </row>
    <row r="278" spans="2:4" ht="13.8">
      <c r="B278" s="72">
        <v>50105</v>
      </c>
      <c r="C278" s="73" t="s">
        <v>182</v>
      </c>
      <c r="D278" s="92">
        <v>96</v>
      </c>
    </row>
    <row r="279" spans="2:4" ht="13.8">
      <c r="B279" s="62">
        <v>50106</v>
      </c>
      <c r="C279" s="63" t="s">
        <v>170</v>
      </c>
      <c r="D279" s="87">
        <v>0</v>
      </c>
    </row>
    <row r="280" spans="2:4" ht="13.8">
      <c r="B280" s="72">
        <v>50107</v>
      </c>
      <c r="C280" s="73" t="s">
        <v>399</v>
      </c>
      <c r="D280" s="92">
        <v>6</v>
      </c>
    </row>
    <row r="281" spans="2:4" ht="13.8">
      <c r="B281" s="62">
        <v>50108</v>
      </c>
      <c r="C281" s="63" t="s">
        <v>400</v>
      </c>
      <c r="D281" s="87">
        <v>12</v>
      </c>
    </row>
    <row r="282" spans="2:4" ht="13.8">
      <c r="B282" s="72">
        <v>50201</v>
      </c>
      <c r="C282" s="73" t="s">
        <v>401</v>
      </c>
      <c r="D282" s="92">
        <v>1</v>
      </c>
    </row>
    <row r="283" spans="2:4" ht="13.8">
      <c r="B283" s="62">
        <v>50202</v>
      </c>
      <c r="C283" s="63" t="s">
        <v>402</v>
      </c>
      <c r="D283" s="87">
        <v>0</v>
      </c>
    </row>
    <row r="284" spans="2:4" ht="13.8">
      <c r="B284" s="72">
        <v>50203</v>
      </c>
      <c r="C284" s="73" t="s">
        <v>403</v>
      </c>
      <c r="D284" s="92">
        <v>21</v>
      </c>
    </row>
    <row r="285" spans="2:4" ht="13.8">
      <c r="B285" s="62">
        <v>50301</v>
      </c>
      <c r="C285" s="63" t="s">
        <v>404</v>
      </c>
      <c r="D285" s="87">
        <v>153</v>
      </c>
    </row>
    <row r="286" spans="2:4" ht="13.8">
      <c r="B286" s="72">
        <v>50302</v>
      </c>
      <c r="C286" s="73" t="s">
        <v>405</v>
      </c>
      <c r="D286" s="92">
        <v>0</v>
      </c>
    </row>
    <row r="287" spans="2:4" ht="13.8">
      <c r="B287" s="62">
        <v>50303</v>
      </c>
      <c r="C287" s="63" t="s">
        <v>185</v>
      </c>
      <c r="D287" s="87">
        <v>3</v>
      </c>
    </row>
    <row r="288" spans="2:4" ht="13.8">
      <c r="B288" s="72">
        <v>50304</v>
      </c>
      <c r="C288" s="73" t="s">
        <v>186</v>
      </c>
      <c r="D288" s="92">
        <v>3</v>
      </c>
    </row>
    <row r="289" spans="2:4" ht="13.8">
      <c r="B289" s="62">
        <v>50305</v>
      </c>
      <c r="C289" s="63" t="s">
        <v>406</v>
      </c>
      <c r="D289" s="87">
        <v>3</v>
      </c>
    </row>
    <row r="290" spans="2:4" ht="13.8">
      <c r="B290" s="72">
        <v>50306</v>
      </c>
      <c r="C290" s="73" t="s">
        <v>407</v>
      </c>
      <c r="D290" s="92">
        <v>3</v>
      </c>
    </row>
    <row r="291" spans="2:4" ht="13.8">
      <c r="B291" s="74">
        <v>60101</v>
      </c>
      <c r="C291" s="75" t="s">
        <v>408</v>
      </c>
      <c r="D291" s="93">
        <v>0</v>
      </c>
    </row>
    <row r="292" spans="2:4" ht="13.8">
      <c r="B292" s="62">
        <v>60102</v>
      </c>
      <c r="C292" s="63" t="s">
        <v>193</v>
      </c>
      <c r="D292" s="87">
        <v>0</v>
      </c>
    </row>
    <row r="293" spans="2:4" ht="13.8">
      <c r="B293" s="74">
        <v>60103</v>
      </c>
      <c r="C293" s="75" t="s">
        <v>409</v>
      </c>
      <c r="D293" s="93">
        <v>1</v>
      </c>
    </row>
    <row r="294" spans="2:4" ht="13.8">
      <c r="B294" s="76">
        <v>70101</v>
      </c>
      <c r="C294" s="77" t="s">
        <v>410</v>
      </c>
      <c r="D294" s="94">
        <v>310</v>
      </c>
    </row>
    <row r="295" spans="2:4" ht="13.8">
      <c r="B295" s="62">
        <v>70102</v>
      </c>
      <c r="C295" s="63" t="s">
        <v>198</v>
      </c>
      <c r="D295" s="95">
        <v>207</v>
      </c>
    </row>
    <row r="296" spans="2:4" ht="13.8">
      <c r="B296" s="76">
        <v>70103</v>
      </c>
      <c r="C296" s="77" t="s">
        <v>199</v>
      </c>
      <c r="D296" s="96">
        <v>3312</v>
      </c>
    </row>
    <row r="297" spans="2:4" ht="13.8">
      <c r="B297" s="62">
        <v>70104</v>
      </c>
      <c r="C297" s="63" t="s">
        <v>411</v>
      </c>
      <c r="D297" s="95">
        <v>7027</v>
      </c>
    </row>
    <row r="298" spans="2:4" ht="13.8">
      <c r="B298" s="76">
        <v>70105</v>
      </c>
      <c r="C298" s="77" t="s">
        <v>200</v>
      </c>
      <c r="D298" s="96">
        <v>122</v>
      </c>
    </row>
    <row r="299" spans="2:4" ht="13.8">
      <c r="B299" s="62">
        <v>70106</v>
      </c>
      <c r="C299" s="63" t="s">
        <v>412</v>
      </c>
      <c r="D299" s="95">
        <v>23</v>
      </c>
    </row>
    <row r="300" spans="2:4" ht="13.8">
      <c r="B300" s="76">
        <v>70107</v>
      </c>
      <c r="C300" s="77" t="s">
        <v>413</v>
      </c>
      <c r="D300" s="96">
        <v>121</v>
      </c>
    </row>
    <row r="301" spans="2:4" ht="14.4" thickBot="1">
      <c r="B301" s="78">
        <v>70108</v>
      </c>
      <c r="C301" s="79" t="s">
        <v>414</v>
      </c>
      <c r="D301" s="95">
        <v>604</v>
      </c>
    </row>
    <row r="302" spans="2:4" ht="20.100000000000001" customHeight="1" thickBot="1">
      <c r="B302" s="80" t="s">
        <v>1</v>
      </c>
      <c r="C302" s="81"/>
      <c r="D302" s="82">
        <f>SUM(D20:D301)</f>
        <v>13956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2"/>
  <sheetViews>
    <sheetView showGridLines="0" view="pageBreakPreview" topLeftCell="A5" zoomScaleNormal="100" zoomScaleSheetLayoutView="10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44140625" style="17" customWidth="1"/>
    <col min="4" max="4" width="45.44140625" style="25" customWidth="1"/>
    <col min="5" max="5" width="5.33203125" style="17" customWidth="1"/>
    <col min="6" max="7" width="14.886718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242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3.8">
      <c r="B17" s="107" t="s">
        <v>243</v>
      </c>
      <c r="C17" s="108"/>
      <c r="D17" s="50" t="s">
        <v>4</v>
      </c>
    </row>
    <row r="18" spans="2:7" ht="13.8">
      <c r="B18" s="98" t="s">
        <v>244</v>
      </c>
      <c r="C18" s="99"/>
      <c r="D18" s="50" t="s">
        <v>424</v>
      </c>
    </row>
    <row r="19" spans="2:7" ht="13.8">
      <c r="B19" s="51" t="s">
        <v>73</v>
      </c>
      <c r="C19" s="52" t="s">
        <v>72</v>
      </c>
      <c r="D19" s="53" t="s">
        <v>71</v>
      </c>
      <c r="G19" s="29"/>
    </row>
    <row r="20" spans="2:7" ht="13.8">
      <c r="B20" s="68">
        <v>10101</v>
      </c>
      <c r="C20" s="69" t="s">
        <v>262</v>
      </c>
      <c r="D20" s="88">
        <v>0</v>
      </c>
    </row>
    <row r="21" spans="2:7" ht="13.8">
      <c r="B21" s="58">
        <v>10102</v>
      </c>
      <c r="C21" s="59" t="s">
        <v>263</v>
      </c>
      <c r="D21" s="87">
        <v>0</v>
      </c>
    </row>
    <row r="22" spans="2:7" ht="13.8">
      <c r="B22" s="68">
        <v>10103</v>
      </c>
      <c r="C22" s="69" t="s">
        <v>264</v>
      </c>
      <c r="D22" s="88">
        <v>4</v>
      </c>
    </row>
    <row r="23" spans="2:7" ht="13.8">
      <c r="B23" s="58">
        <v>10104</v>
      </c>
      <c r="C23" s="59" t="s">
        <v>265</v>
      </c>
      <c r="D23" s="87">
        <v>11</v>
      </c>
    </row>
    <row r="24" spans="2:7" ht="13.8">
      <c r="B24" s="68">
        <v>10105</v>
      </c>
      <c r="C24" s="69" t="s">
        <v>266</v>
      </c>
      <c r="D24" s="88">
        <v>0</v>
      </c>
    </row>
    <row r="25" spans="2:7" ht="13.8">
      <c r="B25" s="58">
        <v>10106</v>
      </c>
      <c r="C25" s="59" t="s">
        <v>267</v>
      </c>
      <c r="D25" s="87">
        <v>0</v>
      </c>
    </row>
    <row r="26" spans="2:7" ht="13.8">
      <c r="B26" s="68">
        <v>10107</v>
      </c>
      <c r="C26" s="69" t="s">
        <v>268</v>
      </c>
      <c r="D26" s="88">
        <v>4</v>
      </c>
    </row>
    <row r="27" spans="2:7" ht="13.8">
      <c r="B27" s="58">
        <v>10108</v>
      </c>
      <c r="C27" s="59" t="s">
        <v>269</v>
      </c>
      <c r="D27" s="87">
        <v>0</v>
      </c>
    </row>
    <row r="28" spans="2:7" ht="13.8">
      <c r="B28" s="68">
        <v>10109</v>
      </c>
      <c r="C28" s="69" t="s">
        <v>270</v>
      </c>
      <c r="D28" s="88">
        <v>0</v>
      </c>
    </row>
    <row r="29" spans="2:7" ht="13.8">
      <c r="B29" s="58">
        <v>10110</v>
      </c>
      <c r="C29" s="59" t="s">
        <v>271</v>
      </c>
      <c r="D29" s="87">
        <v>0</v>
      </c>
    </row>
    <row r="30" spans="2:7" ht="13.8">
      <c r="B30" s="68">
        <v>10111</v>
      </c>
      <c r="C30" s="69" t="s">
        <v>272</v>
      </c>
      <c r="D30" s="88">
        <v>0</v>
      </c>
    </row>
    <row r="31" spans="2:7" ht="13.8">
      <c r="B31" s="58">
        <v>10112</v>
      </c>
      <c r="C31" s="59" t="s">
        <v>273</v>
      </c>
      <c r="D31" s="87">
        <v>0</v>
      </c>
    </row>
    <row r="32" spans="2:7" ht="13.8">
      <c r="B32" s="68">
        <v>10113</v>
      </c>
      <c r="C32" s="69" t="s">
        <v>274</v>
      </c>
      <c r="D32" s="88">
        <v>0</v>
      </c>
    </row>
    <row r="33" spans="2:4" ht="13.8">
      <c r="B33" s="58">
        <v>10114</v>
      </c>
      <c r="C33" s="59" t="s">
        <v>275</v>
      </c>
      <c r="D33" s="87">
        <v>0</v>
      </c>
    </row>
    <row r="34" spans="2:4" ht="13.8">
      <c r="B34" s="68">
        <v>10115</v>
      </c>
      <c r="C34" s="69" t="s">
        <v>276</v>
      </c>
      <c r="D34" s="88">
        <v>0</v>
      </c>
    </row>
    <row r="35" spans="2:4" ht="13.8">
      <c r="B35" s="58">
        <v>10116</v>
      </c>
      <c r="C35" s="59" t="s">
        <v>277</v>
      </c>
      <c r="D35" s="87">
        <v>0</v>
      </c>
    </row>
    <row r="36" spans="2:4" ht="13.8">
      <c r="B36" s="68">
        <v>10117</v>
      </c>
      <c r="C36" s="69" t="s">
        <v>278</v>
      </c>
      <c r="D36" s="88">
        <v>0</v>
      </c>
    </row>
    <row r="37" spans="2:4" ht="13.8">
      <c r="B37" s="58">
        <v>10118</v>
      </c>
      <c r="C37" s="59" t="s">
        <v>279</v>
      </c>
      <c r="D37" s="87">
        <v>0</v>
      </c>
    </row>
    <row r="38" spans="2:4" ht="13.8">
      <c r="B38" s="68">
        <v>10119</v>
      </c>
      <c r="C38" s="69" t="s">
        <v>280</v>
      </c>
      <c r="D38" s="88">
        <v>0</v>
      </c>
    </row>
    <row r="39" spans="2:4" ht="13.8">
      <c r="B39" s="58">
        <v>10120</v>
      </c>
      <c r="C39" s="59" t="s">
        <v>281</v>
      </c>
      <c r="D39" s="87">
        <v>0</v>
      </c>
    </row>
    <row r="40" spans="2:4" ht="13.8">
      <c r="B40" s="68">
        <v>10121</v>
      </c>
      <c r="C40" s="69" t="s">
        <v>282</v>
      </c>
      <c r="D40" s="88">
        <v>1</v>
      </c>
    </row>
    <row r="41" spans="2:4" ht="13.8">
      <c r="B41" s="58">
        <v>10201</v>
      </c>
      <c r="C41" s="59" t="s">
        <v>283</v>
      </c>
      <c r="D41" s="87">
        <v>0</v>
      </c>
    </row>
    <row r="42" spans="2:4" ht="13.8">
      <c r="B42" s="68">
        <v>10202</v>
      </c>
      <c r="C42" s="69" t="s">
        <v>284</v>
      </c>
      <c r="D42" s="88">
        <v>0</v>
      </c>
    </row>
    <row r="43" spans="2:4" ht="13.8">
      <c r="B43" s="58">
        <v>10203</v>
      </c>
      <c r="C43" s="59" t="s">
        <v>285</v>
      </c>
      <c r="D43" s="87">
        <v>0</v>
      </c>
    </row>
    <row r="44" spans="2:4" ht="13.8">
      <c r="B44" s="68">
        <v>10204</v>
      </c>
      <c r="C44" s="69" t="s">
        <v>286</v>
      </c>
      <c r="D44" s="88">
        <v>2</v>
      </c>
    </row>
    <row r="45" spans="2:4" ht="13.8">
      <c r="B45" s="58">
        <v>10205</v>
      </c>
      <c r="C45" s="59" t="s">
        <v>287</v>
      </c>
      <c r="D45" s="87">
        <v>0</v>
      </c>
    </row>
    <row r="46" spans="2:4" ht="13.8">
      <c r="B46" s="68">
        <v>10206</v>
      </c>
      <c r="C46" s="69" t="s">
        <v>288</v>
      </c>
      <c r="D46" s="88">
        <v>0</v>
      </c>
    </row>
    <row r="47" spans="2:4" ht="13.8">
      <c r="B47" s="58">
        <v>10207</v>
      </c>
      <c r="C47" s="59" t="s">
        <v>289</v>
      </c>
      <c r="D47" s="87">
        <v>2</v>
      </c>
    </row>
    <row r="48" spans="2:4" ht="13.8">
      <c r="B48" s="68">
        <v>10208</v>
      </c>
      <c r="C48" s="69" t="s">
        <v>290</v>
      </c>
      <c r="D48" s="88">
        <v>0</v>
      </c>
    </row>
    <row r="49" spans="2:4" ht="13.8">
      <c r="B49" s="58">
        <v>10209</v>
      </c>
      <c r="C49" s="59" t="s">
        <v>291</v>
      </c>
      <c r="D49" s="87">
        <v>0</v>
      </c>
    </row>
    <row r="50" spans="2:4" ht="13.8">
      <c r="B50" s="68">
        <v>10210</v>
      </c>
      <c r="C50" s="69" t="s">
        <v>292</v>
      </c>
      <c r="D50" s="88">
        <v>0</v>
      </c>
    </row>
    <row r="51" spans="2:4" ht="13.8">
      <c r="B51" s="58">
        <v>10211</v>
      </c>
      <c r="C51" s="59" t="s">
        <v>76</v>
      </c>
      <c r="D51" s="87">
        <v>0</v>
      </c>
    </row>
    <row r="52" spans="2:4" ht="13.8">
      <c r="B52" s="68">
        <v>10212</v>
      </c>
      <c r="C52" s="69" t="s">
        <v>293</v>
      </c>
      <c r="D52" s="88">
        <v>0</v>
      </c>
    </row>
    <row r="53" spans="2:4" ht="13.8">
      <c r="B53" s="58">
        <v>10213</v>
      </c>
      <c r="C53" s="59" t="s">
        <v>294</v>
      </c>
      <c r="D53" s="87">
        <v>0</v>
      </c>
    </row>
    <row r="54" spans="2:4" ht="13.8">
      <c r="B54" s="68">
        <v>10214</v>
      </c>
      <c r="C54" s="69" t="s">
        <v>295</v>
      </c>
      <c r="D54" s="88">
        <v>0</v>
      </c>
    </row>
    <row r="55" spans="2:4" ht="13.8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3.8">
      <c r="B57" s="58">
        <v>10217</v>
      </c>
      <c r="C57" s="59" t="s">
        <v>298</v>
      </c>
      <c r="D57" s="87">
        <v>0</v>
      </c>
    </row>
    <row r="58" spans="2:4" ht="13.8">
      <c r="B58" s="68">
        <v>10218</v>
      </c>
      <c r="C58" s="69" t="s">
        <v>299</v>
      </c>
      <c r="D58" s="88">
        <v>0</v>
      </c>
    </row>
    <row r="59" spans="2:4" ht="13.8">
      <c r="B59" s="58">
        <v>10219</v>
      </c>
      <c r="C59" s="59" t="s">
        <v>300</v>
      </c>
      <c r="D59" s="87">
        <v>0</v>
      </c>
    </row>
    <row r="60" spans="2:4" ht="13.8">
      <c r="B60" s="68">
        <v>10220</v>
      </c>
      <c r="C60" s="69" t="s">
        <v>301</v>
      </c>
      <c r="D60" s="88">
        <v>1</v>
      </c>
    </row>
    <row r="61" spans="2:4" ht="13.8">
      <c r="B61" s="58">
        <v>10301</v>
      </c>
      <c r="C61" s="59" t="s">
        <v>302</v>
      </c>
      <c r="D61" s="87">
        <v>0</v>
      </c>
    </row>
    <row r="62" spans="2:4" ht="13.8">
      <c r="B62" s="68">
        <v>10302</v>
      </c>
      <c r="C62" s="69" t="s">
        <v>303</v>
      </c>
      <c r="D62" s="88">
        <v>0</v>
      </c>
    </row>
    <row r="63" spans="2:4" ht="13.8">
      <c r="B63" s="58">
        <v>10303</v>
      </c>
      <c r="C63" s="59" t="s">
        <v>304</v>
      </c>
      <c r="D63" s="87">
        <v>0</v>
      </c>
    </row>
    <row r="64" spans="2:4" ht="13.8">
      <c r="B64" s="68">
        <v>10304</v>
      </c>
      <c r="C64" s="69" t="s">
        <v>305</v>
      </c>
      <c r="D64" s="88">
        <v>0</v>
      </c>
    </row>
    <row r="65" spans="2:4" ht="13.8">
      <c r="B65" s="58">
        <v>10305</v>
      </c>
      <c r="C65" s="59" t="s">
        <v>306</v>
      </c>
      <c r="D65" s="87">
        <v>1</v>
      </c>
    </row>
    <row r="66" spans="2:4" ht="13.8">
      <c r="B66" s="68">
        <v>10306</v>
      </c>
      <c r="C66" s="69" t="s">
        <v>307</v>
      </c>
      <c r="D66" s="88">
        <v>0</v>
      </c>
    </row>
    <row r="67" spans="2:4" ht="13.8">
      <c r="B67" s="58">
        <v>10307</v>
      </c>
      <c r="C67" s="59" t="s">
        <v>74</v>
      </c>
      <c r="D67" s="87">
        <v>4</v>
      </c>
    </row>
    <row r="68" spans="2:4" ht="13.8">
      <c r="B68" s="68">
        <v>10308</v>
      </c>
      <c r="C68" s="69" t="s">
        <v>308</v>
      </c>
      <c r="D68" s="88">
        <v>3</v>
      </c>
    </row>
    <row r="69" spans="2:4" ht="13.8">
      <c r="B69" s="58">
        <v>10309</v>
      </c>
      <c r="C69" s="59" t="s">
        <v>309</v>
      </c>
      <c r="D69" s="87">
        <v>0</v>
      </c>
    </row>
    <row r="70" spans="2:4" ht="13.8">
      <c r="B70" s="68">
        <v>10310</v>
      </c>
      <c r="C70" s="69" t="s">
        <v>310</v>
      </c>
      <c r="D70" s="88">
        <v>2</v>
      </c>
    </row>
    <row r="71" spans="2:4" ht="13.8">
      <c r="B71" s="58">
        <v>10311</v>
      </c>
      <c r="C71" s="59" t="s">
        <v>311</v>
      </c>
      <c r="D71" s="87">
        <v>1</v>
      </c>
    </row>
    <row r="72" spans="2:4" ht="13.8">
      <c r="B72" s="68">
        <v>10312</v>
      </c>
      <c r="C72" s="69" t="s">
        <v>312</v>
      </c>
      <c r="D72" s="88">
        <v>2</v>
      </c>
    </row>
    <row r="73" spans="2:4" ht="13.8">
      <c r="B73" s="58">
        <v>10313</v>
      </c>
      <c r="C73" s="59" t="s">
        <v>313</v>
      </c>
      <c r="D73" s="87">
        <v>0</v>
      </c>
    </row>
    <row r="74" spans="2:4" ht="13.8">
      <c r="B74" s="68">
        <v>10314</v>
      </c>
      <c r="C74" s="69" t="s">
        <v>314</v>
      </c>
      <c r="D74" s="88">
        <v>0</v>
      </c>
    </row>
    <row r="75" spans="2:4" ht="13.8">
      <c r="B75" s="58">
        <v>10315</v>
      </c>
      <c r="C75" s="59" t="s">
        <v>315</v>
      </c>
      <c r="D75" s="87">
        <v>0</v>
      </c>
    </row>
    <row r="76" spans="2:4" ht="13.8">
      <c r="B76" s="68">
        <v>10316</v>
      </c>
      <c r="C76" s="69" t="s">
        <v>316</v>
      </c>
      <c r="D76" s="88">
        <v>0</v>
      </c>
    </row>
    <row r="77" spans="2:4" ht="13.8">
      <c r="B77" s="58">
        <v>10317</v>
      </c>
      <c r="C77" s="59" t="s">
        <v>317</v>
      </c>
      <c r="D77" s="87">
        <v>0</v>
      </c>
    </row>
    <row r="78" spans="2:4" ht="13.8">
      <c r="B78" s="68">
        <v>10318</v>
      </c>
      <c r="C78" s="69" t="s">
        <v>318</v>
      </c>
      <c r="D78" s="88">
        <v>0</v>
      </c>
    </row>
    <row r="79" spans="2:4" ht="13.8">
      <c r="B79" s="58">
        <v>10319</v>
      </c>
      <c r="C79" s="59" t="s">
        <v>80</v>
      </c>
      <c r="D79" s="87">
        <v>0</v>
      </c>
    </row>
    <row r="80" spans="2:4" ht="13.8">
      <c r="B80" s="70">
        <v>20101</v>
      </c>
      <c r="C80" s="71" t="s">
        <v>319</v>
      </c>
      <c r="D80" s="89">
        <v>0</v>
      </c>
    </row>
    <row r="81" spans="2:4" ht="13.8">
      <c r="B81" s="60">
        <v>20102</v>
      </c>
      <c r="C81" s="61" t="s">
        <v>261</v>
      </c>
      <c r="D81" s="87">
        <v>0</v>
      </c>
    </row>
    <row r="82" spans="2:4" ht="13.8">
      <c r="B82" s="70">
        <v>20103</v>
      </c>
      <c r="C82" s="71" t="s">
        <v>78</v>
      </c>
      <c r="D82" s="89">
        <v>0</v>
      </c>
    </row>
    <row r="83" spans="2:4" ht="13.8">
      <c r="B83" s="60">
        <v>20104</v>
      </c>
      <c r="C83" s="61" t="s">
        <v>79</v>
      </c>
      <c r="D83" s="87">
        <v>0</v>
      </c>
    </row>
    <row r="84" spans="2:4" ht="13.8">
      <c r="B84" s="70">
        <v>20105</v>
      </c>
      <c r="C84" s="71" t="s">
        <v>320</v>
      </c>
      <c r="D84" s="89">
        <v>0</v>
      </c>
    </row>
    <row r="85" spans="2:4" ht="13.8">
      <c r="B85" s="60">
        <v>20106</v>
      </c>
      <c r="C85" s="61" t="s">
        <v>321</v>
      </c>
      <c r="D85" s="87">
        <v>0</v>
      </c>
    </row>
    <row r="86" spans="2:4" ht="13.8">
      <c r="B86" s="70">
        <v>20107</v>
      </c>
      <c r="C86" s="71" t="s">
        <v>81</v>
      </c>
      <c r="D86" s="89">
        <v>0</v>
      </c>
    </row>
    <row r="87" spans="2:4" ht="13.8">
      <c r="B87" s="60">
        <v>20108</v>
      </c>
      <c r="C87" s="61" t="s">
        <v>322</v>
      </c>
      <c r="D87" s="87">
        <v>0</v>
      </c>
    </row>
    <row r="88" spans="2:4" ht="13.8">
      <c r="B88" s="70">
        <v>20109</v>
      </c>
      <c r="C88" s="71" t="s">
        <v>323</v>
      </c>
      <c r="D88" s="89">
        <v>0</v>
      </c>
    </row>
    <row r="89" spans="2:4" ht="13.8">
      <c r="B89" s="60">
        <v>20110</v>
      </c>
      <c r="C89" s="61" t="s">
        <v>324</v>
      </c>
      <c r="D89" s="87">
        <v>0</v>
      </c>
    </row>
    <row r="90" spans="2:4" ht="13.8">
      <c r="B90" s="70">
        <v>20111</v>
      </c>
      <c r="C90" s="71" t="s">
        <v>325</v>
      </c>
      <c r="D90" s="89">
        <v>0</v>
      </c>
    </row>
    <row r="91" spans="2:4" ht="13.8">
      <c r="B91" s="60">
        <v>20112</v>
      </c>
      <c r="C91" s="61" t="s">
        <v>326</v>
      </c>
      <c r="D91" s="87">
        <v>0</v>
      </c>
    </row>
    <row r="92" spans="2:4" ht="13.8">
      <c r="B92" s="70">
        <v>20113</v>
      </c>
      <c r="C92" s="71" t="s">
        <v>195</v>
      </c>
      <c r="D92" s="89">
        <v>0</v>
      </c>
    </row>
    <row r="93" spans="2:4" ht="13.8">
      <c r="B93" s="60">
        <v>20114</v>
      </c>
      <c r="C93" s="61" t="s">
        <v>82</v>
      </c>
      <c r="D93" s="87">
        <v>0</v>
      </c>
    </row>
    <row r="94" spans="2:4" ht="13.8">
      <c r="B94" s="70">
        <v>20201</v>
      </c>
      <c r="C94" s="71" t="s">
        <v>83</v>
      </c>
      <c r="D94" s="89">
        <v>0</v>
      </c>
    </row>
    <row r="95" spans="2:4" ht="13.8">
      <c r="B95" s="60">
        <v>20202</v>
      </c>
      <c r="C95" s="61" t="s">
        <v>84</v>
      </c>
      <c r="D95" s="87">
        <v>0</v>
      </c>
    </row>
    <row r="96" spans="2:4" ht="13.8">
      <c r="B96" s="70">
        <v>20203</v>
      </c>
      <c r="C96" s="71" t="s">
        <v>85</v>
      </c>
      <c r="D96" s="89">
        <v>3</v>
      </c>
    </row>
    <row r="97" spans="2:4" ht="13.8">
      <c r="B97" s="60">
        <v>20204</v>
      </c>
      <c r="C97" s="61" t="s">
        <v>86</v>
      </c>
      <c r="D97" s="87">
        <v>0</v>
      </c>
    </row>
    <row r="98" spans="2:4" ht="13.8">
      <c r="B98" s="70">
        <v>20205</v>
      </c>
      <c r="C98" s="71" t="s">
        <v>87</v>
      </c>
      <c r="D98" s="89">
        <v>0</v>
      </c>
    </row>
    <row r="99" spans="2:4" ht="13.8">
      <c r="B99" s="60">
        <v>20206</v>
      </c>
      <c r="C99" s="61" t="s">
        <v>88</v>
      </c>
      <c r="D99" s="87">
        <v>0</v>
      </c>
    </row>
    <row r="100" spans="2:4" ht="13.8">
      <c r="B100" s="70">
        <v>20207</v>
      </c>
      <c r="C100" s="71" t="s">
        <v>89</v>
      </c>
      <c r="D100" s="89">
        <v>0</v>
      </c>
    </row>
    <row r="101" spans="2:4" ht="13.8">
      <c r="B101" s="60">
        <v>20208</v>
      </c>
      <c r="C101" s="61" t="s">
        <v>90</v>
      </c>
      <c r="D101" s="87">
        <v>0</v>
      </c>
    </row>
    <row r="102" spans="2:4" ht="13.8">
      <c r="B102" s="70">
        <v>20209</v>
      </c>
      <c r="C102" s="71" t="s">
        <v>91</v>
      </c>
      <c r="D102" s="89">
        <v>0</v>
      </c>
    </row>
    <row r="103" spans="2:4" ht="13.8">
      <c r="B103" s="60">
        <v>20210</v>
      </c>
      <c r="C103" s="61" t="s">
        <v>192</v>
      </c>
      <c r="D103" s="87">
        <v>1</v>
      </c>
    </row>
    <row r="104" spans="2:4" ht="13.8">
      <c r="B104" s="70">
        <v>20211</v>
      </c>
      <c r="C104" s="71" t="s">
        <v>327</v>
      </c>
      <c r="D104" s="89">
        <v>0</v>
      </c>
    </row>
    <row r="105" spans="2:4" ht="13.8">
      <c r="B105" s="60">
        <v>20212</v>
      </c>
      <c r="C105" s="61" t="s">
        <v>93</v>
      </c>
      <c r="D105" s="87">
        <v>0</v>
      </c>
    </row>
    <row r="106" spans="2:4" ht="13.8">
      <c r="B106" s="70">
        <v>20213</v>
      </c>
      <c r="C106" s="71" t="s">
        <v>94</v>
      </c>
      <c r="D106" s="89">
        <v>0</v>
      </c>
    </row>
    <row r="107" spans="2:4" ht="13.8">
      <c r="B107" s="60">
        <v>20214</v>
      </c>
      <c r="C107" s="61" t="s">
        <v>328</v>
      </c>
      <c r="D107" s="87">
        <v>0</v>
      </c>
    </row>
    <row r="108" spans="2:4" ht="13.8">
      <c r="B108" s="70">
        <v>20301</v>
      </c>
      <c r="C108" s="71" t="s">
        <v>329</v>
      </c>
      <c r="D108" s="89">
        <v>1</v>
      </c>
    </row>
    <row r="109" spans="2:4" ht="13.8">
      <c r="B109" s="60">
        <v>20302</v>
      </c>
      <c r="C109" s="61" t="s">
        <v>330</v>
      </c>
      <c r="D109" s="87">
        <v>0</v>
      </c>
    </row>
    <row r="110" spans="2:4" ht="13.8">
      <c r="B110" s="70">
        <v>20303</v>
      </c>
      <c r="C110" s="71" t="s">
        <v>331</v>
      </c>
      <c r="D110" s="89">
        <v>0</v>
      </c>
    </row>
    <row r="111" spans="2:4" ht="13.8">
      <c r="B111" s="60">
        <v>20304</v>
      </c>
      <c r="C111" s="61" t="s">
        <v>332</v>
      </c>
      <c r="D111" s="87">
        <v>0</v>
      </c>
    </row>
    <row r="112" spans="2:4" ht="13.8">
      <c r="B112" s="70">
        <v>20305</v>
      </c>
      <c r="C112" s="71" t="s">
        <v>333</v>
      </c>
      <c r="D112" s="89">
        <v>0</v>
      </c>
    </row>
    <row r="113" spans="2:4" ht="13.8">
      <c r="B113" s="60">
        <v>20306</v>
      </c>
      <c r="C113" s="61" t="s">
        <v>334</v>
      </c>
      <c r="D113" s="87">
        <v>0</v>
      </c>
    </row>
    <row r="114" spans="2:4" ht="13.8">
      <c r="B114" s="70">
        <v>20307</v>
      </c>
      <c r="C114" s="71" t="s">
        <v>335</v>
      </c>
      <c r="D114" s="89">
        <v>3</v>
      </c>
    </row>
    <row r="115" spans="2:4" ht="13.8">
      <c r="B115" s="60">
        <v>20308</v>
      </c>
      <c r="C115" s="61" t="s">
        <v>336</v>
      </c>
      <c r="D115" s="87">
        <v>0</v>
      </c>
    </row>
    <row r="116" spans="2:4" ht="13.8">
      <c r="B116" s="70">
        <v>20309</v>
      </c>
      <c r="C116" s="71" t="s">
        <v>337</v>
      </c>
      <c r="D116" s="89">
        <v>0</v>
      </c>
    </row>
    <row r="117" spans="2:4" ht="13.8">
      <c r="B117" s="60">
        <v>20310</v>
      </c>
      <c r="C117" s="61" t="s">
        <v>338</v>
      </c>
      <c r="D117" s="87">
        <v>0</v>
      </c>
    </row>
    <row r="118" spans="2:4" ht="13.8">
      <c r="B118" s="70">
        <v>20311</v>
      </c>
      <c r="C118" s="71" t="s">
        <v>339</v>
      </c>
      <c r="D118" s="89">
        <v>4</v>
      </c>
    </row>
    <row r="119" spans="2:4" ht="13.8">
      <c r="B119" s="60">
        <v>20401</v>
      </c>
      <c r="C119" s="61" t="s">
        <v>340</v>
      </c>
      <c r="D119" s="87">
        <v>0</v>
      </c>
    </row>
    <row r="120" spans="2:4" ht="13.8">
      <c r="B120" s="70">
        <v>20402</v>
      </c>
      <c r="C120" s="71" t="s">
        <v>341</v>
      </c>
      <c r="D120" s="89">
        <v>0</v>
      </c>
    </row>
    <row r="121" spans="2:4" ht="13.8">
      <c r="B121" s="60">
        <v>20403</v>
      </c>
      <c r="C121" s="61" t="s">
        <v>342</v>
      </c>
      <c r="D121" s="87">
        <v>0</v>
      </c>
    </row>
    <row r="122" spans="2:4" ht="13.8">
      <c r="B122" s="70">
        <v>20404</v>
      </c>
      <c r="C122" s="71" t="s">
        <v>343</v>
      </c>
      <c r="D122" s="89">
        <v>0</v>
      </c>
    </row>
    <row r="123" spans="2:4" ht="13.8">
      <c r="B123" s="64">
        <v>30101</v>
      </c>
      <c r="C123" s="65" t="s">
        <v>344</v>
      </c>
      <c r="D123" s="90">
        <v>0</v>
      </c>
    </row>
    <row r="124" spans="2:4" ht="13.8">
      <c r="B124" s="62">
        <v>30102</v>
      </c>
      <c r="C124" s="63" t="s">
        <v>95</v>
      </c>
      <c r="D124" s="87">
        <v>0</v>
      </c>
    </row>
    <row r="125" spans="2:4" ht="13.8">
      <c r="B125" s="64">
        <v>30103</v>
      </c>
      <c r="C125" s="65" t="s">
        <v>75</v>
      </c>
      <c r="D125" s="90">
        <v>2</v>
      </c>
    </row>
    <row r="126" spans="2:4" ht="13.8">
      <c r="B126" s="62">
        <v>30201</v>
      </c>
      <c r="C126" s="63" t="s">
        <v>96</v>
      </c>
      <c r="D126" s="87">
        <v>0</v>
      </c>
    </row>
    <row r="127" spans="2:4" ht="13.8">
      <c r="B127" s="64">
        <v>30202</v>
      </c>
      <c r="C127" s="65" t="s">
        <v>415</v>
      </c>
      <c r="D127" s="90">
        <v>0</v>
      </c>
    </row>
    <row r="128" spans="2:4" ht="13.8">
      <c r="B128" s="62">
        <v>30203</v>
      </c>
      <c r="C128" s="63" t="s">
        <v>345</v>
      </c>
      <c r="D128" s="87">
        <v>0</v>
      </c>
    </row>
    <row r="129" spans="2:4" ht="13.8">
      <c r="B129" s="64">
        <v>30204</v>
      </c>
      <c r="C129" s="65" t="s">
        <v>98</v>
      </c>
      <c r="D129" s="90">
        <v>1</v>
      </c>
    </row>
    <row r="130" spans="2:4" ht="13.8">
      <c r="B130" s="62">
        <v>30205</v>
      </c>
      <c r="C130" s="63" t="s">
        <v>346</v>
      </c>
      <c r="D130" s="87">
        <v>0</v>
      </c>
    </row>
    <row r="131" spans="2:4" ht="13.8">
      <c r="B131" s="64">
        <v>30206</v>
      </c>
      <c r="C131" s="65" t="s">
        <v>347</v>
      </c>
      <c r="D131" s="90">
        <v>1</v>
      </c>
    </row>
    <row r="132" spans="2:4" ht="13.8">
      <c r="B132" s="62">
        <v>30207</v>
      </c>
      <c r="C132" s="63" t="s">
        <v>348</v>
      </c>
      <c r="D132" s="87">
        <v>0</v>
      </c>
    </row>
    <row r="133" spans="2:4" ht="13.8">
      <c r="B133" s="64">
        <v>30301</v>
      </c>
      <c r="C133" s="65" t="s">
        <v>99</v>
      </c>
      <c r="D133" s="90">
        <v>0</v>
      </c>
    </row>
    <row r="134" spans="2:4" ht="13.8">
      <c r="B134" s="62">
        <v>30302</v>
      </c>
      <c r="C134" s="63" t="s">
        <v>100</v>
      </c>
      <c r="D134" s="87">
        <v>0</v>
      </c>
    </row>
    <row r="135" spans="2:4" ht="13.8">
      <c r="B135" s="64">
        <v>30303</v>
      </c>
      <c r="C135" s="65" t="s">
        <v>349</v>
      </c>
      <c r="D135" s="90">
        <v>0</v>
      </c>
    </row>
    <row r="136" spans="2:4" ht="13.8">
      <c r="B136" s="62">
        <v>30304</v>
      </c>
      <c r="C136" s="63" t="s">
        <v>101</v>
      </c>
      <c r="D136" s="87">
        <v>0</v>
      </c>
    </row>
    <row r="137" spans="2:4" ht="13.8">
      <c r="B137" s="64">
        <v>30305</v>
      </c>
      <c r="C137" s="65" t="s">
        <v>102</v>
      </c>
      <c r="D137" s="90">
        <v>0</v>
      </c>
    </row>
    <row r="138" spans="2:4" ht="13.8">
      <c r="B138" s="62">
        <v>30306</v>
      </c>
      <c r="C138" s="63" t="s">
        <v>103</v>
      </c>
      <c r="D138" s="87">
        <v>0</v>
      </c>
    </row>
    <row r="139" spans="2:4" ht="13.8">
      <c r="B139" s="64">
        <v>30307</v>
      </c>
      <c r="C139" s="65" t="s">
        <v>104</v>
      </c>
      <c r="D139" s="90">
        <v>0</v>
      </c>
    </row>
    <row r="140" spans="2:4" ht="13.8">
      <c r="B140" s="62">
        <v>30308</v>
      </c>
      <c r="C140" s="63" t="s">
        <v>350</v>
      </c>
      <c r="D140" s="87">
        <v>0</v>
      </c>
    </row>
    <row r="141" spans="2:4" ht="13.8">
      <c r="B141" s="64">
        <v>30309</v>
      </c>
      <c r="C141" s="65" t="s">
        <v>351</v>
      </c>
      <c r="D141" s="90">
        <v>1</v>
      </c>
    </row>
    <row r="142" spans="2:4" ht="13.8">
      <c r="B142" s="62">
        <v>30310</v>
      </c>
      <c r="C142" s="63" t="s">
        <v>352</v>
      </c>
      <c r="D142" s="87">
        <v>0</v>
      </c>
    </row>
    <row r="143" spans="2:4" ht="13.8">
      <c r="B143" s="64">
        <v>30401</v>
      </c>
      <c r="C143" s="65" t="s">
        <v>353</v>
      </c>
      <c r="D143" s="90">
        <v>0</v>
      </c>
    </row>
    <row r="144" spans="2:4" ht="13.8">
      <c r="B144" s="62">
        <v>30402</v>
      </c>
      <c r="C144" s="63" t="s">
        <v>354</v>
      </c>
      <c r="D144" s="87">
        <v>0</v>
      </c>
    </row>
    <row r="145" spans="2:4" ht="13.8">
      <c r="B145" s="64">
        <v>30403</v>
      </c>
      <c r="C145" s="65" t="s">
        <v>355</v>
      </c>
      <c r="D145" s="90">
        <v>0</v>
      </c>
    </row>
    <row r="146" spans="2:4" ht="13.8">
      <c r="B146" s="62">
        <v>30404</v>
      </c>
      <c r="C146" s="63" t="s">
        <v>105</v>
      </c>
      <c r="D146" s="87">
        <v>0</v>
      </c>
    </row>
    <row r="147" spans="2:4" ht="13.8">
      <c r="B147" s="64">
        <v>30405</v>
      </c>
      <c r="C147" s="65" t="s">
        <v>106</v>
      </c>
      <c r="D147" s="90">
        <v>0</v>
      </c>
    </row>
    <row r="148" spans="2:4" ht="13.8">
      <c r="B148" s="62">
        <v>30406</v>
      </c>
      <c r="C148" s="63" t="s">
        <v>107</v>
      </c>
      <c r="D148" s="87">
        <v>0</v>
      </c>
    </row>
    <row r="149" spans="2:4" ht="13.8">
      <c r="B149" s="64">
        <v>30407</v>
      </c>
      <c r="C149" s="65" t="s">
        <v>356</v>
      </c>
      <c r="D149" s="90">
        <v>1</v>
      </c>
    </row>
    <row r="150" spans="2:4" ht="13.8">
      <c r="B150" s="62">
        <v>30408</v>
      </c>
      <c r="C150" s="63" t="s">
        <v>357</v>
      </c>
      <c r="D150" s="87">
        <v>0</v>
      </c>
    </row>
    <row r="151" spans="2:4" ht="13.8">
      <c r="B151" s="64">
        <v>30409</v>
      </c>
      <c r="C151" s="65" t="s">
        <v>109</v>
      </c>
      <c r="D151" s="90">
        <v>0</v>
      </c>
    </row>
    <row r="152" spans="2:4" ht="13.8">
      <c r="B152" s="62">
        <v>30410</v>
      </c>
      <c r="C152" s="63" t="s">
        <v>110</v>
      </c>
      <c r="D152" s="87">
        <v>0</v>
      </c>
    </row>
    <row r="153" spans="2:4" ht="13.8">
      <c r="B153" s="64">
        <v>30411</v>
      </c>
      <c r="C153" s="65" t="s">
        <v>358</v>
      </c>
      <c r="D153" s="90">
        <v>0</v>
      </c>
    </row>
    <row r="154" spans="2:4" ht="13.8">
      <c r="B154" s="62">
        <v>30412</v>
      </c>
      <c r="C154" s="63" t="s">
        <v>111</v>
      </c>
      <c r="D154" s="87">
        <v>0</v>
      </c>
    </row>
    <row r="155" spans="2:4" ht="13.8">
      <c r="B155" s="64">
        <v>30413</v>
      </c>
      <c r="C155" s="65" t="s">
        <v>112</v>
      </c>
      <c r="D155" s="90">
        <v>0</v>
      </c>
    </row>
    <row r="156" spans="2:4" ht="13.8">
      <c r="B156" s="62">
        <v>30414</v>
      </c>
      <c r="C156" s="63" t="s">
        <v>113</v>
      </c>
      <c r="D156" s="87">
        <v>0</v>
      </c>
    </row>
    <row r="157" spans="2:4" ht="13.8">
      <c r="B157" s="64">
        <v>30415</v>
      </c>
      <c r="C157" s="65" t="s">
        <v>114</v>
      </c>
      <c r="D157" s="90">
        <v>0</v>
      </c>
    </row>
    <row r="158" spans="2:4" ht="13.8">
      <c r="B158" s="62">
        <v>30416</v>
      </c>
      <c r="C158" s="63" t="s">
        <v>115</v>
      </c>
      <c r="D158" s="87">
        <v>0</v>
      </c>
    </row>
    <row r="159" spans="2:4" ht="13.8">
      <c r="B159" s="64">
        <v>30417</v>
      </c>
      <c r="C159" s="65" t="s">
        <v>116</v>
      </c>
      <c r="D159" s="90">
        <v>0</v>
      </c>
    </row>
    <row r="160" spans="2:4" ht="13.8">
      <c r="B160" s="62">
        <v>30418</v>
      </c>
      <c r="C160" s="63" t="s">
        <v>117</v>
      </c>
      <c r="D160" s="87">
        <v>0</v>
      </c>
    </row>
    <row r="161" spans="2:4" ht="13.8">
      <c r="B161" s="64">
        <v>30419</v>
      </c>
      <c r="C161" s="65" t="s">
        <v>118</v>
      </c>
      <c r="D161" s="90">
        <v>0</v>
      </c>
    </row>
    <row r="162" spans="2:4" ht="13.8">
      <c r="B162" s="62">
        <v>30420</v>
      </c>
      <c r="C162" s="63" t="s">
        <v>119</v>
      </c>
      <c r="D162" s="87">
        <v>0</v>
      </c>
    </row>
    <row r="163" spans="2:4" ht="13.8">
      <c r="B163" s="64">
        <v>30421</v>
      </c>
      <c r="C163" s="65" t="s">
        <v>120</v>
      </c>
      <c r="D163" s="90">
        <v>0</v>
      </c>
    </row>
    <row r="164" spans="2:4" ht="13.8">
      <c r="B164" s="62">
        <v>30422</v>
      </c>
      <c r="C164" s="63" t="s">
        <v>121</v>
      </c>
      <c r="D164" s="87">
        <v>0</v>
      </c>
    </row>
    <row r="165" spans="2:4" ht="13.8">
      <c r="B165" s="64">
        <v>30423</v>
      </c>
      <c r="C165" s="65" t="s">
        <v>122</v>
      </c>
      <c r="D165" s="90">
        <v>0</v>
      </c>
    </row>
    <row r="166" spans="2:4" ht="13.8">
      <c r="B166" s="62">
        <v>30424</v>
      </c>
      <c r="C166" s="63" t="s">
        <v>123</v>
      </c>
      <c r="D166" s="87">
        <v>0</v>
      </c>
    </row>
    <row r="167" spans="2:4" ht="13.8">
      <c r="B167" s="64">
        <v>30425</v>
      </c>
      <c r="C167" s="65" t="s">
        <v>124</v>
      </c>
      <c r="D167" s="90">
        <v>0</v>
      </c>
    </row>
    <row r="168" spans="2:4" ht="13.8">
      <c r="B168" s="62">
        <v>30426</v>
      </c>
      <c r="C168" s="63" t="s">
        <v>125</v>
      </c>
      <c r="D168" s="87">
        <v>0</v>
      </c>
    </row>
    <row r="169" spans="2:4" ht="13.8">
      <c r="B169" s="64">
        <v>30427</v>
      </c>
      <c r="C169" s="65" t="s">
        <v>126</v>
      </c>
      <c r="D169" s="90">
        <v>0</v>
      </c>
    </row>
    <row r="170" spans="2:4" ht="13.8">
      <c r="B170" s="62">
        <v>30428</v>
      </c>
      <c r="C170" s="63" t="s">
        <v>127</v>
      </c>
      <c r="D170" s="87">
        <v>0</v>
      </c>
    </row>
    <row r="171" spans="2:4" ht="13.8">
      <c r="B171" s="64">
        <v>30429</v>
      </c>
      <c r="C171" s="65" t="s">
        <v>128</v>
      </c>
      <c r="D171" s="90">
        <v>0</v>
      </c>
    </row>
    <row r="172" spans="2:4" ht="13.8">
      <c r="B172" s="62">
        <v>30430</v>
      </c>
      <c r="C172" s="63" t="s">
        <v>129</v>
      </c>
      <c r="D172" s="87">
        <v>0</v>
      </c>
    </row>
    <row r="173" spans="2:4" ht="13.8">
      <c r="B173" s="64">
        <v>30431</v>
      </c>
      <c r="C173" s="65" t="s">
        <v>130</v>
      </c>
      <c r="D173" s="90">
        <v>0</v>
      </c>
    </row>
    <row r="174" spans="2:4" ht="13.8">
      <c r="B174" s="62">
        <v>30432</v>
      </c>
      <c r="C174" s="63" t="s">
        <v>131</v>
      </c>
      <c r="D174" s="87">
        <v>0</v>
      </c>
    </row>
    <row r="175" spans="2:4" ht="13.8">
      <c r="B175" s="64">
        <v>30433</v>
      </c>
      <c r="C175" s="65" t="s">
        <v>132</v>
      </c>
      <c r="D175" s="90">
        <v>0</v>
      </c>
    </row>
    <row r="176" spans="2:4" ht="13.8">
      <c r="B176" s="62">
        <v>30434</v>
      </c>
      <c r="C176" s="63" t="s">
        <v>133</v>
      </c>
      <c r="D176" s="87">
        <v>0</v>
      </c>
    </row>
    <row r="177" spans="2:4" ht="13.8">
      <c r="B177" s="64">
        <v>30435</v>
      </c>
      <c r="C177" s="65" t="s">
        <v>134</v>
      </c>
      <c r="D177" s="90">
        <v>0</v>
      </c>
    </row>
    <row r="178" spans="2:4" ht="13.8">
      <c r="B178" s="62">
        <v>30436</v>
      </c>
      <c r="C178" s="63" t="s">
        <v>135</v>
      </c>
      <c r="D178" s="87">
        <v>0</v>
      </c>
    </row>
    <row r="179" spans="2:4" ht="13.8">
      <c r="B179" s="64">
        <v>30437</v>
      </c>
      <c r="C179" s="65" t="s">
        <v>136</v>
      </c>
      <c r="D179" s="90">
        <v>0</v>
      </c>
    </row>
    <row r="180" spans="2:4" ht="13.8">
      <c r="B180" s="62">
        <v>30438</v>
      </c>
      <c r="C180" s="63" t="s">
        <v>137</v>
      </c>
      <c r="D180" s="87">
        <v>0</v>
      </c>
    </row>
    <row r="181" spans="2:4" ht="13.8">
      <c r="B181" s="64">
        <v>30439</v>
      </c>
      <c r="C181" s="65" t="s">
        <v>138</v>
      </c>
      <c r="D181" s="90">
        <v>0</v>
      </c>
    </row>
    <row r="182" spans="2:4" ht="13.8">
      <c r="B182" s="62">
        <v>30440</v>
      </c>
      <c r="C182" s="63" t="s">
        <v>359</v>
      </c>
      <c r="D182" s="87">
        <v>0</v>
      </c>
    </row>
    <row r="183" spans="2:4" ht="13.8">
      <c r="B183" s="64">
        <v>30441</v>
      </c>
      <c r="C183" s="65" t="s">
        <v>360</v>
      </c>
      <c r="D183" s="90">
        <v>0</v>
      </c>
    </row>
    <row r="184" spans="2:4" ht="13.8">
      <c r="B184" s="62">
        <v>30442</v>
      </c>
      <c r="C184" s="63" t="s">
        <v>361</v>
      </c>
      <c r="D184" s="87">
        <v>0</v>
      </c>
    </row>
    <row r="185" spans="2:4" ht="13.8">
      <c r="B185" s="64">
        <v>30443</v>
      </c>
      <c r="C185" s="65" t="s">
        <v>362</v>
      </c>
      <c r="D185" s="90">
        <v>0</v>
      </c>
    </row>
    <row r="186" spans="2:4" ht="13.8">
      <c r="B186" s="62">
        <v>30444</v>
      </c>
      <c r="C186" s="63" t="s">
        <v>363</v>
      </c>
      <c r="D186" s="87">
        <v>0</v>
      </c>
    </row>
    <row r="187" spans="2:4" ht="13.8">
      <c r="B187" s="64">
        <v>30445</v>
      </c>
      <c r="C187" s="65" t="s">
        <v>364</v>
      </c>
      <c r="D187" s="90">
        <v>0</v>
      </c>
    </row>
    <row r="188" spans="2:4" ht="13.8">
      <c r="B188" s="62">
        <v>30446</v>
      </c>
      <c r="C188" s="63" t="s">
        <v>365</v>
      </c>
      <c r="D188" s="87">
        <v>0</v>
      </c>
    </row>
    <row r="189" spans="2:4" ht="13.8">
      <c r="B189" s="64">
        <v>30501</v>
      </c>
      <c r="C189" s="65" t="s">
        <v>139</v>
      </c>
      <c r="D189" s="90">
        <v>0</v>
      </c>
    </row>
    <row r="190" spans="2:4" ht="13.8">
      <c r="B190" s="62">
        <v>30502</v>
      </c>
      <c r="C190" s="63" t="s">
        <v>140</v>
      </c>
      <c r="D190" s="87">
        <v>3</v>
      </c>
    </row>
    <row r="191" spans="2:4" ht="13.8">
      <c r="B191" s="64">
        <v>30503</v>
      </c>
      <c r="C191" s="65" t="s">
        <v>141</v>
      </c>
      <c r="D191" s="90">
        <v>1</v>
      </c>
    </row>
    <row r="192" spans="2:4" ht="13.8">
      <c r="B192" s="62">
        <v>30504</v>
      </c>
      <c r="C192" s="63" t="s">
        <v>366</v>
      </c>
      <c r="D192" s="87">
        <v>0</v>
      </c>
    </row>
    <row r="193" spans="2:4" ht="13.8">
      <c r="B193" s="64">
        <v>30505</v>
      </c>
      <c r="C193" s="65" t="s">
        <v>367</v>
      </c>
      <c r="D193" s="90">
        <v>2</v>
      </c>
    </row>
    <row r="194" spans="2:4" ht="13.8">
      <c r="B194" s="62">
        <v>30601</v>
      </c>
      <c r="C194" s="63" t="s">
        <v>142</v>
      </c>
      <c r="D194" s="87">
        <v>0</v>
      </c>
    </row>
    <row r="195" spans="2:4" ht="13.8">
      <c r="B195" s="64">
        <v>30602</v>
      </c>
      <c r="C195" s="65" t="s">
        <v>143</v>
      </c>
      <c r="D195" s="90">
        <v>0</v>
      </c>
    </row>
    <row r="196" spans="2:4" ht="13.8">
      <c r="B196" s="62">
        <v>30603</v>
      </c>
      <c r="C196" s="63" t="s">
        <v>144</v>
      </c>
      <c r="D196" s="87">
        <v>0</v>
      </c>
    </row>
    <row r="197" spans="2:4" ht="13.8">
      <c r="B197" s="64">
        <v>30604</v>
      </c>
      <c r="C197" s="65" t="s">
        <v>145</v>
      </c>
      <c r="D197" s="90">
        <v>0</v>
      </c>
    </row>
    <row r="198" spans="2:4" ht="13.8">
      <c r="B198" s="62">
        <v>30605</v>
      </c>
      <c r="C198" s="63" t="s">
        <v>368</v>
      </c>
      <c r="D198" s="87">
        <v>0</v>
      </c>
    </row>
    <row r="199" spans="2:4" ht="13.8">
      <c r="B199" s="64">
        <v>30606</v>
      </c>
      <c r="C199" s="65" t="s">
        <v>369</v>
      </c>
      <c r="D199" s="90">
        <v>0</v>
      </c>
    </row>
    <row r="200" spans="2:4" ht="13.8">
      <c r="B200" s="62">
        <v>30607</v>
      </c>
      <c r="C200" s="63" t="s">
        <v>146</v>
      </c>
      <c r="D200" s="87">
        <v>0</v>
      </c>
    </row>
    <row r="201" spans="2:4" ht="13.8">
      <c r="B201" s="64">
        <v>30608</v>
      </c>
      <c r="C201" s="65" t="s">
        <v>147</v>
      </c>
      <c r="D201" s="90">
        <v>0</v>
      </c>
    </row>
    <row r="202" spans="2:4" ht="13.8">
      <c r="B202" s="62">
        <v>30609</v>
      </c>
      <c r="C202" s="63" t="s">
        <v>370</v>
      </c>
      <c r="D202" s="87">
        <v>0</v>
      </c>
    </row>
    <row r="203" spans="2:4" ht="13.8">
      <c r="B203" s="64">
        <v>30610</v>
      </c>
      <c r="C203" s="65" t="s">
        <v>371</v>
      </c>
      <c r="D203" s="90">
        <v>0</v>
      </c>
    </row>
    <row r="204" spans="2:4" ht="13.8">
      <c r="B204" s="62">
        <v>30611</v>
      </c>
      <c r="C204" s="63" t="s">
        <v>372</v>
      </c>
      <c r="D204" s="87">
        <v>0</v>
      </c>
    </row>
    <row r="205" spans="2:4" ht="13.8">
      <c r="B205" s="64">
        <v>30701</v>
      </c>
      <c r="C205" s="65" t="s">
        <v>148</v>
      </c>
      <c r="D205" s="90">
        <v>0</v>
      </c>
    </row>
    <row r="206" spans="2:4" ht="13.8">
      <c r="B206" s="62">
        <v>30702</v>
      </c>
      <c r="C206" s="63" t="s">
        <v>149</v>
      </c>
      <c r="D206" s="87">
        <v>0</v>
      </c>
    </row>
    <row r="207" spans="2:4" ht="13.8">
      <c r="B207" s="64">
        <v>30703</v>
      </c>
      <c r="C207" s="65" t="s">
        <v>150</v>
      </c>
      <c r="D207" s="90">
        <v>0</v>
      </c>
    </row>
    <row r="208" spans="2:4" ht="13.8">
      <c r="B208" s="62">
        <v>30704</v>
      </c>
      <c r="C208" s="63" t="s">
        <v>151</v>
      </c>
      <c r="D208" s="87">
        <v>0</v>
      </c>
    </row>
    <row r="209" spans="2:4" ht="13.8">
      <c r="B209" s="64">
        <v>30705</v>
      </c>
      <c r="C209" s="65" t="s">
        <v>152</v>
      </c>
      <c r="D209" s="90">
        <v>0</v>
      </c>
    </row>
    <row r="210" spans="2:4" ht="13.8">
      <c r="B210" s="62">
        <v>30706</v>
      </c>
      <c r="C210" s="63" t="s">
        <v>153</v>
      </c>
      <c r="D210" s="87">
        <v>0</v>
      </c>
    </row>
    <row r="211" spans="2:4" ht="13.8">
      <c r="B211" s="64">
        <v>30707</v>
      </c>
      <c r="C211" s="65" t="s">
        <v>154</v>
      </c>
      <c r="D211" s="90">
        <v>1</v>
      </c>
    </row>
    <row r="212" spans="2:4" ht="13.8">
      <c r="B212" s="62">
        <v>30708</v>
      </c>
      <c r="C212" s="63" t="s">
        <v>373</v>
      </c>
      <c r="D212" s="87">
        <v>0</v>
      </c>
    </row>
    <row r="213" spans="2:4" ht="13.8">
      <c r="B213" s="64">
        <v>30709</v>
      </c>
      <c r="C213" s="65" t="s">
        <v>158</v>
      </c>
      <c r="D213" s="90">
        <v>0</v>
      </c>
    </row>
    <row r="214" spans="2:4" ht="13.8">
      <c r="B214" s="62">
        <v>30710</v>
      </c>
      <c r="C214" s="63" t="s">
        <v>374</v>
      </c>
      <c r="D214" s="87">
        <v>0</v>
      </c>
    </row>
    <row r="215" spans="2:4" ht="13.8">
      <c r="B215" s="64">
        <v>30711</v>
      </c>
      <c r="C215" s="65" t="s">
        <v>157</v>
      </c>
      <c r="D215" s="90">
        <v>0</v>
      </c>
    </row>
    <row r="216" spans="2:4" ht="13.8">
      <c r="B216" s="62">
        <v>30801</v>
      </c>
      <c r="C216" s="63" t="s">
        <v>155</v>
      </c>
      <c r="D216" s="87">
        <v>0</v>
      </c>
    </row>
    <row r="217" spans="2:4" ht="13.8">
      <c r="B217" s="64">
        <v>30802</v>
      </c>
      <c r="C217" s="65" t="s">
        <v>156</v>
      </c>
      <c r="D217" s="90">
        <v>0</v>
      </c>
    </row>
    <row r="218" spans="2:4" ht="13.8">
      <c r="B218" s="62">
        <v>30803</v>
      </c>
      <c r="C218" s="63" t="s">
        <v>97</v>
      </c>
      <c r="D218" s="87">
        <v>0</v>
      </c>
    </row>
    <row r="219" spans="2:4" ht="13.8">
      <c r="B219" s="64">
        <v>30804</v>
      </c>
      <c r="C219" s="65" t="s">
        <v>184</v>
      </c>
      <c r="D219" s="90">
        <v>0</v>
      </c>
    </row>
    <row r="220" spans="2:4" ht="13.8">
      <c r="B220" s="62">
        <v>30805</v>
      </c>
      <c r="C220" s="63" t="s">
        <v>174</v>
      </c>
      <c r="D220" s="87">
        <v>0</v>
      </c>
    </row>
    <row r="221" spans="2:4" ht="13.8">
      <c r="B221" s="64">
        <v>30806</v>
      </c>
      <c r="C221" s="65" t="s">
        <v>375</v>
      </c>
      <c r="D221" s="90">
        <v>0</v>
      </c>
    </row>
    <row r="222" spans="2:4" ht="13.8">
      <c r="B222" s="62">
        <v>30807</v>
      </c>
      <c r="C222" s="63" t="s">
        <v>376</v>
      </c>
      <c r="D222" s="87">
        <v>0</v>
      </c>
    </row>
    <row r="223" spans="2:4" ht="13.8">
      <c r="B223" s="64">
        <v>30808</v>
      </c>
      <c r="C223" s="65" t="s">
        <v>171</v>
      </c>
      <c r="D223" s="90">
        <v>0</v>
      </c>
    </row>
    <row r="224" spans="2:4" ht="13.8">
      <c r="B224" s="62">
        <v>30809</v>
      </c>
      <c r="C224" s="63" t="s">
        <v>377</v>
      </c>
      <c r="D224" s="87">
        <v>0</v>
      </c>
    </row>
    <row r="225" spans="2:4" ht="13.8">
      <c r="B225" s="64">
        <v>30810</v>
      </c>
      <c r="C225" s="65" t="s">
        <v>378</v>
      </c>
      <c r="D225" s="90">
        <v>0</v>
      </c>
    </row>
    <row r="226" spans="2:4" ht="13.8">
      <c r="B226" s="62">
        <v>30901</v>
      </c>
      <c r="C226" s="63" t="s">
        <v>379</v>
      </c>
      <c r="D226" s="87">
        <v>0</v>
      </c>
    </row>
    <row r="227" spans="2:4" ht="13.8">
      <c r="B227" s="64">
        <v>30902</v>
      </c>
      <c r="C227" s="65" t="s">
        <v>380</v>
      </c>
      <c r="D227" s="90">
        <v>0</v>
      </c>
    </row>
    <row r="228" spans="2:4" ht="13.8">
      <c r="B228" s="62">
        <v>30903</v>
      </c>
      <c r="C228" s="63" t="s">
        <v>163</v>
      </c>
      <c r="D228" s="87">
        <v>2</v>
      </c>
    </row>
    <row r="229" spans="2:4" ht="13.8">
      <c r="B229" s="64">
        <v>30904</v>
      </c>
      <c r="C229" s="65" t="s">
        <v>183</v>
      </c>
      <c r="D229" s="90">
        <v>0</v>
      </c>
    </row>
    <row r="230" spans="2:4" ht="13.8">
      <c r="B230" s="62">
        <v>30905</v>
      </c>
      <c r="C230" s="63" t="s">
        <v>159</v>
      </c>
      <c r="D230" s="87">
        <v>0</v>
      </c>
    </row>
    <row r="231" spans="2:4" ht="13.8">
      <c r="B231" s="64">
        <v>30906</v>
      </c>
      <c r="C231" s="65" t="s">
        <v>160</v>
      </c>
      <c r="D231" s="90">
        <v>0</v>
      </c>
    </row>
    <row r="232" spans="2:4" ht="13.8">
      <c r="B232" s="62">
        <v>30907</v>
      </c>
      <c r="C232" s="63" t="s">
        <v>161</v>
      </c>
      <c r="D232" s="87">
        <v>2</v>
      </c>
    </row>
    <row r="233" spans="2:4" ht="13.8">
      <c r="B233" s="64">
        <v>30908</v>
      </c>
      <c r="C233" s="65" t="s">
        <v>162</v>
      </c>
      <c r="D233" s="90">
        <v>0</v>
      </c>
    </row>
    <row r="234" spans="2:4" ht="13.8">
      <c r="B234" s="62">
        <v>30909</v>
      </c>
      <c r="C234" s="63" t="s">
        <v>381</v>
      </c>
      <c r="D234" s="87">
        <v>1</v>
      </c>
    </row>
    <row r="235" spans="2:4" ht="13.8">
      <c r="B235" s="64">
        <v>31001</v>
      </c>
      <c r="C235" s="65" t="s">
        <v>164</v>
      </c>
      <c r="D235" s="90">
        <v>0</v>
      </c>
    </row>
    <row r="236" spans="2:4" ht="13.8">
      <c r="B236" s="62">
        <v>31002</v>
      </c>
      <c r="C236" s="63" t="s">
        <v>382</v>
      </c>
      <c r="D236" s="87">
        <v>0</v>
      </c>
    </row>
    <row r="237" spans="2:4" ht="13.8">
      <c r="B237" s="64">
        <v>31003</v>
      </c>
      <c r="C237" s="65" t="s">
        <v>165</v>
      </c>
      <c r="D237" s="90">
        <v>0</v>
      </c>
    </row>
    <row r="238" spans="2:4" ht="13.8">
      <c r="B238" s="62">
        <v>31004</v>
      </c>
      <c r="C238" s="63" t="s">
        <v>166</v>
      </c>
      <c r="D238" s="87">
        <v>0</v>
      </c>
    </row>
    <row r="239" spans="2:4" ht="13.8">
      <c r="B239" s="64">
        <v>31005</v>
      </c>
      <c r="C239" s="65" t="s">
        <v>167</v>
      </c>
      <c r="D239" s="90">
        <v>0</v>
      </c>
    </row>
    <row r="240" spans="2:4" ht="13.8">
      <c r="B240" s="62">
        <v>31006</v>
      </c>
      <c r="C240" s="63" t="s">
        <v>168</v>
      </c>
      <c r="D240" s="87">
        <v>0</v>
      </c>
    </row>
    <row r="241" spans="2:4" ht="13.8">
      <c r="B241" s="64">
        <v>31007</v>
      </c>
      <c r="C241" s="65" t="s">
        <v>169</v>
      </c>
      <c r="D241" s="90">
        <v>0</v>
      </c>
    </row>
    <row r="242" spans="2:4" ht="13.8">
      <c r="B242" s="62">
        <v>31008</v>
      </c>
      <c r="C242" s="63" t="s">
        <v>383</v>
      </c>
      <c r="D242" s="87">
        <v>0</v>
      </c>
    </row>
    <row r="243" spans="2:4" ht="13.8">
      <c r="B243" s="64">
        <v>31009</v>
      </c>
      <c r="C243" s="65" t="s">
        <v>384</v>
      </c>
      <c r="D243" s="90">
        <v>0</v>
      </c>
    </row>
    <row r="244" spans="2:4" ht="13.8">
      <c r="B244" s="62">
        <v>31010</v>
      </c>
      <c r="C244" s="63" t="s">
        <v>92</v>
      </c>
      <c r="D244" s="87">
        <v>0</v>
      </c>
    </row>
    <row r="245" spans="2:4" ht="13.8">
      <c r="B245" s="64">
        <v>31011</v>
      </c>
      <c r="C245" s="65" t="s">
        <v>385</v>
      </c>
      <c r="D245" s="90">
        <v>0</v>
      </c>
    </row>
    <row r="246" spans="2:4" ht="13.8">
      <c r="B246" s="62">
        <v>31012</v>
      </c>
      <c r="C246" s="63" t="s">
        <v>386</v>
      </c>
      <c r="D246" s="87">
        <v>0</v>
      </c>
    </row>
    <row r="247" spans="2:4" ht="13.8">
      <c r="B247" s="64">
        <v>31013</v>
      </c>
      <c r="C247" s="65" t="s">
        <v>387</v>
      </c>
      <c r="D247" s="90">
        <v>0</v>
      </c>
    </row>
    <row r="248" spans="2:4" ht="13.8">
      <c r="B248" s="62">
        <v>31014</v>
      </c>
      <c r="C248" s="63" t="s">
        <v>388</v>
      </c>
      <c r="D248" s="87">
        <v>0</v>
      </c>
    </row>
    <row r="249" spans="2:4" ht="13.8">
      <c r="B249" s="64">
        <v>31015</v>
      </c>
      <c r="C249" s="65" t="s">
        <v>389</v>
      </c>
      <c r="D249" s="90">
        <v>0</v>
      </c>
    </row>
    <row r="250" spans="2:4" ht="13.8">
      <c r="B250" s="62">
        <v>31101</v>
      </c>
      <c r="C250" s="63" t="s">
        <v>172</v>
      </c>
      <c r="D250" s="87">
        <v>2</v>
      </c>
    </row>
    <row r="251" spans="2:4" ht="13.8">
      <c r="B251" s="64">
        <v>31102</v>
      </c>
      <c r="C251" s="65" t="s">
        <v>173</v>
      </c>
      <c r="D251" s="90">
        <v>0</v>
      </c>
    </row>
    <row r="252" spans="2:4" ht="13.8">
      <c r="B252" s="62">
        <v>31103</v>
      </c>
      <c r="C252" s="63" t="s">
        <v>175</v>
      </c>
      <c r="D252" s="87">
        <v>0</v>
      </c>
    </row>
    <row r="253" spans="2:4" ht="13.8">
      <c r="B253" s="64">
        <v>31104</v>
      </c>
      <c r="C253" s="65" t="s">
        <v>176</v>
      </c>
      <c r="D253" s="90">
        <v>0</v>
      </c>
    </row>
    <row r="254" spans="2:4" ht="13.8">
      <c r="B254" s="62">
        <v>31105</v>
      </c>
      <c r="C254" s="63" t="s">
        <v>177</v>
      </c>
      <c r="D254" s="87">
        <v>0</v>
      </c>
    </row>
    <row r="255" spans="2:4" ht="13.8">
      <c r="B255" s="64">
        <v>31106</v>
      </c>
      <c r="C255" s="65" t="s">
        <v>390</v>
      </c>
      <c r="D255" s="90">
        <v>0</v>
      </c>
    </row>
    <row r="256" spans="2:4" ht="13.8">
      <c r="B256" s="62">
        <v>31107</v>
      </c>
      <c r="C256" s="63" t="s">
        <v>391</v>
      </c>
      <c r="D256" s="87">
        <v>0</v>
      </c>
    </row>
    <row r="257" spans="2:4" ht="13.8">
      <c r="B257" s="64">
        <v>31108</v>
      </c>
      <c r="C257" s="65" t="s">
        <v>392</v>
      </c>
      <c r="D257" s="90">
        <v>0</v>
      </c>
    </row>
    <row r="258" spans="2:4" ht="13.8">
      <c r="B258" s="62">
        <v>31109</v>
      </c>
      <c r="C258" s="63" t="s">
        <v>178</v>
      </c>
      <c r="D258" s="87">
        <v>0</v>
      </c>
    </row>
    <row r="259" spans="2:4" ht="13.8">
      <c r="B259" s="64">
        <v>31110</v>
      </c>
      <c r="C259" s="65" t="s">
        <v>179</v>
      </c>
      <c r="D259" s="90">
        <v>0</v>
      </c>
    </row>
    <row r="260" spans="2:4" ht="13.8">
      <c r="B260" s="62">
        <v>31111</v>
      </c>
      <c r="C260" s="63" t="s">
        <v>180</v>
      </c>
      <c r="D260" s="87">
        <v>0</v>
      </c>
    </row>
    <row r="261" spans="2:4" ht="13.8">
      <c r="B261" s="64">
        <v>31112</v>
      </c>
      <c r="C261" s="65" t="s">
        <v>393</v>
      </c>
      <c r="D261" s="90">
        <v>1</v>
      </c>
    </row>
    <row r="262" spans="2:4" ht="13.8">
      <c r="B262" s="62">
        <v>31113</v>
      </c>
      <c r="C262" s="63" t="s">
        <v>181</v>
      </c>
      <c r="D262" s="87">
        <v>0</v>
      </c>
    </row>
    <row r="263" spans="2:4" ht="13.8">
      <c r="B263" s="64">
        <v>31114</v>
      </c>
      <c r="C263" s="65" t="s">
        <v>394</v>
      </c>
      <c r="D263" s="90">
        <v>0</v>
      </c>
    </row>
    <row r="264" spans="2:4" ht="13.8">
      <c r="B264" s="66">
        <v>40101</v>
      </c>
      <c r="C264" s="67" t="s">
        <v>187</v>
      </c>
      <c r="D264" s="91">
        <v>0</v>
      </c>
    </row>
    <row r="265" spans="2:4" ht="13.8">
      <c r="B265" s="62">
        <v>40102</v>
      </c>
      <c r="C265" s="63" t="s">
        <v>395</v>
      </c>
      <c r="D265" s="87">
        <v>0</v>
      </c>
    </row>
    <row r="266" spans="2:4" ht="13.8">
      <c r="B266" s="66">
        <v>40103</v>
      </c>
      <c r="C266" s="67" t="s">
        <v>188</v>
      </c>
      <c r="D266" s="91">
        <v>0</v>
      </c>
    </row>
    <row r="267" spans="2:4" ht="13.8">
      <c r="B267" s="62">
        <v>40104</v>
      </c>
      <c r="C267" s="63" t="s">
        <v>189</v>
      </c>
      <c r="D267" s="87">
        <v>0</v>
      </c>
    </row>
    <row r="268" spans="2:4" ht="13.8">
      <c r="B268" s="66">
        <v>40105</v>
      </c>
      <c r="C268" s="67" t="s">
        <v>191</v>
      </c>
      <c r="D268" s="91">
        <v>0</v>
      </c>
    </row>
    <row r="269" spans="2:4" ht="13.8">
      <c r="B269" s="62">
        <v>40106</v>
      </c>
      <c r="C269" s="63" t="s">
        <v>194</v>
      </c>
      <c r="D269" s="87">
        <v>1</v>
      </c>
    </row>
    <row r="270" spans="2:4" ht="13.8">
      <c r="B270" s="66">
        <v>40107</v>
      </c>
      <c r="C270" s="67" t="s">
        <v>196</v>
      </c>
      <c r="D270" s="91">
        <v>0</v>
      </c>
    </row>
    <row r="271" spans="2:4" ht="13.8">
      <c r="B271" s="62">
        <v>40108</v>
      </c>
      <c r="C271" s="63" t="s">
        <v>197</v>
      </c>
      <c r="D271" s="87">
        <v>0</v>
      </c>
    </row>
    <row r="272" spans="2:4" ht="13.8">
      <c r="B272" s="66">
        <v>40109</v>
      </c>
      <c r="C272" s="67" t="s">
        <v>77</v>
      </c>
      <c r="D272" s="91">
        <v>0</v>
      </c>
    </row>
    <row r="273" spans="2:4" ht="13.8">
      <c r="B273" s="62">
        <v>40110</v>
      </c>
      <c r="C273" s="63" t="s">
        <v>190</v>
      </c>
      <c r="D273" s="87">
        <v>0</v>
      </c>
    </row>
    <row r="274" spans="2:4" ht="13.8">
      <c r="B274" s="72">
        <v>50101</v>
      </c>
      <c r="C274" s="73" t="s">
        <v>396</v>
      </c>
      <c r="D274" s="92">
        <v>0</v>
      </c>
    </row>
    <row r="275" spans="2:4" ht="13.8">
      <c r="B275" s="62">
        <v>50102</v>
      </c>
      <c r="C275" s="63" t="s">
        <v>397</v>
      </c>
      <c r="D275" s="87">
        <v>0</v>
      </c>
    </row>
    <row r="276" spans="2:4" ht="13.8">
      <c r="B276" s="72">
        <v>50103</v>
      </c>
      <c r="C276" s="73" t="s">
        <v>398</v>
      </c>
      <c r="D276" s="92">
        <v>0</v>
      </c>
    </row>
    <row r="277" spans="2:4" ht="13.8">
      <c r="B277" s="62">
        <v>50104</v>
      </c>
      <c r="C277" s="63" t="s">
        <v>108</v>
      </c>
      <c r="D277" s="87">
        <v>0</v>
      </c>
    </row>
    <row r="278" spans="2:4" ht="13.8">
      <c r="B278" s="72">
        <v>50105</v>
      </c>
      <c r="C278" s="73" t="s">
        <v>182</v>
      </c>
      <c r="D278" s="92">
        <v>3</v>
      </c>
    </row>
    <row r="279" spans="2:4" ht="13.8">
      <c r="B279" s="62">
        <v>50106</v>
      </c>
      <c r="C279" s="63" t="s">
        <v>170</v>
      </c>
      <c r="D279" s="87">
        <v>0</v>
      </c>
    </row>
    <row r="280" spans="2:4" ht="13.8">
      <c r="B280" s="72">
        <v>50107</v>
      </c>
      <c r="C280" s="73" t="s">
        <v>399</v>
      </c>
      <c r="D280" s="92">
        <v>0</v>
      </c>
    </row>
    <row r="281" spans="2:4" ht="13.8">
      <c r="B281" s="62">
        <v>50108</v>
      </c>
      <c r="C281" s="63" t="s">
        <v>400</v>
      </c>
      <c r="D281" s="87">
        <v>1</v>
      </c>
    </row>
    <row r="282" spans="2:4" ht="13.8">
      <c r="B282" s="72">
        <v>50201</v>
      </c>
      <c r="C282" s="73" t="s">
        <v>401</v>
      </c>
      <c r="D282" s="92">
        <v>0</v>
      </c>
    </row>
    <row r="283" spans="2:4" ht="13.8">
      <c r="B283" s="62">
        <v>50202</v>
      </c>
      <c r="C283" s="63" t="s">
        <v>402</v>
      </c>
      <c r="D283" s="87">
        <v>0</v>
      </c>
    </row>
    <row r="284" spans="2:4" ht="13.8">
      <c r="B284" s="72">
        <v>50203</v>
      </c>
      <c r="C284" s="73" t="s">
        <v>403</v>
      </c>
      <c r="D284" s="92">
        <v>0</v>
      </c>
    </row>
    <row r="285" spans="2:4" ht="13.8">
      <c r="B285" s="62">
        <v>50301</v>
      </c>
      <c r="C285" s="63" t="s">
        <v>404</v>
      </c>
      <c r="D285" s="87">
        <v>22</v>
      </c>
    </row>
    <row r="286" spans="2:4" ht="13.8">
      <c r="B286" s="72">
        <v>50302</v>
      </c>
      <c r="C286" s="73" t="s">
        <v>405</v>
      </c>
      <c r="D286" s="92">
        <v>0</v>
      </c>
    </row>
    <row r="287" spans="2:4" ht="13.8">
      <c r="B287" s="62">
        <v>50303</v>
      </c>
      <c r="C287" s="63" t="s">
        <v>185</v>
      </c>
      <c r="D287" s="87">
        <v>0</v>
      </c>
    </row>
    <row r="288" spans="2:4" ht="13.8">
      <c r="B288" s="72">
        <v>50304</v>
      </c>
      <c r="C288" s="73" t="s">
        <v>186</v>
      </c>
      <c r="D288" s="92">
        <v>0</v>
      </c>
    </row>
    <row r="289" spans="2:4" ht="13.8">
      <c r="B289" s="62">
        <v>50305</v>
      </c>
      <c r="C289" s="63" t="s">
        <v>406</v>
      </c>
      <c r="D289" s="87">
        <v>0</v>
      </c>
    </row>
    <row r="290" spans="2:4" ht="13.8">
      <c r="B290" s="72">
        <v>50306</v>
      </c>
      <c r="C290" s="73" t="s">
        <v>407</v>
      </c>
      <c r="D290" s="92">
        <v>0</v>
      </c>
    </row>
    <row r="291" spans="2:4" ht="13.8">
      <c r="B291" s="74">
        <v>60101</v>
      </c>
      <c r="C291" s="75" t="s">
        <v>408</v>
      </c>
      <c r="D291" s="93">
        <v>0</v>
      </c>
    </row>
    <row r="292" spans="2:4" ht="13.8">
      <c r="B292" s="62">
        <v>60102</v>
      </c>
      <c r="C292" s="63" t="s">
        <v>193</v>
      </c>
      <c r="D292" s="87">
        <v>0</v>
      </c>
    </row>
    <row r="293" spans="2:4" ht="13.8">
      <c r="B293" s="74">
        <v>60103</v>
      </c>
      <c r="C293" s="75" t="s">
        <v>409</v>
      </c>
      <c r="D293" s="93">
        <v>0</v>
      </c>
    </row>
    <row r="294" spans="2:4" ht="13.8">
      <c r="B294" s="76">
        <v>70101</v>
      </c>
      <c r="C294" s="77" t="s">
        <v>410</v>
      </c>
      <c r="D294" s="94">
        <v>0</v>
      </c>
    </row>
    <row r="295" spans="2:4" ht="13.8">
      <c r="B295" s="62">
        <v>70102</v>
      </c>
      <c r="C295" s="63" t="s">
        <v>198</v>
      </c>
      <c r="D295" s="95">
        <v>0</v>
      </c>
    </row>
    <row r="296" spans="2:4" ht="13.8">
      <c r="B296" s="76">
        <v>70103</v>
      </c>
      <c r="C296" s="77" t="s">
        <v>199</v>
      </c>
      <c r="D296" s="96">
        <v>4</v>
      </c>
    </row>
    <row r="297" spans="2:4" ht="13.8">
      <c r="B297" s="62">
        <v>70104</v>
      </c>
      <c r="C297" s="63" t="s">
        <v>411</v>
      </c>
      <c r="D297" s="95">
        <v>0</v>
      </c>
    </row>
    <row r="298" spans="2:4" ht="13.8">
      <c r="B298" s="76">
        <v>70105</v>
      </c>
      <c r="C298" s="77" t="s">
        <v>200</v>
      </c>
      <c r="D298" s="96">
        <v>0</v>
      </c>
    </row>
    <row r="299" spans="2:4" ht="13.8">
      <c r="B299" s="62">
        <v>70106</v>
      </c>
      <c r="C299" s="63" t="s">
        <v>412</v>
      </c>
      <c r="D299" s="95">
        <v>0</v>
      </c>
    </row>
    <row r="300" spans="2:4" ht="13.8">
      <c r="B300" s="76">
        <v>70107</v>
      </c>
      <c r="C300" s="77" t="s">
        <v>413</v>
      </c>
      <c r="D300" s="96">
        <v>0</v>
      </c>
    </row>
    <row r="301" spans="2:4" ht="14.4" thickBot="1">
      <c r="B301" s="78">
        <v>70108</v>
      </c>
      <c r="C301" s="79" t="s">
        <v>414</v>
      </c>
      <c r="D301" s="95">
        <v>0</v>
      </c>
    </row>
    <row r="302" spans="2:4" ht="20.100000000000001" customHeight="1" thickBot="1">
      <c r="B302" s="80" t="s">
        <v>1</v>
      </c>
      <c r="C302" s="81"/>
      <c r="D302" s="82">
        <f>SUM(D20:D301)</f>
        <v>102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2"/>
  <sheetViews>
    <sheetView showGridLines="0" view="pageBreakPreview" topLeftCell="A8" zoomScaleNormal="100" zoomScaleSheetLayoutView="10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44140625" style="17" customWidth="1"/>
    <col min="4" max="4" width="45.44140625" style="25" customWidth="1"/>
    <col min="5" max="5" width="5.33203125" style="17" customWidth="1"/>
    <col min="6" max="7" width="14.886718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242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3.8">
      <c r="B17" s="107" t="s">
        <v>243</v>
      </c>
      <c r="C17" s="108"/>
      <c r="D17" s="50" t="s">
        <v>4</v>
      </c>
    </row>
    <row r="18" spans="2:7" ht="13.8">
      <c r="B18" s="98" t="s">
        <v>244</v>
      </c>
      <c r="C18" s="99"/>
      <c r="D18" s="50" t="s">
        <v>429</v>
      </c>
    </row>
    <row r="19" spans="2:7" ht="13.8">
      <c r="B19" s="51" t="s">
        <v>73</v>
      </c>
      <c r="C19" s="52" t="s">
        <v>72</v>
      </c>
      <c r="D19" s="53" t="s">
        <v>71</v>
      </c>
      <c r="G19" s="29"/>
    </row>
    <row r="20" spans="2:7" ht="13.8">
      <c r="B20" s="68">
        <v>10101</v>
      </c>
      <c r="C20" s="69" t="s">
        <v>262</v>
      </c>
      <c r="D20" s="88">
        <v>0</v>
      </c>
    </row>
    <row r="21" spans="2:7" ht="13.8">
      <c r="B21" s="58">
        <v>10102</v>
      </c>
      <c r="C21" s="59" t="s">
        <v>263</v>
      </c>
      <c r="D21" s="87">
        <v>0</v>
      </c>
    </row>
    <row r="22" spans="2:7" ht="13.8">
      <c r="B22" s="68">
        <v>10103</v>
      </c>
      <c r="C22" s="69" t="s">
        <v>264</v>
      </c>
      <c r="D22" s="88">
        <v>0</v>
      </c>
    </row>
    <row r="23" spans="2:7" ht="13.8">
      <c r="B23" s="58">
        <v>10104</v>
      </c>
      <c r="C23" s="59" t="s">
        <v>265</v>
      </c>
      <c r="D23" s="87">
        <v>0</v>
      </c>
    </row>
    <row r="24" spans="2:7" ht="13.8">
      <c r="B24" s="68">
        <v>10105</v>
      </c>
      <c r="C24" s="69" t="s">
        <v>266</v>
      </c>
      <c r="D24" s="88">
        <v>0</v>
      </c>
    </row>
    <row r="25" spans="2:7" ht="13.8">
      <c r="B25" s="58">
        <v>10106</v>
      </c>
      <c r="C25" s="59" t="s">
        <v>267</v>
      </c>
      <c r="D25" s="87">
        <v>0</v>
      </c>
    </row>
    <row r="26" spans="2:7" ht="13.8">
      <c r="B26" s="68">
        <v>10107</v>
      </c>
      <c r="C26" s="69" t="s">
        <v>268</v>
      </c>
      <c r="D26" s="88">
        <v>0</v>
      </c>
    </row>
    <row r="27" spans="2:7" ht="13.8">
      <c r="B27" s="58">
        <v>10108</v>
      </c>
      <c r="C27" s="59" t="s">
        <v>269</v>
      </c>
      <c r="D27" s="87">
        <v>0</v>
      </c>
    </row>
    <row r="28" spans="2:7" ht="13.8">
      <c r="B28" s="68">
        <v>10109</v>
      </c>
      <c r="C28" s="69" t="s">
        <v>270</v>
      </c>
      <c r="D28" s="88">
        <v>0</v>
      </c>
    </row>
    <row r="29" spans="2:7" ht="13.8">
      <c r="B29" s="58">
        <v>10110</v>
      </c>
      <c r="C29" s="59" t="s">
        <v>271</v>
      </c>
      <c r="D29" s="87">
        <v>0</v>
      </c>
    </row>
    <row r="30" spans="2:7" ht="13.8">
      <c r="B30" s="68">
        <v>10111</v>
      </c>
      <c r="C30" s="69" t="s">
        <v>272</v>
      </c>
      <c r="D30" s="88">
        <v>0</v>
      </c>
    </row>
    <row r="31" spans="2:7" ht="13.8">
      <c r="B31" s="58">
        <v>10112</v>
      </c>
      <c r="C31" s="59" t="s">
        <v>273</v>
      </c>
      <c r="D31" s="87">
        <v>0</v>
      </c>
    </row>
    <row r="32" spans="2:7" ht="13.8">
      <c r="B32" s="68">
        <v>10113</v>
      </c>
      <c r="C32" s="69" t="s">
        <v>274</v>
      </c>
      <c r="D32" s="88">
        <v>0</v>
      </c>
    </row>
    <row r="33" spans="2:4" ht="13.8">
      <c r="B33" s="58">
        <v>10114</v>
      </c>
      <c r="C33" s="59" t="s">
        <v>275</v>
      </c>
      <c r="D33" s="87">
        <v>0</v>
      </c>
    </row>
    <row r="34" spans="2:4" ht="13.8">
      <c r="B34" s="68">
        <v>10115</v>
      </c>
      <c r="C34" s="69" t="s">
        <v>276</v>
      </c>
      <c r="D34" s="88">
        <v>0</v>
      </c>
    </row>
    <row r="35" spans="2:4" ht="13.8">
      <c r="B35" s="58">
        <v>10116</v>
      </c>
      <c r="C35" s="59" t="s">
        <v>277</v>
      </c>
      <c r="D35" s="87">
        <v>0</v>
      </c>
    </row>
    <row r="36" spans="2:4" ht="13.8">
      <c r="B36" s="68">
        <v>10117</v>
      </c>
      <c r="C36" s="69" t="s">
        <v>278</v>
      </c>
      <c r="D36" s="88">
        <v>0</v>
      </c>
    </row>
    <row r="37" spans="2:4" ht="13.8">
      <c r="B37" s="58">
        <v>10118</v>
      </c>
      <c r="C37" s="59" t="s">
        <v>279</v>
      </c>
      <c r="D37" s="87">
        <v>0</v>
      </c>
    </row>
    <row r="38" spans="2:4" ht="13.8">
      <c r="B38" s="68">
        <v>10119</v>
      </c>
      <c r="C38" s="69" t="s">
        <v>280</v>
      </c>
      <c r="D38" s="88">
        <v>0</v>
      </c>
    </row>
    <row r="39" spans="2:4" ht="13.8">
      <c r="B39" s="58">
        <v>10120</v>
      </c>
      <c r="C39" s="59" t="s">
        <v>281</v>
      </c>
      <c r="D39" s="87">
        <v>0</v>
      </c>
    </row>
    <row r="40" spans="2:4" ht="13.8">
      <c r="B40" s="68">
        <v>10121</v>
      </c>
      <c r="C40" s="69" t="s">
        <v>282</v>
      </c>
      <c r="D40" s="88">
        <v>0</v>
      </c>
    </row>
    <row r="41" spans="2:4" ht="13.8">
      <c r="B41" s="58">
        <v>10201</v>
      </c>
      <c r="C41" s="59" t="s">
        <v>283</v>
      </c>
      <c r="D41" s="87">
        <v>0</v>
      </c>
    </row>
    <row r="42" spans="2:4" ht="13.8">
      <c r="B42" s="68">
        <v>10202</v>
      </c>
      <c r="C42" s="69" t="s">
        <v>284</v>
      </c>
      <c r="D42" s="88">
        <v>0</v>
      </c>
    </row>
    <row r="43" spans="2:4" ht="13.8">
      <c r="B43" s="58">
        <v>10203</v>
      </c>
      <c r="C43" s="59" t="s">
        <v>285</v>
      </c>
      <c r="D43" s="87">
        <v>0</v>
      </c>
    </row>
    <row r="44" spans="2:4" ht="13.8">
      <c r="B44" s="68">
        <v>10204</v>
      </c>
      <c r="C44" s="69" t="s">
        <v>286</v>
      </c>
      <c r="D44" s="88">
        <v>0</v>
      </c>
    </row>
    <row r="45" spans="2:4" ht="13.8">
      <c r="B45" s="58">
        <v>10205</v>
      </c>
      <c r="C45" s="59" t="s">
        <v>287</v>
      </c>
      <c r="D45" s="87">
        <v>0</v>
      </c>
    </row>
    <row r="46" spans="2:4" ht="13.8">
      <c r="B46" s="68">
        <v>10206</v>
      </c>
      <c r="C46" s="69" t="s">
        <v>288</v>
      </c>
      <c r="D46" s="88">
        <v>0</v>
      </c>
    </row>
    <row r="47" spans="2:4" ht="13.8">
      <c r="B47" s="58">
        <v>10207</v>
      </c>
      <c r="C47" s="59" t="s">
        <v>289</v>
      </c>
      <c r="D47" s="87">
        <v>0</v>
      </c>
    </row>
    <row r="48" spans="2:4" ht="13.8">
      <c r="B48" s="68">
        <v>10208</v>
      </c>
      <c r="C48" s="69" t="s">
        <v>290</v>
      </c>
      <c r="D48" s="88">
        <v>0</v>
      </c>
    </row>
    <row r="49" spans="2:4" ht="13.8">
      <c r="B49" s="58">
        <v>10209</v>
      </c>
      <c r="C49" s="59" t="s">
        <v>291</v>
      </c>
      <c r="D49" s="87">
        <v>0</v>
      </c>
    </row>
    <row r="50" spans="2:4" ht="13.8">
      <c r="B50" s="68">
        <v>10210</v>
      </c>
      <c r="C50" s="69" t="s">
        <v>292</v>
      </c>
      <c r="D50" s="88">
        <v>0</v>
      </c>
    </row>
    <row r="51" spans="2:4" ht="13.8">
      <c r="B51" s="58">
        <v>10211</v>
      </c>
      <c r="C51" s="59" t="s">
        <v>76</v>
      </c>
      <c r="D51" s="87">
        <v>0</v>
      </c>
    </row>
    <row r="52" spans="2:4" ht="13.8">
      <c r="B52" s="68">
        <v>10212</v>
      </c>
      <c r="C52" s="69" t="s">
        <v>293</v>
      </c>
      <c r="D52" s="88">
        <v>0</v>
      </c>
    </row>
    <row r="53" spans="2:4" ht="13.8">
      <c r="B53" s="58">
        <v>10213</v>
      </c>
      <c r="C53" s="59" t="s">
        <v>294</v>
      </c>
      <c r="D53" s="87">
        <v>0</v>
      </c>
    </row>
    <row r="54" spans="2:4" ht="13.8">
      <c r="B54" s="68">
        <v>10214</v>
      </c>
      <c r="C54" s="69" t="s">
        <v>295</v>
      </c>
      <c r="D54" s="88">
        <v>0</v>
      </c>
    </row>
    <row r="55" spans="2:4" ht="13.8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3.8">
      <c r="B57" s="58">
        <v>10217</v>
      </c>
      <c r="C57" s="59" t="s">
        <v>298</v>
      </c>
      <c r="D57" s="87">
        <v>0</v>
      </c>
    </row>
    <row r="58" spans="2:4" ht="13.8">
      <c r="B58" s="68">
        <v>10218</v>
      </c>
      <c r="C58" s="69" t="s">
        <v>299</v>
      </c>
      <c r="D58" s="88">
        <v>0</v>
      </c>
    </row>
    <row r="59" spans="2:4" ht="13.8">
      <c r="B59" s="58">
        <v>10219</v>
      </c>
      <c r="C59" s="59" t="s">
        <v>300</v>
      </c>
      <c r="D59" s="87">
        <v>0</v>
      </c>
    </row>
    <row r="60" spans="2:4" ht="13.8">
      <c r="B60" s="68">
        <v>10220</v>
      </c>
      <c r="C60" s="69" t="s">
        <v>301</v>
      </c>
      <c r="D60" s="88">
        <v>0</v>
      </c>
    </row>
    <row r="61" spans="2:4" ht="13.8">
      <c r="B61" s="58">
        <v>10301</v>
      </c>
      <c r="C61" s="59" t="s">
        <v>302</v>
      </c>
      <c r="D61" s="87">
        <v>0</v>
      </c>
    </row>
    <row r="62" spans="2:4" ht="13.8">
      <c r="B62" s="68">
        <v>10302</v>
      </c>
      <c r="C62" s="69" t="s">
        <v>303</v>
      </c>
      <c r="D62" s="88">
        <v>0</v>
      </c>
    </row>
    <row r="63" spans="2:4" ht="13.8">
      <c r="B63" s="58">
        <v>10303</v>
      </c>
      <c r="C63" s="59" t="s">
        <v>304</v>
      </c>
      <c r="D63" s="87">
        <v>0</v>
      </c>
    </row>
    <row r="64" spans="2:4" ht="13.8">
      <c r="B64" s="68">
        <v>10304</v>
      </c>
      <c r="C64" s="69" t="s">
        <v>305</v>
      </c>
      <c r="D64" s="88">
        <v>0</v>
      </c>
    </row>
    <row r="65" spans="2:4" ht="13.8">
      <c r="B65" s="58">
        <v>10305</v>
      </c>
      <c r="C65" s="59" t="s">
        <v>306</v>
      </c>
      <c r="D65" s="87">
        <v>0</v>
      </c>
    </row>
    <row r="66" spans="2:4" ht="13.8">
      <c r="B66" s="68">
        <v>10306</v>
      </c>
      <c r="C66" s="69" t="s">
        <v>307</v>
      </c>
      <c r="D66" s="88">
        <v>0</v>
      </c>
    </row>
    <row r="67" spans="2:4" ht="13.8">
      <c r="B67" s="58">
        <v>10307</v>
      </c>
      <c r="C67" s="59" t="s">
        <v>74</v>
      </c>
      <c r="D67" s="87">
        <v>0</v>
      </c>
    </row>
    <row r="68" spans="2:4" ht="13.8">
      <c r="B68" s="68">
        <v>10308</v>
      </c>
      <c r="C68" s="69" t="s">
        <v>308</v>
      </c>
      <c r="D68" s="88">
        <v>0</v>
      </c>
    </row>
    <row r="69" spans="2:4" ht="13.8">
      <c r="B69" s="58">
        <v>10309</v>
      </c>
      <c r="C69" s="59" t="s">
        <v>309</v>
      </c>
      <c r="D69" s="87">
        <v>0</v>
      </c>
    </row>
    <row r="70" spans="2:4" ht="13.8">
      <c r="B70" s="68">
        <v>10310</v>
      </c>
      <c r="C70" s="69" t="s">
        <v>310</v>
      </c>
      <c r="D70" s="88">
        <v>0</v>
      </c>
    </row>
    <row r="71" spans="2:4" ht="13.8">
      <c r="B71" s="58">
        <v>10311</v>
      </c>
      <c r="C71" s="59" t="s">
        <v>311</v>
      </c>
      <c r="D71" s="87">
        <v>0</v>
      </c>
    </row>
    <row r="72" spans="2:4" ht="13.8">
      <c r="B72" s="68">
        <v>10312</v>
      </c>
      <c r="C72" s="69" t="s">
        <v>312</v>
      </c>
      <c r="D72" s="88">
        <v>0</v>
      </c>
    </row>
    <row r="73" spans="2:4" ht="13.8">
      <c r="B73" s="58">
        <v>10313</v>
      </c>
      <c r="C73" s="59" t="s">
        <v>313</v>
      </c>
      <c r="D73" s="87">
        <v>0</v>
      </c>
    </row>
    <row r="74" spans="2:4" ht="13.8">
      <c r="B74" s="68">
        <v>10314</v>
      </c>
      <c r="C74" s="69" t="s">
        <v>314</v>
      </c>
      <c r="D74" s="88">
        <v>0</v>
      </c>
    </row>
    <row r="75" spans="2:4" ht="13.8">
      <c r="B75" s="58">
        <v>10315</v>
      </c>
      <c r="C75" s="59" t="s">
        <v>315</v>
      </c>
      <c r="D75" s="87">
        <v>0</v>
      </c>
    </row>
    <row r="76" spans="2:4" ht="13.8">
      <c r="B76" s="68">
        <v>10316</v>
      </c>
      <c r="C76" s="69" t="s">
        <v>316</v>
      </c>
      <c r="D76" s="88">
        <v>0</v>
      </c>
    </row>
    <row r="77" spans="2:4" ht="13.8">
      <c r="B77" s="58">
        <v>10317</v>
      </c>
      <c r="C77" s="59" t="s">
        <v>317</v>
      </c>
      <c r="D77" s="87">
        <v>0</v>
      </c>
    </row>
    <row r="78" spans="2:4" ht="13.8">
      <c r="B78" s="68">
        <v>10318</v>
      </c>
      <c r="C78" s="69" t="s">
        <v>318</v>
      </c>
      <c r="D78" s="88">
        <v>0</v>
      </c>
    </row>
    <row r="79" spans="2:4" ht="13.8">
      <c r="B79" s="58">
        <v>10319</v>
      </c>
      <c r="C79" s="59" t="s">
        <v>80</v>
      </c>
      <c r="D79" s="87">
        <v>0</v>
      </c>
    </row>
    <row r="80" spans="2:4" ht="13.8">
      <c r="B80" s="70">
        <v>20101</v>
      </c>
      <c r="C80" s="71" t="s">
        <v>319</v>
      </c>
      <c r="D80" s="89">
        <v>0</v>
      </c>
    </row>
    <row r="81" spans="2:4" ht="13.8">
      <c r="B81" s="60">
        <v>20102</v>
      </c>
      <c r="C81" s="61" t="s">
        <v>261</v>
      </c>
      <c r="D81" s="87">
        <v>0</v>
      </c>
    </row>
    <row r="82" spans="2:4" ht="13.8">
      <c r="B82" s="70">
        <v>20103</v>
      </c>
      <c r="C82" s="71" t="s">
        <v>78</v>
      </c>
      <c r="D82" s="89">
        <v>0</v>
      </c>
    </row>
    <row r="83" spans="2:4" ht="13.8">
      <c r="B83" s="60">
        <v>20104</v>
      </c>
      <c r="C83" s="61" t="s">
        <v>79</v>
      </c>
      <c r="D83" s="87">
        <v>0</v>
      </c>
    </row>
    <row r="84" spans="2:4" ht="13.8">
      <c r="B84" s="70">
        <v>20105</v>
      </c>
      <c r="C84" s="71" t="s">
        <v>320</v>
      </c>
      <c r="D84" s="89">
        <v>0</v>
      </c>
    </row>
    <row r="85" spans="2:4" ht="13.8">
      <c r="B85" s="60">
        <v>20106</v>
      </c>
      <c r="C85" s="61" t="s">
        <v>321</v>
      </c>
      <c r="D85" s="87">
        <v>0</v>
      </c>
    </row>
    <row r="86" spans="2:4" ht="13.8">
      <c r="B86" s="70">
        <v>20107</v>
      </c>
      <c r="C86" s="71" t="s">
        <v>81</v>
      </c>
      <c r="D86" s="89">
        <v>0</v>
      </c>
    </row>
    <row r="87" spans="2:4" ht="13.8">
      <c r="B87" s="60">
        <v>20108</v>
      </c>
      <c r="C87" s="61" t="s">
        <v>322</v>
      </c>
      <c r="D87" s="87">
        <v>0</v>
      </c>
    </row>
    <row r="88" spans="2:4" ht="13.8">
      <c r="B88" s="70">
        <v>20109</v>
      </c>
      <c r="C88" s="71" t="s">
        <v>323</v>
      </c>
      <c r="D88" s="89">
        <v>0</v>
      </c>
    </row>
    <row r="89" spans="2:4" ht="13.8">
      <c r="B89" s="60">
        <v>20110</v>
      </c>
      <c r="C89" s="61" t="s">
        <v>324</v>
      </c>
      <c r="D89" s="87">
        <v>0</v>
      </c>
    </row>
    <row r="90" spans="2:4" ht="13.8">
      <c r="B90" s="70">
        <v>20111</v>
      </c>
      <c r="C90" s="71" t="s">
        <v>325</v>
      </c>
      <c r="D90" s="89">
        <v>0</v>
      </c>
    </row>
    <row r="91" spans="2:4" ht="13.8">
      <c r="B91" s="60">
        <v>20112</v>
      </c>
      <c r="C91" s="61" t="s">
        <v>326</v>
      </c>
      <c r="D91" s="87">
        <v>0</v>
      </c>
    </row>
    <row r="92" spans="2:4" ht="13.8">
      <c r="B92" s="70">
        <v>20113</v>
      </c>
      <c r="C92" s="71" t="s">
        <v>195</v>
      </c>
      <c r="D92" s="89">
        <v>0</v>
      </c>
    </row>
    <row r="93" spans="2:4" ht="13.8">
      <c r="B93" s="60">
        <v>20114</v>
      </c>
      <c r="C93" s="61" t="s">
        <v>82</v>
      </c>
      <c r="D93" s="87">
        <v>0</v>
      </c>
    </row>
    <row r="94" spans="2:4" ht="13.8">
      <c r="B94" s="70">
        <v>20201</v>
      </c>
      <c r="C94" s="71" t="s">
        <v>83</v>
      </c>
      <c r="D94" s="89">
        <v>0</v>
      </c>
    </row>
    <row r="95" spans="2:4" ht="13.8">
      <c r="B95" s="60">
        <v>20202</v>
      </c>
      <c r="C95" s="61" t="s">
        <v>84</v>
      </c>
      <c r="D95" s="87">
        <v>0</v>
      </c>
    </row>
    <row r="96" spans="2:4" ht="13.8">
      <c r="B96" s="70">
        <v>20203</v>
      </c>
      <c r="C96" s="71" t="s">
        <v>85</v>
      </c>
      <c r="D96" s="89">
        <v>0</v>
      </c>
    </row>
    <row r="97" spans="2:4" ht="13.8">
      <c r="B97" s="60">
        <v>20204</v>
      </c>
      <c r="C97" s="61" t="s">
        <v>86</v>
      </c>
      <c r="D97" s="87">
        <v>0</v>
      </c>
    </row>
    <row r="98" spans="2:4" ht="13.8">
      <c r="B98" s="70">
        <v>20205</v>
      </c>
      <c r="C98" s="71" t="s">
        <v>87</v>
      </c>
      <c r="D98" s="89">
        <v>0</v>
      </c>
    </row>
    <row r="99" spans="2:4" ht="13.8">
      <c r="B99" s="60">
        <v>20206</v>
      </c>
      <c r="C99" s="61" t="s">
        <v>88</v>
      </c>
      <c r="D99" s="87">
        <v>0</v>
      </c>
    </row>
    <row r="100" spans="2:4" ht="13.8">
      <c r="B100" s="70">
        <v>20207</v>
      </c>
      <c r="C100" s="71" t="s">
        <v>89</v>
      </c>
      <c r="D100" s="89">
        <v>0</v>
      </c>
    </row>
    <row r="101" spans="2:4" ht="13.8">
      <c r="B101" s="60">
        <v>20208</v>
      </c>
      <c r="C101" s="61" t="s">
        <v>90</v>
      </c>
      <c r="D101" s="87">
        <v>0</v>
      </c>
    </row>
    <row r="102" spans="2:4" ht="13.8">
      <c r="B102" s="70">
        <v>20209</v>
      </c>
      <c r="C102" s="71" t="s">
        <v>91</v>
      </c>
      <c r="D102" s="89">
        <v>0</v>
      </c>
    </row>
    <row r="103" spans="2:4" ht="13.8">
      <c r="B103" s="60">
        <v>20210</v>
      </c>
      <c r="C103" s="61" t="s">
        <v>192</v>
      </c>
      <c r="D103" s="87">
        <v>0</v>
      </c>
    </row>
    <row r="104" spans="2:4" ht="13.8">
      <c r="B104" s="70">
        <v>20211</v>
      </c>
      <c r="C104" s="71" t="s">
        <v>327</v>
      </c>
      <c r="D104" s="89">
        <v>0</v>
      </c>
    </row>
    <row r="105" spans="2:4" ht="13.8">
      <c r="B105" s="60">
        <v>20212</v>
      </c>
      <c r="C105" s="61" t="s">
        <v>93</v>
      </c>
      <c r="D105" s="87">
        <v>0</v>
      </c>
    </row>
    <row r="106" spans="2:4" ht="13.8">
      <c r="B106" s="70">
        <v>20213</v>
      </c>
      <c r="C106" s="71" t="s">
        <v>94</v>
      </c>
      <c r="D106" s="89">
        <v>0</v>
      </c>
    </row>
    <row r="107" spans="2:4" ht="13.8">
      <c r="B107" s="60">
        <v>20214</v>
      </c>
      <c r="C107" s="61" t="s">
        <v>328</v>
      </c>
      <c r="D107" s="87">
        <v>0</v>
      </c>
    </row>
    <row r="108" spans="2:4" ht="13.8">
      <c r="B108" s="70">
        <v>20301</v>
      </c>
      <c r="C108" s="71" t="s">
        <v>329</v>
      </c>
      <c r="D108" s="89">
        <v>0</v>
      </c>
    </row>
    <row r="109" spans="2:4" ht="13.8">
      <c r="B109" s="60">
        <v>20302</v>
      </c>
      <c r="C109" s="61" t="s">
        <v>330</v>
      </c>
      <c r="D109" s="87">
        <v>0</v>
      </c>
    </row>
    <row r="110" spans="2:4" ht="13.8">
      <c r="B110" s="70">
        <v>20303</v>
      </c>
      <c r="C110" s="71" t="s">
        <v>331</v>
      </c>
      <c r="D110" s="89">
        <v>0</v>
      </c>
    </row>
    <row r="111" spans="2:4" ht="13.8">
      <c r="B111" s="60">
        <v>20304</v>
      </c>
      <c r="C111" s="61" t="s">
        <v>332</v>
      </c>
      <c r="D111" s="87">
        <v>0</v>
      </c>
    </row>
    <row r="112" spans="2:4" ht="13.8">
      <c r="B112" s="70">
        <v>20305</v>
      </c>
      <c r="C112" s="71" t="s">
        <v>333</v>
      </c>
      <c r="D112" s="89">
        <v>0</v>
      </c>
    </row>
    <row r="113" spans="2:4" ht="13.8">
      <c r="B113" s="60">
        <v>20306</v>
      </c>
      <c r="C113" s="61" t="s">
        <v>334</v>
      </c>
      <c r="D113" s="87">
        <v>0</v>
      </c>
    </row>
    <row r="114" spans="2:4" ht="13.8">
      <c r="B114" s="70">
        <v>20307</v>
      </c>
      <c r="C114" s="71" t="s">
        <v>335</v>
      </c>
      <c r="D114" s="89">
        <v>0</v>
      </c>
    </row>
    <row r="115" spans="2:4" ht="13.8">
      <c r="B115" s="60">
        <v>20308</v>
      </c>
      <c r="C115" s="61" t="s">
        <v>336</v>
      </c>
      <c r="D115" s="87">
        <v>0</v>
      </c>
    </row>
    <row r="116" spans="2:4" ht="13.8">
      <c r="B116" s="70">
        <v>20309</v>
      </c>
      <c r="C116" s="71" t="s">
        <v>337</v>
      </c>
      <c r="D116" s="89">
        <v>0</v>
      </c>
    </row>
    <row r="117" spans="2:4" ht="13.8">
      <c r="B117" s="60">
        <v>20310</v>
      </c>
      <c r="C117" s="61" t="s">
        <v>338</v>
      </c>
      <c r="D117" s="87">
        <v>0</v>
      </c>
    </row>
    <row r="118" spans="2:4" ht="13.8">
      <c r="B118" s="70">
        <v>20311</v>
      </c>
      <c r="C118" s="71" t="s">
        <v>339</v>
      </c>
      <c r="D118" s="89">
        <v>0</v>
      </c>
    </row>
    <row r="119" spans="2:4" ht="13.8">
      <c r="B119" s="60">
        <v>20401</v>
      </c>
      <c r="C119" s="61" t="s">
        <v>340</v>
      </c>
      <c r="D119" s="87">
        <v>0</v>
      </c>
    </row>
    <row r="120" spans="2:4" ht="13.8">
      <c r="B120" s="70">
        <v>20402</v>
      </c>
      <c r="C120" s="71" t="s">
        <v>341</v>
      </c>
      <c r="D120" s="89">
        <v>0</v>
      </c>
    </row>
    <row r="121" spans="2:4" ht="13.8">
      <c r="B121" s="60">
        <v>20403</v>
      </c>
      <c r="C121" s="61" t="s">
        <v>342</v>
      </c>
      <c r="D121" s="87">
        <v>0</v>
      </c>
    </row>
    <row r="122" spans="2:4" ht="13.8">
      <c r="B122" s="70">
        <v>20404</v>
      </c>
      <c r="C122" s="71" t="s">
        <v>343</v>
      </c>
      <c r="D122" s="89">
        <v>0</v>
      </c>
    </row>
    <row r="123" spans="2:4" ht="13.8">
      <c r="B123" s="64">
        <v>30101</v>
      </c>
      <c r="C123" s="65" t="s">
        <v>344</v>
      </c>
      <c r="D123" s="90">
        <v>0</v>
      </c>
    </row>
    <row r="124" spans="2:4" ht="13.8">
      <c r="B124" s="62">
        <v>30102</v>
      </c>
      <c r="C124" s="63" t="s">
        <v>95</v>
      </c>
      <c r="D124" s="87">
        <v>0</v>
      </c>
    </row>
    <row r="125" spans="2:4" ht="13.8">
      <c r="B125" s="64">
        <v>30103</v>
      </c>
      <c r="C125" s="65" t="s">
        <v>75</v>
      </c>
      <c r="D125" s="90">
        <v>0</v>
      </c>
    </row>
    <row r="126" spans="2:4" ht="13.8">
      <c r="B126" s="62">
        <v>30201</v>
      </c>
      <c r="C126" s="63" t="s">
        <v>96</v>
      </c>
      <c r="D126" s="87">
        <v>0</v>
      </c>
    </row>
    <row r="127" spans="2:4" ht="13.8">
      <c r="B127" s="64">
        <v>30202</v>
      </c>
      <c r="C127" s="65" t="s">
        <v>415</v>
      </c>
      <c r="D127" s="90">
        <v>0</v>
      </c>
    </row>
    <row r="128" spans="2:4" ht="13.8">
      <c r="B128" s="62">
        <v>30203</v>
      </c>
      <c r="C128" s="63" t="s">
        <v>345</v>
      </c>
      <c r="D128" s="87">
        <v>0</v>
      </c>
    </row>
    <row r="129" spans="2:4" ht="13.8">
      <c r="B129" s="64">
        <v>30204</v>
      </c>
      <c r="C129" s="65" t="s">
        <v>98</v>
      </c>
      <c r="D129" s="90">
        <v>0</v>
      </c>
    </row>
    <row r="130" spans="2:4" ht="13.8">
      <c r="B130" s="62">
        <v>30205</v>
      </c>
      <c r="C130" s="63" t="s">
        <v>346</v>
      </c>
      <c r="D130" s="87">
        <v>0</v>
      </c>
    </row>
    <row r="131" spans="2:4" ht="13.8">
      <c r="B131" s="64">
        <v>30206</v>
      </c>
      <c r="C131" s="65" t="s">
        <v>347</v>
      </c>
      <c r="D131" s="90">
        <v>0</v>
      </c>
    </row>
    <row r="132" spans="2:4" ht="13.8">
      <c r="B132" s="62">
        <v>30207</v>
      </c>
      <c r="C132" s="63" t="s">
        <v>348</v>
      </c>
      <c r="D132" s="87">
        <v>0</v>
      </c>
    </row>
    <row r="133" spans="2:4" ht="13.8">
      <c r="B133" s="64">
        <v>30301</v>
      </c>
      <c r="C133" s="65" t="s">
        <v>99</v>
      </c>
      <c r="D133" s="90">
        <v>0</v>
      </c>
    </row>
    <row r="134" spans="2:4" ht="13.8">
      <c r="B134" s="62">
        <v>30302</v>
      </c>
      <c r="C134" s="63" t="s">
        <v>100</v>
      </c>
      <c r="D134" s="87">
        <v>0</v>
      </c>
    </row>
    <row r="135" spans="2:4" ht="13.8">
      <c r="B135" s="64">
        <v>30303</v>
      </c>
      <c r="C135" s="65" t="s">
        <v>349</v>
      </c>
      <c r="D135" s="90">
        <v>0</v>
      </c>
    </row>
    <row r="136" spans="2:4" ht="13.8">
      <c r="B136" s="62">
        <v>30304</v>
      </c>
      <c r="C136" s="63" t="s">
        <v>101</v>
      </c>
      <c r="D136" s="87">
        <v>0</v>
      </c>
    </row>
    <row r="137" spans="2:4" ht="13.8">
      <c r="B137" s="64">
        <v>30305</v>
      </c>
      <c r="C137" s="65" t="s">
        <v>102</v>
      </c>
      <c r="D137" s="90">
        <v>0</v>
      </c>
    </row>
    <row r="138" spans="2:4" ht="13.8">
      <c r="B138" s="62">
        <v>30306</v>
      </c>
      <c r="C138" s="63" t="s">
        <v>103</v>
      </c>
      <c r="D138" s="87">
        <v>0</v>
      </c>
    </row>
    <row r="139" spans="2:4" ht="13.8">
      <c r="B139" s="64">
        <v>30307</v>
      </c>
      <c r="C139" s="65" t="s">
        <v>104</v>
      </c>
      <c r="D139" s="90">
        <v>0</v>
      </c>
    </row>
    <row r="140" spans="2:4" ht="13.8">
      <c r="B140" s="62">
        <v>30308</v>
      </c>
      <c r="C140" s="63" t="s">
        <v>350</v>
      </c>
      <c r="D140" s="87">
        <v>0</v>
      </c>
    </row>
    <row r="141" spans="2:4" ht="13.8">
      <c r="B141" s="64">
        <v>30309</v>
      </c>
      <c r="C141" s="65" t="s">
        <v>351</v>
      </c>
      <c r="D141" s="90">
        <v>0</v>
      </c>
    </row>
    <row r="142" spans="2:4" ht="13.8">
      <c r="B142" s="62">
        <v>30310</v>
      </c>
      <c r="C142" s="63" t="s">
        <v>352</v>
      </c>
      <c r="D142" s="87">
        <v>0</v>
      </c>
    </row>
    <row r="143" spans="2:4" ht="13.8">
      <c r="B143" s="64">
        <v>30401</v>
      </c>
      <c r="C143" s="65" t="s">
        <v>353</v>
      </c>
      <c r="D143" s="90">
        <v>0</v>
      </c>
    </row>
    <row r="144" spans="2:4" ht="13.8">
      <c r="B144" s="62">
        <v>30402</v>
      </c>
      <c r="C144" s="63" t="s">
        <v>354</v>
      </c>
      <c r="D144" s="87">
        <v>2</v>
      </c>
    </row>
    <row r="145" spans="2:4" ht="13.8">
      <c r="B145" s="64">
        <v>30403</v>
      </c>
      <c r="C145" s="65" t="s">
        <v>355</v>
      </c>
      <c r="D145" s="90">
        <v>0</v>
      </c>
    </row>
    <row r="146" spans="2:4" ht="13.8">
      <c r="B146" s="62">
        <v>30404</v>
      </c>
      <c r="C146" s="63" t="s">
        <v>105</v>
      </c>
      <c r="D146" s="87">
        <v>0</v>
      </c>
    </row>
    <row r="147" spans="2:4" ht="13.8">
      <c r="B147" s="64">
        <v>30405</v>
      </c>
      <c r="C147" s="65" t="s">
        <v>106</v>
      </c>
      <c r="D147" s="90">
        <v>0</v>
      </c>
    </row>
    <row r="148" spans="2:4" ht="13.8">
      <c r="B148" s="62">
        <v>30406</v>
      </c>
      <c r="C148" s="63" t="s">
        <v>107</v>
      </c>
      <c r="D148" s="87">
        <v>0</v>
      </c>
    </row>
    <row r="149" spans="2:4" ht="13.8">
      <c r="B149" s="64">
        <v>30407</v>
      </c>
      <c r="C149" s="65" t="s">
        <v>356</v>
      </c>
      <c r="D149" s="90">
        <v>0</v>
      </c>
    </row>
    <row r="150" spans="2:4" ht="13.8">
      <c r="B150" s="62">
        <v>30408</v>
      </c>
      <c r="C150" s="63" t="s">
        <v>357</v>
      </c>
      <c r="D150" s="87">
        <v>0</v>
      </c>
    </row>
    <row r="151" spans="2:4" ht="13.8">
      <c r="B151" s="64">
        <v>30409</v>
      </c>
      <c r="C151" s="65" t="s">
        <v>109</v>
      </c>
      <c r="D151" s="90">
        <v>0</v>
      </c>
    </row>
    <row r="152" spans="2:4" ht="13.8">
      <c r="B152" s="62">
        <v>30410</v>
      </c>
      <c r="C152" s="63" t="s">
        <v>110</v>
      </c>
      <c r="D152" s="87">
        <v>0</v>
      </c>
    </row>
    <row r="153" spans="2:4" ht="13.8">
      <c r="B153" s="64">
        <v>30411</v>
      </c>
      <c r="C153" s="65" t="s">
        <v>358</v>
      </c>
      <c r="D153" s="90">
        <v>0</v>
      </c>
    </row>
    <row r="154" spans="2:4" ht="13.8">
      <c r="B154" s="62">
        <v>30412</v>
      </c>
      <c r="C154" s="63" t="s">
        <v>111</v>
      </c>
      <c r="D154" s="87">
        <v>0</v>
      </c>
    </row>
    <row r="155" spans="2:4" ht="13.8">
      <c r="B155" s="64">
        <v>30413</v>
      </c>
      <c r="C155" s="65" t="s">
        <v>112</v>
      </c>
      <c r="D155" s="90">
        <v>0</v>
      </c>
    </row>
    <row r="156" spans="2:4" ht="13.8">
      <c r="B156" s="62">
        <v>30414</v>
      </c>
      <c r="C156" s="63" t="s">
        <v>113</v>
      </c>
      <c r="D156" s="87">
        <v>0</v>
      </c>
    </row>
    <row r="157" spans="2:4" ht="13.8">
      <c r="B157" s="64">
        <v>30415</v>
      </c>
      <c r="C157" s="65" t="s">
        <v>114</v>
      </c>
      <c r="D157" s="90">
        <v>0</v>
      </c>
    </row>
    <row r="158" spans="2:4" ht="13.8">
      <c r="B158" s="62">
        <v>30416</v>
      </c>
      <c r="C158" s="63" t="s">
        <v>115</v>
      </c>
      <c r="D158" s="87">
        <v>0</v>
      </c>
    </row>
    <row r="159" spans="2:4" ht="13.8">
      <c r="B159" s="64">
        <v>30417</v>
      </c>
      <c r="C159" s="65" t="s">
        <v>116</v>
      </c>
      <c r="D159" s="90">
        <v>0</v>
      </c>
    </row>
    <row r="160" spans="2:4" ht="13.8">
      <c r="B160" s="62">
        <v>30418</v>
      </c>
      <c r="C160" s="63" t="s">
        <v>117</v>
      </c>
      <c r="D160" s="87">
        <v>0</v>
      </c>
    </row>
    <row r="161" spans="2:4" ht="13.8">
      <c r="B161" s="64">
        <v>30419</v>
      </c>
      <c r="C161" s="65" t="s">
        <v>118</v>
      </c>
      <c r="D161" s="90">
        <v>0</v>
      </c>
    </row>
    <row r="162" spans="2:4" ht="13.8">
      <c r="B162" s="62">
        <v>30420</v>
      </c>
      <c r="C162" s="63" t="s">
        <v>119</v>
      </c>
      <c r="D162" s="87">
        <v>0</v>
      </c>
    </row>
    <row r="163" spans="2:4" ht="13.8">
      <c r="B163" s="64">
        <v>30421</v>
      </c>
      <c r="C163" s="65" t="s">
        <v>120</v>
      </c>
      <c r="D163" s="90">
        <v>0</v>
      </c>
    </row>
    <row r="164" spans="2:4" ht="13.8">
      <c r="B164" s="62">
        <v>30422</v>
      </c>
      <c r="C164" s="63" t="s">
        <v>121</v>
      </c>
      <c r="D164" s="87">
        <v>0</v>
      </c>
    </row>
    <row r="165" spans="2:4" ht="13.8">
      <c r="B165" s="64">
        <v>30423</v>
      </c>
      <c r="C165" s="65" t="s">
        <v>122</v>
      </c>
      <c r="D165" s="90">
        <v>0</v>
      </c>
    </row>
    <row r="166" spans="2:4" ht="13.8">
      <c r="B166" s="62">
        <v>30424</v>
      </c>
      <c r="C166" s="63" t="s">
        <v>123</v>
      </c>
      <c r="D166" s="87">
        <v>0</v>
      </c>
    </row>
    <row r="167" spans="2:4" ht="13.8">
      <c r="B167" s="64">
        <v>30425</v>
      </c>
      <c r="C167" s="65" t="s">
        <v>124</v>
      </c>
      <c r="D167" s="90">
        <v>0</v>
      </c>
    </row>
    <row r="168" spans="2:4" ht="13.8">
      <c r="B168" s="62">
        <v>30426</v>
      </c>
      <c r="C168" s="63" t="s">
        <v>125</v>
      </c>
      <c r="D168" s="87">
        <v>0</v>
      </c>
    </row>
    <row r="169" spans="2:4" ht="13.8">
      <c r="B169" s="64">
        <v>30427</v>
      </c>
      <c r="C169" s="65" t="s">
        <v>126</v>
      </c>
      <c r="D169" s="90">
        <v>1</v>
      </c>
    </row>
    <row r="170" spans="2:4" ht="13.8">
      <c r="B170" s="62">
        <v>30428</v>
      </c>
      <c r="C170" s="63" t="s">
        <v>127</v>
      </c>
      <c r="D170" s="87">
        <v>0</v>
      </c>
    </row>
    <row r="171" spans="2:4" ht="13.8">
      <c r="B171" s="64">
        <v>30429</v>
      </c>
      <c r="C171" s="65" t="s">
        <v>128</v>
      </c>
      <c r="D171" s="90">
        <v>0</v>
      </c>
    </row>
    <row r="172" spans="2:4" ht="13.8">
      <c r="B172" s="62">
        <v>30430</v>
      </c>
      <c r="C172" s="63" t="s">
        <v>129</v>
      </c>
      <c r="D172" s="87">
        <v>0</v>
      </c>
    </row>
    <row r="173" spans="2:4" ht="13.8">
      <c r="B173" s="64">
        <v>30431</v>
      </c>
      <c r="C173" s="65" t="s">
        <v>130</v>
      </c>
      <c r="D173" s="90">
        <v>0</v>
      </c>
    </row>
    <row r="174" spans="2:4" ht="13.8">
      <c r="B174" s="62">
        <v>30432</v>
      </c>
      <c r="C174" s="63" t="s">
        <v>131</v>
      </c>
      <c r="D174" s="87">
        <v>0</v>
      </c>
    </row>
    <row r="175" spans="2:4" ht="13.8">
      <c r="B175" s="64">
        <v>30433</v>
      </c>
      <c r="C175" s="65" t="s">
        <v>132</v>
      </c>
      <c r="D175" s="90">
        <v>0</v>
      </c>
    </row>
    <row r="176" spans="2:4" ht="13.8">
      <c r="B176" s="62">
        <v>30434</v>
      </c>
      <c r="C176" s="63" t="s">
        <v>133</v>
      </c>
      <c r="D176" s="87">
        <v>0</v>
      </c>
    </row>
    <row r="177" spans="2:4" ht="13.8">
      <c r="B177" s="64">
        <v>30435</v>
      </c>
      <c r="C177" s="65" t="s">
        <v>134</v>
      </c>
      <c r="D177" s="90">
        <v>0</v>
      </c>
    </row>
    <row r="178" spans="2:4" ht="13.8">
      <c r="B178" s="62">
        <v>30436</v>
      </c>
      <c r="C178" s="63" t="s">
        <v>135</v>
      </c>
      <c r="D178" s="87">
        <v>0</v>
      </c>
    </row>
    <row r="179" spans="2:4" ht="13.8">
      <c r="B179" s="64">
        <v>30437</v>
      </c>
      <c r="C179" s="65" t="s">
        <v>136</v>
      </c>
      <c r="D179" s="90">
        <v>0</v>
      </c>
    </row>
    <row r="180" spans="2:4" ht="13.8">
      <c r="B180" s="62">
        <v>30438</v>
      </c>
      <c r="C180" s="63" t="s">
        <v>137</v>
      </c>
      <c r="D180" s="87">
        <v>0</v>
      </c>
    </row>
    <row r="181" spans="2:4" ht="13.8">
      <c r="B181" s="64">
        <v>30439</v>
      </c>
      <c r="C181" s="65" t="s">
        <v>138</v>
      </c>
      <c r="D181" s="90">
        <v>0</v>
      </c>
    </row>
    <row r="182" spans="2:4" ht="13.8">
      <c r="B182" s="62">
        <v>30440</v>
      </c>
      <c r="C182" s="63" t="s">
        <v>359</v>
      </c>
      <c r="D182" s="87">
        <v>0</v>
      </c>
    </row>
    <row r="183" spans="2:4" ht="13.8">
      <c r="B183" s="64">
        <v>30441</v>
      </c>
      <c r="C183" s="65" t="s">
        <v>360</v>
      </c>
      <c r="D183" s="90">
        <v>0</v>
      </c>
    </row>
    <row r="184" spans="2:4" ht="13.8">
      <c r="B184" s="62">
        <v>30442</v>
      </c>
      <c r="C184" s="63" t="s">
        <v>361</v>
      </c>
      <c r="D184" s="87">
        <v>0</v>
      </c>
    </row>
    <row r="185" spans="2:4" ht="13.8">
      <c r="B185" s="64">
        <v>30443</v>
      </c>
      <c r="C185" s="65" t="s">
        <v>362</v>
      </c>
      <c r="D185" s="90">
        <v>0</v>
      </c>
    </row>
    <row r="186" spans="2:4" ht="13.8">
      <c r="B186" s="62">
        <v>30444</v>
      </c>
      <c r="C186" s="63" t="s">
        <v>363</v>
      </c>
      <c r="D186" s="87">
        <v>0</v>
      </c>
    </row>
    <row r="187" spans="2:4" ht="13.8">
      <c r="B187" s="64">
        <v>30445</v>
      </c>
      <c r="C187" s="65" t="s">
        <v>364</v>
      </c>
      <c r="D187" s="90">
        <v>0</v>
      </c>
    </row>
    <row r="188" spans="2:4" ht="13.8">
      <c r="B188" s="62">
        <v>30446</v>
      </c>
      <c r="C188" s="63" t="s">
        <v>365</v>
      </c>
      <c r="D188" s="87">
        <v>0</v>
      </c>
    </row>
    <row r="189" spans="2:4" ht="13.8">
      <c r="B189" s="64">
        <v>30501</v>
      </c>
      <c r="C189" s="65" t="s">
        <v>139</v>
      </c>
      <c r="D189" s="90">
        <v>0</v>
      </c>
    </row>
    <row r="190" spans="2:4" ht="13.8">
      <c r="B190" s="62">
        <v>30502</v>
      </c>
      <c r="C190" s="63" t="s">
        <v>140</v>
      </c>
      <c r="D190" s="87">
        <v>0</v>
      </c>
    </row>
    <row r="191" spans="2:4" ht="13.8">
      <c r="B191" s="64">
        <v>30503</v>
      </c>
      <c r="C191" s="65" t="s">
        <v>141</v>
      </c>
      <c r="D191" s="90">
        <v>0</v>
      </c>
    </row>
    <row r="192" spans="2:4" ht="13.8">
      <c r="B192" s="62">
        <v>30504</v>
      </c>
      <c r="C192" s="63" t="s">
        <v>366</v>
      </c>
      <c r="D192" s="87">
        <v>0</v>
      </c>
    </row>
    <row r="193" spans="2:4" ht="13.8">
      <c r="B193" s="64">
        <v>30505</v>
      </c>
      <c r="C193" s="65" t="s">
        <v>367</v>
      </c>
      <c r="D193" s="90">
        <v>0</v>
      </c>
    </row>
    <row r="194" spans="2:4" ht="13.8">
      <c r="B194" s="62">
        <v>30601</v>
      </c>
      <c r="C194" s="63" t="s">
        <v>142</v>
      </c>
      <c r="D194" s="87">
        <v>0</v>
      </c>
    </row>
    <row r="195" spans="2:4" ht="13.8">
      <c r="B195" s="64">
        <v>30602</v>
      </c>
      <c r="C195" s="65" t="s">
        <v>143</v>
      </c>
      <c r="D195" s="90">
        <v>0</v>
      </c>
    </row>
    <row r="196" spans="2:4" ht="13.8">
      <c r="B196" s="62">
        <v>30603</v>
      </c>
      <c r="C196" s="63" t="s">
        <v>144</v>
      </c>
      <c r="D196" s="87">
        <v>0</v>
      </c>
    </row>
    <row r="197" spans="2:4" ht="13.8">
      <c r="B197" s="64">
        <v>30604</v>
      </c>
      <c r="C197" s="65" t="s">
        <v>145</v>
      </c>
      <c r="D197" s="90">
        <v>0</v>
      </c>
    </row>
    <row r="198" spans="2:4" ht="13.8">
      <c r="B198" s="62">
        <v>30605</v>
      </c>
      <c r="C198" s="63" t="s">
        <v>368</v>
      </c>
      <c r="D198" s="87">
        <v>0</v>
      </c>
    </row>
    <row r="199" spans="2:4" ht="13.8">
      <c r="B199" s="64">
        <v>30606</v>
      </c>
      <c r="C199" s="65" t="s">
        <v>369</v>
      </c>
      <c r="D199" s="90">
        <v>0</v>
      </c>
    </row>
    <row r="200" spans="2:4" ht="13.8">
      <c r="B200" s="62">
        <v>30607</v>
      </c>
      <c r="C200" s="63" t="s">
        <v>146</v>
      </c>
      <c r="D200" s="87">
        <v>0</v>
      </c>
    </row>
    <row r="201" spans="2:4" ht="13.8">
      <c r="B201" s="64">
        <v>30608</v>
      </c>
      <c r="C201" s="65" t="s">
        <v>147</v>
      </c>
      <c r="D201" s="90">
        <v>0</v>
      </c>
    </row>
    <row r="202" spans="2:4" ht="13.8">
      <c r="B202" s="62">
        <v>30609</v>
      </c>
      <c r="C202" s="63" t="s">
        <v>370</v>
      </c>
      <c r="D202" s="87">
        <v>0</v>
      </c>
    </row>
    <row r="203" spans="2:4" ht="13.8">
      <c r="B203" s="64">
        <v>30610</v>
      </c>
      <c r="C203" s="65" t="s">
        <v>371</v>
      </c>
      <c r="D203" s="90">
        <v>0</v>
      </c>
    </row>
    <row r="204" spans="2:4" ht="13.8">
      <c r="B204" s="62">
        <v>30611</v>
      </c>
      <c r="C204" s="63" t="s">
        <v>372</v>
      </c>
      <c r="D204" s="87">
        <v>0</v>
      </c>
    </row>
    <row r="205" spans="2:4" ht="13.8">
      <c r="B205" s="64">
        <v>30701</v>
      </c>
      <c r="C205" s="65" t="s">
        <v>148</v>
      </c>
      <c r="D205" s="90">
        <v>0</v>
      </c>
    </row>
    <row r="206" spans="2:4" ht="13.8">
      <c r="B206" s="62">
        <v>30702</v>
      </c>
      <c r="C206" s="63" t="s">
        <v>149</v>
      </c>
      <c r="D206" s="87">
        <v>0</v>
      </c>
    </row>
    <row r="207" spans="2:4" ht="13.8">
      <c r="B207" s="64">
        <v>30703</v>
      </c>
      <c r="C207" s="65" t="s">
        <v>150</v>
      </c>
      <c r="D207" s="90">
        <v>0</v>
      </c>
    </row>
    <row r="208" spans="2:4" ht="13.8">
      <c r="B208" s="62">
        <v>30704</v>
      </c>
      <c r="C208" s="63" t="s">
        <v>151</v>
      </c>
      <c r="D208" s="87">
        <v>0</v>
      </c>
    </row>
    <row r="209" spans="2:4" ht="13.8">
      <c r="B209" s="64">
        <v>30705</v>
      </c>
      <c r="C209" s="65" t="s">
        <v>152</v>
      </c>
      <c r="D209" s="90">
        <v>0</v>
      </c>
    </row>
    <row r="210" spans="2:4" ht="13.8">
      <c r="B210" s="62">
        <v>30706</v>
      </c>
      <c r="C210" s="63" t="s">
        <v>153</v>
      </c>
      <c r="D210" s="87">
        <v>0</v>
      </c>
    </row>
    <row r="211" spans="2:4" ht="13.8">
      <c r="B211" s="64">
        <v>30707</v>
      </c>
      <c r="C211" s="65" t="s">
        <v>154</v>
      </c>
      <c r="D211" s="90">
        <v>0</v>
      </c>
    </row>
    <row r="212" spans="2:4" ht="13.8">
      <c r="B212" s="62">
        <v>30708</v>
      </c>
      <c r="C212" s="63" t="s">
        <v>373</v>
      </c>
      <c r="D212" s="87">
        <v>0</v>
      </c>
    </row>
    <row r="213" spans="2:4" ht="13.8">
      <c r="B213" s="64">
        <v>30709</v>
      </c>
      <c r="C213" s="65" t="s">
        <v>158</v>
      </c>
      <c r="D213" s="90">
        <v>0</v>
      </c>
    </row>
    <row r="214" spans="2:4" ht="13.8">
      <c r="B214" s="62">
        <v>30710</v>
      </c>
      <c r="C214" s="63" t="s">
        <v>374</v>
      </c>
      <c r="D214" s="87">
        <v>0</v>
      </c>
    </row>
    <row r="215" spans="2:4" ht="13.8">
      <c r="B215" s="64">
        <v>30711</v>
      </c>
      <c r="C215" s="65" t="s">
        <v>157</v>
      </c>
      <c r="D215" s="90">
        <v>0</v>
      </c>
    </row>
    <row r="216" spans="2:4" ht="13.8">
      <c r="B216" s="62">
        <v>30801</v>
      </c>
      <c r="C216" s="63" t="s">
        <v>155</v>
      </c>
      <c r="D216" s="87">
        <v>0</v>
      </c>
    </row>
    <row r="217" spans="2:4" ht="13.8">
      <c r="B217" s="64">
        <v>30802</v>
      </c>
      <c r="C217" s="65" t="s">
        <v>156</v>
      </c>
      <c r="D217" s="90">
        <v>0</v>
      </c>
    </row>
    <row r="218" spans="2:4" ht="13.8">
      <c r="B218" s="62">
        <v>30803</v>
      </c>
      <c r="C218" s="63" t="s">
        <v>97</v>
      </c>
      <c r="D218" s="87">
        <v>0</v>
      </c>
    </row>
    <row r="219" spans="2:4" ht="13.8">
      <c r="B219" s="64">
        <v>30804</v>
      </c>
      <c r="C219" s="65" t="s">
        <v>184</v>
      </c>
      <c r="D219" s="90">
        <v>0</v>
      </c>
    </row>
    <row r="220" spans="2:4" ht="13.8">
      <c r="B220" s="62">
        <v>30805</v>
      </c>
      <c r="C220" s="63" t="s">
        <v>174</v>
      </c>
      <c r="D220" s="87">
        <v>0</v>
      </c>
    </row>
    <row r="221" spans="2:4" ht="13.8">
      <c r="B221" s="64">
        <v>30806</v>
      </c>
      <c r="C221" s="65" t="s">
        <v>375</v>
      </c>
      <c r="D221" s="90">
        <v>0</v>
      </c>
    </row>
    <row r="222" spans="2:4" ht="13.8">
      <c r="B222" s="62">
        <v>30807</v>
      </c>
      <c r="C222" s="63" t="s">
        <v>376</v>
      </c>
      <c r="D222" s="87">
        <v>0</v>
      </c>
    </row>
    <row r="223" spans="2:4" ht="13.8">
      <c r="B223" s="64">
        <v>30808</v>
      </c>
      <c r="C223" s="65" t="s">
        <v>171</v>
      </c>
      <c r="D223" s="90">
        <v>0</v>
      </c>
    </row>
    <row r="224" spans="2:4" ht="13.8">
      <c r="B224" s="62">
        <v>30809</v>
      </c>
      <c r="C224" s="63" t="s">
        <v>377</v>
      </c>
      <c r="D224" s="87">
        <v>0</v>
      </c>
    </row>
    <row r="225" spans="2:4" ht="13.8">
      <c r="B225" s="64">
        <v>30810</v>
      </c>
      <c r="C225" s="65" t="s">
        <v>378</v>
      </c>
      <c r="D225" s="90">
        <v>0</v>
      </c>
    </row>
    <row r="226" spans="2:4" ht="13.8">
      <c r="B226" s="62">
        <v>30901</v>
      </c>
      <c r="C226" s="63" t="s">
        <v>379</v>
      </c>
      <c r="D226" s="87">
        <v>0</v>
      </c>
    </row>
    <row r="227" spans="2:4" ht="13.8">
      <c r="B227" s="64">
        <v>30902</v>
      </c>
      <c r="C227" s="65" t="s">
        <v>380</v>
      </c>
      <c r="D227" s="90">
        <v>0</v>
      </c>
    </row>
    <row r="228" spans="2:4" ht="13.8">
      <c r="B228" s="62">
        <v>30903</v>
      </c>
      <c r="C228" s="63" t="s">
        <v>163</v>
      </c>
      <c r="D228" s="87">
        <v>0</v>
      </c>
    </row>
    <row r="229" spans="2:4" ht="13.8">
      <c r="B229" s="64">
        <v>30904</v>
      </c>
      <c r="C229" s="65" t="s">
        <v>183</v>
      </c>
      <c r="D229" s="90">
        <v>0</v>
      </c>
    </row>
    <row r="230" spans="2:4" ht="13.8">
      <c r="B230" s="62">
        <v>30905</v>
      </c>
      <c r="C230" s="63" t="s">
        <v>159</v>
      </c>
      <c r="D230" s="87">
        <v>0</v>
      </c>
    </row>
    <row r="231" spans="2:4" ht="13.8">
      <c r="B231" s="64">
        <v>30906</v>
      </c>
      <c r="C231" s="65" t="s">
        <v>160</v>
      </c>
      <c r="D231" s="90">
        <v>0</v>
      </c>
    </row>
    <row r="232" spans="2:4" ht="13.8">
      <c r="B232" s="62">
        <v>30907</v>
      </c>
      <c r="C232" s="63" t="s">
        <v>161</v>
      </c>
      <c r="D232" s="87">
        <v>1</v>
      </c>
    </row>
    <row r="233" spans="2:4" ht="13.8">
      <c r="B233" s="64">
        <v>30908</v>
      </c>
      <c r="C233" s="65" t="s">
        <v>162</v>
      </c>
      <c r="D233" s="90">
        <v>0</v>
      </c>
    </row>
    <row r="234" spans="2:4" ht="13.8">
      <c r="B234" s="62">
        <v>30909</v>
      </c>
      <c r="C234" s="63" t="s">
        <v>381</v>
      </c>
      <c r="D234" s="87">
        <v>0</v>
      </c>
    </row>
    <row r="235" spans="2:4" ht="13.8">
      <c r="B235" s="64">
        <v>31001</v>
      </c>
      <c r="C235" s="65" t="s">
        <v>164</v>
      </c>
      <c r="D235" s="90">
        <v>0</v>
      </c>
    </row>
    <row r="236" spans="2:4" ht="13.8">
      <c r="B236" s="62">
        <v>31002</v>
      </c>
      <c r="C236" s="63" t="s">
        <v>382</v>
      </c>
      <c r="D236" s="87">
        <v>0</v>
      </c>
    </row>
    <row r="237" spans="2:4" ht="13.8">
      <c r="B237" s="64">
        <v>31003</v>
      </c>
      <c r="C237" s="65" t="s">
        <v>165</v>
      </c>
      <c r="D237" s="90">
        <v>0</v>
      </c>
    </row>
    <row r="238" spans="2:4" ht="13.8">
      <c r="B238" s="62">
        <v>31004</v>
      </c>
      <c r="C238" s="63" t="s">
        <v>166</v>
      </c>
      <c r="D238" s="87">
        <v>0</v>
      </c>
    </row>
    <row r="239" spans="2:4" ht="13.8">
      <c r="B239" s="64">
        <v>31005</v>
      </c>
      <c r="C239" s="65" t="s">
        <v>167</v>
      </c>
      <c r="D239" s="90">
        <v>0</v>
      </c>
    </row>
    <row r="240" spans="2:4" ht="13.8">
      <c r="B240" s="62">
        <v>31006</v>
      </c>
      <c r="C240" s="63" t="s">
        <v>168</v>
      </c>
      <c r="D240" s="87">
        <v>0</v>
      </c>
    </row>
    <row r="241" spans="2:4" ht="13.8">
      <c r="B241" s="64">
        <v>31007</v>
      </c>
      <c r="C241" s="65" t="s">
        <v>169</v>
      </c>
      <c r="D241" s="90">
        <v>0</v>
      </c>
    </row>
    <row r="242" spans="2:4" ht="13.8">
      <c r="B242" s="62">
        <v>31008</v>
      </c>
      <c r="C242" s="63" t="s">
        <v>383</v>
      </c>
      <c r="D242" s="87">
        <v>0</v>
      </c>
    </row>
    <row r="243" spans="2:4" ht="13.8">
      <c r="B243" s="64">
        <v>31009</v>
      </c>
      <c r="C243" s="65" t="s">
        <v>384</v>
      </c>
      <c r="D243" s="90">
        <v>0</v>
      </c>
    </row>
    <row r="244" spans="2:4" ht="13.8">
      <c r="B244" s="62">
        <v>31010</v>
      </c>
      <c r="C244" s="63" t="s">
        <v>92</v>
      </c>
      <c r="D244" s="87">
        <v>0</v>
      </c>
    </row>
    <row r="245" spans="2:4" ht="13.8">
      <c r="B245" s="64">
        <v>31011</v>
      </c>
      <c r="C245" s="65" t="s">
        <v>385</v>
      </c>
      <c r="D245" s="90">
        <v>0</v>
      </c>
    </row>
    <row r="246" spans="2:4" ht="13.8">
      <c r="B246" s="62">
        <v>31012</v>
      </c>
      <c r="C246" s="63" t="s">
        <v>386</v>
      </c>
      <c r="D246" s="87">
        <v>0</v>
      </c>
    </row>
    <row r="247" spans="2:4" ht="13.8">
      <c r="B247" s="64">
        <v>31013</v>
      </c>
      <c r="C247" s="65" t="s">
        <v>387</v>
      </c>
      <c r="D247" s="90">
        <v>0</v>
      </c>
    </row>
    <row r="248" spans="2:4" ht="13.8">
      <c r="B248" s="62">
        <v>31014</v>
      </c>
      <c r="C248" s="63" t="s">
        <v>388</v>
      </c>
      <c r="D248" s="87">
        <v>0</v>
      </c>
    </row>
    <row r="249" spans="2:4" ht="13.8">
      <c r="B249" s="64">
        <v>31015</v>
      </c>
      <c r="C249" s="65" t="s">
        <v>389</v>
      </c>
      <c r="D249" s="90">
        <v>0</v>
      </c>
    </row>
    <row r="250" spans="2:4" ht="13.8">
      <c r="B250" s="62">
        <v>31101</v>
      </c>
      <c r="C250" s="63" t="s">
        <v>172</v>
      </c>
      <c r="D250" s="87">
        <v>0</v>
      </c>
    </row>
    <row r="251" spans="2:4" ht="13.8">
      <c r="B251" s="64">
        <v>31102</v>
      </c>
      <c r="C251" s="65" t="s">
        <v>173</v>
      </c>
      <c r="D251" s="90">
        <v>0</v>
      </c>
    </row>
    <row r="252" spans="2:4" ht="13.8">
      <c r="B252" s="62">
        <v>31103</v>
      </c>
      <c r="C252" s="63" t="s">
        <v>175</v>
      </c>
      <c r="D252" s="87">
        <v>0</v>
      </c>
    </row>
    <row r="253" spans="2:4" ht="13.8">
      <c r="B253" s="64">
        <v>31104</v>
      </c>
      <c r="C253" s="65" t="s">
        <v>176</v>
      </c>
      <c r="D253" s="90">
        <v>0</v>
      </c>
    </row>
    <row r="254" spans="2:4" ht="13.8">
      <c r="B254" s="62">
        <v>31105</v>
      </c>
      <c r="C254" s="63" t="s">
        <v>177</v>
      </c>
      <c r="D254" s="87">
        <v>0</v>
      </c>
    </row>
    <row r="255" spans="2:4" ht="13.8">
      <c r="B255" s="64">
        <v>31106</v>
      </c>
      <c r="C255" s="65" t="s">
        <v>390</v>
      </c>
      <c r="D255" s="90">
        <v>0</v>
      </c>
    </row>
    <row r="256" spans="2:4" ht="13.8">
      <c r="B256" s="62">
        <v>31107</v>
      </c>
      <c r="C256" s="63" t="s">
        <v>391</v>
      </c>
      <c r="D256" s="87">
        <v>0</v>
      </c>
    </row>
    <row r="257" spans="2:4" ht="13.8">
      <c r="B257" s="64">
        <v>31108</v>
      </c>
      <c r="C257" s="65" t="s">
        <v>392</v>
      </c>
      <c r="D257" s="90">
        <v>0</v>
      </c>
    </row>
    <row r="258" spans="2:4" ht="13.8">
      <c r="B258" s="62">
        <v>31109</v>
      </c>
      <c r="C258" s="63" t="s">
        <v>178</v>
      </c>
      <c r="D258" s="87">
        <v>0</v>
      </c>
    </row>
    <row r="259" spans="2:4" ht="13.8">
      <c r="B259" s="64">
        <v>31110</v>
      </c>
      <c r="C259" s="65" t="s">
        <v>179</v>
      </c>
      <c r="D259" s="90">
        <v>0</v>
      </c>
    </row>
    <row r="260" spans="2:4" ht="13.8">
      <c r="B260" s="62">
        <v>31111</v>
      </c>
      <c r="C260" s="63" t="s">
        <v>180</v>
      </c>
      <c r="D260" s="87">
        <v>0</v>
      </c>
    </row>
    <row r="261" spans="2:4" ht="13.8">
      <c r="B261" s="64">
        <v>31112</v>
      </c>
      <c r="C261" s="65" t="s">
        <v>393</v>
      </c>
      <c r="D261" s="90">
        <v>0</v>
      </c>
    </row>
    <row r="262" spans="2:4" ht="13.8">
      <c r="B262" s="62">
        <v>31113</v>
      </c>
      <c r="C262" s="63" t="s">
        <v>181</v>
      </c>
      <c r="D262" s="87">
        <v>0</v>
      </c>
    </row>
    <row r="263" spans="2:4" ht="13.8">
      <c r="B263" s="64">
        <v>31114</v>
      </c>
      <c r="C263" s="65" t="s">
        <v>394</v>
      </c>
      <c r="D263" s="90">
        <v>0</v>
      </c>
    </row>
    <row r="264" spans="2:4" ht="13.8">
      <c r="B264" s="66">
        <v>40101</v>
      </c>
      <c r="C264" s="67" t="s">
        <v>187</v>
      </c>
      <c r="D264" s="91">
        <v>0</v>
      </c>
    </row>
    <row r="265" spans="2:4" ht="13.8">
      <c r="B265" s="62">
        <v>40102</v>
      </c>
      <c r="C265" s="63" t="s">
        <v>395</v>
      </c>
      <c r="D265" s="87">
        <v>0</v>
      </c>
    </row>
    <row r="266" spans="2:4" ht="13.8">
      <c r="B266" s="66">
        <v>40103</v>
      </c>
      <c r="C266" s="67" t="s">
        <v>188</v>
      </c>
      <c r="D266" s="91">
        <v>0</v>
      </c>
    </row>
    <row r="267" spans="2:4" ht="13.8">
      <c r="B267" s="62">
        <v>40104</v>
      </c>
      <c r="C267" s="63" t="s">
        <v>189</v>
      </c>
      <c r="D267" s="87">
        <v>0</v>
      </c>
    </row>
    <row r="268" spans="2:4" ht="13.8">
      <c r="B268" s="66">
        <v>40105</v>
      </c>
      <c r="C268" s="67" t="s">
        <v>191</v>
      </c>
      <c r="D268" s="91">
        <v>0</v>
      </c>
    </row>
    <row r="269" spans="2:4" ht="13.8">
      <c r="B269" s="62">
        <v>40106</v>
      </c>
      <c r="C269" s="63" t="s">
        <v>194</v>
      </c>
      <c r="D269" s="87">
        <v>0</v>
      </c>
    </row>
    <row r="270" spans="2:4" ht="13.8">
      <c r="B270" s="66">
        <v>40107</v>
      </c>
      <c r="C270" s="67" t="s">
        <v>196</v>
      </c>
      <c r="D270" s="91">
        <v>0</v>
      </c>
    </row>
    <row r="271" spans="2:4" ht="13.8">
      <c r="B271" s="62">
        <v>40108</v>
      </c>
      <c r="C271" s="63" t="s">
        <v>197</v>
      </c>
      <c r="D271" s="87">
        <v>0</v>
      </c>
    </row>
    <row r="272" spans="2:4" ht="13.8">
      <c r="B272" s="66">
        <v>40109</v>
      </c>
      <c r="C272" s="67" t="s">
        <v>77</v>
      </c>
      <c r="D272" s="91">
        <v>0</v>
      </c>
    </row>
    <row r="273" spans="2:4" ht="13.8">
      <c r="B273" s="62">
        <v>40110</v>
      </c>
      <c r="C273" s="63" t="s">
        <v>190</v>
      </c>
      <c r="D273" s="87">
        <v>0</v>
      </c>
    </row>
    <row r="274" spans="2:4" ht="13.8">
      <c r="B274" s="72">
        <v>50101</v>
      </c>
      <c r="C274" s="73" t="s">
        <v>396</v>
      </c>
      <c r="D274" s="92">
        <v>0</v>
      </c>
    </row>
    <row r="275" spans="2:4" ht="13.8">
      <c r="B275" s="62">
        <v>50102</v>
      </c>
      <c r="C275" s="63" t="s">
        <v>397</v>
      </c>
      <c r="D275" s="87">
        <v>0</v>
      </c>
    </row>
    <row r="276" spans="2:4" ht="13.8">
      <c r="B276" s="72">
        <v>50103</v>
      </c>
      <c r="C276" s="73" t="s">
        <v>398</v>
      </c>
      <c r="D276" s="92">
        <v>0</v>
      </c>
    </row>
    <row r="277" spans="2:4" ht="13.8">
      <c r="B277" s="62">
        <v>50104</v>
      </c>
      <c r="C277" s="63" t="s">
        <v>108</v>
      </c>
      <c r="D277" s="87">
        <v>0</v>
      </c>
    </row>
    <row r="278" spans="2:4" ht="13.8">
      <c r="B278" s="72">
        <v>50105</v>
      </c>
      <c r="C278" s="73" t="s">
        <v>182</v>
      </c>
      <c r="D278" s="92">
        <v>0</v>
      </c>
    </row>
    <row r="279" spans="2:4" ht="13.8">
      <c r="B279" s="62">
        <v>50106</v>
      </c>
      <c r="C279" s="63" t="s">
        <v>170</v>
      </c>
      <c r="D279" s="87">
        <v>0</v>
      </c>
    </row>
    <row r="280" spans="2:4" ht="13.8">
      <c r="B280" s="72">
        <v>50107</v>
      </c>
      <c r="C280" s="73" t="s">
        <v>399</v>
      </c>
      <c r="D280" s="92">
        <v>0</v>
      </c>
    </row>
    <row r="281" spans="2:4" ht="13.8">
      <c r="B281" s="62">
        <v>50108</v>
      </c>
      <c r="C281" s="63" t="s">
        <v>400</v>
      </c>
      <c r="D281" s="87">
        <v>0</v>
      </c>
    </row>
    <row r="282" spans="2:4" ht="13.8">
      <c r="B282" s="72">
        <v>50201</v>
      </c>
      <c r="C282" s="73" t="s">
        <v>401</v>
      </c>
      <c r="D282" s="92">
        <v>0</v>
      </c>
    </row>
    <row r="283" spans="2:4" ht="13.8">
      <c r="B283" s="62">
        <v>50202</v>
      </c>
      <c r="C283" s="63" t="s">
        <v>402</v>
      </c>
      <c r="D283" s="87">
        <v>0</v>
      </c>
    </row>
    <row r="284" spans="2:4" ht="13.8">
      <c r="B284" s="72">
        <v>50203</v>
      </c>
      <c r="C284" s="73" t="s">
        <v>403</v>
      </c>
      <c r="D284" s="92">
        <v>2</v>
      </c>
    </row>
    <row r="285" spans="2:4" ht="13.8">
      <c r="B285" s="62">
        <v>50301</v>
      </c>
      <c r="C285" s="63" t="s">
        <v>404</v>
      </c>
      <c r="D285" s="87">
        <v>6</v>
      </c>
    </row>
    <row r="286" spans="2:4" ht="13.8">
      <c r="B286" s="72">
        <v>50302</v>
      </c>
      <c r="C286" s="73" t="s">
        <v>405</v>
      </c>
      <c r="D286" s="92">
        <v>0</v>
      </c>
    </row>
    <row r="287" spans="2:4" ht="13.8">
      <c r="B287" s="62">
        <v>50303</v>
      </c>
      <c r="C287" s="63" t="s">
        <v>185</v>
      </c>
      <c r="D287" s="87">
        <v>0</v>
      </c>
    </row>
    <row r="288" spans="2:4" ht="13.8">
      <c r="B288" s="72">
        <v>50304</v>
      </c>
      <c r="C288" s="73" t="s">
        <v>186</v>
      </c>
      <c r="D288" s="92">
        <v>0</v>
      </c>
    </row>
    <row r="289" spans="2:4" ht="13.8">
      <c r="B289" s="62">
        <v>50305</v>
      </c>
      <c r="C289" s="63" t="s">
        <v>406</v>
      </c>
      <c r="D289" s="87">
        <v>0</v>
      </c>
    </row>
    <row r="290" spans="2:4" ht="13.8">
      <c r="B290" s="72">
        <v>50306</v>
      </c>
      <c r="C290" s="73" t="s">
        <v>407</v>
      </c>
      <c r="D290" s="92">
        <v>0</v>
      </c>
    </row>
    <row r="291" spans="2:4" ht="13.8">
      <c r="B291" s="74">
        <v>60101</v>
      </c>
      <c r="C291" s="75" t="s">
        <v>408</v>
      </c>
      <c r="D291" s="93">
        <v>0</v>
      </c>
    </row>
    <row r="292" spans="2:4" ht="13.8">
      <c r="B292" s="62">
        <v>60102</v>
      </c>
      <c r="C292" s="63" t="s">
        <v>193</v>
      </c>
      <c r="D292" s="87">
        <v>0</v>
      </c>
    </row>
    <row r="293" spans="2:4" ht="13.8">
      <c r="B293" s="74">
        <v>60103</v>
      </c>
      <c r="C293" s="75" t="s">
        <v>409</v>
      </c>
      <c r="D293" s="93">
        <v>0</v>
      </c>
    </row>
    <row r="294" spans="2:4" ht="13.8">
      <c r="B294" s="76">
        <v>70101</v>
      </c>
      <c r="C294" s="77" t="s">
        <v>410</v>
      </c>
      <c r="D294" s="94">
        <v>0</v>
      </c>
    </row>
    <row r="295" spans="2:4" ht="13.8">
      <c r="B295" s="62">
        <v>70102</v>
      </c>
      <c r="C295" s="63" t="s">
        <v>198</v>
      </c>
      <c r="D295" s="95">
        <v>0</v>
      </c>
    </row>
    <row r="296" spans="2:4" ht="13.8">
      <c r="B296" s="76">
        <v>70103</v>
      </c>
      <c r="C296" s="77" t="s">
        <v>199</v>
      </c>
      <c r="D296" s="96">
        <v>0</v>
      </c>
    </row>
    <row r="297" spans="2:4" ht="13.8">
      <c r="B297" s="62">
        <v>70104</v>
      </c>
      <c r="C297" s="63" t="s">
        <v>411</v>
      </c>
      <c r="D297" s="95">
        <v>0</v>
      </c>
    </row>
    <row r="298" spans="2:4" ht="13.8">
      <c r="B298" s="76">
        <v>70105</v>
      </c>
      <c r="C298" s="77" t="s">
        <v>200</v>
      </c>
      <c r="D298" s="96">
        <v>0</v>
      </c>
    </row>
    <row r="299" spans="2:4" ht="13.8">
      <c r="B299" s="62">
        <v>70106</v>
      </c>
      <c r="C299" s="63" t="s">
        <v>412</v>
      </c>
      <c r="D299" s="95">
        <v>0</v>
      </c>
    </row>
    <row r="300" spans="2:4" ht="13.8">
      <c r="B300" s="76">
        <v>70107</v>
      </c>
      <c r="C300" s="77" t="s">
        <v>413</v>
      </c>
      <c r="D300" s="96">
        <v>0</v>
      </c>
    </row>
    <row r="301" spans="2:4" ht="14.4" thickBot="1">
      <c r="B301" s="78">
        <v>70108</v>
      </c>
      <c r="C301" s="79" t="s">
        <v>414</v>
      </c>
      <c r="D301" s="95">
        <v>0</v>
      </c>
    </row>
    <row r="302" spans="2:4" ht="20.100000000000001" customHeight="1" thickBot="1">
      <c r="B302" s="80" t="s">
        <v>1</v>
      </c>
      <c r="C302" s="81"/>
      <c r="D302" s="82">
        <f>SUM(D20:D301)</f>
        <v>12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2"/>
  <sheetViews>
    <sheetView showGridLines="0" view="pageBreakPreview" topLeftCell="A13" zoomScaleNormal="100" zoomScaleSheetLayoutView="10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44140625" style="17" customWidth="1"/>
    <col min="4" max="4" width="45.44140625" style="25" customWidth="1"/>
    <col min="5" max="5" width="5.33203125" style="17" customWidth="1"/>
    <col min="6" max="7" width="14.886718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242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3.8">
      <c r="B17" s="107" t="s">
        <v>243</v>
      </c>
      <c r="C17" s="108"/>
      <c r="D17" s="50" t="s">
        <v>4</v>
      </c>
    </row>
    <row r="18" spans="2:7" ht="13.8">
      <c r="B18" s="98" t="s">
        <v>244</v>
      </c>
      <c r="C18" s="99"/>
      <c r="D18" s="50" t="s">
        <v>430</v>
      </c>
    </row>
    <row r="19" spans="2:7" ht="13.8">
      <c r="B19" s="51" t="s">
        <v>73</v>
      </c>
      <c r="C19" s="52" t="s">
        <v>72</v>
      </c>
      <c r="D19" s="53" t="s">
        <v>71</v>
      </c>
      <c r="G19" s="29"/>
    </row>
    <row r="20" spans="2:7" ht="13.8">
      <c r="B20" s="68">
        <v>10101</v>
      </c>
      <c r="C20" s="69" t="s">
        <v>262</v>
      </c>
      <c r="D20" s="88">
        <v>1</v>
      </c>
    </row>
    <row r="21" spans="2:7" ht="13.8">
      <c r="B21" s="58">
        <v>10102</v>
      </c>
      <c r="C21" s="59" t="s">
        <v>263</v>
      </c>
      <c r="D21" s="87">
        <v>0</v>
      </c>
    </row>
    <row r="22" spans="2:7" ht="13.8">
      <c r="B22" s="68">
        <v>10103</v>
      </c>
      <c r="C22" s="69" t="s">
        <v>264</v>
      </c>
      <c r="D22" s="88">
        <v>106</v>
      </c>
    </row>
    <row r="23" spans="2:7" ht="13.8">
      <c r="B23" s="58">
        <v>10104</v>
      </c>
      <c r="C23" s="59" t="s">
        <v>265</v>
      </c>
      <c r="D23" s="87">
        <v>96</v>
      </c>
    </row>
    <row r="24" spans="2:7" ht="13.8">
      <c r="B24" s="68">
        <v>10105</v>
      </c>
      <c r="C24" s="69" t="s">
        <v>266</v>
      </c>
      <c r="D24" s="88">
        <v>0</v>
      </c>
    </row>
    <row r="25" spans="2:7" ht="13.8">
      <c r="B25" s="58">
        <v>10106</v>
      </c>
      <c r="C25" s="59" t="s">
        <v>267</v>
      </c>
      <c r="D25" s="87">
        <v>0</v>
      </c>
    </row>
    <row r="26" spans="2:7" ht="13.8">
      <c r="B26" s="68">
        <v>10107</v>
      </c>
      <c r="C26" s="69" t="s">
        <v>268</v>
      </c>
      <c r="D26" s="88">
        <v>85</v>
      </c>
    </row>
    <row r="27" spans="2:7" ht="13.8">
      <c r="B27" s="58">
        <v>10108</v>
      </c>
      <c r="C27" s="59" t="s">
        <v>269</v>
      </c>
      <c r="D27" s="87">
        <v>0</v>
      </c>
    </row>
    <row r="28" spans="2:7" ht="13.8">
      <c r="B28" s="68">
        <v>10109</v>
      </c>
      <c r="C28" s="69" t="s">
        <v>270</v>
      </c>
      <c r="D28" s="88">
        <v>4</v>
      </c>
    </row>
    <row r="29" spans="2:7" ht="13.8">
      <c r="B29" s="58">
        <v>10110</v>
      </c>
      <c r="C29" s="59" t="s">
        <v>271</v>
      </c>
      <c r="D29" s="87">
        <v>0</v>
      </c>
    </row>
    <row r="30" spans="2:7" ht="13.8">
      <c r="B30" s="68">
        <v>10111</v>
      </c>
      <c r="C30" s="69" t="s">
        <v>272</v>
      </c>
      <c r="D30" s="88">
        <v>1</v>
      </c>
    </row>
    <row r="31" spans="2:7" ht="13.8">
      <c r="B31" s="58">
        <v>10112</v>
      </c>
      <c r="C31" s="59" t="s">
        <v>273</v>
      </c>
      <c r="D31" s="87">
        <v>0</v>
      </c>
    </row>
    <row r="32" spans="2:7" ht="13.8">
      <c r="B32" s="68">
        <v>10113</v>
      </c>
      <c r="C32" s="69" t="s">
        <v>274</v>
      </c>
      <c r="D32" s="88">
        <v>0</v>
      </c>
    </row>
    <row r="33" spans="2:4" ht="13.8">
      <c r="B33" s="58">
        <v>10114</v>
      </c>
      <c r="C33" s="59" t="s">
        <v>275</v>
      </c>
      <c r="D33" s="87">
        <v>0</v>
      </c>
    </row>
    <row r="34" spans="2:4" ht="13.8">
      <c r="B34" s="68">
        <v>10115</v>
      </c>
      <c r="C34" s="69" t="s">
        <v>276</v>
      </c>
      <c r="D34" s="88">
        <v>0</v>
      </c>
    </row>
    <row r="35" spans="2:4" ht="13.8">
      <c r="B35" s="58">
        <v>10116</v>
      </c>
      <c r="C35" s="59" t="s">
        <v>277</v>
      </c>
      <c r="D35" s="87">
        <v>15</v>
      </c>
    </row>
    <row r="36" spans="2:4" ht="13.8">
      <c r="B36" s="68">
        <v>10117</v>
      </c>
      <c r="C36" s="69" t="s">
        <v>278</v>
      </c>
      <c r="D36" s="88">
        <v>0</v>
      </c>
    </row>
    <row r="37" spans="2:4" ht="13.8">
      <c r="B37" s="58">
        <v>10118</v>
      </c>
      <c r="C37" s="59" t="s">
        <v>279</v>
      </c>
      <c r="D37" s="87">
        <v>0</v>
      </c>
    </row>
    <row r="38" spans="2:4" ht="13.8">
      <c r="B38" s="68">
        <v>10119</v>
      </c>
      <c r="C38" s="69" t="s">
        <v>280</v>
      </c>
      <c r="D38" s="88">
        <v>0</v>
      </c>
    </row>
    <row r="39" spans="2:4" ht="13.8">
      <c r="B39" s="58">
        <v>10120</v>
      </c>
      <c r="C39" s="59" t="s">
        <v>281</v>
      </c>
      <c r="D39" s="87">
        <v>0</v>
      </c>
    </row>
    <row r="40" spans="2:4" ht="13.8">
      <c r="B40" s="68">
        <v>10121</v>
      </c>
      <c r="C40" s="69" t="s">
        <v>282</v>
      </c>
      <c r="D40" s="88">
        <v>10</v>
      </c>
    </row>
    <row r="41" spans="2:4" ht="13.8">
      <c r="B41" s="58">
        <v>10201</v>
      </c>
      <c r="C41" s="59" t="s">
        <v>283</v>
      </c>
      <c r="D41" s="87">
        <v>1</v>
      </c>
    </row>
    <row r="42" spans="2:4" ht="13.8">
      <c r="B42" s="68">
        <v>10202</v>
      </c>
      <c r="C42" s="69" t="s">
        <v>284</v>
      </c>
      <c r="D42" s="88">
        <v>0</v>
      </c>
    </row>
    <row r="43" spans="2:4" ht="13.8">
      <c r="B43" s="58">
        <v>10203</v>
      </c>
      <c r="C43" s="59" t="s">
        <v>285</v>
      </c>
      <c r="D43" s="87">
        <v>0</v>
      </c>
    </row>
    <row r="44" spans="2:4" ht="13.8">
      <c r="B44" s="68">
        <v>10204</v>
      </c>
      <c r="C44" s="69" t="s">
        <v>286</v>
      </c>
      <c r="D44" s="88">
        <v>86</v>
      </c>
    </row>
    <row r="45" spans="2:4" ht="13.8">
      <c r="B45" s="58">
        <v>10205</v>
      </c>
      <c r="C45" s="59" t="s">
        <v>287</v>
      </c>
      <c r="D45" s="87">
        <v>2</v>
      </c>
    </row>
    <row r="46" spans="2:4" ht="13.8">
      <c r="B46" s="68">
        <v>10206</v>
      </c>
      <c r="C46" s="69" t="s">
        <v>288</v>
      </c>
      <c r="D46" s="88">
        <v>2</v>
      </c>
    </row>
    <row r="47" spans="2:4" ht="13.8">
      <c r="B47" s="58">
        <v>10207</v>
      </c>
      <c r="C47" s="59" t="s">
        <v>289</v>
      </c>
      <c r="D47" s="87">
        <v>7</v>
      </c>
    </row>
    <row r="48" spans="2:4" ht="13.8">
      <c r="B48" s="68">
        <v>10208</v>
      </c>
      <c r="C48" s="69" t="s">
        <v>290</v>
      </c>
      <c r="D48" s="88">
        <v>0</v>
      </c>
    </row>
    <row r="49" spans="2:4" ht="13.8">
      <c r="B49" s="58">
        <v>10209</v>
      </c>
      <c r="C49" s="59" t="s">
        <v>291</v>
      </c>
      <c r="D49" s="87">
        <v>3</v>
      </c>
    </row>
    <row r="50" spans="2:4" ht="13.8">
      <c r="B50" s="68">
        <v>10210</v>
      </c>
      <c r="C50" s="69" t="s">
        <v>292</v>
      </c>
      <c r="D50" s="88">
        <v>8</v>
      </c>
    </row>
    <row r="51" spans="2:4" ht="13.8">
      <c r="B51" s="58">
        <v>10211</v>
      </c>
      <c r="C51" s="59" t="s">
        <v>76</v>
      </c>
      <c r="D51" s="87">
        <v>1</v>
      </c>
    </row>
    <row r="52" spans="2:4" ht="13.8">
      <c r="B52" s="68">
        <v>10212</v>
      </c>
      <c r="C52" s="69" t="s">
        <v>293</v>
      </c>
      <c r="D52" s="88">
        <v>0</v>
      </c>
    </row>
    <row r="53" spans="2:4" ht="13.8">
      <c r="B53" s="58">
        <v>10213</v>
      </c>
      <c r="C53" s="59" t="s">
        <v>294</v>
      </c>
      <c r="D53" s="87">
        <v>0</v>
      </c>
    </row>
    <row r="54" spans="2:4" ht="13.8">
      <c r="B54" s="68">
        <v>10214</v>
      </c>
      <c r="C54" s="69" t="s">
        <v>295</v>
      </c>
      <c r="D54" s="88">
        <v>0</v>
      </c>
    </row>
    <row r="55" spans="2:4" ht="13.8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3.8">
      <c r="B57" s="58">
        <v>10217</v>
      </c>
      <c r="C57" s="59" t="s">
        <v>298</v>
      </c>
      <c r="D57" s="87">
        <v>0</v>
      </c>
    </row>
    <row r="58" spans="2:4" ht="13.8">
      <c r="B58" s="68">
        <v>10218</v>
      </c>
      <c r="C58" s="69" t="s">
        <v>299</v>
      </c>
      <c r="D58" s="88">
        <v>0</v>
      </c>
    </row>
    <row r="59" spans="2:4" ht="13.8">
      <c r="B59" s="58">
        <v>10219</v>
      </c>
      <c r="C59" s="59" t="s">
        <v>300</v>
      </c>
      <c r="D59" s="87">
        <v>1</v>
      </c>
    </row>
    <row r="60" spans="2:4" ht="13.8">
      <c r="B60" s="68">
        <v>10220</v>
      </c>
      <c r="C60" s="69" t="s">
        <v>301</v>
      </c>
      <c r="D60" s="88">
        <v>1</v>
      </c>
    </row>
    <row r="61" spans="2:4" ht="13.8">
      <c r="B61" s="58">
        <v>10301</v>
      </c>
      <c r="C61" s="59" t="s">
        <v>302</v>
      </c>
      <c r="D61" s="87">
        <v>0</v>
      </c>
    </row>
    <row r="62" spans="2:4" ht="13.8">
      <c r="B62" s="68">
        <v>10302</v>
      </c>
      <c r="C62" s="69" t="s">
        <v>303</v>
      </c>
      <c r="D62" s="88">
        <v>3</v>
      </c>
    </row>
    <row r="63" spans="2:4" ht="13.8">
      <c r="B63" s="58">
        <v>10303</v>
      </c>
      <c r="C63" s="59" t="s">
        <v>304</v>
      </c>
      <c r="D63" s="87">
        <v>3</v>
      </c>
    </row>
    <row r="64" spans="2:4" ht="13.8">
      <c r="B64" s="68">
        <v>10304</v>
      </c>
      <c r="C64" s="69" t="s">
        <v>305</v>
      </c>
      <c r="D64" s="88">
        <v>0</v>
      </c>
    </row>
    <row r="65" spans="2:4" ht="13.8">
      <c r="B65" s="58">
        <v>10305</v>
      </c>
      <c r="C65" s="59" t="s">
        <v>306</v>
      </c>
      <c r="D65" s="87">
        <v>24</v>
      </c>
    </row>
    <row r="66" spans="2:4" ht="13.8">
      <c r="B66" s="68">
        <v>10306</v>
      </c>
      <c r="C66" s="69" t="s">
        <v>307</v>
      </c>
      <c r="D66" s="88">
        <v>4</v>
      </c>
    </row>
    <row r="67" spans="2:4" ht="13.8">
      <c r="B67" s="58">
        <v>10307</v>
      </c>
      <c r="C67" s="59" t="s">
        <v>74</v>
      </c>
      <c r="D67" s="87">
        <v>44</v>
      </c>
    </row>
    <row r="68" spans="2:4" ht="13.8">
      <c r="B68" s="68">
        <v>10308</v>
      </c>
      <c r="C68" s="69" t="s">
        <v>308</v>
      </c>
      <c r="D68" s="88">
        <v>88</v>
      </c>
    </row>
    <row r="69" spans="2:4" ht="13.8">
      <c r="B69" s="58">
        <v>10309</v>
      </c>
      <c r="C69" s="59" t="s">
        <v>309</v>
      </c>
      <c r="D69" s="87">
        <v>4</v>
      </c>
    </row>
    <row r="70" spans="2:4" ht="13.8">
      <c r="B70" s="68">
        <v>10310</v>
      </c>
      <c r="C70" s="69" t="s">
        <v>310</v>
      </c>
      <c r="D70" s="88">
        <v>71</v>
      </c>
    </row>
    <row r="71" spans="2:4" ht="13.8">
      <c r="B71" s="58">
        <v>10311</v>
      </c>
      <c r="C71" s="59" t="s">
        <v>311</v>
      </c>
      <c r="D71" s="87">
        <v>11</v>
      </c>
    </row>
    <row r="72" spans="2:4" ht="13.8">
      <c r="B72" s="68">
        <v>10312</v>
      </c>
      <c r="C72" s="69" t="s">
        <v>312</v>
      </c>
      <c r="D72" s="88">
        <v>18</v>
      </c>
    </row>
    <row r="73" spans="2:4" ht="13.8">
      <c r="B73" s="58">
        <v>10313</v>
      </c>
      <c r="C73" s="59" t="s">
        <v>313</v>
      </c>
      <c r="D73" s="87">
        <v>0</v>
      </c>
    </row>
    <row r="74" spans="2:4" ht="13.8">
      <c r="B74" s="68">
        <v>10314</v>
      </c>
      <c r="C74" s="69" t="s">
        <v>314</v>
      </c>
      <c r="D74" s="88">
        <v>24</v>
      </c>
    </row>
    <row r="75" spans="2:4" ht="13.8">
      <c r="B75" s="58">
        <v>10315</v>
      </c>
      <c r="C75" s="59" t="s">
        <v>315</v>
      </c>
      <c r="D75" s="87">
        <v>6</v>
      </c>
    </row>
    <row r="76" spans="2:4" ht="13.8">
      <c r="B76" s="68">
        <v>10316</v>
      </c>
      <c r="C76" s="69" t="s">
        <v>316</v>
      </c>
      <c r="D76" s="88">
        <v>2</v>
      </c>
    </row>
    <row r="77" spans="2:4" ht="13.8">
      <c r="B77" s="58">
        <v>10317</v>
      </c>
      <c r="C77" s="59" t="s">
        <v>317</v>
      </c>
      <c r="D77" s="87">
        <v>7</v>
      </c>
    </row>
    <row r="78" spans="2:4" ht="13.8">
      <c r="B78" s="68">
        <v>10318</v>
      </c>
      <c r="C78" s="69" t="s">
        <v>318</v>
      </c>
      <c r="D78" s="88">
        <v>6</v>
      </c>
    </row>
    <row r="79" spans="2:4" ht="13.8">
      <c r="B79" s="58">
        <v>10319</v>
      </c>
      <c r="C79" s="59" t="s">
        <v>80</v>
      </c>
      <c r="D79" s="87">
        <v>0</v>
      </c>
    </row>
    <row r="80" spans="2:4" ht="13.8">
      <c r="B80" s="70">
        <v>20101</v>
      </c>
      <c r="C80" s="71" t="s">
        <v>319</v>
      </c>
      <c r="D80" s="89">
        <v>0</v>
      </c>
    </row>
    <row r="81" spans="2:4" ht="13.8">
      <c r="B81" s="60">
        <v>20102</v>
      </c>
      <c r="C81" s="61" t="s">
        <v>261</v>
      </c>
      <c r="D81" s="87">
        <v>0</v>
      </c>
    </row>
    <row r="82" spans="2:4" ht="13.8">
      <c r="B82" s="70">
        <v>20103</v>
      </c>
      <c r="C82" s="71" t="s">
        <v>78</v>
      </c>
      <c r="D82" s="89">
        <v>8</v>
      </c>
    </row>
    <row r="83" spans="2:4" ht="13.8">
      <c r="B83" s="60">
        <v>20104</v>
      </c>
      <c r="C83" s="61" t="s">
        <v>79</v>
      </c>
      <c r="D83" s="87">
        <v>14</v>
      </c>
    </row>
    <row r="84" spans="2:4" ht="13.8">
      <c r="B84" s="70">
        <v>20105</v>
      </c>
      <c r="C84" s="71" t="s">
        <v>320</v>
      </c>
      <c r="D84" s="89">
        <v>0</v>
      </c>
    </row>
    <row r="85" spans="2:4" ht="13.8">
      <c r="B85" s="60">
        <v>20106</v>
      </c>
      <c r="C85" s="61" t="s">
        <v>321</v>
      </c>
      <c r="D85" s="87">
        <v>0</v>
      </c>
    </row>
    <row r="86" spans="2:4" ht="13.8">
      <c r="B86" s="70">
        <v>20107</v>
      </c>
      <c r="C86" s="71" t="s">
        <v>81</v>
      </c>
      <c r="D86" s="89">
        <v>4</v>
      </c>
    </row>
    <row r="87" spans="2:4" ht="13.8">
      <c r="B87" s="60">
        <v>20108</v>
      </c>
      <c r="C87" s="61" t="s">
        <v>322</v>
      </c>
      <c r="D87" s="87">
        <v>4</v>
      </c>
    </row>
    <row r="88" spans="2:4" ht="13.8">
      <c r="B88" s="70">
        <v>20109</v>
      </c>
      <c r="C88" s="71" t="s">
        <v>323</v>
      </c>
      <c r="D88" s="89">
        <v>1</v>
      </c>
    </row>
    <row r="89" spans="2:4" ht="13.8">
      <c r="B89" s="60">
        <v>20110</v>
      </c>
      <c r="C89" s="61" t="s">
        <v>324</v>
      </c>
      <c r="D89" s="87">
        <v>1</v>
      </c>
    </row>
    <row r="90" spans="2:4" ht="13.8">
      <c r="B90" s="70">
        <v>20111</v>
      </c>
      <c r="C90" s="71" t="s">
        <v>325</v>
      </c>
      <c r="D90" s="89">
        <v>2</v>
      </c>
    </row>
    <row r="91" spans="2:4" ht="13.8">
      <c r="B91" s="60">
        <v>20112</v>
      </c>
      <c r="C91" s="61" t="s">
        <v>326</v>
      </c>
      <c r="D91" s="87">
        <v>0</v>
      </c>
    </row>
    <row r="92" spans="2:4" ht="13.8">
      <c r="B92" s="70">
        <v>20113</v>
      </c>
      <c r="C92" s="71" t="s">
        <v>195</v>
      </c>
      <c r="D92" s="89">
        <v>0</v>
      </c>
    </row>
    <row r="93" spans="2:4" ht="13.8">
      <c r="B93" s="60">
        <v>20114</v>
      </c>
      <c r="C93" s="61" t="s">
        <v>82</v>
      </c>
      <c r="D93" s="87">
        <v>0</v>
      </c>
    </row>
    <row r="94" spans="2:4" ht="13.8">
      <c r="B94" s="70">
        <v>20201</v>
      </c>
      <c r="C94" s="71" t="s">
        <v>83</v>
      </c>
      <c r="D94" s="89">
        <v>4</v>
      </c>
    </row>
    <row r="95" spans="2:4" ht="13.8">
      <c r="B95" s="60">
        <v>20202</v>
      </c>
      <c r="C95" s="61" t="s">
        <v>84</v>
      </c>
      <c r="D95" s="87">
        <v>0</v>
      </c>
    </row>
    <row r="96" spans="2:4" ht="13.8">
      <c r="B96" s="70">
        <v>20203</v>
      </c>
      <c r="C96" s="71" t="s">
        <v>85</v>
      </c>
      <c r="D96" s="89">
        <v>22</v>
      </c>
    </row>
    <row r="97" spans="2:4" ht="13.8">
      <c r="B97" s="60">
        <v>20204</v>
      </c>
      <c r="C97" s="61" t="s">
        <v>86</v>
      </c>
      <c r="D97" s="87">
        <v>0</v>
      </c>
    </row>
    <row r="98" spans="2:4" ht="13.8">
      <c r="B98" s="70">
        <v>20205</v>
      </c>
      <c r="C98" s="71" t="s">
        <v>87</v>
      </c>
      <c r="D98" s="89">
        <v>0</v>
      </c>
    </row>
    <row r="99" spans="2:4" ht="13.8">
      <c r="B99" s="60">
        <v>20206</v>
      </c>
      <c r="C99" s="61" t="s">
        <v>88</v>
      </c>
      <c r="D99" s="87">
        <v>0</v>
      </c>
    </row>
    <row r="100" spans="2:4" ht="13.8">
      <c r="B100" s="70">
        <v>20207</v>
      </c>
      <c r="C100" s="71" t="s">
        <v>89</v>
      </c>
      <c r="D100" s="89">
        <v>0</v>
      </c>
    </row>
    <row r="101" spans="2:4" ht="13.8">
      <c r="B101" s="60">
        <v>20208</v>
      </c>
      <c r="C101" s="61" t="s">
        <v>90</v>
      </c>
      <c r="D101" s="87">
        <v>0</v>
      </c>
    </row>
    <row r="102" spans="2:4" ht="13.8">
      <c r="B102" s="70">
        <v>20209</v>
      </c>
      <c r="C102" s="71" t="s">
        <v>91</v>
      </c>
      <c r="D102" s="89">
        <v>0</v>
      </c>
    </row>
    <row r="103" spans="2:4" ht="13.8">
      <c r="B103" s="60">
        <v>20210</v>
      </c>
      <c r="C103" s="61" t="s">
        <v>192</v>
      </c>
      <c r="D103" s="87">
        <v>6</v>
      </c>
    </row>
    <row r="104" spans="2:4" ht="13.8">
      <c r="B104" s="70">
        <v>20211</v>
      </c>
      <c r="C104" s="71" t="s">
        <v>327</v>
      </c>
      <c r="D104" s="89">
        <v>0</v>
      </c>
    </row>
    <row r="105" spans="2:4" ht="13.8">
      <c r="B105" s="60">
        <v>20212</v>
      </c>
      <c r="C105" s="61" t="s">
        <v>93</v>
      </c>
      <c r="D105" s="87">
        <v>0</v>
      </c>
    </row>
    <row r="106" spans="2:4" ht="13.8">
      <c r="B106" s="70">
        <v>20213</v>
      </c>
      <c r="C106" s="71" t="s">
        <v>94</v>
      </c>
      <c r="D106" s="89">
        <v>0</v>
      </c>
    </row>
    <row r="107" spans="2:4" ht="13.8">
      <c r="B107" s="60">
        <v>20214</v>
      </c>
      <c r="C107" s="61" t="s">
        <v>328</v>
      </c>
      <c r="D107" s="87">
        <v>0</v>
      </c>
    </row>
    <row r="108" spans="2:4" ht="13.8">
      <c r="B108" s="70">
        <v>20301</v>
      </c>
      <c r="C108" s="71" t="s">
        <v>329</v>
      </c>
      <c r="D108" s="89">
        <v>22</v>
      </c>
    </row>
    <row r="109" spans="2:4" ht="13.8">
      <c r="B109" s="60">
        <v>20302</v>
      </c>
      <c r="C109" s="61" t="s">
        <v>330</v>
      </c>
      <c r="D109" s="87">
        <v>1</v>
      </c>
    </row>
    <row r="110" spans="2:4" ht="13.8">
      <c r="B110" s="70">
        <v>20303</v>
      </c>
      <c r="C110" s="71" t="s">
        <v>331</v>
      </c>
      <c r="D110" s="89">
        <v>9</v>
      </c>
    </row>
    <row r="111" spans="2:4" ht="13.8">
      <c r="B111" s="60">
        <v>20304</v>
      </c>
      <c r="C111" s="61" t="s">
        <v>332</v>
      </c>
      <c r="D111" s="87">
        <v>2</v>
      </c>
    </row>
    <row r="112" spans="2:4" ht="13.8">
      <c r="B112" s="70">
        <v>20305</v>
      </c>
      <c r="C112" s="71" t="s">
        <v>333</v>
      </c>
      <c r="D112" s="89">
        <v>1</v>
      </c>
    </row>
    <row r="113" spans="2:4" ht="13.8">
      <c r="B113" s="60">
        <v>20306</v>
      </c>
      <c r="C113" s="61" t="s">
        <v>334</v>
      </c>
      <c r="D113" s="87">
        <v>0</v>
      </c>
    </row>
    <row r="114" spans="2:4" ht="13.8">
      <c r="B114" s="70">
        <v>20307</v>
      </c>
      <c r="C114" s="71" t="s">
        <v>335</v>
      </c>
      <c r="D114" s="89">
        <v>19</v>
      </c>
    </row>
    <row r="115" spans="2:4" ht="13.8">
      <c r="B115" s="60">
        <v>20308</v>
      </c>
      <c r="C115" s="61" t="s">
        <v>336</v>
      </c>
      <c r="D115" s="87">
        <v>281</v>
      </c>
    </row>
    <row r="116" spans="2:4" ht="13.8">
      <c r="B116" s="70">
        <v>20309</v>
      </c>
      <c r="C116" s="71" t="s">
        <v>337</v>
      </c>
      <c r="D116" s="89">
        <v>23</v>
      </c>
    </row>
    <row r="117" spans="2:4" ht="13.8">
      <c r="B117" s="60">
        <v>20310</v>
      </c>
      <c r="C117" s="61" t="s">
        <v>338</v>
      </c>
      <c r="D117" s="87">
        <v>5</v>
      </c>
    </row>
    <row r="118" spans="2:4" ht="13.8">
      <c r="B118" s="70">
        <v>20311</v>
      </c>
      <c r="C118" s="71" t="s">
        <v>339</v>
      </c>
      <c r="D118" s="89">
        <v>22</v>
      </c>
    </row>
    <row r="119" spans="2:4" ht="13.8">
      <c r="B119" s="60">
        <v>20401</v>
      </c>
      <c r="C119" s="61" t="s">
        <v>340</v>
      </c>
      <c r="D119" s="87">
        <v>0</v>
      </c>
    </row>
    <row r="120" spans="2:4" ht="13.8">
      <c r="B120" s="70">
        <v>20402</v>
      </c>
      <c r="C120" s="71" t="s">
        <v>341</v>
      </c>
      <c r="D120" s="89">
        <v>0</v>
      </c>
    </row>
    <row r="121" spans="2:4" ht="13.8">
      <c r="B121" s="60">
        <v>20403</v>
      </c>
      <c r="C121" s="61" t="s">
        <v>342</v>
      </c>
      <c r="D121" s="87">
        <v>2</v>
      </c>
    </row>
    <row r="122" spans="2:4" ht="13.8">
      <c r="B122" s="70">
        <v>20404</v>
      </c>
      <c r="C122" s="71" t="s">
        <v>343</v>
      </c>
      <c r="D122" s="89">
        <v>3</v>
      </c>
    </row>
    <row r="123" spans="2:4" ht="13.8">
      <c r="B123" s="64">
        <v>30101</v>
      </c>
      <c r="C123" s="65" t="s">
        <v>344</v>
      </c>
      <c r="D123" s="90">
        <v>24</v>
      </c>
    </row>
    <row r="124" spans="2:4" ht="13.8">
      <c r="B124" s="62">
        <v>30102</v>
      </c>
      <c r="C124" s="63" t="s">
        <v>95</v>
      </c>
      <c r="D124" s="87">
        <v>5</v>
      </c>
    </row>
    <row r="125" spans="2:4" ht="13.8">
      <c r="B125" s="64">
        <v>30103</v>
      </c>
      <c r="C125" s="65" t="s">
        <v>75</v>
      </c>
      <c r="D125" s="90">
        <v>5</v>
      </c>
    </row>
    <row r="126" spans="2:4" ht="13.8">
      <c r="B126" s="62">
        <v>30201</v>
      </c>
      <c r="C126" s="63" t="s">
        <v>96</v>
      </c>
      <c r="D126" s="87">
        <v>0</v>
      </c>
    </row>
    <row r="127" spans="2:4" ht="13.8">
      <c r="B127" s="64">
        <v>30202</v>
      </c>
      <c r="C127" s="65" t="s">
        <v>415</v>
      </c>
      <c r="D127" s="90">
        <v>5</v>
      </c>
    </row>
    <row r="128" spans="2:4" ht="13.8">
      <c r="B128" s="62">
        <v>30203</v>
      </c>
      <c r="C128" s="63" t="s">
        <v>345</v>
      </c>
      <c r="D128" s="87">
        <v>0</v>
      </c>
    </row>
    <row r="129" spans="2:4" ht="13.8">
      <c r="B129" s="64">
        <v>30204</v>
      </c>
      <c r="C129" s="65" t="s">
        <v>98</v>
      </c>
      <c r="D129" s="90">
        <v>23</v>
      </c>
    </row>
    <row r="130" spans="2:4" ht="13.8">
      <c r="B130" s="62">
        <v>30205</v>
      </c>
      <c r="C130" s="63" t="s">
        <v>346</v>
      </c>
      <c r="D130" s="87">
        <v>1</v>
      </c>
    </row>
    <row r="131" spans="2:4" ht="13.8">
      <c r="B131" s="64">
        <v>30206</v>
      </c>
      <c r="C131" s="65" t="s">
        <v>347</v>
      </c>
      <c r="D131" s="90">
        <v>2</v>
      </c>
    </row>
    <row r="132" spans="2:4" ht="13.8">
      <c r="B132" s="62">
        <v>30207</v>
      </c>
      <c r="C132" s="63" t="s">
        <v>348</v>
      </c>
      <c r="D132" s="87">
        <v>0</v>
      </c>
    </row>
    <row r="133" spans="2:4" ht="13.8">
      <c r="B133" s="64">
        <v>30301</v>
      </c>
      <c r="C133" s="65" t="s">
        <v>99</v>
      </c>
      <c r="D133" s="90">
        <v>0</v>
      </c>
    </row>
    <row r="134" spans="2:4" ht="13.8">
      <c r="B134" s="62">
        <v>30302</v>
      </c>
      <c r="C134" s="63" t="s">
        <v>100</v>
      </c>
      <c r="D134" s="87">
        <v>6</v>
      </c>
    </row>
    <row r="135" spans="2:4" ht="13.8">
      <c r="B135" s="64">
        <v>30303</v>
      </c>
      <c r="C135" s="65" t="s">
        <v>349</v>
      </c>
      <c r="D135" s="90">
        <v>1</v>
      </c>
    </row>
    <row r="136" spans="2:4" ht="13.8">
      <c r="B136" s="62">
        <v>30304</v>
      </c>
      <c r="C136" s="63" t="s">
        <v>101</v>
      </c>
      <c r="D136" s="87">
        <v>0</v>
      </c>
    </row>
    <row r="137" spans="2:4" ht="13.8">
      <c r="B137" s="64">
        <v>30305</v>
      </c>
      <c r="C137" s="65" t="s">
        <v>102</v>
      </c>
      <c r="D137" s="90">
        <v>6</v>
      </c>
    </row>
    <row r="138" spans="2:4" ht="13.8">
      <c r="B138" s="62">
        <v>30306</v>
      </c>
      <c r="C138" s="63" t="s">
        <v>103</v>
      </c>
      <c r="D138" s="87">
        <v>0</v>
      </c>
    </row>
    <row r="139" spans="2:4" ht="13.8">
      <c r="B139" s="64">
        <v>30307</v>
      </c>
      <c r="C139" s="65" t="s">
        <v>104</v>
      </c>
      <c r="D139" s="90">
        <v>27</v>
      </c>
    </row>
    <row r="140" spans="2:4" ht="13.8">
      <c r="B140" s="62">
        <v>30308</v>
      </c>
      <c r="C140" s="63" t="s">
        <v>350</v>
      </c>
      <c r="D140" s="87">
        <v>18</v>
      </c>
    </row>
    <row r="141" spans="2:4" ht="13.8">
      <c r="B141" s="64">
        <v>30309</v>
      </c>
      <c r="C141" s="65" t="s">
        <v>351</v>
      </c>
      <c r="D141" s="90">
        <v>36</v>
      </c>
    </row>
    <row r="142" spans="2:4" ht="13.8">
      <c r="B142" s="62">
        <v>30310</v>
      </c>
      <c r="C142" s="63" t="s">
        <v>352</v>
      </c>
      <c r="D142" s="87">
        <v>65</v>
      </c>
    </row>
    <row r="143" spans="2:4" ht="13.8">
      <c r="B143" s="64">
        <v>30401</v>
      </c>
      <c r="C143" s="65" t="s">
        <v>353</v>
      </c>
      <c r="D143" s="90">
        <v>17</v>
      </c>
    </row>
    <row r="144" spans="2:4" ht="13.8">
      <c r="B144" s="62">
        <v>30402</v>
      </c>
      <c r="C144" s="63" t="s">
        <v>354</v>
      </c>
      <c r="D144" s="87">
        <v>5</v>
      </c>
    </row>
    <row r="145" spans="2:4" ht="13.8">
      <c r="B145" s="64">
        <v>30403</v>
      </c>
      <c r="C145" s="65" t="s">
        <v>355</v>
      </c>
      <c r="D145" s="90">
        <v>1</v>
      </c>
    </row>
    <row r="146" spans="2:4" ht="13.8">
      <c r="B146" s="62">
        <v>30404</v>
      </c>
      <c r="C146" s="63" t="s">
        <v>105</v>
      </c>
      <c r="D146" s="87">
        <v>12</v>
      </c>
    </row>
    <row r="147" spans="2:4" ht="13.8">
      <c r="B147" s="64">
        <v>30405</v>
      </c>
      <c r="C147" s="65" t="s">
        <v>106</v>
      </c>
      <c r="D147" s="90">
        <v>2</v>
      </c>
    </row>
    <row r="148" spans="2:4" ht="13.8">
      <c r="B148" s="62">
        <v>30406</v>
      </c>
      <c r="C148" s="63" t="s">
        <v>107</v>
      </c>
      <c r="D148" s="87">
        <v>0</v>
      </c>
    </row>
    <row r="149" spans="2:4" ht="13.8">
      <c r="B149" s="64">
        <v>30407</v>
      </c>
      <c r="C149" s="65" t="s">
        <v>356</v>
      </c>
      <c r="D149" s="90">
        <v>9</v>
      </c>
    </row>
    <row r="150" spans="2:4" ht="13.8">
      <c r="B150" s="62">
        <v>30408</v>
      </c>
      <c r="C150" s="63" t="s">
        <v>357</v>
      </c>
      <c r="D150" s="87">
        <v>0</v>
      </c>
    </row>
    <row r="151" spans="2:4" ht="13.8">
      <c r="B151" s="64">
        <v>30409</v>
      </c>
      <c r="C151" s="65" t="s">
        <v>109</v>
      </c>
      <c r="D151" s="90">
        <v>2</v>
      </c>
    </row>
    <row r="152" spans="2:4" ht="13.8">
      <c r="B152" s="62">
        <v>30410</v>
      </c>
      <c r="C152" s="63" t="s">
        <v>110</v>
      </c>
      <c r="D152" s="87">
        <v>0</v>
      </c>
    </row>
    <row r="153" spans="2:4" ht="13.8">
      <c r="B153" s="64">
        <v>30411</v>
      </c>
      <c r="C153" s="65" t="s">
        <v>358</v>
      </c>
      <c r="D153" s="90">
        <v>0</v>
      </c>
    </row>
    <row r="154" spans="2:4" ht="13.8">
      <c r="B154" s="62">
        <v>30412</v>
      </c>
      <c r="C154" s="63" t="s">
        <v>111</v>
      </c>
      <c r="D154" s="87">
        <v>0</v>
      </c>
    </row>
    <row r="155" spans="2:4" ht="13.8">
      <c r="B155" s="64">
        <v>30413</v>
      </c>
      <c r="C155" s="65" t="s">
        <v>112</v>
      </c>
      <c r="D155" s="90">
        <v>1</v>
      </c>
    </row>
    <row r="156" spans="2:4" ht="13.8">
      <c r="B156" s="62">
        <v>30414</v>
      </c>
      <c r="C156" s="63" t="s">
        <v>113</v>
      </c>
      <c r="D156" s="87">
        <v>12</v>
      </c>
    </row>
    <row r="157" spans="2:4" ht="13.8">
      <c r="B157" s="64">
        <v>30415</v>
      </c>
      <c r="C157" s="65" t="s">
        <v>114</v>
      </c>
      <c r="D157" s="90">
        <v>0</v>
      </c>
    </row>
    <row r="158" spans="2:4" ht="13.8">
      <c r="B158" s="62">
        <v>30416</v>
      </c>
      <c r="C158" s="63" t="s">
        <v>115</v>
      </c>
      <c r="D158" s="87">
        <v>5</v>
      </c>
    </row>
    <row r="159" spans="2:4" ht="13.8">
      <c r="B159" s="64">
        <v>30417</v>
      </c>
      <c r="C159" s="65" t="s">
        <v>116</v>
      </c>
      <c r="D159" s="90">
        <v>0</v>
      </c>
    </row>
    <row r="160" spans="2:4" ht="13.8">
      <c r="B160" s="62">
        <v>30418</v>
      </c>
      <c r="C160" s="63" t="s">
        <v>117</v>
      </c>
      <c r="D160" s="87">
        <v>1</v>
      </c>
    </row>
    <row r="161" spans="2:4" ht="13.8">
      <c r="B161" s="64">
        <v>30419</v>
      </c>
      <c r="C161" s="65" t="s">
        <v>118</v>
      </c>
      <c r="D161" s="90">
        <v>2</v>
      </c>
    </row>
    <row r="162" spans="2:4" ht="13.8">
      <c r="B162" s="62">
        <v>30420</v>
      </c>
      <c r="C162" s="63" t="s">
        <v>119</v>
      </c>
      <c r="D162" s="87">
        <v>8</v>
      </c>
    </row>
    <row r="163" spans="2:4" ht="13.8">
      <c r="B163" s="64">
        <v>30421</v>
      </c>
      <c r="C163" s="65" t="s">
        <v>120</v>
      </c>
      <c r="D163" s="90">
        <v>3</v>
      </c>
    </row>
    <row r="164" spans="2:4" ht="13.8">
      <c r="B164" s="62">
        <v>30422</v>
      </c>
      <c r="C164" s="63" t="s">
        <v>121</v>
      </c>
      <c r="D164" s="87">
        <v>4</v>
      </c>
    </row>
    <row r="165" spans="2:4" ht="13.8">
      <c r="B165" s="64">
        <v>30423</v>
      </c>
      <c r="C165" s="65" t="s">
        <v>122</v>
      </c>
      <c r="D165" s="90">
        <v>0</v>
      </c>
    </row>
    <row r="166" spans="2:4" ht="13.8">
      <c r="B166" s="62">
        <v>30424</v>
      </c>
      <c r="C166" s="63" t="s">
        <v>123</v>
      </c>
      <c r="D166" s="87">
        <v>0</v>
      </c>
    </row>
    <row r="167" spans="2:4" ht="13.8">
      <c r="B167" s="64">
        <v>30425</v>
      </c>
      <c r="C167" s="65" t="s">
        <v>124</v>
      </c>
      <c r="D167" s="90">
        <v>0</v>
      </c>
    </row>
    <row r="168" spans="2:4" ht="13.8">
      <c r="B168" s="62">
        <v>30426</v>
      </c>
      <c r="C168" s="63" t="s">
        <v>125</v>
      </c>
      <c r="D168" s="87">
        <v>0</v>
      </c>
    </row>
    <row r="169" spans="2:4" ht="13.8">
      <c r="B169" s="64">
        <v>30427</v>
      </c>
      <c r="C169" s="65" t="s">
        <v>126</v>
      </c>
      <c r="D169" s="90">
        <v>10</v>
      </c>
    </row>
    <row r="170" spans="2:4" ht="13.8">
      <c r="B170" s="62">
        <v>30428</v>
      </c>
      <c r="C170" s="63" t="s">
        <v>127</v>
      </c>
      <c r="D170" s="87">
        <v>2</v>
      </c>
    </row>
    <row r="171" spans="2:4" ht="13.8">
      <c r="B171" s="64">
        <v>30429</v>
      </c>
      <c r="C171" s="65" t="s">
        <v>128</v>
      </c>
      <c r="D171" s="90">
        <v>16</v>
      </c>
    </row>
    <row r="172" spans="2:4" ht="13.8">
      <c r="B172" s="62">
        <v>30430</v>
      </c>
      <c r="C172" s="63" t="s">
        <v>129</v>
      </c>
      <c r="D172" s="87">
        <v>32</v>
      </c>
    </row>
    <row r="173" spans="2:4" ht="13.8">
      <c r="B173" s="64">
        <v>30431</v>
      </c>
      <c r="C173" s="65" t="s">
        <v>130</v>
      </c>
      <c r="D173" s="90">
        <v>0</v>
      </c>
    </row>
    <row r="174" spans="2:4" ht="13.8">
      <c r="B174" s="62">
        <v>30432</v>
      </c>
      <c r="C174" s="63" t="s">
        <v>131</v>
      </c>
      <c r="D174" s="87">
        <v>0</v>
      </c>
    </row>
    <row r="175" spans="2:4" ht="13.8">
      <c r="B175" s="64">
        <v>30433</v>
      </c>
      <c r="C175" s="65" t="s">
        <v>132</v>
      </c>
      <c r="D175" s="90">
        <v>0</v>
      </c>
    </row>
    <row r="176" spans="2:4" ht="13.8">
      <c r="B176" s="62">
        <v>30434</v>
      </c>
      <c r="C176" s="63" t="s">
        <v>133</v>
      </c>
      <c r="D176" s="87">
        <v>0</v>
      </c>
    </row>
    <row r="177" spans="2:4" ht="13.8">
      <c r="B177" s="64">
        <v>30435</v>
      </c>
      <c r="C177" s="65" t="s">
        <v>134</v>
      </c>
      <c r="D177" s="90">
        <v>1</v>
      </c>
    </row>
    <row r="178" spans="2:4" ht="13.8">
      <c r="B178" s="62">
        <v>30436</v>
      </c>
      <c r="C178" s="63" t="s">
        <v>135</v>
      </c>
      <c r="D178" s="87">
        <v>2</v>
      </c>
    </row>
    <row r="179" spans="2:4" ht="13.8">
      <c r="B179" s="64">
        <v>30437</v>
      </c>
      <c r="C179" s="65" t="s">
        <v>136</v>
      </c>
      <c r="D179" s="90">
        <v>0</v>
      </c>
    </row>
    <row r="180" spans="2:4" ht="13.8">
      <c r="B180" s="62">
        <v>30438</v>
      </c>
      <c r="C180" s="63" t="s">
        <v>137</v>
      </c>
      <c r="D180" s="87">
        <v>0</v>
      </c>
    </row>
    <row r="181" spans="2:4" ht="13.8">
      <c r="B181" s="64">
        <v>30439</v>
      </c>
      <c r="C181" s="65" t="s">
        <v>138</v>
      </c>
      <c r="D181" s="90">
        <v>0</v>
      </c>
    </row>
    <row r="182" spans="2:4" ht="13.8">
      <c r="B182" s="62">
        <v>30440</v>
      </c>
      <c r="C182" s="63" t="s">
        <v>359</v>
      </c>
      <c r="D182" s="87">
        <v>1</v>
      </c>
    </row>
    <row r="183" spans="2:4" ht="13.8">
      <c r="B183" s="64">
        <v>30441</v>
      </c>
      <c r="C183" s="65" t="s">
        <v>360</v>
      </c>
      <c r="D183" s="90">
        <v>0</v>
      </c>
    </row>
    <row r="184" spans="2:4" ht="13.8">
      <c r="B184" s="62">
        <v>30442</v>
      </c>
      <c r="C184" s="63" t="s">
        <v>361</v>
      </c>
      <c r="D184" s="87">
        <v>0</v>
      </c>
    </row>
    <row r="185" spans="2:4" ht="13.8">
      <c r="B185" s="64">
        <v>30443</v>
      </c>
      <c r="C185" s="65" t="s">
        <v>362</v>
      </c>
      <c r="D185" s="90">
        <v>0</v>
      </c>
    </row>
    <row r="186" spans="2:4" ht="13.8">
      <c r="B186" s="62">
        <v>30444</v>
      </c>
      <c r="C186" s="63" t="s">
        <v>363</v>
      </c>
      <c r="D186" s="87">
        <v>0</v>
      </c>
    </row>
    <row r="187" spans="2:4" ht="13.8">
      <c r="B187" s="64">
        <v>30445</v>
      </c>
      <c r="C187" s="65" t="s">
        <v>364</v>
      </c>
      <c r="D187" s="90">
        <v>0</v>
      </c>
    </row>
    <row r="188" spans="2:4" ht="13.8">
      <c r="B188" s="62">
        <v>30446</v>
      </c>
      <c r="C188" s="63" t="s">
        <v>365</v>
      </c>
      <c r="D188" s="87">
        <v>16</v>
      </c>
    </row>
    <row r="189" spans="2:4" ht="13.8">
      <c r="B189" s="64">
        <v>30501</v>
      </c>
      <c r="C189" s="65" t="s">
        <v>139</v>
      </c>
      <c r="D189" s="90">
        <v>0</v>
      </c>
    </row>
    <row r="190" spans="2:4" ht="13.8">
      <c r="B190" s="62">
        <v>30502</v>
      </c>
      <c r="C190" s="63" t="s">
        <v>140</v>
      </c>
      <c r="D190" s="87">
        <v>137</v>
      </c>
    </row>
    <row r="191" spans="2:4" ht="13.8">
      <c r="B191" s="64">
        <v>30503</v>
      </c>
      <c r="C191" s="65" t="s">
        <v>141</v>
      </c>
      <c r="D191" s="90">
        <v>174</v>
      </c>
    </row>
    <row r="192" spans="2:4" ht="13.8">
      <c r="B192" s="62">
        <v>30504</v>
      </c>
      <c r="C192" s="63" t="s">
        <v>366</v>
      </c>
      <c r="D192" s="87">
        <v>13</v>
      </c>
    </row>
    <row r="193" spans="2:4" ht="13.8">
      <c r="B193" s="64">
        <v>30505</v>
      </c>
      <c r="C193" s="65" t="s">
        <v>367</v>
      </c>
      <c r="D193" s="90">
        <v>21</v>
      </c>
    </row>
    <row r="194" spans="2:4" ht="13.8">
      <c r="B194" s="62">
        <v>30601</v>
      </c>
      <c r="C194" s="63" t="s">
        <v>142</v>
      </c>
      <c r="D194" s="87">
        <v>11</v>
      </c>
    </row>
    <row r="195" spans="2:4" ht="13.8">
      <c r="B195" s="64">
        <v>30602</v>
      </c>
      <c r="C195" s="65" t="s">
        <v>143</v>
      </c>
      <c r="D195" s="90">
        <v>11</v>
      </c>
    </row>
    <row r="196" spans="2:4" ht="13.8">
      <c r="B196" s="62">
        <v>30603</v>
      </c>
      <c r="C196" s="63" t="s">
        <v>144</v>
      </c>
      <c r="D196" s="87">
        <v>4</v>
      </c>
    </row>
    <row r="197" spans="2:4" ht="13.8">
      <c r="B197" s="64">
        <v>30604</v>
      </c>
      <c r="C197" s="65" t="s">
        <v>145</v>
      </c>
      <c r="D197" s="90">
        <v>0</v>
      </c>
    </row>
    <row r="198" spans="2:4" ht="13.8">
      <c r="B198" s="62">
        <v>30605</v>
      </c>
      <c r="C198" s="63" t="s">
        <v>368</v>
      </c>
      <c r="D198" s="87">
        <v>0</v>
      </c>
    </row>
    <row r="199" spans="2:4" ht="13.8">
      <c r="B199" s="64">
        <v>30606</v>
      </c>
      <c r="C199" s="65" t="s">
        <v>369</v>
      </c>
      <c r="D199" s="90">
        <v>2</v>
      </c>
    </row>
    <row r="200" spans="2:4" ht="13.8">
      <c r="B200" s="62">
        <v>30607</v>
      </c>
      <c r="C200" s="63" t="s">
        <v>146</v>
      </c>
      <c r="D200" s="87">
        <v>15</v>
      </c>
    </row>
    <row r="201" spans="2:4" ht="13.8">
      <c r="B201" s="64">
        <v>30608</v>
      </c>
      <c r="C201" s="65" t="s">
        <v>147</v>
      </c>
      <c r="D201" s="90">
        <v>0</v>
      </c>
    </row>
    <row r="202" spans="2:4" ht="13.8">
      <c r="B202" s="62">
        <v>30609</v>
      </c>
      <c r="C202" s="63" t="s">
        <v>370</v>
      </c>
      <c r="D202" s="87">
        <v>0</v>
      </c>
    </row>
    <row r="203" spans="2:4" ht="13.8">
      <c r="B203" s="64">
        <v>30610</v>
      </c>
      <c r="C203" s="65" t="s">
        <v>371</v>
      </c>
      <c r="D203" s="90">
        <v>3</v>
      </c>
    </row>
    <row r="204" spans="2:4" ht="13.8">
      <c r="B204" s="62">
        <v>30611</v>
      </c>
      <c r="C204" s="63" t="s">
        <v>372</v>
      </c>
      <c r="D204" s="87">
        <v>0</v>
      </c>
    </row>
    <row r="205" spans="2:4" ht="13.8">
      <c r="B205" s="64">
        <v>30701</v>
      </c>
      <c r="C205" s="65" t="s">
        <v>148</v>
      </c>
      <c r="D205" s="90">
        <v>5</v>
      </c>
    </row>
    <row r="206" spans="2:4" ht="13.8">
      <c r="B206" s="62">
        <v>30702</v>
      </c>
      <c r="C206" s="63" t="s">
        <v>149</v>
      </c>
      <c r="D206" s="87">
        <v>5</v>
      </c>
    </row>
    <row r="207" spans="2:4" ht="13.8">
      <c r="B207" s="64">
        <v>30703</v>
      </c>
      <c r="C207" s="65" t="s">
        <v>150</v>
      </c>
      <c r="D207" s="90">
        <v>0</v>
      </c>
    </row>
    <row r="208" spans="2:4" ht="13.8">
      <c r="B208" s="62">
        <v>30704</v>
      </c>
      <c r="C208" s="63" t="s">
        <v>151</v>
      </c>
      <c r="D208" s="87">
        <v>0</v>
      </c>
    </row>
    <row r="209" spans="2:4" ht="13.8">
      <c r="B209" s="64">
        <v>30705</v>
      </c>
      <c r="C209" s="65" t="s">
        <v>152</v>
      </c>
      <c r="D209" s="90">
        <v>0</v>
      </c>
    </row>
    <row r="210" spans="2:4" ht="13.8">
      <c r="B210" s="62">
        <v>30706</v>
      </c>
      <c r="C210" s="63" t="s">
        <v>153</v>
      </c>
      <c r="D210" s="87">
        <v>0</v>
      </c>
    </row>
    <row r="211" spans="2:4" ht="13.8">
      <c r="B211" s="64">
        <v>30707</v>
      </c>
      <c r="C211" s="65" t="s">
        <v>154</v>
      </c>
      <c r="D211" s="90">
        <v>2</v>
      </c>
    </row>
    <row r="212" spans="2:4" ht="13.8">
      <c r="B212" s="62">
        <v>30708</v>
      </c>
      <c r="C212" s="63" t="s">
        <v>373</v>
      </c>
      <c r="D212" s="87">
        <v>1</v>
      </c>
    </row>
    <row r="213" spans="2:4" ht="13.8">
      <c r="B213" s="64">
        <v>30709</v>
      </c>
      <c r="C213" s="65" t="s">
        <v>158</v>
      </c>
      <c r="D213" s="90">
        <v>0</v>
      </c>
    </row>
    <row r="214" spans="2:4" ht="13.8">
      <c r="B214" s="62">
        <v>30710</v>
      </c>
      <c r="C214" s="63" t="s">
        <v>374</v>
      </c>
      <c r="D214" s="87">
        <v>0</v>
      </c>
    </row>
    <row r="215" spans="2:4" ht="13.8">
      <c r="B215" s="64">
        <v>30711</v>
      </c>
      <c r="C215" s="65" t="s">
        <v>157</v>
      </c>
      <c r="D215" s="90">
        <v>0</v>
      </c>
    </row>
    <row r="216" spans="2:4" ht="13.8">
      <c r="B216" s="62">
        <v>30801</v>
      </c>
      <c r="C216" s="63" t="s">
        <v>155</v>
      </c>
      <c r="D216" s="87">
        <v>0</v>
      </c>
    </row>
    <row r="217" spans="2:4" ht="13.8">
      <c r="B217" s="64">
        <v>30802</v>
      </c>
      <c r="C217" s="65" t="s">
        <v>156</v>
      </c>
      <c r="D217" s="90">
        <v>2</v>
      </c>
    </row>
    <row r="218" spans="2:4" ht="13.8">
      <c r="B218" s="62">
        <v>30803</v>
      </c>
      <c r="C218" s="63" t="s">
        <v>97</v>
      </c>
      <c r="D218" s="87">
        <v>0</v>
      </c>
    </row>
    <row r="219" spans="2:4" ht="13.8">
      <c r="B219" s="64">
        <v>30804</v>
      </c>
      <c r="C219" s="65" t="s">
        <v>184</v>
      </c>
      <c r="D219" s="90">
        <v>0</v>
      </c>
    </row>
    <row r="220" spans="2:4" ht="13.8">
      <c r="B220" s="62">
        <v>30805</v>
      </c>
      <c r="C220" s="63" t="s">
        <v>174</v>
      </c>
      <c r="D220" s="87">
        <v>0</v>
      </c>
    </row>
    <row r="221" spans="2:4" ht="13.8">
      <c r="B221" s="64">
        <v>30806</v>
      </c>
      <c r="C221" s="65" t="s">
        <v>375</v>
      </c>
      <c r="D221" s="90">
        <v>0</v>
      </c>
    </row>
    <row r="222" spans="2:4" ht="13.8">
      <c r="B222" s="62">
        <v>30807</v>
      </c>
      <c r="C222" s="63" t="s">
        <v>376</v>
      </c>
      <c r="D222" s="87">
        <v>0</v>
      </c>
    </row>
    <row r="223" spans="2:4" ht="13.8">
      <c r="B223" s="64">
        <v>30808</v>
      </c>
      <c r="C223" s="65" t="s">
        <v>171</v>
      </c>
      <c r="D223" s="90">
        <v>0</v>
      </c>
    </row>
    <row r="224" spans="2:4" ht="13.8">
      <c r="B224" s="62">
        <v>30809</v>
      </c>
      <c r="C224" s="63" t="s">
        <v>377</v>
      </c>
      <c r="D224" s="87">
        <v>0</v>
      </c>
    </row>
    <row r="225" spans="2:4" ht="13.8">
      <c r="B225" s="64">
        <v>30810</v>
      </c>
      <c r="C225" s="65" t="s">
        <v>378</v>
      </c>
      <c r="D225" s="90">
        <v>0</v>
      </c>
    </row>
    <row r="226" spans="2:4" ht="13.8">
      <c r="B226" s="62">
        <v>30901</v>
      </c>
      <c r="C226" s="63" t="s">
        <v>379</v>
      </c>
      <c r="D226" s="87">
        <v>1</v>
      </c>
    </row>
    <row r="227" spans="2:4" ht="13.8">
      <c r="B227" s="64">
        <v>30902</v>
      </c>
      <c r="C227" s="65" t="s">
        <v>380</v>
      </c>
      <c r="D227" s="90">
        <v>3</v>
      </c>
    </row>
    <row r="228" spans="2:4" ht="13.8">
      <c r="B228" s="62">
        <v>30903</v>
      </c>
      <c r="C228" s="63" t="s">
        <v>163</v>
      </c>
      <c r="D228" s="87">
        <v>27</v>
      </c>
    </row>
    <row r="229" spans="2:4" ht="13.8">
      <c r="B229" s="64">
        <v>30904</v>
      </c>
      <c r="C229" s="65" t="s">
        <v>183</v>
      </c>
      <c r="D229" s="90">
        <v>75</v>
      </c>
    </row>
    <row r="230" spans="2:4" ht="13.8">
      <c r="B230" s="62">
        <v>30905</v>
      </c>
      <c r="C230" s="63" t="s">
        <v>159</v>
      </c>
      <c r="D230" s="87">
        <v>1</v>
      </c>
    </row>
    <row r="231" spans="2:4" ht="13.8">
      <c r="B231" s="64">
        <v>30906</v>
      </c>
      <c r="C231" s="65" t="s">
        <v>160</v>
      </c>
      <c r="D231" s="90">
        <v>0</v>
      </c>
    </row>
    <row r="232" spans="2:4" ht="13.8">
      <c r="B232" s="62">
        <v>30907</v>
      </c>
      <c r="C232" s="63" t="s">
        <v>161</v>
      </c>
      <c r="D232" s="87">
        <v>155</v>
      </c>
    </row>
    <row r="233" spans="2:4" ht="13.8">
      <c r="B233" s="64">
        <v>30908</v>
      </c>
      <c r="C233" s="65" t="s">
        <v>162</v>
      </c>
      <c r="D233" s="90">
        <v>2</v>
      </c>
    </row>
    <row r="234" spans="2:4" ht="13.8">
      <c r="B234" s="62">
        <v>30909</v>
      </c>
      <c r="C234" s="63" t="s">
        <v>381</v>
      </c>
      <c r="D234" s="87">
        <v>8</v>
      </c>
    </row>
    <row r="235" spans="2:4" ht="13.8">
      <c r="B235" s="64">
        <v>31001</v>
      </c>
      <c r="C235" s="65" t="s">
        <v>164</v>
      </c>
      <c r="D235" s="90">
        <v>13</v>
      </c>
    </row>
    <row r="236" spans="2:4" ht="13.8">
      <c r="B236" s="62">
        <v>31002</v>
      </c>
      <c r="C236" s="63" t="s">
        <v>382</v>
      </c>
      <c r="D236" s="87">
        <v>11</v>
      </c>
    </row>
    <row r="237" spans="2:4" ht="13.8">
      <c r="B237" s="64">
        <v>31003</v>
      </c>
      <c r="C237" s="65" t="s">
        <v>165</v>
      </c>
      <c r="D237" s="90">
        <v>6</v>
      </c>
    </row>
    <row r="238" spans="2:4" ht="13.8">
      <c r="B238" s="62">
        <v>31004</v>
      </c>
      <c r="C238" s="63" t="s">
        <v>166</v>
      </c>
      <c r="D238" s="87">
        <v>0</v>
      </c>
    </row>
    <row r="239" spans="2:4" ht="13.8">
      <c r="B239" s="64">
        <v>31005</v>
      </c>
      <c r="C239" s="65" t="s">
        <v>167</v>
      </c>
      <c r="D239" s="90">
        <v>0</v>
      </c>
    </row>
    <row r="240" spans="2:4" ht="13.8">
      <c r="B240" s="62">
        <v>31006</v>
      </c>
      <c r="C240" s="63" t="s">
        <v>168</v>
      </c>
      <c r="D240" s="87">
        <v>0</v>
      </c>
    </row>
    <row r="241" spans="2:4" ht="13.8">
      <c r="B241" s="64">
        <v>31007</v>
      </c>
      <c r="C241" s="65" t="s">
        <v>169</v>
      </c>
      <c r="D241" s="90">
        <v>1</v>
      </c>
    </row>
    <row r="242" spans="2:4" ht="13.8">
      <c r="B242" s="62">
        <v>31008</v>
      </c>
      <c r="C242" s="63" t="s">
        <v>383</v>
      </c>
      <c r="D242" s="87">
        <v>0</v>
      </c>
    </row>
    <row r="243" spans="2:4" ht="13.8">
      <c r="B243" s="64">
        <v>31009</v>
      </c>
      <c r="C243" s="65" t="s">
        <v>384</v>
      </c>
      <c r="D243" s="90">
        <v>0</v>
      </c>
    </row>
    <row r="244" spans="2:4" ht="13.8">
      <c r="B244" s="62">
        <v>31010</v>
      </c>
      <c r="C244" s="63" t="s">
        <v>92</v>
      </c>
      <c r="D244" s="87">
        <v>1</v>
      </c>
    </row>
    <row r="245" spans="2:4" ht="13.8">
      <c r="B245" s="64">
        <v>31011</v>
      </c>
      <c r="C245" s="65" t="s">
        <v>385</v>
      </c>
      <c r="D245" s="90">
        <v>0</v>
      </c>
    </row>
    <row r="246" spans="2:4" ht="13.8">
      <c r="B246" s="62">
        <v>31012</v>
      </c>
      <c r="C246" s="63" t="s">
        <v>386</v>
      </c>
      <c r="D246" s="87">
        <v>0</v>
      </c>
    </row>
    <row r="247" spans="2:4" ht="13.8">
      <c r="B247" s="64">
        <v>31013</v>
      </c>
      <c r="C247" s="65" t="s">
        <v>387</v>
      </c>
      <c r="D247" s="90">
        <v>0</v>
      </c>
    </row>
    <row r="248" spans="2:4" ht="13.8">
      <c r="B248" s="62">
        <v>31014</v>
      </c>
      <c r="C248" s="63" t="s">
        <v>388</v>
      </c>
      <c r="D248" s="87">
        <v>0</v>
      </c>
    </row>
    <row r="249" spans="2:4" ht="13.8">
      <c r="B249" s="64">
        <v>31015</v>
      </c>
      <c r="C249" s="65" t="s">
        <v>389</v>
      </c>
      <c r="D249" s="90">
        <v>0</v>
      </c>
    </row>
    <row r="250" spans="2:4" ht="13.8">
      <c r="B250" s="62">
        <v>31101</v>
      </c>
      <c r="C250" s="63" t="s">
        <v>172</v>
      </c>
      <c r="D250" s="87">
        <v>27</v>
      </c>
    </row>
    <row r="251" spans="2:4" ht="13.8">
      <c r="B251" s="64">
        <v>31102</v>
      </c>
      <c r="C251" s="65" t="s">
        <v>173</v>
      </c>
      <c r="D251" s="90">
        <v>6</v>
      </c>
    </row>
    <row r="252" spans="2:4" ht="13.8">
      <c r="B252" s="62">
        <v>31103</v>
      </c>
      <c r="C252" s="63" t="s">
        <v>175</v>
      </c>
      <c r="D252" s="87">
        <v>1</v>
      </c>
    </row>
    <row r="253" spans="2:4" ht="13.8">
      <c r="B253" s="64">
        <v>31104</v>
      </c>
      <c r="C253" s="65" t="s">
        <v>176</v>
      </c>
      <c r="D253" s="90">
        <v>2</v>
      </c>
    </row>
    <row r="254" spans="2:4" ht="13.8">
      <c r="B254" s="62">
        <v>31105</v>
      </c>
      <c r="C254" s="63" t="s">
        <v>177</v>
      </c>
      <c r="D254" s="87">
        <v>20</v>
      </c>
    </row>
    <row r="255" spans="2:4" ht="13.8">
      <c r="B255" s="64">
        <v>31106</v>
      </c>
      <c r="C255" s="65" t="s">
        <v>390</v>
      </c>
      <c r="D255" s="90">
        <v>0</v>
      </c>
    </row>
    <row r="256" spans="2:4" ht="13.8">
      <c r="B256" s="62">
        <v>31107</v>
      </c>
      <c r="C256" s="63" t="s">
        <v>391</v>
      </c>
      <c r="D256" s="87">
        <v>0</v>
      </c>
    </row>
    <row r="257" spans="2:4" ht="13.8">
      <c r="B257" s="64">
        <v>31108</v>
      </c>
      <c r="C257" s="65" t="s">
        <v>392</v>
      </c>
      <c r="D257" s="90">
        <v>0</v>
      </c>
    </row>
    <row r="258" spans="2:4" ht="13.8">
      <c r="B258" s="62">
        <v>31109</v>
      </c>
      <c r="C258" s="63" t="s">
        <v>178</v>
      </c>
      <c r="D258" s="87">
        <v>0</v>
      </c>
    </row>
    <row r="259" spans="2:4" ht="13.8">
      <c r="B259" s="64">
        <v>31110</v>
      </c>
      <c r="C259" s="65" t="s">
        <v>179</v>
      </c>
      <c r="D259" s="90">
        <v>0</v>
      </c>
    </row>
    <row r="260" spans="2:4" ht="13.8">
      <c r="B260" s="62">
        <v>31111</v>
      </c>
      <c r="C260" s="63" t="s">
        <v>180</v>
      </c>
      <c r="D260" s="87">
        <v>0</v>
      </c>
    </row>
    <row r="261" spans="2:4" ht="13.8">
      <c r="B261" s="64">
        <v>31112</v>
      </c>
      <c r="C261" s="65" t="s">
        <v>393</v>
      </c>
      <c r="D261" s="90">
        <v>67</v>
      </c>
    </row>
    <row r="262" spans="2:4" ht="13.8">
      <c r="B262" s="62">
        <v>31113</v>
      </c>
      <c r="C262" s="63" t="s">
        <v>181</v>
      </c>
      <c r="D262" s="87">
        <v>9</v>
      </c>
    </row>
    <row r="263" spans="2:4" ht="13.8">
      <c r="B263" s="64">
        <v>31114</v>
      </c>
      <c r="C263" s="65" t="s">
        <v>394</v>
      </c>
      <c r="D263" s="90">
        <v>22</v>
      </c>
    </row>
    <row r="264" spans="2:4" ht="13.8">
      <c r="B264" s="66">
        <v>40101</v>
      </c>
      <c r="C264" s="67" t="s">
        <v>187</v>
      </c>
      <c r="D264" s="91">
        <v>1</v>
      </c>
    </row>
    <row r="265" spans="2:4" ht="13.8">
      <c r="B265" s="62">
        <v>40102</v>
      </c>
      <c r="C265" s="63" t="s">
        <v>395</v>
      </c>
      <c r="D265" s="87">
        <v>4</v>
      </c>
    </row>
    <row r="266" spans="2:4" ht="13.8">
      <c r="B266" s="66">
        <v>40103</v>
      </c>
      <c r="C266" s="67" t="s">
        <v>188</v>
      </c>
      <c r="D266" s="91">
        <v>0</v>
      </c>
    </row>
    <row r="267" spans="2:4" ht="13.8">
      <c r="B267" s="62">
        <v>40104</v>
      </c>
      <c r="C267" s="63" t="s">
        <v>189</v>
      </c>
      <c r="D267" s="87">
        <v>3</v>
      </c>
    </row>
    <row r="268" spans="2:4" ht="13.8">
      <c r="B268" s="66">
        <v>40105</v>
      </c>
      <c r="C268" s="67" t="s">
        <v>191</v>
      </c>
      <c r="D268" s="91">
        <v>1</v>
      </c>
    </row>
    <row r="269" spans="2:4" ht="13.8">
      <c r="B269" s="62">
        <v>40106</v>
      </c>
      <c r="C269" s="63" t="s">
        <v>194</v>
      </c>
      <c r="D269" s="87">
        <v>17</v>
      </c>
    </row>
    <row r="270" spans="2:4" ht="13.8">
      <c r="B270" s="66">
        <v>40107</v>
      </c>
      <c r="C270" s="67" t="s">
        <v>196</v>
      </c>
      <c r="D270" s="91">
        <v>6</v>
      </c>
    </row>
    <row r="271" spans="2:4" ht="13.8">
      <c r="B271" s="62">
        <v>40108</v>
      </c>
      <c r="C271" s="63" t="s">
        <v>197</v>
      </c>
      <c r="D271" s="87">
        <v>0</v>
      </c>
    </row>
    <row r="272" spans="2:4" ht="13.8">
      <c r="B272" s="66">
        <v>40109</v>
      </c>
      <c r="C272" s="67" t="s">
        <v>77</v>
      </c>
      <c r="D272" s="91">
        <v>0</v>
      </c>
    </row>
    <row r="273" spans="2:4" ht="13.8">
      <c r="B273" s="62">
        <v>40110</v>
      </c>
      <c r="C273" s="63" t="s">
        <v>190</v>
      </c>
      <c r="D273" s="87">
        <v>4</v>
      </c>
    </row>
    <row r="274" spans="2:4" ht="13.8">
      <c r="B274" s="72">
        <v>50101</v>
      </c>
      <c r="C274" s="73" t="s">
        <v>396</v>
      </c>
      <c r="D274" s="92">
        <v>0</v>
      </c>
    </row>
    <row r="275" spans="2:4" ht="13.8">
      <c r="B275" s="62">
        <v>50102</v>
      </c>
      <c r="C275" s="63" t="s">
        <v>397</v>
      </c>
      <c r="D275" s="87">
        <v>4</v>
      </c>
    </row>
    <row r="276" spans="2:4" ht="13.8">
      <c r="B276" s="72">
        <v>50103</v>
      </c>
      <c r="C276" s="73" t="s">
        <v>398</v>
      </c>
      <c r="D276" s="92">
        <v>6</v>
      </c>
    </row>
    <row r="277" spans="2:4" ht="13.8">
      <c r="B277" s="62">
        <v>50104</v>
      </c>
      <c r="C277" s="63" t="s">
        <v>108</v>
      </c>
      <c r="D277" s="87">
        <v>3</v>
      </c>
    </row>
    <row r="278" spans="2:4" ht="13.8">
      <c r="B278" s="72">
        <v>50105</v>
      </c>
      <c r="C278" s="73" t="s">
        <v>182</v>
      </c>
      <c r="D278" s="92">
        <v>64</v>
      </c>
    </row>
    <row r="279" spans="2:4" ht="13.8">
      <c r="B279" s="62">
        <v>50106</v>
      </c>
      <c r="C279" s="63" t="s">
        <v>170</v>
      </c>
      <c r="D279" s="87">
        <v>0</v>
      </c>
    </row>
    <row r="280" spans="2:4" ht="13.8">
      <c r="B280" s="72">
        <v>50107</v>
      </c>
      <c r="C280" s="73" t="s">
        <v>399</v>
      </c>
      <c r="D280" s="92">
        <v>17</v>
      </c>
    </row>
    <row r="281" spans="2:4" ht="13.8">
      <c r="B281" s="62">
        <v>50108</v>
      </c>
      <c r="C281" s="63" t="s">
        <v>400</v>
      </c>
      <c r="D281" s="87">
        <v>20</v>
      </c>
    </row>
    <row r="282" spans="2:4" ht="13.8">
      <c r="B282" s="72">
        <v>50201</v>
      </c>
      <c r="C282" s="73" t="s">
        <v>401</v>
      </c>
      <c r="D282" s="92">
        <v>1</v>
      </c>
    </row>
    <row r="283" spans="2:4" ht="13.8">
      <c r="B283" s="62">
        <v>50202</v>
      </c>
      <c r="C283" s="63" t="s">
        <v>402</v>
      </c>
      <c r="D283" s="87">
        <v>0</v>
      </c>
    </row>
    <row r="284" spans="2:4" ht="13.8">
      <c r="B284" s="72">
        <v>50203</v>
      </c>
      <c r="C284" s="73" t="s">
        <v>403</v>
      </c>
      <c r="D284" s="92">
        <v>20</v>
      </c>
    </row>
    <row r="285" spans="2:4" ht="13.8">
      <c r="B285" s="62">
        <v>50301</v>
      </c>
      <c r="C285" s="63" t="s">
        <v>404</v>
      </c>
      <c r="D285" s="87">
        <v>153</v>
      </c>
    </row>
    <row r="286" spans="2:4" ht="13.8">
      <c r="B286" s="72">
        <v>50302</v>
      </c>
      <c r="C286" s="73" t="s">
        <v>405</v>
      </c>
      <c r="D286" s="92">
        <v>0</v>
      </c>
    </row>
    <row r="287" spans="2:4" ht="13.8">
      <c r="B287" s="62">
        <v>50303</v>
      </c>
      <c r="C287" s="63" t="s">
        <v>185</v>
      </c>
      <c r="D287" s="87">
        <v>9</v>
      </c>
    </row>
    <row r="288" spans="2:4" ht="13.8">
      <c r="B288" s="72">
        <v>50304</v>
      </c>
      <c r="C288" s="73" t="s">
        <v>186</v>
      </c>
      <c r="D288" s="92">
        <v>0</v>
      </c>
    </row>
    <row r="289" spans="2:4" ht="13.8">
      <c r="B289" s="62">
        <v>50305</v>
      </c>
      <c r="C289" s="63" t="s">
        <v>406</v>
      </c>
      <c r="D289" s="87">
        <v>3</v>
      </c>
    </row>
    <row r="290" spans="2:4" ht="13.8">
      <c r="B290" s="72">
        <v>50306</v>
      </c>
      <c r="C290" s="73" t="s">
        <v>407</v>
      </c>
      <c r="D290" s="92">
        <v>3</v>
      </c>
    </row>
    <row r="291" spans="2:4" ht="13.8">
      <c r="B291" s="74">
        <v>60101</v>
      </c>
      <c r="C291" s="75" t="s">
        <v>408</v>
      </c>
      <c r="D291" s="93">
        <v>0</v>
      </c>
    </row>
    <row r="292" spans="2:4" ht="13.8">
      <c r="B292" s="62">
        <v>60102</v>
      </c>
      <c r="C292" s="63" t="s">
        <v>193</v>
      </c>
      <c r="D292" s="87">
        <v>0</v>
      </c>
    </row>
    <row r="293" spans="2:4" ht="13.8">
      <c r="B293" s="74">
        <v>60103</v>
      </c>
      <c r="C293" s="75" t="s">
        <v>409</v>
      </c>
      <c r="D293" s="93">
        <v>0</v>
      </c>
    </row>
    <row r="294" spans="2:4" ht="13.8">
      <c r="B294" s="76">
        <v>70101</v>
      </c>
      <c r="C294" s="77" t="s">
        <v>410</v>
      </c>
      <c r="D294" s="94">
        <v>912</v>
      </c>
    </row>
    <row r="295" spans="2:4" ht="13.8">
      <c r="B295" s="62">
        <v>70102</v>
      </c>
      <c r="C295" s="63" t="s">
        <v>198</v>
      </c>
      <c r="D295" s="95">
        <v>130</v>
      </c>
    </row>
    <row r="296" spans="2:4" ht="13.8">
      <c r="B296" s="76">
        <v>70103</v>
      </c>
      <c r="C296" s="77" t="s">
        <v>199</v>
      </c>
      <c r="D296" s="96">
        <v>4350</v>
      </c>
    </row>
    <row r="297" spans="2:4" ht="13.8">
      <c r="B297" s="62">
        <v>70104</v>
      </c>
      <c r="C297" s="63" t="s">
        <v>411</v>
      </c>
      <c r="D297" s="95">
        <v>14662</v>
      </c>
    </row>
    <row r="298" spans="2:4" ht="13.8">
      <c r="B298" s="76">
        <v>70105</v>
      </c>
      <c r="C298" s="77" t="s">
        <v>200</v>
      </c>
      <c r="D298" s="96">
        <v>133</v>
      </c>
    </row>
    <row r="299" spans="2:4" ht="13.8">
      <c r="B299" s="62">
        <v>70106</v>
      </c>
      <c r="C299" s="63" t="s">
        <v>412</v>
      </c>
      <c r="D299" s="95">
        <v>103</v>
      </c>
    </row>
    <row r="300" spans="2:4" ht="13.8">
      <c r="B300" s="76">
        <v>70107</v>
      </c>
      <c r="C300" s="77" t="s">
        <v>413</v>
      </c>
      <c r="D300" s="96">
        <v>2649</v>
      </c>
    </row>
    <row r="301" spans="2:4" ht="14.4" thickBot="1">
      <c r="B301" s="78">
        <v>70108</v>
      </c>
      <c r="C301" s="79" t="s">
        <v>414</v>
      </c>
      <c r="D301" s="95">
        <v>968</v>
      </c>
    </row>
    <row r="302" spans="2:4" ht="20.100000000000001" customHeight="1" thickBot="1">
      <c r="B302" s="80" t="s">
        <v>1</v>
      </c>
      <c r="C302" s="81"/>
      <c r="D302" s="82">
        <f>SUM(D20:D301)</f>
        <v>26699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44140625" style="17" customWidth="1"/>
    <col min="4" max="4" width="45.44140625" style="25" customWidth="1"/>
    <col min="5" max="5" width="5.33203125" style="17" customWidth="1"/>
    <col min="6" max="7" width="14.886718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242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3.8">
      <c r="B17" s="107" t="s">
        <v>243</v>
      </c>
      <c r="C17" s="108"/>
      <c r="D17" s="50" t="s">
        <v>4</v>
      </c>
    </row>
    <row r="18" spans="2:7" ht="13.8">
      <c r="B18" s="98" t="s">
        <v>244</v>
      </c>
      <c r="C18" s="99"/>
      <c r="D18" s="50" t="s">
        <v>425</v>
      </c>
    </row>
    <row r="19" spans="2:7" ht="13.8">
      <c r="B19" s="51" t="s">
        <v>73</v>
      </c>
      <c r="C19" s="52" t="s">
        <v>72</v>
      </c>
      <c r="D19" s="53" t="s">
        <v>71</v>
      </c>
      <c r="G19" s="29"/>
    </row>
    <row r="20" spans="2:7" ht="13.8">
      <c r="B20" s="68">
        <v>10101</v>
      </c>
      <c r="C20" s="69" t="s">
        <v>262</v>
      </c>
      <c r="D20" s="88">
        <v>0</v>
      </c>
    </row>
    <row r="21" spans="2:7" ht="13.8">
      <c r="B21" s="58">
        <v>10102</v>
      </c>
      <c r="C21" s="59" t="s">
        <v>263</v>
      </c>
      <c r="D21" s="87">
        <v>0</v>
      </c>
    </row>
    <row r="22" spans="2:7" ht="13.8">
      <c r="B22" s="68">
        <v>10103</v>
      </c>
      <c r="C22" s="69" t="s">
        <v>264</v>
      </c>
      <c r="D22" s="88">
        <v>15</v>
      </c>
    </row>
    <row r="23" spans="2:7" ht="13.8">
      <c r="B23" s="58">
        <v>10104</v>
      </c>
      <c r="C23" s="59" t="s">
        <v>265</v>
      </c>
      <c r="D23" s="87">
        <v>6</v>
      </c>
    </row>
    <row r="24" spans="2:7" ht="13.8">
      <c r="B24" s="68">
        <v>10105</v>
      </c>
      <c r="C24" s="69" t="s">
        <v>266</v>
      </c>
      <c r="D24" s="88">
        <v>0</v>
      </c>
    </row>
    <row r="25" spans="2:7" ht="13.8">
      <c r="B25" s="58">
        <v>10106</v>
      </c>
      <c r="C25" s="59" t="s">
        <v>267</v>
      </c>
      <c r="D25" s="87">
        <v>0</v>
      </c>
    </row>
    <row r="26" spans="2:7" ht="13.8">
      <c r="B26" s="68">
        <v>10107</v>
      </c>
      <c r="C26" s="69" t="s">
        <v>268</v>
      </c>
      <c r="D26" s="88">
        <v>4</v>
      </c>
    </row>
    <row r="27" spans="2:7" ht="13.8">
      <c r="B27" s="58">
        <v>10108</v>
      </c>
      <c r="C27" s="59" t="s">
        <v>269</v>
      </c>
      <c r="D27" s="87">
        <v>0</v>
      </c>
    </row>
    <row r="28" spans="2:7" ht="13.8">
      <c r="B28" s="68">
        <v>10109</v>
      </c>
      <c r="C28" s="69" t="s">
        <v>270</v>
      </c>
      <c r="D28" s="88">
        <v>0</v>
      </c>
    </row>
    <row r="29" spans="2:7" ht="13.8">
      <c r="B29" s="58">
        <v>10110</v>
      </c>
      <c r="C29" s="59" t="s">
        <v>271</v>
      </c>
      <c r="D29" s="87">
        <v>0</v>
      </c>
    </row>
    <row r="30" spans="2:7" ht="13.8">
      <c r="B30" s="68">
        <v>10111</v>
      </c>
      <c r="C30" s="69" t="s">
        <v>272</v>
      </c>
      <c r="D30" s="88">
        <v>0</v>
      </c>
    </row>
    <row r="31" spans="2:7" ht="13.8">
      <c r="B31" s="58">
        <v>10112</v>
      </c>
      <c r="C31" s="59" t="s">
        <v>273</v>
      </c>
      <c r="D31" s="87">
        <v>0</v>
      </c>
    </row>
    <row r="32" spans="2:7" ht="13.8">
      <c r="B32" s="68">
        <v>10113</v>
      </c>
      <c r="C32" s="69" t="s">
        <v>274</v>
      </c>
      <c r="D32" s="88">
        <v>0</v>
      </c>
    </row>
    <row r="33" spans="2:4" ht="13.8">
      <c r="B33" s="58">
        <v>10114</v>
      </c>
      <c r="C33" s="59" t="s">
        <v>275</v>
      </c>
      <c r="D33" s="87">
        <v>0</v>
      </c>
    </row>
    <row r="34" spans="2:4" ht="13.8">
      <c r="B34" s="68">
        <v>10115</v>
      </c>
      <c r="C34" s="69" t="s">
        <v>276</v>
      </c>
      <c r="D34" s="88">
        <v>0</v>
      </c>
    </row>
    <row r="35" spans="2:4" ht="13.8">
      <c r="B35" s="58">
        <v>10116</v>
      </c>
      <c r="C35" s="59" t="s">
        <v>277</v>
      </c>
      <c r="D35" s="87">
        <v>0</v>
      </c>
    </row>
    <row r="36" spans="2:4" ht="13.8">
      <c r="B36" s="68">
        <v>10117</v>
      </c>
      <c r="C36" s="69" t="s">
        <v>278</v>
      </c>
      <c r="D36" s="88">
        <v>0</v>
      </c>
    </row>
    <row r="37" spans="2:4" ht="13.8">
      <c r="B37" s="58">
        <v>10118</v>
      </c>
      <c r="C37" s="59" t="s">
        <v>279</v>
      </c>
      <c r="D37" s="87">
        <v>0</v>
      </c>
    </row>
    <row r="38" spans="2:4" ht="13.8">
      <c r="B38" s="68">
        <v>10119</v>
      </c>
      <c r="C38" s="69" t="s">
        <v>280</v>
      </c>
      <c r="D38" s="88">
        <v>0</v>
      </c>
    </row>
    <row r="39" spans="2:4" ht="13.8">
      <c r="B39" s="58">
        <v>10120</v>
      </c>
      <c r="C39" s="59" t="s">
        <v>281</v>
      </c>
      <c r="D39" s="87">
        <v>0</v>
      </c>
    </row>
    <row r="40" spans="2:4" ht="13.8">
      <c r="B40" s="68">
        <v>10121</v>
      </c>
      <c r="C40" s="69" t="s">
        <v>282</v>
      </c>
      <c r="D40" s="88">
        <v>2</v>
      </c>
    </row>
    <row r="41" spans="2:4" ht="13.8">
      <c r="B41" s="58">
        <v>10201</v>
      </c>
      <c r="C41" s="59" t="s">
        <v>283</v>
      </c>
      <c r="D41" s="87">
        <v>1</v>
      </c>
    </row>
    <row r="42" spans="2:4" ht="13.8">
      <c r="B42" s="68">
        <v>10202</v>
      </c>
      <c r="C42" s="69" t="s">
        <v>284</v>
      </c>
      <c r="D42" s="88">
        <v>0</v>
      </c>
    </row>
    <row r="43" spans="2:4" ht="13.8">
      <c r="B43" s="58">
        <v>10203</v>
      </c>
      <c r="C43" s="59" t="s">
        <v>285</v>
      </c>
      <c r="D43" s="87">
        <v>0</v>
      </c>
    </row>
    <row r="44" spans="2:4" ht="13.8">
      <c r="B44" s="68">
        <v>10204</v>
      </c>
      <c r="C44" s="69" t="s">
        <v>286</v>
      </c>
      <c r="D44" s="88">
        <v>12</v>
      </c>
    </row>
    <row r="45" spans="2:4" ht="13.8">
      <c r="B45" s="58">
        <v>10205</v>
      </c>
      <c r="C45" s="59" t="s">
        <v>287</v>
      </c>
      <c r="D45" s="87">
        <v>0</v>
      </c>
    </row>
    <row r="46" spans="2:4" ht="13.8">
      <c r="B46" s="68">
        <v>10206</v>
      </c>
      <c r="C46" s="69" t="s">
        <v>288</v>
      </c>
      <c r="D46" s="88">
        <v>0</v>
      </c>
    </row>
    <row r="47" spans="2:4" ht="13.8">
      <c r="B47" s="58">
        <v>10207</v>
      </c>
      <c r="C47" s="59" t="s">
        <v>289</v>
      </c>
      <c r="D47" s="87">
        <v>1</v>
      </c>
    </row>
    <row r="48" spans="2:4" ht="13.8">
      <c r="B48" s="68">
        <v>10208</v>
      </c>
      <c r="C48" s="69" t="s">
        <v>290</v>
      </c>
      <c r="D48" s="88">
        <v>0</v>
      </c>
    </row>
    <row r="49" spans="2:4" ht="13.8">
      <c r="B49" s="58">
        <v>10209</v>
      </c>
      <c r="C49" s="59" t="s">
        <v>291</v>
      </c>
      <c r="D49" s="87">
        <v>0</v>
      </c>
    </row>
    <row r="50" spans="2:4" ht="13.8">
      <c r="B50" s="68">
        <v>10210</v>
      </c>
      <c r="C50" s="69" t="s">
        <v>292</v>
      </c>
      <c r="D50" s="88">
        <v>2</v>
      </c>
    </row>
    <row r="51" spans="2:4" ht="13.8">
      <c r="B51" s="58">
        <v>10211</v>
      </c>
      <c r="C51" s="59" t="s">
        <v>76</v>
      </c>
      <c r="D51" s="87">
        <v>0</v>
      </c>
    </row>
    <row r="52" spans="2:4" ht="13.8">
      <c r="B52" s="68">
        <v>10212</v>
      </c>
      <c r="C52" s="69" t="s">
        <v>293</v>
      </c>
      <c r="D52" s="88">
        <v>0</v>
      </c>
    </row>
    <row r="53" spans="2:4" ht="13.8">
      <c r="B53" s="58">
        <v>10213</v>
      </c>
      <c r="C53" s="59" t="s">
        <v>294</v>
      </c>
      <c r="D53" s="87">
        <v>0</v>
      </c>
    </row>
    <row r="54" spans="2:4" ht="13.8">
      <c r="B54" s="68">
        <v>10214</v>
      </c>
      <c r="C54" s="69" t="s">
        <v>295</v>
      </c>
      <c r="D54" s="88">
        <v>0</v>
      </c>
    </row>
    <row r="55" spans="2:4" ht="13.8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3.8">
      <c r="B57" s="58">
        <v>10217</v>
      </c>
      <c r="C57" s="59" t="s">
        <v>298</v>
      </c>
      <c r="D57" s="87">
        <v>0</v>
      </c>
    </row>
    <row r="58" spans="2:4" ht="13.8">
      <c r="B58" s="68">
        <v>10218</v>
      </c>
      <c r="C58" s="69" t="s">
        <v>299</v>
      </c>
      <c r="D58" s="88">
        <v>0</v>
      </c>
    </row>
    <row r="59" spans="2:4" ht="13.8">
      <c r="B59" s="58">
        <v>10219</v>
      </c>
      <c r="C59" s="59" t="s">
        <v>300</v>
      </c>
      <c r="D59" s="87">
        <v>0</v>
      </c>
    </row>
    <row r="60" spans="2:4" ht="13.8">
      <c r="B60" s="68">
        <v>10220</v>
      </c>
      <c r="C60" s="69" t="s">
        <v>301</v>
      </c>
      <c r="D60" s="88">
        <v>0</v>
      </c>
    </row>
    <row r="61" spans="2:4" ht="13.8">
      <c r="B61" s="58">
        <v>10301</v>
      </c>
      <c r="C61" s="59" t="s">
        <v>302</v>
      </c>
      <c r="D61" s="87">
        <v>0</v>
      </c>
    </row>
    <row r="62" spans="2:4" ht="13.8">
      <c r="B62" s="68">
        <v>10302</v>
      </c>
      <c r="C62" s="69" t="s">
        <v>303</v>
      </c>
      <c r="D62" s="88">
        <v>0</v>
      </c>
    </row>
    <row r="63" spans="2:4" ht="13.8">
      <c r="B63" s="58">
        <v>10303</v>
      </c>
      <c r="C63" s="59" t="s">
        <v>304</v>
      </c>
      <c r="D63" s="87">
        <v>1</v>
      </c>
    </row>
    <row r="64" spans="2:4" ht="13.8">
      <c r="B64" s="68">
        <v>10304</v>
      </c>
      <c r="C64" s="69" t="s">
        <v>305</v>
      </c>
      <c r="D64" s="88">
        <v>0</v>
      </c>
    </row>
    <row r="65" spans="2:4" ht="13.8">
      <c r="B65" s="58">
        <v>10305</v>
      </c>
      <c r="C65" s="59" t="s">
        <v>306</v>
      </c>
      <c r="D65" s="87">
        <v>2</v>
      </c>
    </row>
    <row r="66" spans="2:4" ht="13.8">
      <c r="B66" s="68">
        <v>10306</v>
      </c>
      <c r="C66" s="69" t="s">
        <v>307</v>
      </c>
      <c r="D66" s="88">
        <v>0</v>
      </c>
    </row>
    <row r="67" spans="2:4" ht="13.8">
      <c r="B67" s="58">
        <v>10307</v>
      </c>
      <c r="C67" s="59" t="s">
        <v>74</v>
      </c>
      <c r="D67" s="87">
        <v>4</v>
      </c>
    </row>
    <row r="68" spans="2:4" ht="13.8">
      <c r="B68" s="68">
        <v>10308</v>
      </c>
      <c r="C68" s="69" t="s">
        <v>308</v>
      </c>
      <c r="D68" s="88">
        <v>11</v>
      </c>
    </row>
    <row r="69" spans="2:4" ht="13.8">
      <c r="B69" s="58">
        <v>10309</v>
      </c>
      <c r="C69" s="59" t="s">
        <v>309</v>
      </c>
      <c r="D69" s="87">
        <v>0</v>
      </c>
    </row>
    <row r="70" spans="2:4" ht="13.8">
      <c r="B70" s="68">
        <v>10310</v>
      </c>
      <c r="C70" s="69" t="s">
        <v>310</v>
      </c>
      <c r="D70" s="88">
        <v>12</v>
      </c>
    </row>
    <row r="71" spans="2:4" ht="13.8">
      <c r="B71" s="58">
        <v>10311</v>
      </c>
      <c r="C71" s="59" t="s">
        <v>311</v>
      </c>
      <c r="D71" s="87">
        <v>3</v>
      </c>
    </row>
    <row r="72" spans="2:4" ht="13.8">
      <c r="B72" s="68">
        <v>10312</v>
      </c>
      <c r="C72" s="69" t="s">
        <v>312</v>
      </c>
      <c r="D72" s="88">
        <v>6</v>
      </c>
    </row>
    <row r="73" spans="2:4" ht="13.8">
      <c r="B73" s="58">
        <v>10313</v>
      </c>
      <c r="C73" s="59" t="s">
        <v>313</v>
      </c>
      <c r="D73" s="87">
        <v>0</v>
      </c>
    </row>
    <row r="74" spans="2:4" ht="13.8">
      <c r="B74" s="68">
        <v>10314</v>
      </c>
      <c r="C74" s="69" t="s">
        <v>314</v>
      </c>
      <c r="D74" s="88">
        <v>0</v>
      </c>
    </row>
    <row r="75" spans="2:4" ht="13.8">
      <c r="B75" s="58">
        <v>10315</v>
      </c>
      <c r="C75" s="59" t="s">
        <v>315</v>
      </c>
      <c r="D75" s="87">
        <v>0</v>
      </c>
    </row>
    <row r="76" spans="2:4" ht="13.8">
      <c r="B76" s="68">
        <v>10316</v>
      </c>
      <c r="C76" s="69" t="s">
        <v>316</v>
      </c>
      <c r="D76" s="88">
        <v>3</v>
      </c>
    </row>
    <row r="77" spans="2:4" ht="13.8">
      <c r="B77" s="58">
        <v>10317</v>
      </c>
      <c r="C77" s="59" t="s">
        <v>317</v>
      </c>
      <c r="D77" s="87">
        <v>1</v>
      </c>
    </row>
    <row r="78" spans="2:4" ht="13.8">
      <c r="B78" s="68">
        <v>10318</v>
      </c>
      <c r="C78" s="69" t="s">
        <v>318</v>
      </c>
      <c r="D78" s="88">
        <v>2</v>
      </c>
    </row>
    <row r="79" spans="2:4" ht="13.8">
      <c r="B79" s="58">
        <v>10319</v>
      </c>
      <c r="C79" s="59" t="s">
        <v>80</v>
      </c>
      <c r="D79" s="87">
        <v>0</v>
      </c>
    </row>
    <row r="80" spans="2:4" ht="13.8">
      <c r="B80" s="70">
        <v>20101</v>
      </c>
      <c r="C80" s="71" t="s">
        <v>319</v>
      </c>
      <c r="D80" s="89">
        <v>0</v>
      </c>
    </row>
    <row r="81" spans="2:4" ht="13.8">
      <c r="B81" s="60">
        <v>20102</v>
      </c>
      <c r="C81" s="61" t="s">
        <v>261</v>
      </c>
      <c r="D81" s="87">
        <v>0</v>
      </c>
    </row>
    <row r="82" spans="2:4" ht="13.8">
      <c r="B82" s="70">
        <v>20103</v>
      </c>
      <c r="C82" s="71" t="s">
        <v>78</v>
      </c>
      <c r="D82" s="89">
        <v>4</v>
      </c>
    </row>
    <row r="83" spans="2:4" ht="13.8">
      <c r="B83" s="60">
        <v>20104</v>
      </c>
      <c r="C83" s="61" t="s">
        <v>79</v>
      </c>
      <c r="D83" s="87">
        <v>0</v>
      </c>
    </row>
    <row r="84" spans="2:4" ht="13.8">
      <c r="B84" s="70">
        <v>20105</v>
      </c>
      <c r="C84" s="71" t="s">
        <v>320</v>
      </c>
      <c r="D84" s="89">
        <v>0</v>
      </c>
    </row>
    <row r="85" spans="2:4" ht="13.8">
      <c r="B85" s="60">
        <v>20106</v>
      </c>
      <c r="C85" s="61" t="s">
        <v>321</v>
      </c>
      <c r="D85" s="87">
        <v>0</v>
      </c>
    </row>
    <row r="86" spans="2:4" ht="13.8">
      <c r="B86" s="70">
        <v>20107</v>
      </c>
      <c r="C86" s="71" t="s">
        <v>81</v>
      </c>
      <c r="D86" s="89">
        <v>0</v>
      </c>
    </row>
    <row r="87" spans="2:4" ht="13.8">
      <c r="B87" s="60">
        <v>20108</v>
      </c>
      <c r="C87" s="61" t="s">
        <v>322</v>
      </c>
      <c r="D87" s="87">
        <v>0</v>
      </c>
    </row>
    <row r="88" spans="2:4" ht="13.8">
      <c r="B88" s="70">
        <v>20109</v>
      </c>
      <c r="C88" s="71" t="s">
        <v>323</v>
      </c>
      <c r="D88" s="89">
        <v>0</v>
      </c>
    </row>
    <row r="89" spans="2:4" ht="13.8">
      <c r="B89" s="60">
        <v>20110</v>
      </c>
      <c r="C89" s="61" t="s">
        <v>324</v>
      </c>
      <c r="D89" s="87">
        <v>0</v>
      </c>
    </row>
    <row r="90" spans="2:4" ht="13.8">
      <c r="B90" s="70">
        <v>20111</v>
      </c>
      <c r="C90" s="71" t="s">
        <v>325</v>
      </c>
      <c r="D90" s="89">
        <v>0</v>
      </c>
    </row>
    <row r="91" spans="2:4" ht="13.8">
      <c r="B91" s="60">
        <v>20112</v>
      </c>
      <c r="C91" s="61" t="s">
        <v>326</v>
      </c>
      <c r="D91" s="87">
        <v>0</v>
      </c>
    </row>
    <row r="92" spans="2:4" ht="13.8">
      <c r="B92" s="70">
        <v>20113</v>
      </c>
      <c r="C92" s="71" t="s">
        <v>195</v>
      </c>
      <c r="D92" s="89">
        <v>0</v>
      </c>
    </row>
    <row r="93" spans="2:4" ht="13.8">
      <c r="B93" s="60">
        <v>20114</v>
      </c>
      <c r="C93" s="61" t="s">
        <v>82</v>
      </c>
      <c r="D93" s="87">
        <v>0</v>
      </c>
    </row>
    <row r="94" spans="2:4" ht="13.8">
      <c r="B94" s="70">
        <v>20201</v>
      </c>
      <c r="C94" s="71" t="s">
        <v>83</v>
      </c>
      <c r="D94" s="89">
        <v>0</v>
      </c>
    </row>
    <row r="95" spans="2:4" ht="13.8">
      <c r="B95" s="60">
        <v>20202</v>
      </c>
      <c r="C95" s="61" t="s">
        <v>84</v>
      </c>
      <c r="D95" s="87">
        <v>0</v>
      </c>
    </row>
    <row r="96" spans="2:4" ht="13.8">
      <c r="B96" s="70">
        <v>20203</v>
      </c>
      <c r="C96" s="71" t="s">
        <v>85</v>
      </c>
      <c r="D96" s="89">
        <v>4</v>
      </c>
    </row>
    <row r="97" spans="2:4" ht="13.8">
      <c r="B97" s="60">
        <v>20204</v>
      </c>
      <c r="C97" s="61" t="s">
        <v>86</v>
      </c>
      <c r="D97" s="87">
        <v>0</v>
      </c>
    </row>
    <row r="98" spans="2:4" ht="13.8">
      <c r="B98" s="70">
        <v>20205</v>
      </c>
      <c r="C98" s="71" t="s">
        <v>87</v>
      </c>
      <c r="D98" s="89">
        <v>0</v>
      </c>
    </row>
    <row r="99" spans="2:4" ht="13.8">
      <c r="B99" s="60">
        <v>20206</v>
      </c>
      <c r="C99" s="61" t="s">
        <v>88</v>
      </c>
      <c r="D99" s="87">
        <v>0</v>
      </c>
    </row>
    <row r="100" spans="2:4" ht="13.8">
      <c r="B100" s="70">
        <v>20207</v>
      </c>
      <c r="C100" s="71" t="s">
        <v>89</v>
      </c>
      <c r="D100" s="89">
        <v>0</v>
      </c>
    </row>
    <row r="101" spans="2:4" ht="13.8">
      <c r="B101" s="60">
        <v>20208</v>
      </c>
      <c r="C101" s="61" t="s">
        <v>90</v>
      </c>
      <c r="D101" s="87">
        <v>0</v>
      </c>
    </row>
    <row r="102" spans="2:4" ht="13.8">
      <c r="B102" s="70">
        <v>20209</v>
      </c>
      <c r="C102" s="71" t="s">
        <v>91</v>
      </c>
      <c r="D102" s="89">
        <v>0</v>
      </c>
    </row>
    <row r="103" spans="2:4" ht="13.8">
      <c r="B103" s="60">
        <v>20210</v>
      </c>
      <c r="C103" s="61" t="s">
        <v>192</v>
      </c>
      <c r="D103" s="87">
        <v>1</v>
      </c>
    </row>
    <row r="104" spans="2:4" ht="13.8">
      <c r="B104" s="70">
        <v>20211</v>
      </c>
      <c r="C104" s="71" t="s">
        <v>327</v>
      </c>
      <c r="D104" s="89">
        <v>0</v>
      </c>
    </row>
    <row r="105" spans="2:4" ht="13.8">
      <c r="B105" s="60">
        <v>20212</v>
      </c>
      <c r="C105" s="61" t="s">
        <v>93</v>
      </c>
      <c r="D105" s="87">
        <v>0</v>
      </c>
    </row>
    <row r="106" spans="2:4" ht="13.8">
      <c r="B106" s="70">
        <v>20213</v>
      </c>
      <c r="C106" s="71" t="s">
        <v>94</v>
      </c>
      <c r="D106" s="89">
        <v>0</v>
      </c>
    </row>
    <row r="107" spans="2:4" ht="13.8">
      <c r="B107" s="60">
        <v>20214</v>
      </c>
      <c r="C107" s="61" t="s">
        <v>328</v>
      </c>
      <c r="D107" s="87">
        <v>0</v>
      </c>
    </row>
    <row r="108" spans="2:4" ht="13.8">
      <c r="B108" s="70">
        <v>20301</v>
      </c>
      <c r="C108" s="71" t="s">
        <v>329</v>
      </c>
      <c r="D108" s="89">
        <v>1</v>
      </c>
    </row>
    <row r="109" spans="2:4" ht="13.8">
      <c r="B109" s="60">
        <v>20302</v>
      </c>
      <c r="C109" s="61" t="s">
        <v>330</v>
      </c>
      <c r="D109" s="87">
        <v>0</v>
      </c>
    </row>
    <row r="110" spans="2:4" ht="13.8">
      <c r="B110" s="70">
        <v>20303</v>
      </c>
      <c r="C110" s="71" t="s">
        <v>331</v>
      </c>
      <c r="D110" s="89">
        <v>0</v>
      </c>
    </row>
    <row r="111" spans="2:4" ht="13.8">
      <c r="B111" s="60">
        <v>20304</v>
      </c>
      <c r="C111" s="61" t="s">
        <v>332</v>
      </c>
      <c r="D111" s="87">
        <v>0</v>
      </c>
    </row>
    <row r="112" spans="2:4" ht="13.8">
      <c r="B112" s="70">
        <v>20305</v>
      </c>
      <c r="C112" s="71" t="s">
        <v>333</v>
      </c>
      <c r="D112" s="89">
        <v>0</v>
      </c>
    </row>
    <row r="113" spans="2:4" ht="13.8">
      <c r="B113" s="60">
        <v>20306</v>
      </c>
      <c r="C113" s="61" t="s">
        <v>334</v>
      </c>
      <c r="D113" s="87">
        <v>0</v>
      </c>
    </row>
    <row r="114" spans="2:4" ht="13.8">
      <c r="B114" s="70">
        <v>20307</v>
      </c>
      <c r="C114" s="71" t="s">
        <v>335</v>
      </c>
      <c r="D114" s="89">
        <v>5</v>
      </c>
    </row>
    <row r="115" spans="2:4" ht="13.8">
      <c r="B115" s="60">
        <v>20308</v>
      </c>
      <c r="C115" s="61" t="s">
        <v>336</v>
      </c>
      <c r="D115" s="87">
        <v>16</v>
      </c>
    </row>
    <row r="116" spans="2:4" ht="13.8">
      <c r="B116" s="70">
        <v>20309</v>
      </c>
      <c r="C116" s="71" t="s">
        <v>337</v>
      </c>
      <c r="D116" s="89">
        <v>0</v>
      </c>
    </row>
    <row r="117" spans="2:4" ht="13.8">
      <c r="B117" s="60">
        <v>20310</v>
      </c>
      <c r="C117" s="61" t="s">
        <v>338</v>
      </c>
      <c r="D117" s="87">
        <v>0</v>
      </c>
    </row>
    <row r="118" spans="2:4" ht="13.8">
      <c r="B118" s="70">
        <v>20311</v>
      </c>
      <c r="C118" s="71" t="s">
        <v>339</v>
      </c>
      <c r="D118" s="89">
        <v>8</v>
      </c>
    </row>
    <row r="119" spans="2:4" ht="13.8">
      <c r="B119" s="60">
        <v>20401</v>
      </c>
      <c r="C119" s="61" t="s">
        <v>340</v>
      </c>
      <c r="D119" s="87">
        <v>0</v>
      </c>
    </row>
    <row r="120" spans="2:4" ht="13.8">
      <c r="B120" s="70">
        <v>20402</v>
      </c>
      <c r="C120" s="71" t="s">
        <v>341</v>
      </c>
      <c r="D120" s="89">
        <v>0</v>
      </c>
    </row>
    <row r="121" spans="2:4" ht="13.8">
      <c r="B121" s="60">
        <v>20403</v>
      </c>
      <c r="C121" s="61" t="s">
        <v>342</v>
      </c>
      <c r="D121" s="87">
        <v>1</v>
      </c>
    </row>
    <row r="122" spans="2:4" ht="13.8">
      <c r="B122" s="70">
        <v>20404</v>
      </c>
      <c r="C122" s="71" t="s">
        <v>343</v>
      </c>
      <c r="D122" s="89">
        <v>0</v>
      </c>
    </row>
    <row r="123" spans="2:4" ht="13.8">
      <c r="B123" s="64">
        <v>30101</v>
      </c>
      <c r="C123" s="65" t="s">
        <v>344</v>
      </c>
      <c r="D123" s="90">
        <v>1</v>
      </c>
    </row>
    <row r="124" spans="2:4" ht="13.8">
      <c r="B124" s="62">
        <v>30102</v>
      </c>
      <c r="C124" s="63" t="s">
        <v>95</v>
      </c>
      <c r="D124" s="87">
        <v>0</v>
      </c>
    </row>
    <row r="125" spans="2:4" ht="13.8">
      <c r="B125" s="64">
        <v>30103</v>
      </c>
      <c r="C125" s="65" t="s">
        <v>75</v>
      </c>
      <c r="D125" s="90">
        <v>3</v>
      </c>
    </row>
    <row r="126" spans="2:4" ht="13.8">
      <c r="B126" s="62">
        <v>30201</v>
      </c>
      <c r="C126" s="63" t="s">
        <v>96</v>
      </c>
      <c r="D126" s="87">
        <v>0</v>
      </c>
    </row>
    <row r="127" spans="2:4" ht="13.8">
      <c r="B127" s="64">
        <v>30202</v>
      </c>
      <c r="C127" s="65" t="s">
        <v>415</v>
      </c>
      <c r="D127" s="90">
        <v>0</v>
      </c>
    </row>
    <row r="128" spans="2:4" ht="13.8">
      <c r="B128" s="62">
        <v>30203</v>
      </c>
      <c r="C128" s="63" t="s">
        <v>345</v>
      </c>
      <c r="D128" s="87">
        <v>0</v>
      </c>
    </row>
    <row r="129" spans="2:4" ht="13.8">
      <c r="B129" s="64">
        <v>30204</v>
      </c>
      <c r="C129" s="65" t="s">
        <v>98</v>
      </c>
      <c r="D129" s="90">
        <v>0</v>
      </c>
    </row>
    <row r="130" spans="2:4" ht="13.8">
      <c r="B130" s="62">
        <v>30205</v>
      </c>
      <c r="C130" s="63" t="s">
        <v>346</v>
      </c>
      <c r="D130" s="87">
        <v>0</v>
      </c>
    </row>
    <row r="131" spans="2:4" ht="13.8">
      <c r="B131" s="64">
        <v>30206</v>
      </c>
      <c r="C131" s="65" t="s">
        <v>347</v>
      </c>
      <c r="D131" s="90">
        <v>0</v>
      </c>
    </row>
    <row r="132" spans="2:4" ht="13.8">
      <c r="B132" s="62">
        <v>30207</v>
      </c>
      <c r="C132" s="63" t="s">
        <v>348</v>
      </c>
      <c r="D132" s="87">
        <v>0</v>
      </c>
    </row>
    <row r="133" spans="2:4" ht="13.8">
      <c r="B133" s="64">
        <v>30301</v>
      </c>
      <c r="C133" s="65" t="s">
        <v>99</v>
      </c>
      <c r="D133" s="90">
        <v>0</v>
      </c>
    </row>
    <row r="134" spans="2:4" ht="13.8">
      <c r="B134" s="62">
        <v>30302</v>
      </c>
      <c r="C134" s="63" t="s">
        <v>100</v>
      </c>
      <c r="D134" s="87">
        <v>1</v>
      </c>
    </row>
    <row r="135" spans="2:4" ht="13.8">
      <c r="B135" s="64">
        <v>30303</v>
      </c>
      <c r="C135" s="65" t="s">
        <v>349</v>
      </c>
      <c r="D135" s="90">
        <v>0</v>
      </c>
    </row>
    <row r="136" spans="2:4" ht="13.8">
      <c r="B136" s="62">
        <v>30304</v>
      </c>
      <c r="C136" s="63" t="s">
        <v>101</v>
      </c>
      <c r="D136" s="87">
        <v>0</v>
      </c>
    </row>
    <row r="137" spans="2:4" ht="13.8">
      <c r="B137" s="64">
        <v>30305</v>
      </c>
      <c r="C137" s="65" t="s">
        <v>102</v>
      </c>
      <c r="D137" s="90">
        <v>0</v>
      </c>
    </row>
    <row r="138" spans="2:4" ht="13.8">
      <c r="B138" s="62">
        <v>30306</v>
      </c>
      <c r="C138" s="63" t="s">
        <v>103</v>
      </c>
      <c r="D138" s="87">
        <v>0</v>
      </c>
    </row>
    <row r="139" spans="2:4" ht="13.8">
      <c r="B139" s="64">
        <v>30307</v>
      </c>
      <c r="C139" s="65" t="s">
        <v>104</v>
      </c>
      <c r="D139" s="90">
        <v>2</v>
      </c>
    </row>
    <row r="140" spans="2:4" ht="13.8">
      <c r="B140" s="62">
        <v>30308</v>
      </c>
      <c r="C140" s="63" t="s">
        <v>350</v>
      </c>
      <c r="D140" s="87">
        <v>2</v>
      </c>
    </row>
    <row r="141" spans="2:4" ht="13.8">
      <c r="B141" s="64">
        <v>30309</v>
      </c>
      <c r="C141" s="65" t="s">
        <v>351</v>
      </c>
      <c r="D141" s="90">
        <v>8</v>
      </c>
    </row>
    <row r="142" spans="2:4" ht="13.8">
      <c r="B142" s="62">
        <v>30310</v>
      </c>
      <c r="C142" s="63" t="s">
        <v>352</v>
      </c>
      <c r="D142" s="87">
        <v>9</v>
      </c>
    </row>
    <row r="143" spans="2:4" ht="13.8">
      <c r="B143" s="64">
        <v>30401</v>
      </c>
      <c r="C143" s="65" t="s">
        <v>353</v>
      </c>
      <c r="D143" s="90">
        <v>27</v>
      </c>
    </row>
    <row r="144" spans="2:4" ht="13.8">
      <c r="B144" s="62">
        <v>30402</v>
      </c>
      <c r="C144" s="63" t="s">
        <v>354</v>
      </c>
      <c r="D144" s="87">
        <v>0</v>
      </c>
    </row>
    <row r="145" spans="2:4" ht="13.8">
      <c r="B145" s="64">
        <v>30403</v>
      </c>
      <c r="C145" s="65" t="s">
        <v>355</v>
      </c>
      <c r="D145" s="90">
        <v>0</v>
      </c>
    </row>
    <row r="146" spans="2:4" ht="13.8">
      <c r="B146" s="62">
        <v>30404</v>
      </c>
      <c r="C146" s="63" t="s">
        <v>105</v>
      </c>
      <c r="D146" s="87">
        <v>4</v>
      </c>
    </row>
    <row r="147" spans="2:4" ht="13.8">
      <c r="B147" s="64">
        <v>30405</v>
      </c>
      <c r="C147" s="65" t="s">
        <v>106</v>
      </c>
      <c r="D147" s="90">
        <v>0</v>
      </c>
    </row>
    <row r="148" spans="2:4" ht="13.8">
      <c r="B148" s="62">
        <v>30406</v>
      </c>
      <c r="C148" s="63" t="s">
        <v>107</v>
      </c>
      <c r="D148" s="87">
        <v>0</v>
      </c>
    </row>
    <row r="149" spans="2:4" ht="13.8">
      <c r="B149" s="64">
        <v>30407</v>
      </c>
      <c r="C149" s="65" t="s">
        <v>356</v>
      </c>
      <c r="D149" s="90">
        <v>3</v>
      </c>
    </row>
    <row r="150" spans="2:4" ht="13.8">
      <c r="B150" s="62">
        <v>30408</v>
      </c>
      <c r="C150" s="63" t="s">
        <v>357</v>
      </c>
      <c r="D150" s="87">
        <v>0</v>
      </c>
    </row>
    <row r="151" spans="2:4" ht="13.8">
      <c r="B151" s="64">
        <v>30409</v>
      </c>
      <c r="C151" s="65" t="s">
        <v>109</v>
      </c>
      <c r="D151" s="90">
        <v>0</v>
      </c>
    </row>
    <row r="152" spans="2:4" ht="13.8">
      <c r="B152" s="62">
        <v>30410</v>
      </c>
      <c r="C152" s="63" t="s">
        <v>110</v>
      </c>
      <c r="D152" s="87">
        <v>0</v>
      </c>
    </row>
    <row r="153" spans="2:4" ht="13.8">
      <c r="B153" s="64">
        <v>30411</v>
      </c>
      <c r="C153" s="65" t="s">
        <v>358</v>
      </c>
      <c r="D153" s="90">
        <v>0</v>
      </c>
    </row>
    <row r="154" spans="2:4" ht="13.8">
      <c r="B154" s="62">
        <v>30412</v>
      </c>
      <c r="C154" s="63" t="s">
        <v>111</v>
      </c>
      <c r="D154" s="87">
        <v>0</v>
      </c>
    </row>
    <row r="155" spans="2:4" ht="13.8">
      <c r="B155" s="64">
        <v>30413</v>
      </c>
      <c r="C155" s="65" t="s">
        <v>112</v>
      </c>
      <c r="D155" s="90">
        <v>0</v>
      </c>
    </row>
    <row r="156" spans="2:4" ht="13.8">
      <c r="B156" s="62">
        <v>30414</v>
      </c>
      <c r="C156" s="63" t="s">
        <v>113</v>
      </c>
      <c r="D156" s="87">
        <v>3</v>
      </c>
    </row>
    <row r="157" spans="2:4" ht="13.8">
      <c r="B157" s="64">
        <v>30415</v>
      </c>
      <c r="C157" s="65" t="s">
        <v>114</v>
      </c>
      <c r="D157" s="90">
        <v>0</v>
      </c>
    </row>
    <row r="158" spans="2:4" ht="13.8">
      <c r="B158" s="62">
        <v>30416</v>
      </c>
      <c r="C158" s="63" t="s">
        <v>115</v>
      </c>
      <c r="D158" s="87">
        <v>0</v>
      </c>
    </row>
    <row r="159" spans="2:4" ht="13.8">
      <c r="B159" s="64">
        <v>30417</v>
      </c>
      <c r="C159" s="65" t="s">
        <v>116</v>
      </c>
      <c r="D159" s="90">
        <v>0</v>
      </c>
    </row>
    <row r="160" spans="2:4" ht="13.8">
      <c r="B160" s="62">
        <v>30418</v>
      </c>
      <c r="C160" s="63" t="s">
        <v>117</v>
      </c>
      <c r="D160" s="87">
        <v>0</v>
      </c>
    </row>
    <row r="161" spans="2:4" ht="13.8">
      <c r="B161" s="64">
        <v>30419</v>
      </c>
      <c r="C161" s="65" t="s">
        <v>118</v>
      </c>
      <c r="D161" s="90">
        <v>0</v>
      </c>
    </row>
    <row r="162" spans="2:4" ht="13.8">
      <c r="B162" s="62">
        <v>30420</v>
      </c>
      <c r="C162" s="63" t="s">
        <v>119</v>
      </c>
      <c r="D162" s="87">
        <v>2</v>
      </c>
    </row>
    <row r="163" spans="2:4" ht="13.8">
      <c r="B163" s="64">
        <v>30421</v>
      </c>
      <c r="C163" s="65" t="s">
        <v>120</v>
      </c>
      <c r="D163" s="90">
        <v>0</v>
      </c>
    </row>
    <row r="164" spans="2:4" ht="13.8">
      <c r="B164" s="62">
        <v>30422</v>
      </c>
      <c r="C164" s="63" t="s">
        <v>121</v>
      </c>
      <c r="D164" s="87">
        <v>0</v>
      </c>
    </row>
    <row r="165" spans="2:4" ht="13.8">
      <c r="B165" s="64">
        <v>30423</v>
      </c>
      <c r="C165" s="65" t="s">
        <v>122</v>
      </c>
      <c r="D165" s="90">
        <v>0</v>
      </c>
    </row>
    <row r="166" spans="2:4" ht="13.8">
      <c r="B166" s="62">
        <v>30424</v>
      </c>
      <c r="C166" s="63" t="s">
        <v>123</v>
      </c>
      <c r="D166" s="87">
        <v>0</v>
      </c>
    </row>
    <row r="167" spans="2:4" ht="13.8">
      <c r="B167" s="64">
        <v>30425</v>
      </c>
      <c r="C167" s="65" t="s">
        <v>124</v>
      </c>
      <c r="D167" s="90">
        <v>0</v>
      </c>
    </row>
    <row r="168" spans="2:4" ht="13.8">
      <c r="B168" s="62">
        <v>30426</v>
      </c>
      <c r="C168" s="63" t="s">
        <v>125</v>
      </c>
      <c r="D168" s="87">
        <v>0</v>
      </c>
    </row>
    <row r="169" spans="2:4" ht="13.8">
      <c r="B169" s="64">
        <v>30427</v>
      </c>
      <c r="C169" s="65" t="s">
        <v>126</v>
      </c>
      <c r="D169" s="90">
        <v>0</v>
      </c>
    </row>
    <row r="170" spans="2:4" ht="13.8">
      <c r="B170" s="62">
        <v>30428</v>
      </c>
      <c r="C170" s="63" t="s">
        <v>127</v>
      </c>
      <c r="D170" s="87">
        <v>1</v>
      </c>
    </row>
    <row r="171" spans="2:4" ht="13.8">
      <c r="B171" s="64">
        <v>30429</v>
      </c>
      <c r="C171" s="65" t="s">
        <v>128</v>
      </c>
      <c r="D171" s="90">
        <v>0</v>
      </c>
    </row>
    <row r="172" spans="2:4" ht="13.8">
      <c r="B172" s="62">
        <v>30430</v>
      </c>
      <c r="C172" s="63" t="s">
        <v>129</v>
      </c>
      <c r="D172" s="87">
        <v>3</v>
      </c>
    </row>
    <row r="173" spans="2:4" ht="13.8">
      <c r="B173" s="64">
        <v>30431</v>
      </c>
      <c r="C173" s="65" t="s">
        <v>130</v>
      </c>
      <c r="D173" s="90">
        <v>0</v>
      </c>
    </row>
    <row r="174" spans="2:4" ht="13.8">
      <c r="B174" s="62">
        <v>30432</v>
      </c>
      <c r="C174" s="63" t="s">
        <v>131</v>
      </c>
      <c r="D174" s="87">
        <v>0</v>
      </c>
    </row>
    <row r="175" spans="2:4" ht="13.8">
      <c r="B175" s="64">
        <v>30433</v>
      </c>
      <c r="C175" s="65" t="s">
        <v>132</v>
      </c>
      <c r="D175" s="90">
        <v>0</v>
      </c>
    </row>
    <row r="176" spans="2:4" ht="13.8">
      <c r="B176" s="62">
        <v>30434</v>
      </c>
      <c r="C176" s="63" t="s">
        <v>133</v>
      </c>
      <c r="D176" s="87">
        <v>0</v>
      </c>
    </row>
    <row r="177" spans="2:4" ht="13.8">
      <c r="B177" s="64">
        <v>30435</v>
      </c>
      <c r="C177" s="65" t="s">
        <v>134</v>
      </c>
      <c r="D177" s="90">
        <v>0</v>
      </c>
    </row>
    <row r="178" spans="2:4" ht="13.8">
      <c r="B178" s="62">
        <v>30436</v>
      </c>
      <c r="C178" s="63" t="s">
        <v>135</v>
      </c>
      <c r="D178" s="87">
        <v>0</v>
      </c>
    </row>
    <row r="179" spans="2:4" ht="13.8">
      <c r="B179" s="64">
        <v>30437</v>
      </c>
      <c r="C179" s="65" t="s">
        <v>136</v>
      </c>
      <c r="D179" s="90">
        <v>0</v>
      </c>
    </row>
    <row r="180" spans="2:4" ht="13.8">
      <c r="B180" s="62">
        <v>30438</v>
      </c>
      <c r="C180" s="63" t="s">
        <v>137</v>
      </c>
      <c r="D180" s="87">
        <v>0</v>
      </c>
    </row>
    <row r="181" spans="2:4" ht="13.8">
      <c r="B181" s="64">
        <v>30439</v>
      </c>
      <c r="C181" s="65" t="s">
        <v>138</v>
      </c>
      <c r="D181" s="90">
        <v>0</v>
      </c>
    </row>
    <row r="182" spans="2:4" ht="13.8">
      <c r="B182" s="62">
        <v>30440</v>
      </c>
      <c r="C182" s="63" t="s">
        <v>359</v>
      </c>
      <c r="D182" s="87">
        <v>0</v>
      </c>
    </row>
    <row r="183" spans="2:4" ht="13.8">
      <c r="B183" s="64">
        <v>30441</v>
      </c>
      <c r="C183" s="65" t="s">
        <v>360</v>
      </c>
      <c r="D183" s="90">
        <v>0</v>
      </c>
    </row>
    <row r="184" spans="2:4" ht="13.8">
      <c r="B184" s="62">
        <v>30442</v>
      </c>
      <c r="C184" s="63" t="s">
        <v>361</v>
      </c>
      <c r="D184" s="87">
        <v>0</v>
      </c>
    </row>
    <row r="185" spans="2:4" ht="13.8">
      <c r="B185" s="64">
        <v>30443</v>
      </c>
      <c r="C185" s="65" t="s">
        <v>362</v>
      </c>
      <c r="D185" s="90">
        <v>0</v>
      </c>
    </row>
    <row r="186" spans="2:4" ht="13.8">
      <c r="B186" s="62">
        <v>30444</v>
      </c>
      <c r="C186" s="63" t="s">
        <v>363</v>
      </c>
      <c r="D186" s="87">
        <v>0</v>
      </c>
    </row>
    <row r="187" spans="2:4" ht="13.8">
      <c r="B187" s="64">
        <v>30445</v>
      </c>
      <c r="C187" s="65" t="s">
        <v>364</v>
      </c>
      <c r="D187" s="90">
        <v>0</v>
      </c>
    </row>
    <row r="188" spans="2:4" ht="13.8">
      <c r="B188" s="62">
        <v>30446</v>
      </c>
      <c r="C188" s="63" t="s">
        <v>365</v>
      </c>
      <c r="D188" s="87">
        <v>4</v>
      </c>
    </row>
    <row r="189" spans="2:4" ht="13.8">
      <c r="B189" s="64">
        <v>30501</v>
      </c>
      <c r="C189" s="65" t="s">
        <v>139</v>
      </c>
      <c r="D189" s="90">
        <v>0</v>
      </c>
    </row>
    <row r="190" spans="2:4" ht="13.8">
      <c r="B190" s="62">
        <v>30502</v>
      </c>
      <c r="C190" s="63" t="s">
        <v>140</v>
      </c>
      <c r="D190" s="87">
        <v>7</v>
      </c>
    </row>
    <row r="191" spans="2:4" ht="13.8">
      <c r="B191" s="64">
        <v>30503</v>
      </c>
      <c r="C191" s="65" t="s">
        <v>141</v>
      </c>
      <c r="D191" s="90">
        <v>12</v>
      </c>
    </row>
    <row r="192" spans="2:4" ht="13.8">
      <c r="B192" s="62">
        <v>30504</v>
      </c>
      <c r="C192" s="63" t="s">
        <v>366</v>
      </c>
      <c r="D192" s="87">
        <v>2</v>
      </c>
    </row>
    <row r="193" spans="2:4" ht="13.8">
      <c r="B193" s="64">
        <v>30505</v>
      </c>
      <c r="C193" s="65" t="s">
        <v>367</v>
      </c>
      <c r="D193" s="90">
        <v>2</v>
      </c>
    </row>
    <row r="194" spans="2:4" ht="13.8">
      <c r="B194" s="62">
        <v>30601</v>
      </c>
      <c r="C194" s="63" t="s">
        <v>142</v>
      </c>
      <c r="D194" s="87">
        <v>0</v>
      </c>
    </row>
    <row r="195" spans="2:4" ht="13.8">
      <c r="B195" s="64">
        <v>30602</v>
      </c>
      <c r="C195" s="65" t="s">
        <v>143</v>
      </c>
      <c r="D195" s="90">
        <v>2</v>
      </c>
    </row>
    <row r="196" spans="2:4" ht="13.8">
      <c r="B196" s="62">
        <v>30603</v>
      </c>
      <c r="C196" s="63" t="s">
        <v>144</v>
      </c>
      <c r="D196" s="87">
        <v>0</v>
      </c>
    </row>
    <row r="197" spans="2:4" ht="13.8">
      <c r="B197" s="64">
        <v>30604</v>
      </c>
      <c r="C197" s="65" t="s">
        <v>145</v>
      </c>
      <c r="D197" s="90">
        <v>0</v>
      </c>
    </row>
    <row r="198" spans="2:4" ht="13.8">
      <c r="B198" s="62">
        <v>30605</v>
      </c>
      <c r="C198" s="63" t="s">
        <v>368</v>
      </c>
      <c r="D198" s="87">
        <v>0</v>
      </c>
    </row>
    <row r="199" spans="2:4" ht="13.8">
      <c r="B199" s="64">
        <v>30606</v>
      </c>
      <c r="C199" s="65" t="s">
        <v>369</v>
      </c>
      <c r="D199" s="90">
        <v>0</v>
      </c>
    </row>
    <row r="200" spans="2:4" ht="13.8">
      <c r="B200" s="62">
        <v>30607</v>
      </c>
      <c r="C200" s="63" t="s">
        <v>146</v>
      </c>
      <c r="D200" s="87">
        <v>0</v>
      </c>
    </row>
    <row r="201" spans="2:4" ht="13.8">
      <c r="B201" s="64">
        <v>30608</v>
      </c>
      <c r="C201" s="65" t="s">
        <v>147</v>
      </c>
      <c r="D201" s="90">
        <v>0</v>
      </c>
    </row>
    <row r="202" spans="2:4" ht="13.8">
      <c r="B202" s="62">
        <v>30609</v>
      </c>
      <c r="C202" s="63" t="s">
        <v>370</v>
      </c>
      <c r="D202" s="87">
        <v>0</v>
      </c>
    </row>
    <row r="203" spans="2:4" ht="13.8">
      <c r="B203" s="64">
        <v>30610</v>
      </c>
      <c r="C203" s="65" t="s">
        <v>371</v>
      </c>
      <c r="D203" s="90">
        <v>0</v>
      </c>
    </row>
    <row r="204" spans="2:4" ht="13.8">
      <c r="B204" s="62">
        <v>30611</v>
      </c>
      <c r="C204" s="63" t="s">
        <v>372</v>
      </c>
      <c r="D204" s="87">
        <v>0</v>
      </c>
    </row>
    <row r="205" spans="2:4" ht="13.8">
      <c r="B205" s="64">
        <v>30701</v>
      </c>
      <c r="C205" s="65" t="s">
        <v>148</v>
      </c>
      <c r="D205" s="90">
        <v>1</v>
      </c>
    </row>
    <row r="206" spans="2:4" ht="13.8">
      <c r="B206" s="62">
        <v>30702</v>
      </c>
      <c r="C206" s="63" t="s">
        <v>149</v>
      </c>
      <c r="D206" s="87">
        <v>0</v>
      </c>
    </row>
    <row r="207" spans="2:4" ht="13.8">
      <c r="B207" s="64">
        <v>30703</v>
      </c>
      <c r="C207" s="65" t="s">
        <v>150</v>
      </c>
      <c r="D207" s="90">
        <v>0</v>
      </c>
    </row>
    <row r="208" spans="2:4" ht="13.8">
      <c r="B208" s="62">
        <v>30704</v>
      </c>
      <c r="C208" s="63" t="s">
        <v>151</v>
      </c>
      <c r="D208" s="87">
        <v>0</v>
      </c>
    </row>
    <row r="209" spans="2:4" ht="13.8">
      <c r="B209" s="64">
        <v>30705</v>
      </c>
      <c r="C209" s="65" t="s">
        <v>152</v>
      </c>
      <c r="D209" s="90">
        <v>0</v>
      </c>
    </row>
    <row r="210" spans="2:4" ht="13.8">
      <c r="B210" s="62">
        <v>30706</v>
      </c>
      <c r="C210" s="63" t="s">
        <v>153</v>
      </c>
      <c r="D210" s="87">
        <v>0</v>
      </c>
    </row>
    <row r="211" spans="2:4" ht="13.8">
      <c r="B211" s="64">
        <v>30707</v>
      </c>
      <c r="C211" s="65" t="s">
        <v>154</v>
      </c>
      <c r="D211" s="90">
        <v>1</v>
      </c>
    </row>
    <row r="212" spans="2:4" ht="13.8">
      <c r="B212" s="62">
        <v>30708</v>
      </c>
      <c r="C212" s="63" t="s">
        <v>373</v>
      </c>
      <c r="D212" s="87">
        <v>0</v>
      </c>
    </row>
    <row r="213" spans="2:4" ht="13.8">
      <c r="B213" s="64">
        <v>30709</v>
      </c>
      <c r="C213" s="65" t="s">
        <v>158</v>
      </c>
      <c r="D213" s="90">
        <v>0</v>
      </c>
    </row>
    <row r="214" spans="2:4" ht="13.8">
      <c r="B214" s="62">
        <v>30710</v>
      </c>
      <c r="C214" s="63" t="s">
        <v>374</v>
      </c>
      <c r="D214" s="87">
        <v>0</v>
      </c>
    </row>
    <row r="215" spans="2:4" ht="13.8">
      <c r="B215" s="64">
        <v>30711</v>
      </c>
      <c r="C215" s="65" t="s">
        <v>157</v>
      </c>
      <c r="D215" s="90">
        <v>0</v>
      </c>
    </row>
    <row r="216" spans="2:4" ht="13.8">
      <c r="B216" s="62">
        <v>30801</v>
      </c>
      <c r="C216" s="63" t="s">
        <v>155</v>
      </c>
      <c r="D216" s="87">
        <v>0</v>
      </c>
    </row>
    <row r="217" spans="2:4" ht="13.8">
      <c r="B217" s="64">
        <v>30802</v>
      </c>
      <c r="C217" s="65" t="s">
        <v>156</v>
      </c>
      <c r="D217" s="90">
        <v>0</v>
      </c>
    </row>
    <row r="218" spans="2:4" ht="13.8">
      <c r="B218" s="62">
        <v>30803</v>
      </c>
      <c r="C218" s="63" t="s">
        <v>97</v>
      </c>
      <c r="D218" s="87">
        <v>0</v>
      </c>
    </row>
    <row r="219" spans="2:4" ht="13.8">
      <c r="B219" s="64">
        <v>30804</v>
      </c>
      <c r="C219" s="65" t="s">
        <v>184</v>
      </c>
      <c r="D219" s="90">
        <v>0</v>
      </c>
    </row>
    <row r="220" spans="2:4" ht="13.8">
      <c r="B220" s="62">
        <v>30805</v>
      </c>
      <c r="C220" s="63" t="s">
        <v>174</v>
      </c>
      <c r="D220" s="87">
        <v>0</v>
      </c>
    </row>
    <row r="221" spans="2:4" ht="13.8">
      <c r="B221" s="64">
        <v>30806</v>
      </c>
      <c r="C221" s="65" t="s">
        <v>375</v>
      </c>
      <c r="D221" s="90">
        <v>0</v>
      </c>
    </row>
    <row r="222" spans="2:4" ht="13.8">
      <c r="B222" s="62">
        <v>30807</v>
      </c>
      <c r="C222" s="63" t="s">
        <v>376</v>
      </c>
      <c r="D222" s="87">
        <v>0</v>
      </c>
    </row>
    <row r="223" spans="2:4" ht="13.8">
      <c r="B223" s="64">
        <v>30808</v>
      </c>
      <c r="C223" s="65" t="s">
        <v>171</v>
      </c>
      <c r="D223" s="90">
        <v>0</v>
      </c>
    </row>
    <row r="224" spans="2:4" ht="13.8">
      <c r="B224" s="62">
        <v>30809</v>
      </c>
      <c r="C224" s="63" t="s">
        <v>377</v>
      </c>
      <c r="D224" s="87">
        <v>0</v>
      </c>
    </row>
    <row r="225" spans="2:4" ht="13.8">
      <c r="B225" s="64">
        <v>30810</v>
      </c>
      <c r="C225" s="65" t="s">
        <v>378</v>
      </c>
      <c r="D225" s="90">
        <v>0</v>
      </c>
    </row>
    <row r="226" spans="2:4" ht="13.8">
      <c r="B226" s="62">
        <v>30901</v>
      </c>
      <c r="C226" s="63" t="s">
        <v>379</v>
      </c>
      <c r="D226" s="87">
        <v>0</v>
      </c>
    </row>
    <row r="227" spans="2:4" ht="13.8">
      <c r="B227" s="64">
        <v>30902</v>
      </c>
      <c r="C227" s="65" t="s">
        <v>380</v>
      </c>
      <c r="D227" s="90">
        <v>0</v>
      </c>
    </row>
    <row r="228" spans="2:4" ht="13.8">
      <c r="B228" s="62">
        <v>30903</v>
      </c>
      <c r="C228" s="63" t="s">
        <v>163</v>
      </c>
      <c r="D228" s="87">
        <v>1</v>
      </c>
    </row>
    <row r="229" spans="2:4" ht="13.8">
      <c r="B229" s="64">
        <v>30904</v>
      </c>
      <c r="C229" s="65" t="s">
        <v>183</v>
      </c>
      <c r="D229" s="90">
        <v>3</v>
      </c>
    </row>
    <row r="230" spans="2:4" ht="13.8">
      <c r="B230" s="62">
        <v>30905</v>
      </c>
      <c r="C230" s="63" t="s">
        <v>159</v>
      </c>
      <c r="D230" s="87">
        <v>0</v>
      </c>
    </row>
    <row r="231" spans="2:4" ht="13.8">
      <c r="B231" s="64">
        <v>30906</v>
      </c>
      <c r="C231" s="65" t="s">
        <v>160</v>
      </c>
      <c r="D231" s="90">
        <v>0</v>
      </c>
    </row>
    <row r="232" spans="2:4" ht="13.8">
      <c r="B232" s="62">
        <v>30907</v>
      </c>
      <c r="C232" s="63" t="s">
        <v>161</v>
      </c>
      <c r="D232" s="87">
        <v>19</v>
      </c>
    </row>
    <row r="233" spans="2:4" ht="13.8">
      <c r="B233" s="64">
        <v>30908</v>
      </c>
      <c r="C233" s="65" t="s">
        <v>162</v>
      </c>
      <c r="D233" s="90">
        <v>0</v>
      </c>
    </row>
    <row r="234" spans="2:4" ht="13.8">
      <c r="B234" s="62">
        <v>30909</v>
      </c>
      <c r="C234" s="63" t="s">
        <v>381</v>
      </c>
      <c r="D234" s="87">
        <v>1</v>
      </c>
    </row>
    <row r="235" spans="2:4" ht="13.8">
      <c r="B235" s="64">
        <v>31001</v>
      </c>
      <c r="C235" s="65" t="s">
        <v>164</v>
      </c>
      <c r="D235" s="90">
        <v>3</v>
      </c>
    </row>
    <row r="236" spans="2:4" ht="13.8">
      <c r="B236" s="62">
        <v>31002</v>
      </c>
      <c r="C236" s="63" t="s">
        <v>382</v>
      </c>
      <c r="D236" s="87">
        <v>1</v>
      </c>
    </row>
    <row r="237" spans="2:4" ht="13.8">
      <c r="B237" s="64">
        <v>31003</v>
      </c>
      <c r="C237" s="65" t="s">
        <v>165</v>
      </c>
      <c r="D237" s="90">
        <v>0</v>
      </c>
    </row>
    <row r="238" spans="2:4" ht="13.8">
      <c r="B238" s="62">
        <v>31004</v>
      </c>
      <c r="C238" s="63" t="s">
        <v>166</v>
      </c>
      <c r="D238" s="87">
        <v>0</v>
      </c>
    </row>
    <row r="239" spans="2:4" ht="13.8">
      <c r="B239" s="64">
        <v>31005</v>
      </c>
      <c r="C239" s="65" t="s">
        <v>167</v>
      </c>
      <c r="D239" s="90">
        <v>0</v>
      </c>
    </row>
    <row r="240" spans="2:4" ht="13.8">
      <c r="B240" s="62">
        <v>31006</v>
      </c>
      <c r="C240" s="63" t="s">
        <v>168</v>
      </c>
      <c r="D240" s="87">
        <v>0</v>
      </c>
    </row>
    <row r="241" spans="2:4" ht="13.8">
      <c r="B241" s="64">
        <v>31007</v>
      </c>
      <c r="C241" s="65" t="s">
        <v>169</v>
      </c>
      <c r="D241" s="90">
        <v>0</v>
      </c>
    </row>
    <row r="242" spans="2:4" ht="13.8">
      <c r="B242" s="62">
        <v>31008</v>
      </c>
      <c r="C242" s="63" t="s">
        <v>383</v>
      </c>
      <c r="D242" s="87">
        <v>0</v>
      </c>
    </row>
    <row r="243" spans="2:4" ht="13.8">
      <c r="B243" s="64">
        <v>31009</v>
      </c>
      <c r="C243" s="65" t="s">
        <v>384</v>
      </c>
      <c r="D243" s="90">
        <v>0</v>
      </c>
    </row>
    <row r="244" spans="2:4" ht="13.8">
      <c r="B244" s="62">
        <v>31010</v>
      </c>
      <c r="C244" s="63" t="s">
        <v>92</v>
      </c>
      <c r="D244" s="87">
        <v>1</v>
      </c>
    </row>
    <row r="245" spans="2:4" ht="13.8">
      <c r="B245" s="64">
        <v>31011</v>
      </c>
      <c r="C245" s="65" t="s">
        <v>385</v>
      </c>
      <c r="D245" s="90">
        <v>0</v>
      </c>
    </row>
    <row r="246" spans="2:4" ht="13.8">
      <c r="B246" s="62">
        <v>31012</v>
      </c>
      <c r="C246" s="63" t="s">
        <v>386</v>
      </c>
      <c r="D246" s="87">
        <v>0</v>
      </c>
    </row>
    <row r="247" spans="2:4" ht="13.8">
      <c r="B247" s="64">
        <v>31013</v>
      </c>
      <c r="C247" s="65" t="s">
        <v>387</v>
      </c>
      <c r="D247" s="90">
        <v>0</v>
      </c>
    </row>
    <row r="248" spans="2:4" ht="13.8">
      <c r="B248" s="62">
        <v>31014</v>
      </c>
      <c r="C248" s="63" t="s">
        <v>388</v>
      </c>
      <c r="D248" s="87">
        <v>0</v>
      </c>
    </row>
    <row r="249" spans="2:4" ht="13.8">
      <c r="B249" s="64">
        <v>31015</v>
      </c>
      <c r="C249" s="65" t="s">
        <v>389</v>
      </c>
      <c r="D249" s="90">
        <v>0</v>
      </c>
    </row>
    <row r="250" spans="2:4" ht="13.8">
      <c r="B250" s="62">
        <v>31101</v>
      </c>
      <c r="C250" s="63" t="s">
        <v>172</v>
      </c>
      <c r="D250" s="87">
        <v>16</v>
      </c>
    </row>
    <row r="251" spans="2:4" ht="13.8">
      <c r="B251" s="64">
        <v>31102</v>
      </c>
      <c r="C251" s="65" t="s">
        <v>173</v>
      </c>
      <c r="D251" s="90">
        <v>2</v>
      </c>
    </row>
    <row r="252" spans="2:4" ht="13.8">
      <c r="B252" s="62">
        <v>31103</v>
      </c>
      <c r="C252" s="63" t="s">
        <v>175</v>
      </c>
      <c r="D252" s="87">
        <v>0</v>
      </c>
    </row>
    <row r="253" spans="2:4" ht="13.8">
      <c r="B253" s="64">
        <v>31104</v>
      </c>
      <c r="C253" s="65" t="s">
        <v>176</v>
      </c>
      <c r="D253" s="90">
        <v>0</v>
      </c>
    </row>
    <row r="254" spans="2:4" ht="13.8">
      <c r="B254" s="62">
        <v>31105</v>
      </c>
      <c r="C254" s="63" t="s">
        <v>177</v>
      </c>
      <c r="D254" s="87">
        <v>0</v>
      </c>
    </row>
    <row r="255" spans="2:4" ht="13.8">
      <c r="B255" s="64">
        <v>31106</v>
      </c>
      <c r="C255" s="65" t="s">
        <v>390</v>
      </c>
      <c r="D255" s="90">
        <v>0</v>
      </c>
    </row>
    <row r="256" spans="2:4" ht="13.8">
      <c r="B256" s="62">
        <v>31107</v>
      </c>
      <c r="C256" s="63" t="s">
        <v>391</v>
      </c>
      <c r="D256" s="87">
        <v>0</v>
      </c>
    </row>
    <row r="257" spans="2:4" ht="13.8">
      <c r="B257" s="64">
        <v>31108</v>
      </c>
      <c r="C257" s="65" t="s">
        <v>392</v>
      </c>
      <c r="D257" s="90">
        <v>0</v>
      </c>
    </row>
    <row r="258" spans="2:4" ht="13.8">
      <c r="B258" s="62">
        <v>31109</v>
      </c>
      <c r="C258" s="63" t="s">
        <v>178</v>
      </c>
      <c r="D258" s="87">
        <v>0</v>
      </c>
    </row>
    <row r="259" spans="2:4" ht="13.8">
      <c r="B259" s="64">
        <v>31110</v>
      </c>
      <c r="C259" s="65" t="s">
        <v>179</v>
      </c>
      <c r="D259" s="90">
        <v>0</v>
      </c>
    </row>
    <row r="260" spans="2:4" ht="13.8">
      <c r="B260" s="62">
        <v>31111</v>
      </c>
      <c r="C260" s="63" t="s">
        <v>180</v>
      </c>
      <c r="D260" s="87">
        <v>0</v>
      </c>
    </row>
    <row r="261" spans="2:4" ht="13.8">
      <c r="B261" s="64">
        <v>31112</v>
      </c>
      <c r="C261" s="65" t="s">
        <v>393</v>
      </c>
      <c r="D261" s="90">
        <v>4</v>
      </c>
    </row>
    <row r="262" spans="2:4" ht="13.8">
      <c r="B262" s="62">
        <v>31113</v>
      </c>
      <c r="C262" s="63" t="s">
        <v>181</v>
      </c>
      <c r="D262" s="87">
        <v>0</v>
      </c>
    </row>
    <row r="263" spans="2:4" ht="13.8">
      <c r="B263" s="64">
        <v>31114</v>
      </c>
      <c r="C263" s="65" t="s">
        <v>394</v>
      </c>
      <c r="D263" s="90">
        <v>2</v>
      </c>
    </row>
    <row r="264" spans="2:4" ht="13.8">
      <c r="B264" s="66">
        <v>40101</v>
      </c>
      <c r="C264" s="67" t="s">
        <v>187</v>
      </c>
      <c r="D264" s="91">
        <v>0</v>
      </c>
    </row>
    <row r="265" spans="2:4" ht="13.8">
      <c r="B265" s="62">
        <v>40102</v>
      </c>
      <c r="C265" s="63" t="s">
        <v>395</v>
      </c>
      <c r="D265" s="87">
        <v>0</v>
      </c>
    </row>
    <row r="266" spans="2:4" ht="13.8">
      <c r="B266" s="66">
        <v>40103</v>
      </c>
      <c r="C266" s="67" t="s">
        <v>188</v>
      </c>
      <c r="D266" s="91">
        <v>0</v>
      </c>
    </row>
    <row r="267" spans="2:4" ht="13.8">
      <c r="B267" s="62">
        <v>40104</v>
      </c>
      <c r="C267" s="63" t="s">
        <v>189</v>
      </c>
      <c r="D267" s="87">
        <v>0</v>
      </c>
    </row>
    <row r="268" spans="2:4" ht="13.8">
      <c r="B268" s="66">
        <v>40105</v>
      </c>
      <c r="C268" s="67" t="s">
        <v>191</v>
      </c>
      <c r="D268" s="91">
        <v>0</v>
      </c>
    </row>
    <row r="269" spans="2:4" ht="13.8">
      <c r="B269" s="62">
        <v>40106</v>
      </c>
      <c r="C269" s="63" t="s">
        <v>194</v>
      </c>
      <c r="D269" s="87">
        <v>2</v>
      </c>
    </row>
    <row r="270" spans="2:4" ht="13.8">
      <c r="B270" s="66">
        <v>40107</v>
      </c>
      <c r="C270" s="67" t="s">
        <v>196</v>
      </c>
      <c r="D270" s="91">
        <v>0</v>
      </c>
    </row>
    <row r="271" spans="2:4" ht="13.8">
      <c r="B271" s="62">
        <v>40108</v>
      </c>
      <c r="C271" s="63" t="s">
        <v>197</v>
      </c>
      <c r="D271" s="87">
        <v>0</v>
      </c>
    </row>
    <row r="272" spans="2:4" ht="13.8">
      <c r="B272" s="66">
        <v>40109</v>
      </c>
      <c r="C272" s="67" t="s">
        <v>77</v>
      </c>
      <c r="D272" s="91">
        <v>0</v>
      </c>
    </row>
    <row r="273" spans="2:4" ht="13.8">
      <c r="B273" s="62">
        <v>40110</v>
      </c>
      <c r="C273" s="63" t="s">
        <v>190</v>
      </c>
      <c r="D273" s="87">
        <v>0</v>
      </c>
    </row>
    <row r="274" spans="2:4" ht="13.8">
      <c r="B274" s="72">
        <v>50101</v>
      </c>
      <c r="C274" s="73" t="s">
        <v>396</v>
      </c>
      <c r="D274" s="92">
        <v>0</v>
      </c>
    </row>
    <row r="275" spans="2:4" ht="13.8">
      <c r="B275" s="62">
        <v>50102</v>
      </c>
      <c r="C275" s="63" t="s">
        <v>397</v>
      </c>
      <c r="D275" s="87">
        <v>0</v>
      </c>
    </row>
    <row r="276" spans="2:4" ht="13.8">
      <c r="B276" s="72">
        <v>50103</v>
      </c>
      <c r="C276" s="73" t="s">
        <v>398</v>
      </c>
      <c r="D276" s="92">
        <v>0</v>
      </c>
    </row>
    <row r="277" spans="2:4" ht="13.8">
      <c r="B277" s="62">
        <v>50104</v>
      </c>
      <c r="C277" s="63" t="s">
        <v>108</v>
      </c>
      <c r="D277" s="87">
        <v>0</v>
      </c>
    </row>
    <row r="278" spans="2:4" ht="13.8">
      <c r="B278" s="72">
        <v>50105</v>
      </c>
      <c r="C278" s="73" t="s">
        <v>182</v>
      </c>
      <c r="D278" s="92">
        <v>6</v>
      </c>
    </row>
    <row r="279" spans="2:4" ht="13.8">
      <c r="B279" s="62">
        <v>50106</v>
      </c>
      <c r="C279" s="63" t="s">
        <v>170</v>
      </c>
      <c r="D279" s="87">
        <v>0</v>
      </c>
    </row>
    <row r="280" spans="2:4" ht="13.8">
      <c r="B280" s="72">
        <v>50107</v>
      </c>
      <c r="C280" s="73" t="s">
        <v>399</v>
      </c>
      <c r="D280" s="92">
        <v>1</v>
      </c>
    </row>
    <row r="281" spans="2:4" ht="13.8">
      <c r="B281" s="62">
        <v>50108</v>
      </c>
      <c r="C281" s="63" t="s">
        <v>400</v>
      </c>
      <c r="D281" s="87">
        <v>1</v>
      </c>
    </row>
    <row r="282" spans="2:4" ht="13.8">
      <c r="B282" s="72">
        <v>50201</v>
      </c>
      <c r="C282" s="73" t="s">
        <v>401</v>
      </c>
      <c r="D282" s="92">
        <v>0</v>
      </c>
    </row>
    <row r="283" spans="2:4" ht="13.8">
      <c r="B283" s="62">
        <v>50202</v>
      </c>
      <c r="C283" s="63" t="s">
        <v>402</v>
      </c>
      <c r="D283" s="87">
        <v>0</v>
      </c>
    </row>
    <row r="284" spans="2:4" ht="13.8">
      <c r="B284" s="72">
        <v>50203</v>
      </c>
      <c r="C284" s="73" t="s">
        <v>403</v>
      </c>
      <c r="D284" s="92">
        <v>3</v>
      </c>
    </row>
    <row r="285" spans="2:4" ht="13.8">
      <c r="B285" s="62">
        <v>50301</v>
      </c>
      <c r="C285" s="63" t="s">
        <v>404</v>
      </c>
      <c r="D285" s="87">
        <v>6</v>
      </c>
    </row>
    <row r="286" spans="2:4" ht="13.8">
      <c r="B286" s="72">
        <v>50302</v>
      </c>
      <c r="C286" s="73" t="s">
        <v>405</v>
      </c>
      <c r="D286" s="92">
        <v>0</v>
      </c>
    </row>
    <row r="287" spans="2:4" ht="13.8">
      <c r="B287" s="62">
        <v>50303</v>
      </c>
      <c r="C287" s="63" t="s">
        <v>185</v>
      </c>
      <c r="D287" s="87">
        <v>0</v>
      </c>
    </row>
    <row r="288" spans="2:4" ht="13.8">
      <c r="B288" s="72">
        <v>50304</v>
      </c>
      <c r="C288" s="73" t="s">
        <v>186</v>
      </c>
      <c r="D288" s="92">
        <v>1</v>
      </c>
    </row>
    <row r="289" spans="2:4" ht="13.8">
      <c r="B289" s="62">
        <v>50305</v>
      </c>
      <c r="C289" s="63" t="s">
        <v>406</v>
      </c>
      <c r="D289" s="87">
        <v>0</v>
      </c>
    </row>
    <row r="290" spans="2:4" ht="13.8">
      <c r="B290" s="72">
        <v>50306</v>
      </c>
      <c r="C290" s="73" t="s">
        <v>407</v>
      </c>
      <c r="D290" s="92">
        <v>0</v>
      </c>
    </row>
    <row r="291" spans="2:4" ht="13.8">
      <c r="B291" s="74">
        <v>60101</v>
      </c>
      <c r="C291" s="75" t="s">
        <v>408</v>
      </c>
      <c r="D291" s="93">
        <v>0</v>
      </c>
    </row>
    <row r="292" spans="2:4" ht="13.8">
      <c r="B292" s="62">
        <v>60102</v>
      </c>
      <c r="C292" s="63" t="s">
        <v>193</v>
      </c>
      <c r="D292" s="87">
        <v>0</v>
      </c>
    </row>
    <row r="293" spans="2:4" ht="13.8">
      <c r="B293" s="74">
        <v>60103</v>
      </c>
      <c r="C293" s="75" t="s">
        <v>409</v>
      </c>
      <c r="D293" s="93">
        <v>2</v>
      </c>
    </row>
    <row r="294" spans="2:4" ht="13.8">
      <c r="B294" s="76">
        <v>70101</v>
      </c>
      <c r="C294" s="77" t="s">
        <v>410</v>
      </c>
      <c r="D294" s="94">
        <v>0</v>
      </c>
    </row>
    <row r="295" spans="2:4" ht="13.8">
      <c r="B295" s="62">
        <v>70102</v>
      </c>
      <c r="C295" s="63" t="s">
        <v>198</v>
      </c>
      <c r="D295" s="95">
        <v>0</v>
      </c>
    </row>
    <row r="296" spans="2:4" ht="13.8">
      <c r="B296" s="76">
        <v>70103</v>
      </c>
      <c r="C296" s="77" t="s">
        <v>199</v>
      </c>
      <c r="D296" s="96">
        <v>24</v>
      </c>
    </row>
    <row r="297" spans="2:4" ht="13.8">
      <c r="B297" s="62">
        <v>70104</v>
      </c>
      <c r="C297" s="63" t="s">
        <v>411</v>
      </c>
      <c r="D297" s="95">
        <v>0</v>
      </c>
    </row>
    <row r="298" spans="2:4" ht="13.8">
      <c r="B298" s="76">
        <v>70105</v>
      </c>
      <c r="C298" s="77" t="s">
        <v>200</v>
      </c>
      <c r="D298" s="96">
        <v>0</v>
      </c>
    </row>
    <row r="299" spans="2:4" ht="13.8">
      <c r="B299" s="62">
        <v>70106</v>
      </c>
      <c r="C299" s="63" t="s">
        <v>412</v>
      </c>
      <c r="D299" s="95">
        <v>0</v>
      </c>
    </row>
    <row r="300" spans="2:4" ht="13.8">
      <c r="B300" s="76">
        <v>70107</v>
      </c>
      <c r="C300" s="77" t="s">
        <v>413</v>
      </c>
      <c r="D300" s="96">
        <v>0</v>
      </c>
    </row>
    <row r="301" spans="2:4" ht="14.4" thickBot="1">
      <c r="B301" s="78">
        <v>70108</v>
      </c>
      <c r="C301" s="79" t="s">
        <v>414</v>
      </c>
      <c r="D301" s="95">
        <v>0</v>
      </c>
    </row>
    <row r="302" spans="2:4" ht="20.100000000000001" customHeight="1" thickBot="1">
      <c r="B302" s="80" t="s">
        <v>1</v>
      </c>
      <c r="C302" s="81"/>
      <c r="D302" s="82">
        <f>SUM(D20:D301)</f>
        <v>327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2"/>
  <sheetViews>
    <sheetView showGridLines="0" view="pageBreakPreview" topLeftCell="A9" zoomScaleNormal="100" zoomScaleSheetLayoutView="10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44140625" style="17" customWidth="1"/>
    <col min="4" max="4" width="45.44140625" style="25" customWidth="1"/>
    <col min="5" max="5" width="5.33203125" style="17" customWidth="1"/>
    <col min="6" max="7" width="14.886718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242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3.8">
      <c r="B17" s="107" t="s">
        <v>243</v>
      </c>
      <c r="C17" s="108"/>
      <c r="D17" s="50" t="s">
        <v>4</v>
      </c>
    </row>
    <row r="18" spans="2:7" ht="13.8">
      <c r="B18" s="98" t="s">
        <v>244</v>
      </c>
      <c r="C18" s="99"/>
      <c r="D18" s="50" t="s">
        <v>431</v>
      </c>
    </row>
    <row r="19" spans="2:7" ht="13.8">
      <c r="B19" s="51" t="s">
        <v>73</v>
      </c>
      <c r="C19" s="52" t="s">
        <v>72</v>
      </c>
      <c r="D19" s="53" t="s">
        <v>71</v>
      </c>
      <c r="G19" s="29"/>
    </row>
    <row r="20" spans="2:7" ht="13.8">
      <c r="B20" s="68">
        <v>10101</v>
      </c>
      <c r="C20" s="69" t="s">
        <v>262</v>
      </c>
      <c r="D20" s="88">
        <v>0</v>
      </c>
    </row>
    <row r="21" spans="2:7" ht="13.8">
      <c r="B21" s="58">
        <v>10102</v>
      </c>
      <c r="C21" s="59" t="s">
        <v>263</v>
      </c>
      <c r="D21" s="87">
        <v>0</v>
      </c>
    </row>
    <row r="22" spans="2:7" ht="13.8">
      <c r="B22" s="68">
        <v>10103</v>
      </c>
      <c r="C22" s="69" t="s">
        <v>264</v>
      </c>
      <c r="D22" s="88">
        <v>25</v>
      </c>
    </row>
    <row r="23" spans="2:7" ht="13.8">
      <c r="B23" s="58">
        <v>10104</v>
      </c>
      <c r="C23" s="59" t="s">
        <v>265</v>
      </c>
      <c r="D23" s="87">
        <v>11</v>
      </c>
    </row>
    <row r="24" spans="2:7" ht="13.8">
      <c r="B24" s="68">
        <v>10105</v>
      </c>
      <c r="C24" s="69" t="s">
        <v>266</v>
      </c>
      <c r="D24" s="88">
        <v>0</v>
      </c>
    </row>
    <row r="25" spans="2:7" ht="13.8">
      <c r="B25" s="58">
        <v>10106</v>
      </c>
      <c r="C25" s="59" t="s">
        <v>267</v>
      </c>
      <c r="D25" s="87">
        <v>0</v>
      </c>
    </row>
    <row r="26" spans="2:7" ht="13.8">
      <c r="B26" s="68">
        <v>10107</v>
      </c>
      <c r="C26" s="69" t="s">
        <v>268</v>
      </c>
      <c r="D26" s="88">
        <v>5</v>
      </c>
    </row>
    <row r="27" spans="2:7" ht="13.8">
      <c r="B27" s="58">
        <v>10108</v>
      </c>
      <c r="C27" s="59" t="s">
        <v>269</v>
      </c>
      <c r="D27" s="87">
        <v>0</v>
      </c>
    </row>
    <row r="28" spans="2:7" ht="13.8">
      <c r="B28" s="68">
        <v>10109</v>
      </c>
      <c r="C28" s="69" t="s">
        <v>270</v>
      </c>
      <c r="D28" s="88">
        <v>0</v>
      </c>
    </row>
    <row r="29" spans="2:7" ht="13.8">
      <c r="B29" s="58">
        <v>10110</v>
      </c>
      <c r="C29" s="59" t="s">
        <v>271</v>
      </c>
      <c r="D29" s="87">
        <v>0</v>
      </c>
    </row>
    <row r="30" spans="2:7" ht="13.8">
      <c r="B30" s="68">
        <v>10111</v>
      </c>
      <c r="C30" s="69" t="s">
        <v>272</v>
      </c>
      <c r="D30" s="88">
        <v>0</v>
      </c>
    </row>
    <row r="31" spans="2:7" ht="13.8">
      <c r="B31" s="58">
        <v>10112</v>
      </c>
      <c r="C31" s="59" t="s">
        <v>273</v>
      </c>
      <c r="D31" s="87">
        <v>0</v>
      </c>
    </row>
    <row r="32" spans="2:7" ht="13.8">
      <c r="B32" s="68">
        <v>10113</v>
      </c>
      <c r="C32" s="69" t="s">
        <v>274</v>
      </c>
      <c r="D32" s="88">
        <v>0</v>
      </c>
    </row>
    <row r="33" spans="2:4" ht="13.8">
      <c r="B33" s="58">
        <v>10114</v>
      </c>
      <c r="C33" s="59" t="s">
        <v>275</v>
      </c>
      <c r="D33" s="87">
        <v>0</v>
      </c>
    </row>
    <row r="34" spans="2:4" ht="13.8">
      <c r="B34" s="68">
        <v>10115</v>
      </c>
      <c r="C34" s="69" t="s">
        <v>276</v>
      </c>
      <c r="D34" s="88">
        <v>0</v>
      </c>
    </row>
    <row r="35" spans="2:4" ht="13.8">
      <c r="B35" s="58">
        <v>10116</v>
      </c>
      <c r="C35" s="59" t="s">
        <v>277</v>
      </c>
      <c r="D35" s="87">
        <v>2</v>
      </c>
    </row>
    <row r="36" spans="2:4" ht="13.8">
      <c r="B36" s="68">
        <v>10117</v>
      </c>
      <c r="C36" s="69" t="s">
        <v>278</v>
      </c>
      <c r="D36" s="88">
        <v>0</v>
      </c>
    </row>
    <row r="37" spans="2:4" ht="13.8">
      <c r="B37" s="58">
        <v>10118</v>
      </c>
      <c r="C37" s="59" t="s">
        <v>279</v>
      </c>
      <c r="D37" s="87">
        <v>1</v>
      </c>
    </row>
    <row r="38" spans="2:4" ht="13.8">
      <c r="B38" s="68">
        <v>10119</v>
      </c>
      <c r="C38" s="69" t="s">
        <v>280</v>
      </c>
      <c r="D38" s="88">
        <v>0</v>
      </c>
    </row>
    <row r="39" spans="2:4" ht="13.8">
      <c r="B39" s="58">
        <v>10120</v>
      </c>
      <c r="C39" s="59" t="s">
        <v>281</v>
      </c>
      <c r="D39" s="87">
        <v>0</v>
      </c>
    </row>
    <row r="40" spans="2:4" ht="13.8">
      <c r="B40" s="68">
        <v>10121</v>
      </c>
      <c r="C40" s="69" t="s">
        <v>282</v>
      </c>
      <c r="D40" s="88">
        <v>2</v>
      </c>
    </row>
    <row r="41" spans="2:4" ht="13.8">
      <c r="B41" s="58">
        <v>10201</v>
      </c>
      <c r="C41" s="59" t="s">
        <v>283</v>
      </c>
      <c r="D41" s="87">
        <v>2</v>
      </c>
    </row>
    <row r="42" spans="2:4" ht="13.8">
      <c r="B42" s="68">
        <v>10202</v>
      </c>
      <c r="C42" s="69" t="s">
        <v>284</v>
      </c>
      <c r="D42" s="88">
        <v>0</v>
      </c>
    </row>
    <row r="43" spans="2:4" ht="13.8">
      <c r="B43" s="58">
        <v>10203</v>
      </c>
      <c r="C43" s="59" t="s">
        <v>285</v>
      </c>
      <c r="D43" s="87">
        <v>0</v>
      </c>
    </row>
    <row r="44" spans="2:4" ht="13.8">
      <c r="B44" s="68">
        <v>10204</v>
      </c>
      <c r="C44" s="69" t="s">
        <v>286</v>
      </c>
      <c r="D44" s="88">
        <v>12</v>
      </c>
    </row>
    <row r="45" spans="2:4" ht="13.8">
      <c r="B45" s="58">
        <v>10205</v>
      </c>
      <c r="C45" s="59" t="s">
        <v>287</v>
      </c>
      <c r="D45" s="87">
        <v>1</v>
      </c>
    </row>
    <row r="46" spans="2:4" ht="13.8">
      <c r="B46" s="68">
        <v>10206</v>
      </c>
      <c r="C46" s="69" t="s">
        <v>288</v>
      </c>
      <c r="D46" s="88">
        <v>0</v>
      </c>
    </row>
    <row r="47" spans="2:4" ht="13.8">
      <c r="B47" s="58">
        <v>10207</v>
      </c>
      <c r="C47" s="59" t="s">
        <v>289</v>
      </c>
      <c r="D47" s="87">
        <v>0</v>
      </c>
    </row>
    <row r="48" spans="2:4" ht="13.8">
      <c r="B48" s="68">
        <v>10208</v>
      </c>
      <c r="C48" s="69" t="s">
        <v>290</v>
      </c>
      <c r="D48" s="88">
        <v>2</v>
      </c>
    </row>
    <row r="49" spans="2:4" ht="13.8">
      <c r="B49" s="58">
        <v>10209</v>
      </c>
      <c r="C49" s="59" t="s">
        <v>291</v>
      </c>
      <c r="D49" s="87">
        <v>0</v>
      </c>
    </row>
    <row r="50" spans="2:4" ht="13.8">
      <c r="B50" s="68">
        <v>10210</v>
      </c>
      <c r="C50" s="69" t="s">
        <v>292</v>
      </c>
      <c r="D50" s="88">
        <v>2</v>
      </c>
    </row>
    <row r="51" spans="2:4" ht="13.8">
      <c r="B51" s="58">
        <v>10211</v>
      </c>
      <c r="C51" s="59" t="s">
        <v>76</v>
      </c>
      <c r="D51" s="87">
        <v>0</v>
      </c>
    </row>
    <row r="52" spans="2:4" ht="13.8">
      <c r="B52" s="68">
        <v>10212</v>
      </c>
      <c r="C52" s="69" t="s">
        <v>293</v>
      </c>
      <c r="D52" s="88">
        <v>0</v>
      </c>
    </row>
    <row r="53" spans="2:4" ht="13.8">
      <c r="B53" s="58">
        <v>10213</v>
      </c>
      <c r="C53" s="59" t="s">
        <v>294</v>
      </c>
      <c r="D53" s="87">
        <v>0</v>
      </c>
    </row>
    <row r="54" spans="2:4" ht="13.8">
      <c r="B54" s="68">
        <v>10214</v>
      </c>
      <c r="C54" s="69" t="s">
        <v>295</v>
      </c>
      <c r="D54" s="88">
        <v>0</v>
      </c>
    </row>
    <row r="55" spans="2:4" ht="13.8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3.8">
      <c r="B57" s="58">
        <v>10217</v>
      </c>
      <c r="C57" s="59" t="s">
        <v>298</v>
      </c>
      <c r="D57" s="87">
        <v>0</v>
      </c>
    </row>
    <row r="58" spans="2:4" ht="13.8">
      <c r="B58" s="68">
        <v>10218</v>
      </c>
      <c r="C58" s="69" t="s">
        <v>299</v>
      </c>
      <c r="D58" s="88">
        <v>0</v>
      </c>
    </row>
    <row r="59" spans="2:4" ht="13.8">
      <c r="B59" s="58">
        <v>10219</v>
      </c>
      <c r="C59" s="59" t="s">
        <v>300</v>
      </c>
      <c r="D59" s="87">
        <v>0</v>
      </c>
    </row>
    <row r="60" spans="2:4" ht="13.8">
      <c r="B60" s="68">
        <v>10220</v>
      </c>
      <c r="C60" s="69" t="s">
        <v>301</v>
      </c>
      <c r="D60" s="88">
        <v>0</v>
      </c>
    </row>
    <row r="61" spans="2:4" ht="13.8">
      <c r="B61" s="58">
        <v>10301</v>
      </c>
      <c r="C61" s="59" t="s">
        <v>302</v>
      </c>
      <c r="D61" s="87">
        <v>0</v>
      </c>
    </row>
    <row r="62" spans="2:4" ht="13.8">
      <c r="B62" s="68">
        <v>10302</v>
      </c>
      <c r="C62" s="69" t="s">
        <v>303</v>
      </c>
      <c r="D62" s="88">
        <v>0</v>
      </c>
    </row>
    <row r="63" spans="2:4" ht="13.8">
      <c r="B63" s="58">
        <v>10303</v>
      </c>
      <c r="C63" s="59" t="s">
        <v>304</v>
      </c>
      <c r="D63" s="87">
        <v>0</v>
      </c>
    </row>
    <row r="64" spans="2:4" ht="13.8">
      <c r="B64" s="68">
        <v>10304</v>
      </c>
      <c r="C64" s="69" t="s">
        <v>305</v>
      </c>
      <c r="D64" s="88">
        <v>0</v>
      </c>
    </row>
    <row r="65" spans="2:4" ht="13.8">
      <c r="B65" s="58">
        <v>10305</v>
      </c>
      <c r="C65" s="59" t="s">
        <v>306</v>
      </c>
      <c r="D65" s="87">
        <v>1</v>
      </c>
    </row>
    <row r="66" spans="2:4" ht="13.8">
      <c r="B66" s="68">
        <v>10306</v>
      </c>
      <c r="C66" s="69" t="s">
        <v>307</v>
      </c>
      <c r="D66" s="88">
        <v>0</v>
      </c>
    </row>
    <row r="67" spans="2:4" ht="13.8">
      <c r="B67" s="58">
        <v>10307</v>
      </c>
      <c r="C67" s="59" t="s">
        <v>74</v>
      </c>
      <c r="D67" s="87">
        <v>6</v>
      </c>
    </row>
    <row r="68" spans="2:4" ht="13.8">
      <c r="B68" s="68">
        <v>10308</v>
      </c>
      <c r="C68" s="69" t="s">
        <v>308</v>
      </c>
      <c r="D68" s="88">
        <v>2</v>
      </c>
    </row>
    <row r="69" spans="2:4" ht="13.8">
      <c r="B69" s="58">
        <v>10309</v>
      </c>
      <c r="C69" s="59" t="s">
        <v>309</v>
      </c>
      <c r="D69" s="87">
        <v>0</v>
      </c>
    </row>
    <row r="70" spans="2:4" ht="13.8">
      <c r="B70" s="68">
        <v>10310</v>
      </c>
      <c r="C70" s="69" t="s">
        <v>310</v>
      </c>
      <c r="D70" s="88">
        <v>13</v>
      </c>
    </row>
    <row r="71" spans="2:4" ht="13.8">
      <c r="B71" s="58">
        <v>10311</v>
      </c>
      <c r="C71" s="59" t="s">
        <v>311</v>
      </c>
      <c r="D71" s="87">
        <v>1</v>
      </c>
    </row>
    <row r="72" spans="2:4" ht="13.8">
      <c r="B72" s="68">
        <v>10312</v>
      </c>
      <c r="C72" s="69" t="s">
        <v>312</v>
      </c>
      <c r="D72" s="88">
        <v>2</v>
      </c>
    </row>
    <row r="73" spans="2:4" ht="13.8">
      <c r="B73" s="58">
        <v>10313</v>
      </c>
      <c r="C73" s="59" t="s">
        <v>313</v>
      </c>
      <c r="D73" s="87">
        <v>0</v>
      </c>
    </row>
    <row r="74" spans="2:4" ht="13.8">
      <c r="B74" s="68">
        <v>10314</v>
      </c>
      <c r="C74" s="69" t="s">
        <v>314</v>
      </c>
      <c r="D74" s="88">
        <v>1</v>
      </c>
    </row>
    <row r="75" spans="2:4" ht="13.8">
      <c r="B75" s="58">
        <v>10315</v>
      </c>
      <c r="C75" s="59" t="s">
        <v>315</v>
      </c>
      <c r="D75" s="87">
        <v>2</v>
      </c>
    </row>
    <row r="76" spans="2:4" ht="13.8">
      <c r="B76" s="68">
        <v>10316</v>
      </c>
      <c r="C76" s="69" t="s">
        <v>316</v>
      </c>
      <c r="D76" s="88">
        <v>0</v>
      </c>
    </row>
    <row r="77" spans="2:4" ht="13.8">
      <c r="B77" s="58">
        <v>10317</v>
      </c>
      <c r="C77" s="59" t="s">
        <v>317</v>
      </c>
      <c r="D77" s="87">
        <v>6</v>
      </c>
    </row>
    <row r="78" spans="2:4" ht="13.8">
      <c r="B78" s="68">
        <v>10318</v>
      </c>
      <c r="C78" s="69" t="s">
        <v>318</v>
      </c>
      <c r="D78" s="88">
        <v>3</v>
      </c>
    </row>
    <row r="79" spans="2:4" ht="13.8">
      <c r="B79" s="58">
        <v>10319</v>
      </c>
      <c r="C79" s="59" t="s">
        <v>80</v>
      </c>
      <c r="D79" s="87">
        <v>0</v>
      </c>
    </row>
    <row r="80" spans="2:4" ht="13.8">
      <c r="B80" s="70">
        <v>20101</v>
      </c>
      <c r="C80" s="71" t="s">
        <v>319</v>
      </c>
      <c r="D80" s="89">
        <v>0</v>
      </c>
    </row>
    <row r="81" spans="2:4" ht="13.8">
      <c r="B81" s="60">
        <v>20102</v>
      </c>
      <c r="C81" s="61" t="s">
        <v>261</v>
      </c>
      <c r="D81" s="87">
        <v>0</v>
      </c>
    </row>
    <row r="82" spans="2:4" ht="13.8">
      <c r="B82" s="70">
        <v>20103</v>
      </c>
      <c r="C82" s="71" t="s">
        <v>78</v>
      </c>
      <c r="D82" s="89">
        <v>0</v>
      </c>
    </row>
    <row r="83" spans="2:4" ht="13.8">
      <c r="B83" s="60">
        <v>20104</v>
      </c>
      <c r="C83" s="61" t="s">
        <v>79</v>
      </c>
      <c r="D83" s="87">
        <v>2</v>
      </c>
    </row>
    <row r="84" spans="2:4" ht="13.8">
      <c r="B84" s="70">
        <v>20105</v>
      </c>
      <c r="C84" s="71" t="s">
        <v>320</v>
      </c>
      <c r="D84" s="89">
        <v>0</v>
      </c>
    </row>
    <row r="85" spans="2:4" ht="13.8">
      <c r="B85" s="60">
        <v>20106</v>
      </c>
      <c r="C85" s="61" t="s">
        <v>321</v>
      </c>
      <c r="D85" s="87">
        <v>0</v>
      </c>
    </row>
    <row r="86" spans="2:4" ht="13.8">
      <c r="B86" s="70">
        <v>20107</v>
      </c>
      <c r="C86" s="71" t="s">
        <v>81</v>
      </c>
      <c r="D86" s="89">
        <v>0</v>
      </c>
    </row>
    <row r="87" spans="2:4" ht="13.8">
      <c r="B87" s="60">
        <v>20108</v>
      </c>
      <c r="C87" s="61" t="s">
        <v>322</v>
      </c>
      <c r="D87" s="87">
        <v>0</v>
      </c>
    </row>
    <row r="88" spans="2:4" ht="13.8">
      <c r="B88" s="70">
        <v>20109</v>
      </c>
      <c r="C88" s="71" t="s">
        <v>323</v>
      </c>
      <c r="D88" s="89">
        <v>0</v>
      </c>
    </row>
    <row r="89" spans="2:4" ht="13.8">
      <c r="B89" s="60">
        <v>20110</v>
      </c>
      <c r="C89" s="61" t="s">
        <v>324</v>
      </c>
      <c r="D89" s="87">
        <v>0</v>
      </c>
    </row>
    <row r="90" spans="2:4" ht="13.8">
      <c r="B90" s="70">
        <v>20111</v>
      </c>
      <c r="C90" s="71" t="s">
        <v>325</v>
      </c>
      <c r="D90" s="89">
        <v>0</v>
      </c>
    </row>
    <row r="91" spans="2:4" ht="13.8">
      <c r="B91" s="60">
        <v>20112</v>
      </c>
      <c r="C91" s="61" t="s">
        <v>326</v>
      </c>
      <c r="D91" s="87">
        <v>0</v>
      </c>
    </row>
    <row r="92" spans="2:4" ht="13.8">
      <c r="B92" s="70">
        <v>20113</v>
      </c>
      <c r="C92" s="71" t="s">
        <v>195</v>
      </c>
      <c r="D92" s="89">
        <v>0</v>
      </c>
    </row>
    <row r="93" spans="2:4" ht="13.8">
      <c r="B93" s="60">
        <v>20114</v>
      </c>
      <c r="C93" s="61" t="s">
        <v>82</v>
      </c>
      <c r="D93" s="87">
        <v>0</v>
      </c>
    </row>
    <row r="94" spans="2:4" ht="13.8">
      <c r="B94" s="70">
        <v>20201</v>
      </c>
      <c r="C94" s="71" t="s">
        <v>83</v>
      </c>
      <c r="D94" s="89">
        <v>1</v>
      </c>
    </row>
    <row r="95" spans="2:4" ht="13.8">
      <c r="B95" s="60">
        <v>20202</v>
      </c>
      <c r="C95" s="61" t="s">
        <v>84</v>
      </c>
      <c r="D95" s="87">
        <v>1</v>
      </c>
    </row>
    <row r="96" spans="2:4" ht="13.8">
      <c r="B96" s="70">
        <v>20203</v>
      </c>
      <c r="C96" s="71" t="s">
        <v>85</v>
      </c>
      <c r="D96" s="89">
        <v>0</v>
      </c>
    </row>
    <row r="97" spans="2:4" ht="13.8">
      <c r="B97" s="60">
        <v>20204</v>
      </c>
      <c r="C97" s="61" t="s">
        <v>86</v>
      </c>
      <c r="D97" s="87">
        <v>0</v>
      </c>
    </row>
    <row r="98" spans="2:4" ht="13.8">
      <c r="B98" s="70">
        <v>20205</v>
      </c>
      <c r="C98" s="71" t="s">
        <v>87</v>
      </c>
      <c r="D98" s="89">
        <v>0</v>
      </c>
    </row>
    <row r="99" spans="2:4" ht="13.8">
      <c r="B99" s="60">
        <v>20206</v>
      </c>
      <c r="C99" s="61" t="s">
        <v>88</v>
      </c>
      <c r="D99" s="87">
        <v>0</v>
      </c>
    </row>
    <row r="100" spans="2:4" ht="13.8">
      <c r="B100" s="70">
        <v>20207</v>
      </c>
      <c r="C100" s="71" t="s">
        <v>89</v>
      </c>
      <c r="D100" s="89">
        <v>0</v>
      </c>
    </row>
    <row r="101" spans="2:4" ht="13.8">
      <c r="B101" s="60">
        <v>20208</v>
      </c>
      <c r="C101" s="61" t="s">
        <v>90</v>
      </c>
      <c r="D101" s="87">
        <v>0</v>
      </c>
    </row>
    <row r="102" spans="2:4" ht="13.8">
      <c r="B102" s="70">
        <v>20209</v>
      </c>
      <c r="C102" s="71" t="s">
        <v>91</v>
      </c>
      <c r="D102" s="89">
        <v>0</v>
      </c>
    </row>
    <row r="103" spans="2:4" ht="13.8">
      <c r="B103" s="60">
        <v>20210</v>
      </c>
      <c r="C103" s="61" t="s">
        <v>192</v>
      </c>
      <c r="D103" s="87">
        <v>2</v>
      </c>
    </row>
    <row r="104" spans="2:4" ht="13.8">
      <c r="B104" s="70">
        <v>20211</v>
      </c>
      <c r="C104" s="71" t="s">
        <v>327</v>
      </c>
      <c r="D104" s="89">
        <v>0</v>
      </c>
    </row>
    <row r="105" spans="2:4" ht="13.8">
      <c r="B105" s="60">
        <v>20212</v>
      </c>
      <c r="C105" s="61" t="s">
        <v>93</v>
      </c>
      <c r="D105" s="87">
        <v>0</v>
      </c>
    </row>
    <row r="106" spans="2:4" ht="13.8">
      <c r="B106" s="70">
        <v>20213</v>
      </c>
      <c r="C106" s="71" t="s">
        <v>94</v>
      </c>
      <c r="D106" s="89">
        <v>0</v>
      </c>
    </row>
    <row r="107" spans="2:4" ht="13.8">
      <c r="B107" s="60">
        <v>20214</v>
      </c>
      <c r="C107" s="61" t="s">
        <v>328</v>
      </c>
      <c r="D107" s="87">
        <v>0</v>
      </c>
    </row>
    <row r="108" spans="2:4" ht="13.8">
      <c r="B108" s="70">
        <v>20301</v>
      </c>
      <c r="C108" s="71" t="s">
        <v>329</v>
      </c>
      <c r="D108" s="89">
        <v>2</v>
      </c>
    </row>
    <row r="109" spans="2:4" ht="13.8">
      <c r="B109" s="60">
        <v>20302</v>
      </c>
      <c r="C109" s="61" t="s">
        <v>330</v>
      </c>
      <c r="D109" s="87">
        <v>0</v>
      </c>
    </row>
    <row r="110" spans="2:4" ht="13.8">
      <c r="B110" s="70">
        <v>20303</v>
      </c>
      <c r="C110" s="71" t="s">
        <v>331</v>
      </c>
      <c r="D110" s="89">
        <v>1</v>
      </c>
    </row>
    <row r="111" spans="2:4" ht="13.8">
      <c r="B111" s="60">
        <v>20304</v>
      </c>
      <c r="C111" s="61" t="s">
        <v>332</v>
      </c>
      <c r="D111" s="87">
        <v>0</v>
      </c>
    </row>
    <row r="112" spans="2:4" ht="13.8">
      <c r="B112" s="70">
        <v>20305</v>
      </c>
      <c r="C112" s="71" t="s">
        <v>333</v>
      </c>
      <c r="D112" s="89">
        <v>0</v>
      </c>
    </row>
    <row r="113" spans="2:4" ht="13.8">
      <c r="B113" s="60">
        <v>20306</v>
      </c>
      <c r="C113" s="61" t="s">
        <v>334</v>
      </c>
      <c r="D113" s="87">
        <v>0</v>
      </c>
    </row>
    <row r="114" spans="2:4" ht="13.8">
      <c r="B114" s="70">
        <v>20307</v>
      </c>
      <c r="C114" s="71" t="s">
        <v>335</v>
      </c>
      <c r="D114" s="89">
        <v>8</v>
      </c>
    </row>
    <row r="115" spans="2:4" ht="13.8">
      <c r="B115" s="60">
        <v>20308</v>
      </c>
      <c r="C115" s="61" t="s">
        <v>336</v>
      </c>
      <c r="D115" s="87">
        <v>1</v>
      </c>
    </row>
    <row r="116" spans="2:4" ht="13.8">
      <c r="B116" s="70">
        <v>20309</v>
      </c>
      <c r="C116" s="71" t="s">
        <v>337</v>
      </c>
      <c r="D116" s="89">
        <v>1</v>
      </c>
    </row>
    <row r="117" spans="2:4" ht="13.8">
      <c r="B117" s="60">
        <v>20310</v>
      </c>
      <c r="C117" s="61" t="s">
        <v>338</v>
      </c>
      <c r="D117" s="87">
        <v>0</v>
      </c>
    </row>
    <row r="118" spans="2:4" ht="13.8">
      <c r="B118" s="70">
        <v>20311</v>
      </c>
      <c r="C118" s="71" t="s">
        <v>339</v>
      </c>
      <c r="D118" s="89">
        <v>10</v>
      </c>
    </row>
    <row r="119" spans="2:4" ht="13.8">
      <c r="B119" s="60">
        <v>20401</v>
      </c>
      <c r="C119" s="61" t="s">
        <v>340</v>
      </c>
      <c r="D119" s="87">
        <v>1</v>
      </c>
    </row>
    <row r="120" spans="2:4" ht="13.8">
      <c r="B120" s="70">
        <v>20402</v>
      </c>
      <c r="C120" s="71" t="s">
        <v>341</v>
      </c>
      <c r="D120" s="89">
        <v>0</v>
      </c>
    </row>
    <row r="121" spans="2:4" ht="13.8">
      <c r="B121" s="60">
        <v>20403</v>
      </c>
      <c r="C121" s="61" t="s">
        <v>342</v>
      </c>
      <c r="D121" s="87">
        <v>1</v>
      </c>
    </row>
    <row r="122" spans="2:4" ht="13.8">
      <c r="B122" s="70">
        <v>20404</v>
      </c>
      <c r="C122" s="71" t="s">
        <v>343</v>
      </c>
      <c r="D122" s="89">
        <v>0</v>
      </c>
    </row>
    <row r="123" spans="2:4" ht="13.8">
      <c r="B123" s="64">
        <v>30101</v>
      </c>
      <c r="C123" s="65" t="s">
        <v>344</v>
      </c>
      <c r="D123" s="90">
        <v>4</v>
      </c>
    </row>
    <row r="124" spans="2:4" ht="13.8">
      <c r="B124" s="62">
        <v>30102</v>
      </c>
      <c r="C124" s="63" t="s">
        <v>95</v>
      </c>
      <c r="D124" s="87">
        <v>0</v>
      </c>
    </row>
    <row r="125" spans="2:4" ht="13.8">
      <c r="B125" s="64">
        <v>30103</v>
      </c>
      <c r="C125" s="65" t="s">
        <v>75</v>
      </c>
      <c r="D125" s="90">
        <v>4</v>
      </c>
    </row>
    <row r="126" spans="2:4" ht="13.8">
      <c r="B126" s="62">
        <v>30201</v>
      </c>
      <c r="C126" s="63" t="s">
        <v>96</v>
      </c>
      <c r="D126" s="87">
        <v>0</v>
      </c>
    </row>
    <row r="127" spans="2:4" ht="13.8">
      <c r="B127" s="64">
        <v>30202</v>
      </c>
      <c r="C127" s="65" t="s">
        <v>415</v>
      </c>
      <c r="D127" s="90">
        <v>0</v>
      </c>
    </row>
    <row r="128" spans="2:4" ht="13.8">
      <c r="B128" s="62">
        <v>30203</v>
      </c>
      <c r="C128" s="63" t="s">
        <v>345</v>
      </c>
      <c r="D128" s="87">
        <v>0</v>
      </c>
    </row>
    <row r="129" spans="2:4" ht="13.8">
      <c r="B129" s="64">
        <v>30204</v>
      </c>
      <c r="C129" s="65" t="s">
        <v>98</v>
      </c>
      <c r="D129" s="90">
        <v>2</v>
      </c>
    </row>
    <row r="130" spans="2:4" ht="13.8">
      <c r="B130" s="62">
        <v>30205</v>
      </c>
      <c r="C130" s="63" t="s">
        <v>346</v>
      </c>
      <c r="D130" s="87">
        <v>0</v>
      </c>
    </row>
    <row r="131" spans="2:4" ht="13.8">
      <c r="B131" s="64">
        <v>30206</v>
      </c>
      <c r="C131" s="65" t="s">
        <v>347</v>
      </c>
      <c r="D131" s="90">
        <v>0</v>
      </c>
    </row>
    <row r="132" spans="2:4" ht="13.8">
      <c r="B132" s="62">
        <v>30207</v>
      </c>
      <c r="C132" s="63" t="s">
        <v>348</v>
      </c>
      <c r="D132" s="87">
        <v>0</v>
      </c>
    </row>
    <row r="133" spans="2:4" ht="13.8">
      <c r="B133" s="64">
        <v>30301</v>
      </c>
      <c r="C133" s="65" t="s">
        <v>99</v>
      </c>
      <c r="D133" s="90">
        <v>0</v>
      </c>
    </row>
    <row r="134" spans="2:4" ht="13.8">
      <c r="B134" s="62">
        <v>30302</v>
      </c>
      <c r="C134" s="63" t="s">
        <v>100</v>
      </c>
      <c r="D134" s="87">
        <v>5</v>
      </c>
    </row>
    <row r="135" spans="2:4" ht="13.8">
      <c r="B135" s="64">
        <v>30303</v>
      </c>
      <c r="C135" s="65" t="s">
        <v>349</v>
      </c>
      <c r="D135" s="90">
        <v>0</v>
      </c>
    </row>
    <row r="136" spans="2:4" ht="13.8">
      <c r="B136" s="62">
        <v>30304</v>
      </c>
      <c r="C136" s="63" t="s">
        <v>101</v>
      </c>
      <c r="D136" s="87">
        <v>0</v>
      </c>
    </row>
    <row r="137" spans="2:4" ht="13.8">
      <c r="B137" s="64">
        <v>30305</v>
      </c>
      <c r="C137" s="65" t="s">
        <v>102</v>
      </c>
      <c r="D137" s="90">
        <v>2</v>
      </c>
    </row>
    <row r="138" spans="2:4" ht="13.8">
      <c r="B138" s="62">
        <v>30306</v>
      </c>
      <c r="C138" s="63" t="s">
        <v>103</v>
      </c>
      <c r="D138" s="87">
        <v>0</v>
      </c>
    </row>
    <row r="139" spans="2:4" ht="13.8">
      <c r="B139" s="64">
        <v>30307</v>
      </c>
      <c r="C139" s="65" t="s">
        <v>104</v>
      </c>
      <c r="D139" s="90">
        <v>0</v>
      </c>
    </row>
    <row r="140" spans="2:4" ht="13.8">
      <c r="B140" s="62">
        <v>30308</v>
      </c>
      <c r="C140" s="63" t="s">
        <v>350</v>
      </c>
      <c r="D140" s="87">
        <v>2</v>
      </c>
    </row>
    <row r="141" spans="2:4" ht="13.8">
      <c r="B141" s="64">
        <v>30309</v>
      </c>
      <c r="C141" s="65" t="s">
        <v>351</v>
      </c>
      <c r="D141" s="90">
        <v>14</v>
      </c>
    </row>
    <row r="142" spans="2:4" ht="13.8">
      <c r="B142" s="62">
        <v>30310</v>
      </c>
      <c r="C142" s="63" t="s">
        <v>352</v>
      </c>
      <c r="D142" s="87">
        <v>4</v>
      </c>
    </row>
    <row r="143" spans="2:4" ht="13.8">
      <c r="B143" s="64">
        <v>30401</v>
      </c>
      <c r="C143" s="65" t="s">
        <v>353</v>
      </c>
      <c r="D143" s="90">
        <v>1</v>
      </c>
    </row>
    <row r="144" spans="2:4" ht="13.8">
      <c r="B144" s="62">
        <v>30402</v>
      </c>
      <c r="C144" s="63" t="s">
        <v>354</v>
      </c>
      <c r="D144" s="87">
        <v>0</v>
      </c>
    </row>
    <row r="145" spans="2:4" ht="13.8">
      <c r="B145" s="64">
        <v>30403</v>
      </c>
      <c r="C145" s="65" t="s">
        <v>355</v>
      </c>
      <c r="D145" s="90">
        <v>1</v>
      </c>
    </row>
    <row r="146" spans="2:4" ht="13.8">
      <c r="B146" s="62">
        <v>30404</v>
      </c>
      <c r="C146" s="63" t="s">
        <v>105</v>
      </c>
      <c r="D146" s="87">
        <v>0</v>
      </c>
    </row>
    <row r="147" spans="2:4" ht="13.8">
      <c r="B147" s="64">
        <v>30405</v>
      </c>
      <c r="C147" s="65" t="s">
        <v>106</v>
      </c>
      <c r="D147" s="90">
        <v>0</v>
      </c>
    </row>
    <row r="148" spans="2:4" ht="13.8">
      <c r="B148" s="62">
        <v>30406</v>
      </c>
      <c r="C148" s="63" t="s">
        <v>107</v>
      </c>
      <c r="D148" s="87">
        <v>0</v>
      </c>
    </row>
    <row r="149" spans="2:4" ht="13.8">
      <c r="B149" s="64">
        <v>30407</v>
      </c>
      <c r="C149" s="65" t="s">
        <v>356</v>
      </c>
      <c r="D149" s="90">
        <v>5</v>
      </c>
    </row>
    <row r="150" spans="2:4" ht="13.8">
      <c r="B150" s="62">
        <v>30408</v>
      </c>
      <c r="C150" s="63" t="s">
        <v>357</v>
      </c>
      <c r="D150" s="87">
        <v>0</v>
      </c>
    </row>
    <row r="151" spans="2:4" ht="13.8">
      <c r="B151" s="64">
        <v>30409</v>
      </c>
      <c r="C151" s="65" t="s">
        <v>109</v>
      </c>
      <c r="D151" s="90">
        <v>0</v>
      </c>
    </row>
    <row r="152" spans="2:4" ht="13.8">
      <c r="B152" s="62">
        <v>30410</v>
      </c>
      <c r="C152" s="63" t="s">
        <v>110</v>
      </c>
      <c r="D152" s="87">
        <v>0</v>
      </c>
    </row>
    <row r="153" spans="2:4" ht="13.8">
      <c r="B153" s="64">
        <v>30411</v>
      </c>
      <c r="C153" s="65" t="s">
        <v>358</v>
      </c>
      <c r="D153" s="90">
        <v>0</v>
      </c>
    </row>
    <row r="154" spans="2:4" ht="13.8">
      <c r="B154" s="62">
        <v>30412</v>
      </c>
      <c r="C154" s="63" t="s">
        <v>111</v>
      </c>
      <c r="D154" s="87">
        <v>0</v>
      </c>
    </row>
    <row r="155" spans="2:4" ht="13.8">
      <c r="B155" s="64">
        <v>30413</v>
      </c>
      <c r="C155" s="65" t="s">
        <v>112</v>
      </c>
      <c r="D155" s="90">
        <v>0</v>
      </c>
    </row>
    <row r="156" spans="2:4" ht="13.8">
      <c r="B156" s="62">
        <v>30414</v>
      </c>
      <c r="C156" s="63" t="s">
        <v>113</v>
      </c>
      <c r="D156" s="87">
        <v>2</v>
      </c>
    </row>
    <row r="157" spans="2:4" ht="13.8">
      <c r="B157" s="64">
        <v>30415</v>
      </c>
      <c r="C157" s="65" t="s">
        <v>114</v>
      </c>
      <c r="D157" s="90">
        <v>0</v>
      </c>
    </row>
    <row r="158" spans="2:4" ht="13.8">
      <c r="B158" s="62">
        <v>30416</v>
      </c>
      <c r="C158" s="63" t="s">
        <v>115</v>
      </c>
      <c r="D158" s="87">
        <v>0</v>
      </c>
    </row>
    <row r="159" spans="2:4" ht="13.8">
      <c r="B159" s="64">
        <v>30417</v>
      </c>
      <c r="C159" s="65" t="s">
        <v>116</v>
      </c>
      <c r="D159" s="90">
        <v>0</v>
      </c>
    </row>
    <row r="160" spans="2:4" ht="13.8">
      <c r="B160" s="62">
        <v>30418</v>
      </c>
      <c r="C160" s="63" t="s">
        <v>117</v>
      </c>
      <c r="D160" s="87">
        <v>0</v>
      </c>
    </row>
    <row r="161" spans="2:4" ht="13.8">
      <c r="B161" s="64">
        <v>30419</v>
      </c>
      <c r="C161" s="65" t="s">
        <v>118</v>
      </c>
      <c r="D161" s="90">
        <v>0</v>
      </c>
    </row>
    <row r="162" spans="2:4" ht="13.8">
      <c r="B162" s="62">
        <v>30420</v>
      </c>
      <c r="C162" s="63" t="s">
        <v>119</v>
      </c>
      <c r="D162" s="87">
        <v>0</v>
      </c>
    </row>
    <row r="163" spans="2:4" ht="13.8">
      <c r="B163" s="64">
        <v>30421</v>
      </c>
      <c r="C163" s="65" t="s">
        <v>120</v>
      </c>
      <c r="D163" s="90">
        <v>1</v>
      </c>
    </row>
    <row r="164" spans="2:4" ht="13.8">
      <c r="B164" s="62">
        <v>30422</v>
      </c>
      <c r="C164" s="63" t="s">
        <v>121</v>
      </c>
      <c r="D164" s="87">
        <v>0</v>
      </c>
    </row>
    <row r="165" spans="2:4" ht="13.8">
      <c r="B165" s="64">
        <v>30423</v>
      </c>
      <c r="C165" s="65" t="s">
        <v>122</v>
      </c>
      <c r="D165" s="90">
        <v>0</v>
      </c>
    </row>
    <row r="166" spans="2:4" ht="13.8">
      <c r="B166" s="62">
        <v>30424</v>
      </c>
      <c r="C166" s="63" t="s">
        <v>123</v>
      </c>
      <c r="D166" s="87">
        <v>0</v>
      </c>
    </row>
    <row r="167" spans="2:4" ht="13.8">
      <c r="B167" s="64">
        <v>30425</v>
      </c>
      <c r="C167" s="65" t="s">
        <v>124</v>
      </c>
      <c r="D167" s="90">
        <v>0</v>
      </c>
    </row>
    <row r="168" spans="2:4" ht="13.8">
      <c r="B168" s="62">
        <v>30426</v>
      </c>
      <c r="C168" s="63" t="s">
        <v>125</v>
      </c>
      <c r="D168" s="87">
        <v>0</v>
      </c>
    </row>
    <row r="169" spans="2:4" ht="13.8">
      <c r="B169" s="64">
        <v>30427</v>
      </c>
      <c r="C169" s="65" t="s">
        <v>126</v>
      </c>
      <c r="D169" s="90">
        <v>0</v>
      </c>
    </row>
    <row r="170" spans="2:4" ht="13.8">
      <c r="B170" s="62">
        <v>30428</v>
      </c>
      <c r="C170" s="63" t="s">
        <v>127</v>
      </c>
      <c r="D170" s="87">
        <v>0</v>
      </c>
    </row>
    <row r="171" spans="2:4" ht="13.8">
      <c r="B171" s="64">
        <v>30429</v>
      </c>
      <c r="C171" s="65" t="s">
        <v>128</v>
      </c>
      <c r="D171" s="90">
        <v>1</v>
      </c>
    </row>
    <row r="172" spans="2:4" ht="13.8">
      <c r="B172" s="62">
        <v>30430</v>
      </c>
      <c r="C172" s="63" t="s">
        <v>129</v>
      </c>
      <c r="D172" s="87">
        <v>4</v>
      </c>
    </row>
    <row r="173" spans="2:4" ht="13.8">
      <c r="B173" s="64">
        <v>30431</v>
      </c>
      <c r="C173" s="65" t="s">
        <v>130</v>
      </c>
      <c r="D173" s="90">
        <v>0</v>
      </c>
    </row>
    <row r="174" spans="2:4" ht="13.8">
      <c r="B174" s="62">
        <v>30432</v>
      </c>
      <c r="C174" s="63" t="s">
        <v>131</v>
      </c>
      <c r="D174" s="87">
        <v>0</v>
      </c>
    </row>
    <row r="175" spans="2:4" ht="13.8">
      <c r="B175" s="64">
        <v>30433</v>
      </c>
      <c r="C175" s="65" t="s">
        <v>132</v>
      </c>
      <c r="D175" s="90">
        <v>0</v>
      </c>
    </row>
    <row r="176" spans="2:4" ht="13.8">
      <c r="B176" s="62">
        <v>30434</v>
      </c>
      <c r="C176" s="63" t="s">
        <v>133</v>
      </c>
      <c r="D176" s="87">
        <v>0</v>
      </c>
    </row>
    <row r="177" spans="2:4" ht="13.8">
      <c r="B177" s="64">
        <v>30435</v>
      </c>
      <c r="C177" s="65" t="s">
        <v>134</v>
      </c>
      <c r="D177" s="90">
        <v>0</v>
      </c>
    </row>
    <row r="178" spans="2:4" ht="13.8">
      <c r="B178" s="62">
        <v>30436</v>
      </c>
      <c r="C178" s="63" t="s">
        <v>135</v>
      </c>
      <c r="D178" s="87">
        <v>0</v>
      </c>
    </row>
    <row r="179" spans="2:4" ht="13.8">
      <c r="B179" s="64">
        <v>30437</v>
      </c>
      <c r="C179" s="65" t="s">
        <v>136</v>
      </c>
      <c r="D179" s="90">
        <v>0</v>
      </c>
    </row>
    <row r="180" spans="2:4" ht="13.8">
      <c r="B180" s="62">
        <v>30438</v>
      </c>
      <c r="C180" s="63" t="s">
        <v>137</v>
      </c>
      <c r="D180" s="87">
        <v>0</v>
      </c>
    </row>
    <row r="181" spans="2:4" ht="13.8">
      <c r="B181" s="64">
        <v>30439</v>
      </c>
      <c r="C181" s="65" t="s">
        <v>138</v>
      </c>
      <c r="D181" s="90">
        <v>0</v>
      </c>
    </row>
    <row r="182" spans="2:4" ht="13.8">
      <c r="B182" s="62">
        <v>30440</v>
      </c>
      <c r="C182" s="63" t="s">
        <v>359</v>
      </c>
      <c r="D182" s="87">
        <v>1</v>
      </c>
    </row>
    <row r="183" spans="2:4" ht="13.8">
      <c r="B183" s="64">
        <v>30441</v>
      </c>
      <c r="C183" s="65" t="s">
        <v>360</v>
      </c>
      <c r="D183" s="90">
        <v>0</v>
      </c>
    </row>
    <row r="184" spans="2:4" ht="13.8">
      <c r="B184" s="62">
        <v>30442</v>
      </c>
      <c r="C184" s="63" t="s">
        <v>361</v>
      </c>
      <c r="D184" s="87">
        <v>0</v>
      </c>
    </row>
    <row r="185" spans="2:4" ht="13.8">
      <c r="B185" s="64">
        <v>30443</v>
      </c>
      <c r="C185" s="65" t="s">
        <v>362</v>
      </c>
      <c r="D185" s="90">
        <v>0</v>
      </c>
    </row>
    <row r="186" spans="2:4" ht="13.8">
      <c r="B186" s="62">
        <v>30444</v>
      </c>
      <c r="C186" s="63" t="s">
        <v>363</v>
      </c>
      <c r="D186" s="87">
        <v>0</v>
      </c>
    </row>
    <row r="187" spans="2:4" ht="13.8">
      <c r="B187" s="64">
        <v>30445</v>
      </c>
      <c r="C187" s="65" t="s">
        <v>364</v>
      </c>
      <c r="D187" s="90">
        <v>0</v>
      </c>
    </row>
    <row r="188" spans="2:4" ht="13.8">
      <c r="B188" s="62">
        <v>30446</v>
      </c>
      <c r="C188" s="63" t="s">
        <v>365</v>
      </c>
      <c r="D188" s="87">
        <v>0</v>
      </c>
    </row>
    <row r="189" spans="2:4" ht="13.8">
      <c r="B189" s="64">
        <v>30501</v>
      </c>
      <c r="C189" s="65" t="s">
        <v>139</v>
      </c>
      <c r="D189" s="90">
        <v>0</v>
      </c>
    </row>
    <row r="190" spans="2:4" ht="13.8">
      <c r="B190" s="62">
        <v>30502</v>
      </c>
      <c r="C190" s="63" t="s">
        <v>140</v>
      </c>
      <c r="D190" s="87">
        <v>19</v>
      </c>
    </row>
    <row r="191" spans="2:4" ht="13.8">
      <c r="B191" s="64">
        <v>30503</v>
      </c>
      <c r="C191" s="65" t="s">
        <v>141</v>
      </c>
      <c r="D191" s="90">
        <v>15</v>
      </c>
    </row>
    <row r="192" spans="2:4" ht="13.8">
      <c r="B192" s="62">
        <v>30504</v>
      </c>
      <c r="C192" s="63" t="s">
        <v>366</v>
      </c>
      <c r="D192" s="87">
        <v>2</v>
      </c>
    </row>
    <row r="193" spans="2:4" ht="13.8">
      <c r="B193" s="64">
        <v>30505</v>
      </c>
      <c r="C193" s="65" t="s">
        <v>367</v>
      </c>
      <c r="D193" s="90">
        <v>5</v>
      </c>
    </row>
    <row r="194" spans="2:4" ht="13.8">
      <c r="B194" s="62">
        <v>30601</v>
      </c>
      <c r="C194" s="63" t="s">
        <v>142</v>
      </c>
      <c r="D194" s="87">
        <v>1</v>
      </c>
    </row>
    <row r="195" spans="2:4" ht="13.8">
      <c r="B195" s="64">
        <v>30602</v>
      </c>
      <c r="C195" s="65" t="s">
        <v>143</v>
      </c>
      <c r="D195" s="90">
        <v>4</v>
      </c>
    </row>
    <row r="196" spans="2:4" ht="13.8">
      <c r="B196" s="62">
        <v>30603</v>
      </c>
      <c r="C196" s="63" t="s">
        <v>144</v>
      </c>
      <c r="D196" s="87">
        <v>1</v>
      </c>
    </row>
    <row r="197" spans="2:4" ht="13.8">
      <c r="B197" s="64">
        <v>30604</v>
      </c>
      <c r="C197" s="65" t="s">
        <v>145</v>
      </c>
      <c r="D197" s="90">
        <v>0</v>
      </c>
    </row>
    <row r="198" spans="2:4" ht="13.8">
      <c r="B198" s="62">
        <v>30605</v>
      </c>
      <c r="C198" s="63" t="s">
        <v>368</v>
      </c>
      <c r="D198" s="87">
        <v>0</v>
      </c>
    </row>
    <row r="199" spans="2:4" ht="13.8">
      <c r="B199" s="64">
        <v>30606</v>
      </c>
      <c r="C199" s="65" t="s">
        <v>369</v>
      </c>
      <c r="D199" s="90">
        <v>0</v>
      </c>
    </row>
    <row r="200" spans="2:4" ht="13.8">
      <c r="B200" s="62">
        <v>30607</v>
      </c>
      <c r="C200" s="63" t="s">
        <v>146</v>
      </c>
      <c r="D200" s="87">
        <v>0</v>
      </c>
    </row>
    <row r="201" spans="2:4" ht="13.8">
      <c r="B201" s="64">
        <v>30608</v>
      </c>
      <c r="C201" s="65" t="s">
        <v>147</v>
      </c>
      <c r="D201" s="90">
        <v>0</v>
      </c>
    </row>
    <row r="202" spans="2:4" ht="13.8">
      <c r="B202" s="62">
        <v>30609</v>
      </c>
      <c r="C202" s="63" t="s">
        <v>370</v>
      </c>
      <c r="D202" s="87">
        <v>0</v>
      </c>
    </row>
    <row r="203" spans="2:4" ht="13.8">
      <c r="B203" s="64">
        <v>30610</v>
      </c>
      <c r="C203" s="65" t="s">
        <v>371</v>
      </c>
      <c r="D203" s="90">
        <v>0</v>
      </c>
    </row>
    <row r="204" spans="2:4" ht="13.8">
      <c r="B204" s="62">
        <v>30611</v>
      </c>
      <c r="C204" s="63" t="s">
        <v>372</v>
      </c>
      <c r="D204" s="87">
        <v>0</v>
      </c>
    </row>
    <row r="205" spans="2:4" ht="13.8">
      <c r="B205" s="64">
        <v>30701</v>
      </c>
      <c r="C205" s="65" t="s">
        <v>148</v>
      </c>
      <c r="D205" s="90">
        <v>0</v>
      </c>
    </row>
    <row r="206" spans="2:4" ht="13.8">
      <c r="B206" s="62">
        <v>30702</v>
      </c>
      <c r="C206" s="63" t="s">
        <v>149</v>
      </c>
      <c r="D206" s="87">
        <v>3</v>
      </c>
    </row>
    <row r="207" spans="2:4" ht="13.8">
      <c r="B207" s="64">
        <v>30703</v>
      </c>
      <c r="C207" s="65" t="s">
        <v>150</v>
      </c>
      <c r="D207" s="90">
        <v>0</v>
      </c>
    </row>
    <row r="208" spans="2:4" ht="13.8">
      <c r="B208" s="62">
        <v>30704</v>
      </c>
      <c r="C208" s="63" t="s">
        <v>151</v>
      </c>
      <c r="D208" s="87">
        <v>0</v>
      </c>
    </row>
    <row r="209" spans="2:4" ht="13.8">
      <c r="B209" s="64">
        <v>30705</v>
      </c>
      <c r="C209" s="65" t="s">
        <v>152</v>
      </c>
      <c r="D209" s="90">
        <v>0</v>
      </c>
    </row>
    <row r="210" spans="2:4" ht="13.8">
      <c r="B210" s="62">
        <v>30706</v>
      </c>
      <c r="C210" s="63" t="s">
        <v>153</v>
      </c>
      <c r="D210" s="87">
        <v>0</v>
      </c>
    </row>
    <row r="211" spans="2:4" ht="13.8">
      <c r="B211" s="64">
        <v>30707</v>
      </c>
      <c r="C211" s="65" t="s">
        <v>154</v>
      </c>
      <c r="D211" s="90">
        <v>0</v>
      </c>
    </row>
    <row r="212" spans="2:4" ht="13.8">
      <c r="B212" s="62">
        <v>30708</v>
      </c>
      <c r="C212" s="63" t="s">
        <v>373</v>
      </c>
      <c r="D212" s="87">
        <v>1</v>
      </c>
    </row>
    <row r="213" spans="2:4" ht="13.8">
      <c r="B213" s="64">
        <v>30709</v>
      </c>
      <c r="C213" s="65" t="s">
        <v>158</v>
      </c>
      <c r="D213" s="90">
        <v>0</v>
      </c>
    </row>
    <row r="214" spans="2:4" ht="13.8">
      <c r="B214" s="62">
        <v>30710</v>
      </c>
      <c r="C214" s="63" t="s">
        <v>374</v>
      </c>
      <c r="D214" s="87">
        <v>0</v>
      </c>
    </row>
    <row r="215" spans="2:4" ht="13.8">
      <c r="B215" s="64">
        <v>30711</v>
      </c>
      <c r="C215" s="65" t="s">
        <v>157</v>
      </c>
      <c r="D215" s="90">
        <v>0</v>
      </c>
    </row>
    <row r="216" spans="2:4" ht="13.8">
      <c r="B216" s="62">
        <v>30801</v>
      </c>
      <c r="C216" s="63" t="s">
        <v>155</v>
      </c>
      <c r="D216" s="87">
        <v>0</v>
      </c>
    </row>
    <row r="217" spans="2:4" ht="13.8">
      <c r="B217" s="64">
        <v>30802</v>
      </c>
      <c r="C217" s="65" t="s">
        <v>156</v>
      </c>
      <c r="D217" s="90">
        <v>0</v>
      </c>
    </row>
    <row r="218" spans="2:4" ht="13.8">
      <c r="B218" s="62">
        <v>30803</v>
      </c>
      <c r="C218" s="63" t="s">
        <v>97</v>
      </c>
      <c r="D218" s="87">
        <v>0</v>
      </c>
    </row>
    <row r="219" spans="2:4" ht="13.8">
      <c r="B219" s="64">
        <v>30804</v>
      </c>
      <c r="C219" s="65" t="s">
        <v>184</v>
      </c>
      <c r="D219" s="90">
        <v>0</v>
      </c>
    </row>
    <row r="220" spans="2:4" ht="13.8">
      <c r="B220" s="62">
        <v>30805</v>
      </c>
      <c r="C220" s="63" t="s">
        <v>174</v>
      </c>
      <c r="D220" s="87">
        <v>0</v>
      </c>
    </row>
    <row r="221" spans="2:4" ht="13.8">
      <c r="B221" s="64">
        <v>30806</v>
      </c>
      <c r="C221" s="65" t="s">
        <v>375</v>
      </c>
      <c r="D221" s="90">
        <v>0</v>
      </c>
    </row>
    <row r="222" spans="2:4" ht="13.8">
      <c r="B222" s="62">
        <v>30807</v>
      </c>
      <c r="C222" s="63" t="s">
        <v>376</v>
      </c>
      <c r="D222" s="87">
        <v>0</v>
      </c>
    </row>
    <row r="223" spans="2:4" ht="13.8">
      <c r="B223" s="64">
        <v>30808</v>
      </c>
      <c r="C223" s="65" t="s">
        <v>171</v>
      </c>
      <c r="D223" s="90">
        <v>0</v>
      </c>
    </row>
    <row r="224" spans="2:4" ht="13.8">
      <c r="B224" s="62">
        <v>30809</v>
      </c>
      <c r="C224" s="63" t="s">
        <v>377</v>
      </c>
      <c r="D224" s="87">
        <v>0</v>
      </c>
    </row>
    <row r="225" spans="2:4" ht="13.8">
      <c r="B225" s="64">
        <v>30810</v>
      </c>
      <c r="C225" s="65" t="s">
        <v>378</v>
      </c>
      <c r="D225" s="90">
        <v>0</v>
      </c>
    </row>
    <row r="226" spans="2:4" ht="13.8">
      <c r="B226" s="62">
        <v>30901</v>
      </c>
      <c r="C226" s="63" t="s">
        <v>379</v>
      </c>
      <c r="D226" s="87">
        <v>0</v>
      </c>
    </row>
    <row r="227" spans="2:4" ht="13.8">
      <c r="B227" s="64">
        <v>30902</v>
      </c>
      <c r="C227" s="65" t="s">
        <v>380</v>
      </c>
      <c r="D227" s="90">
        <v>0</v>
      </c>
    </row>
    <row r="228" spans="2:4" ht="13.8">
      <c r="B228" s="62">
        <v>30903</v>
      </c>
      <c r="C228" s="63" t="s">
        <v>163</v>
      </c>
      <c r="D228" s="87">
        <v>6</v>
      </c>
    </row>
    <row r="229" spans="2:4" ht="13.8">
      <c r="B229" s="64">
        <v>30904</v>
      </c>
      <c r="C229" s="65" t="s">
        <v>183</v>
      </c>
      <c r="D229" s="90">
        <v>5</v>
      </c>
    </row>
    <row r="230" spans="2:4" ht="13.8">
      <c r="B230" s="62">
        <v>30905</v>
      </c>
      <c r="C230" s="63" t="s">
        <v>159</v>
      </c>
      <c r="D230" s="87">
        <v>1</v>
      </c>
    </row>
    <row r="231" spans="2:4" ht="13.8">
      <c r="B231" s="64">
        <v>30906</v>
      </c>
      <c r="C231" s="65" t="s">
        <v>160</v>
      </c>
      <c r="D231" s="90">
        <v>0</v>
      </c>
    </row>
    <row r="232" spans="2:4" ht="13.8">
      <c r="B232" s="62">
        <v>30907</v>
      </c>
      <c r="C232" s="63" t="s">
        <v>161</v>
      </c>
      <c r="D232" s="87">
        <v>52</v>
      </c>
    </row>
    <row r="233" spans="2:4" ht="13.8">
      <c r="B233" s="64">
        <v>30908</v>
      </c>
      <c r="C233" s="65" t="s">
        <v>162</v>
      </c>
      <c r="D233" s="90">
        <v>1</v>
      </c>
    </row>
    <row r="234" spans="2:4" ht="13.8">
      <c r="B234" s="62">
        <v>30909</v>
      </c>
      <c r="C234" s="63" t="s">
        <v>381</v>
      </c>
      <c r="D234" s="87">
        <v>3</v>
      </c>
    </row>
    <row r="235" spans="2:4" ht="13.8">
      <c r="B235" s="64">
        <v>31001</v>
      </c>
      <c r="C235" s="65" t="s">
        <v>164</v>
      </c>
      <c r="D235" s="90">
        <v>7</v>
      </c>
    </row>
    <row r="236" spans="2:4" ht="13.8">
      <c r="B236" s="62">
        <v>31002</v>
      </c>
      <c r="C236" s="63" t="s">
        <v>382</v>
      </c>
      <c r="D236" s="87">
        <v>4</v>
      </c>
    </row>
    <row r="237" spans="2:4" ht="13.8">
      <c r="B237" s="64">
        <v>31003</v>
      </c>
      <c r="C237" s="65" t="s">
        <v>165</v>
      </c>
      <c r="D237" s="90">
        <v>0</v>
      </c>
    </row>
    <row r="238" spans="2:4" ht="13.8">
      <c r="B238" s="62">
        <v>31004</v>
      </c>
      <c r="C238" s="63" t="s">
        <v>166</v>
      </c>
      <c r="D238" s="87">
        <v>0</v>
      </c>
    </row>
    <row r="239" spans="2:4" ht="13.8">
      <c r="B239" s="64">
        <v>31005</v>
      </c>
      <c r="C239" s="65" t="s">
        <v>167</v>
      </c>
      <c r="D239" s="90">
        <v>0</v>
      </c>
    </row>
    <row r="240" spans="2:4" ht="13.8">
      <c r="B240" s="62">
        <v>31006</v>
      </c>
      <c r="C240" s="63" t="s">
        <v>168</v>
      </c>
      <c r="D240" s="87">
        <v>0</v>
      </c>
    </row>
    <row r="241" spans="2:4" ht="13.8">
      <c r="B241" s="64">
        <v>31007</v>
      </c>
      <c r="C241" s="65" t="s">
        <v>169</v>
      </c>
      <c r="D241" s="90">
        <v>0</v>
      </c>
    </row>
    <row r="242" spans="2:4" ht="13.8">
      <c r="B242" s="62">
        <v>31008</v>
      </c>
      <c r="C242" s="63" t="s">
        <v>383</v>
      </c>
      <c r="D242" s="87">
        <v>0</v>
      </c>
    </row>
    <row r="243" spans="2:4" ht="13.8">
      <c r="B243" s="64">
        <v>31009</v>
      </c>
      <c r="C243" s="65" t="s">
        <v>384</v>
      </c>
      <c r="D243" s="90">
        <v>0</v>
      </c>
    </row>
    <row r="244" spans="2:4" ht="13.8">
      <c r="B244" s="62">
        <v>31010</v>
      </c>
      <c r="C244" s="63" t="s">
        <v>92</v>
      </c>
      <c r="D244" s="87">
        <v>1</v>
      </c>
    </row>
    <row r="245" spans="2:4" ht="13.8">
      <c r="B245" s="64">
        <v>31011</v>
      </c>
      <c r="C245" s="65" t="s">
        <v>385</v>
      </c>
      <c r="D245" s="90">
        <v>0</v>
      </c>
    </row>
    <row r="246" spans="2:4" ht="13.8">
      <c r="B246" s="62">
        <v>31012</v>
      </c>
      <c r="C246" s="63" t="s">
        <v>386</v>
      </c>
      <c r="D246" s="87">
        <v>0</v>
      </c>
    </row>
    <row r="247" spans="2:4" ht="13.8">
      <c r="B247" s="64">
        <v>31013</v>
      </c>
      <c r="C247" s="65" t="s">
        <v>387</v>
      </c>
      <c r="D247" s="90">
        <v>0</v>
      </c>
    </row>
    <row r="248" spans="2:4" ht="13.8">
      <c r="B248" s="62">
        <v>31014</v>
      </c>
      <c r="C248" s="63" t="s">
        <v>388</v>
      </c>
      <c r="D248" s="87">
        <v>0</v>
      </c>
    </row>
    <row r="249" spans="2:4" ht="13.8">
      <c r="B249" s="64">
        <v>31015</v>
      </c>
      <c r="C249" s="65" t="s">
        <v>389</v>
      </c>
      <c r="D249" s="90">
        <v>0</v>
      </c>
    </row>
    <row r="250" spans="2:4" ht="13.8">
      <c r="B250" s="62">
        <v>31101</v>
      </c>
      <c r="C250" s="63" t="s">
        <v>172</v>
      </c>
      <c r="D250" s="87">
        <v>10</v>
      </c>
    </row>
    <row r="251" spans="2:4" ht="13.8">
      <c r="B251" s="64">
        <v>31102</v>
      </c>
      <c r="C251" s="65" t="s">
        <v>173</v>
      </c>
      <c r="D251" s="90">
        <v>0</v>
      </c>
    </row>
    <row r="252" spans="2:4" ht="13.8">
      <c r="B252" s="62">
        <v>31103</v>
      </c>
      <c r="C252" s="63" t="s">
        <v>175</v>
      </c>
      <c r="D252" s="87">
        <v>0</v>
      </c>
    </row>
    <row r="253" spans="2:4" ht="13.8">
      <c r="B253" s="64">
        <v>31104</v>
      </c>
      <c r="C253" s="65" t="s">
        <v>176</v>
      </c>
      <c r="D253" s="90">
        <v>1</v>
      </c>
    </row>
    <row r="254" spans="2:4" ht="13.8">
      <c r="B254" s="62">
        <v>31105</v>
      </c>
      <c r="C254" s="63" t="s">
        <v>177</v>
      </c>
      <c r="D254" s="87">
        <v>2</v>
      </c>
    </row>
    <row r="255" spans="2:4" ht="13.8">
      <c r="B255" s="64">
        <v>31106</v>
      </c>
      <c r="C255" s="65" t="s">
        <v>390</v>
      </c>
      <c r="D255" s="90">
        <v>0</v>
      </c>
    </row>
    <row r="256" spans="2:4" ht="13.8">
      <c r="B256" s="62">
        <v>31107</v>
      </c>
      <c r="C256" s="63" t="s">
        <v>391</v>
      </c>
      <c r="D256" s="87">
        <v>0</v>
      </c>
    </row>
    <row r="257" spans="2:4" ht="13.8">
      <c r="B257" s="64">
        <v>31108</v>
      </c>
      <c r="C257" s="65" t="s">
        <v>392</v>
      </c>
      <c r="D257" s="90">
        <v>0</v>
      </c>
    </row>
    <row r="258" spans="2:4" ht="13.8">
      <c r="B258" s="62">
        <v>31109</v>
      </c>
      <c r="C258" s="63" t="s">
        <v>178</v>
      </c>
      <c r="D258" s="87">
        <v>0</v>
      </c>
    </row>
    <row r="259" spans="2:4" ht="13.8">
      <c r="B259" s="64">
        <v>31110</v>
      </c>
      <c r="C259" s="65" t="s">
        <v>179</v>
      </c>
      <c r="D259" s="90">
        <v>0</v>
      </c>
    </row>
    <row r="260" spans="2:4" ht="13.8">
      <c r="B260" s="62">
        <v>31111</v>
      </c>
      <c r="C260" s="63" t="s">
        <v>180</v>
      </c>
      <c r="D260" s="87">
        <v>0</v>
      </c>
    </row>
    <row r="261" spans="2:4" ht="13.8">
      <c r="B261" s="64">
        <v>31112</v>
      </c>
      <c r="C261" s="65" t="s">
        <v>393</v>
      </c>
      <c r="D261" s="90">
        <v>7</v>
      </c>
    </row>
    <row r="262" spans="2:4" ht="13.8">
      <c r="B262" s="62">
        <v>31113</v>
      </c>
      <c r="C262" s="63" t="s">
        <v>181</v>
      </c>
      <c r="D262" s="87">
        <v>4</v>
      </c>
    </row>
    <row r="263" spans="2:4" ht="13.8">
      <c r="B263" s="64">
        <v>31114</v>
      </c>
      <c r="C263" s="65" t="s">
        <v>394</v>
      </c>
      <c r="D263" s="90">
        <v>9</v>
      </c>
    </row>
    <row r="264" spans="2:4" ht="13.8">
      <c r="B264" s="66">
        <v>40101</v>
      </c>
      <c r="C264" s="67" t="s">
        <v>187</v>
      </c>
      <c r="D264" s="91">
        <v>0</v>
      </c>
    </row>
    <row r="265" spans="2:4" ht="13.8">
      <c r="B265" s="62">
        <v>40102</v>
      </c>
      <c r="C265" s="63" t="s">
        <v>395</v>
      </c>
      <c r="D265" s="87">
        <v>0</v>
      </c>
    </row>
    <row r="266" spans="2:4" ht="13.8">
      <c r="B266" s="66">
        <v>40103</v>
      </c>
      <c r="C266" s="67" t="s">
        <v>188</v>
      </c>
      <c r="D266" s="91">
        <v>0</v>
      </c>
    </row>
    <row r="267" spans="2:4" ht="13.8">
      <c r="B267" s="62">
        <v>40104</v>
      </c>
      <c r="C267" s="63" t="s">
        <v>189</v>
      </c>
      <c r="D267" s="87">
        <v>0</v>
      </c>
    </row>
    <row r="268" spans="2:4" ht="13.8">
      <c r="B268" s="66">
        <v>40105</v>
      </c>
      <c r="C268" s="67" t="s">
        <v>191</v>
      </c>
      <c r="D268" s="91">
        <v>0</v>
      </c>
    </row>
    <row r="269" spans="2:4" ht="13.8">
      <c r="B269" s="62">
        <v>40106</v>
      </c>
      <c r="C269" s="63" t="s">
        <v>194</v>
      </c>
      <c r="D269" s="87">
        <v>3</v>
      </c>
    </row>
    <row r="270" spans="2:4" ht="13.8">
      <c r="B270" s="66">
        <v>40107</v>
      </c>
      <c r="C270" s="67" t="s">
        <v>196</v>
      </c>
      <c r="D270" s="91">
        <v>0</v>
      </c>
    </row>
    <row r="271" spans="2:4" ht="13.8">
      <c r="B271" s="62">
        <v>40108</v>
      </c>
      <c r="C271" s="63" t="s">
        <v>197</v>
      </c>
      <c r="D271" s="87">
        <v>0</v>
      </c>
    </row>
    <row r="272" spans="2:4" ht="13.8">
      <c r="B272" s="66">
        <v>40109</v>
      </c>
      <c r="C272" s="67" t="s">
        <v>77</v>
      </c>
      <c r="D272" s="91">
        <v>0</v>
      </c>
    </row>
    <row r="273" spans="2:4" ht="13.8">
      <c r="B273" s="62">
        <v>40110</v>
      </c>
      <c r="C273" s="63" t="s">
        <v>190</v>
      </c>
      <c r="D273" s="87">
        <v>0</v>
      </c>
    </row>
    <row r="274" spans="2:4" ht="13.8">
      <c r="B274" s="72">
        <v>50101</v>
      </c>
      <c r="C274" s="73" t="s">
        <v>396</v>
      </c>
      <c r="D274" s="92">
        <v>0</v>
      </c>
    </row>
    <row r="275" spans="2:4" ht="13.8">
      <c r="B275" s="62">
        <v>50102</v>
      </c>
      <c r="C275" s="63" t="s">
        <v>397</v>
      </c>
      <c r="D275" s="87">
        <v>0</v>
      </c>
    </row>
    <row r="276" spans="2:4" ht="13.8">
      <c r="B276" s="72">
        <v>50103</v>
      </c>
      <c r="C276" s="73" t="s">
        <v>398</v>
      </c>
      <c r="D276" s="92">
        <v>38</v>
      </c>
    </row>
    <row r="277" spans="2:4" ht="13.8">
      <c r="B277" s="62">
        <v>50104</v>
      </c>
      <c r="C277" s="63" t="s">
        <v>108</v>
      </c>
      <c r="D277" s="87">
        <v>0</v>
      </c>
    </row>
    <row r="278" spans="2:4" ht="13.8">
      <c r="B278" s="72">
        <v>50105</v>
      </c>
      <c r="C278" s="73" t="s">
        <v>182</v>
      </c>
      <c r="D278" s="92">
        <v>17</v>
      </c>
    </row>
    <row r="279" spans="2:4" ht="13.8">
      <c r="B279" s="62">
        <v>50106</v>
      </c>
      <c r="C279" s="63" t="s">
        <v>170</v>
      </c>
      <c r="D279" s="87">
        <v>0</v>
      </c>
    </row>
    <row r="280" spans="2:4" ht="13.8">
      <c r="B280" s="72">
        <v>50107</v>
      </c>
      <c r="C280" s="73" t="s">
        <v>399</v>
      </c>
      <c r="D280" s="92">
        <v>2</v>
      </c>
    </row>
    <row r="281" spans="2:4" ht="13.8">
      <c r="B281" s="62">
        <v>50108</v>
      </c>
      <c r="C281" s="63" t="s">
        <v>400</v>
      </c>
      <c r="D281" s="87">
        <v>1</v>
      </c>
    </row>
    <row r="282" spans="2:4" ht="13.8">
      <c r="B282" s="72">
        <v>50201</v>
      </c>
      <c r="C282" s="73" t="s">
        <v>401</v>
      </c>
      <c r="D282" s="92">
        <v>2</v>
      </c>
    </row>
    <row r="283" spans="2:4" ht="13.8">
      <c r="B283" s="62">
        <v>50202</v>
      </c>
      <c r="C283" s="63" t="s">
        <v>402</v>
      </c>
      <c r="D283" s="87">
        <v>0</v>
      </c>
    </row>
    <row r="284" spans="2:4" ht="13.8">
      <c r="B284" s="72">
        <v>50203</v>
      </c>
      <c r="C284" s="73" t="s">
        <v>403</v>
      </c>
      <c r="D284" s="92">
        <v>2</v>
      </c>
    </row>
    <row r="285" spans="2:4" ht="13.8">
      <c r="B285" s="62">
        <v>50301</v>
      </c>
      <c r="C285" s="63" t="s">
        <v>404</v>
      </c>
      <c r="D285" s="87">
        <v>56</v>
      </c>
    </row>
    <row r="286" spans="2:4" ht="13.8">
      <c r="B286" s="72">
        <v>50302</v>
      </c>
      <c r="C286" s="73" t="s">
        <v>405</v>
      </c>
      <c r="D286" s="92">
        <v>1</v>
      </c>
    </row>
    <row r="287" spans="2:4" ht="13.8">
      <c r="B287" s="62">
        <v>50303</v>
      </c>
      <c r="C287" s="63" t="s">
        <v>185</v>
      </c>
      <c r="D287" s="87">
        <v>5</v>
      </c>
    </row>
    <row r="288" spans="2:4" ht="13.8">
      <c r="B288" s="72">
        <v>50304</v>
      </c>
      <c r="C288" s="73" t="s">
        <v>186</v>
      </c>
      <c r="D288" s="92">
        <v>0</v>
      </c>
    </row>
    <row r="289" spans="2:4" ht="13.8">
      <c r="B289" s="62">
        <v>50305</v>
      </c>
      <c r="C289" s="63" t="s">
        <v>406</v>
      </c>
      <c r="D289" s="87">
        <v>1</v>
      </c>
    </row>
    <row r="290" spans="2:4" ht="13.8">
      <c r="B290" s="72">
        <v>50306</v>
      </c>
      <c r="C290" s="73" t="s">
        <v>407</v>
      </c>
      <c r="D290" s="92">
        <v>0</v>
      </c>
    </row>
    <row r="291" spans="2:4" ht="13.8">
      <c r="B291" s="74">
        <v>60101</v>
      </c>
      <c r="C291" s="75" t="s">
        <v>408</v>
      </c>
      <c r="D291" s="93">
        <v>0</v>
      </c>
    </row>
    <row r="292" spans="2:4" ht="13.8">
      <c r="B292" s="62">
        <v>60102</v>
      </c>
      <c r="C292" s="63" t="s">
        <v>193</v>
      </c>
      <c r="D292" s="87">
        <v>0</v>
      </c>
    </row>
    <row r="293" spans="2:4" ht="13.8">
      <c r="B293" s="74">
        <v>60103</v>
      </c>
      <c r="C293" s="75" t="s">
        <v>409</v>
      </c>
      <c r="D293" s="93">
        <v>2</v>
      </c>
    </row>
    <row r="294" spans="2:4" ht="13.8">
      <c r="B294" s="76">
        <v>70101</v>
      </c>
      <c r="C294" s="77" t="s">
        <v>410</v>
      </c>
      <c r="D294" s="94">
        <v>296</v>
      </c>
    </row>
    <row r="295" spans="2:4" ht="13.8">
      <c r="B295" s="62">
        <v>70102</v>
      </c>
      <c r="C295" s="63" t="s">
        <v>198</v>
      </c>
      <c r="D295" s="95">
        <v>704</v>
      </c>
    </row>
    <row r="296" spans="2:4" ht="13.8">
      <c r="B296" s="76">
        <v>70103</v>
      </c>
      <c r="C296" s="77" t="s">
        <v>199</v>
      </c>
      <c r="D296" s="96">
        <v>601</v>
      </c>
    </row>
    <row r="297" spans="2:4" ht="13.8">
      <c r="B297" s="62">
        <v>70104</v>
      </c>
      <c r="C297" s="63" t="s">
        <v>411</v>
      </c>
      <c r="D297" s="95">
        <v>1112</v>
      </c>
    </row>
    <row r="298" spans="2:4" ht="13.8">
      <c r="B298" s="76">
        <v>70105</v>
      </c>
      <c r="C298" s="77" t="s">
        <v>200</v>
      </c>
      <c r="D298" s="96">
        <v>32</v>
      </c>
    </row>
    <row r="299" spans="2:4" ht="13.8">
      <c r="B299" s="62">
        <v>70106</v>
      </c>
      <c r="C299" s="63" t="s">
        <v>412</v>
      </c>
      <c r="D299" s="95">
        <v>23</v>
      </c>
    </row>
    <row r="300" spans="2:4" ht="13.8">
      <c r="B300" s="76">
        <v>70107</v>
      </c>
      <c r="C300" s="77" t="s">
        <v>413</v>
      </c>
      <c r="D300" s="96">
        <v>47</v>
      </c>
    </row>
    <row r="301" spans="2:4" ht="14.4" thickBot="1">
      <c r="B301" s="78">
        <v>70108</v>
      </c>
      <c r="C301" s="79" t="s">
        <v>414</v>
      </c>
      <c r="D301" s="95">
        <v>76</v>
      </c>
    </row>
    <row r="302" spans="2:4" ht="20.100000000000001" customHeight="1" thickBot="1">
      <c r="B302" s="80" t="s">
        <v>1</v>
      </c>
      <c r="C302" s="81"/>
      <c r="D302" s="82">
        <f>SUM(D20:D301)</f>
        <v>3371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2"/>
  <sheetViews>
    <sheetView showGridLines="0" view="pageBreakPreview" topLeftCell="A11" zoomScaleNormal="100" zoomScaleSheetLayoutView="10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44140625" style="17" customWidth="1"/>
    <col min="4" max="4" width="45.44140625" style="25" customWidth="1"/>
    <col min="5" max="5" width="5.33203125" style="17" customWidth="1"/>
    <col min="6" max="7" width="14.886718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242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3.8">
      <c r="B17" s="107" t="s">
        <v>243</v>
      </c>
      <c r="C17" s="108"/>
      <c r="D17" s="50" t="s">
        <v>4</v>
      </c>
    </row>
    <row r="18" spans="2:7" ht="13.8">
      <c r="B18" s="98" t="s">
        <v>244</v>
      </c>
      <c r="C18" s="99"/>
      <c r="D18" s="50" t="s">
        <v>432</v>
      </c>
    </row>
    <row r="19" spans="2:7" ht="13.8">
      <c r="B19" s="51" t="s">
        <v>73</v>
      </c>
      <c r="C19" s="52" t="s">
        <v>72</v>
      </c>
      <c r="D19" s="53" t="s">
        <v>71</v>
      </c>
      <c r="G19" s="29"/>
    </row>
    <row r="20" spans="2:7" ht="13.8">
      <c r="B20" s="68">
        <v>10101</v>
      </c>
      <c r="C20" s="69" t="s">
        <v>262</v>
      </c>
      <c r="D20" s="88">
        <v>0</v>
      </c>
    </row>
    <row r="21" spans="2:7" ht="13.8">
      <c r="B21" s="58">
        <v>10102</v>
      </c>
      <c r="C21" s="59" t="s">
        <v>263</v>
      </c>
      <c r="D21" s="87">
        <v>0</v>
      </c>
    </row>
    <row r="22" spans="2:7" ht="13.8">
      <c r="B22" s="68">
        <v>10103</v>
      </c>
      <c r="C22" s="69" t="s">
        <v>264</v>
      </c>
      <c r="D22" s="88">
        <v>7</v>
      </c>
    </row>
    <row r="23" spans="2:7" ht="13.8">
      <c r="B23" s="58">
        <v>10104</v>
      </c>
      <c r="C23" s="59" t="s">
        <v>265</v>
      </c>
      <c r="D23" s="87">
        <v>10</v>
      </c>
    </row>
    <row r="24" spans="2:7" ht="13.8">
      <c r="B24" s="68">
        <v>10105</v>
      </c>
      <c r="C24" s="69" t="s">
        <v>266</v>
      </c>
      <c r="D24" s="88">
        <v>0</v>
      </c>
    </row>
    <row r="25" spans="2:7" ht="13.8">
      <c r="B25" s="58">
        <v>10106</v>
      </c>
      <c r="C25" s="59" t="s">
        <v>267</v>
      </c>
      <c r="D25" s="87">
        <v>0</v>
      </c>
    </row>
    <row r="26" spans="2:7" ht="13.8">
      <c r="B26" s="68">
        <v>10107</v>
      </c>
      <c r="C26" s="69" t="s">
        <v>268</v>
      </c>
      <c r="D26" s="88">
        <v>0</v>
      </c>
    </row>
    <row r="27" spans="2:7" ht="13.8">
      <c r="B27" s="58">
        <v>10108</v>
      </c>
      <c r="C27" s="59" t="s">
        <v>269</v>
      </c>
      <c r="D27" s="87">
        <v>0</v>
      </c>
    </row>
    <row r="28" spans="2:7" ht="13.8">
      <c r="B28" s="68">
        <v>10109</v>
      </c>
      <c r="C28" s="69" t="s">
        <v>270</v>
      </c>
      <c r="D28" s="88">
        <v>0</v>
      </c>
    </row>
    <row r="29" spans="2:7" ht="13.8">
      <c r="B29" s="58">
        <v>10110</v>
      </c>
      <c r="C29" s="59" t="s">
        <v>271</v>
      </c>
      <c r="D29" s="87">
        <v>0</v>
      </c>
    </row>
    <row r="30" spans="2:7" ht="13.8">
      <c r="B30" s="68">
        <v>10111</v>
      </c>
      <c r="C30" s="69" t="s">
        <v>272</v>
      </c>
      <c r="D30" s="88">
        <v>0</v>
      </c>
    </row>
    <row r="31" spans="2:7" ht="13.8">
      <c r="B31" s="58">
        <v>10112</v>
      </c>
      <c r="C31" s="59" t="s">
        <v>273</v>
      </c>
      <c r="D31" s="87">
        <v>0</v>
      </c>
    </row>
    <row r="32" spans="2:7" ht="13.8">
      <c r="B32" s="68">
        <v>10113</v>
      </c>
      <c r="C32" s="69" t="s">
        <v>274</v>
      </c>
      <c r="D32" s="88">
        <v>0</v>
      </c>
    </row>
    <row r="33" spans="2:4" ht="13.8">
      <c r="B33" s="58">
        <v>10114</v>
      </c>
      <c r="C33" s="59" t="s">
        <v>275</v>
      </c>
      <c r="D33" s="87">
        <v>0</v>
      </c>
    </row>
    <row r="34" spans="2:4" ht="13.8">
      <c r="B34" s="68">
        <v>10115</v>
      </c>
      <c r="C34" s="69" t="s">
        <v>276</v>
      </c>
      <c r="D34" s="88">
        <v>0</v>
      </c>
    </row>
    <row r="35" spans="2:4" ht="13.8">
      <c r="B35" s="58">
        <v>10116</v>
      </c>
      <c r="C35" s="59" t="s">
        <v>277</v>
      </c>
      <c r="D35" s="87">
        <v>1</v>
      </c>
    </row>
    <row r="36" spans="2:4" ht="13.8">
      <c r="B36" s="68">
        <v>10117</v>
      </c>
      <c r="C36" s="69" t="s">
        <v>278</v>
      </c>
      <c r="D36" s="88">
        <v>0</v>
      </c>
    </row>
    <row r="37" spans="2:4" ht="13.8">
      <c r="B37" s="58">
        <v>10118</v>
      </c>
      <c r="C37" s="59" t="s">
        <v>279</v>
      </c>
      <c r="D37" s="87">
        <v>0</v>
      </c>
    </row>
    <row r="38" spans="2:4" ht="13.8">
      <c r="B38" s="68">
        <v>10119</v>
      </c>
      <c r="C38" s="69" t="s">
        <v>280</v>
      </c>
      <c r="D38" s="88">
        <v>0</v>
      </c>
    </row>
    <row r="39" spans="2:4" ht="13.8">
      <c r="B39" s="58">
        <v>10120</v>
      </c>
      <c r="C39" s="59" t="s">
        <v>281</v>
      </c>
      <c r="D39" s="87">
        <v>0</v>
      </c>
    </row>
    <row r="40" spans="2:4" ht="13.8">
      <c r="B40" s="68">
        <v>10121</v>
      </c>
      <c r="C40" s="69" t="s">
        <v>282</v>
      </c>
      <c r="D40" s="88">
        <v>2</v>
      </c>
    </row>
    <row r="41" spans="2:4" ht="13.8">
      <c r="B41" s="58">
        <v>10201</v>
      </c>
      <c r="C41" s="59" t="s">
        <v>283</v>
      </c>
      <c r="D41" s="87">
        <v>0</v>
      </c>
    </row>
    <row r="42" spans="2:4" ht="13.8">
      <c r="B42" s="68">
        <v>10202</v>
      </c>
      <c r="C42" s="69" t="s">
        <v>284</v>
      </c>
      <c r="D42" s="88">
        <v>0</v>
      </c>
    </row>
    <row r="43" spans="2:4" ht="13.8">
      <c r="B43" s="58">
        <v>10203</v>
      </c>
      <c r="C43" s="59" t="s">
        <v>285</v>
      </c>
      <c r="D43" s="87">
        <v>0</v>
      </c>
    </row>
    <row r="44" spans="2:4" ht="13.8">
      <c r="B44" s="68">
        <v>10204</v>
      </c>
      <c r="C44" s="69" t="s">
        <v>286</v>
      </c>
      <c r="D44" s="88">
        <v>6</v>
      </c>
    </row>
    <row r="45" spans="2:4" ht="13.8">
      <c r="B45" s="58">
        <v>10205</v>
      </c>
      <c r="C45" s="59" t="s">
        <v>287</v>
      </c>
      <c r="D45" s="87">
        <v>0</v>
      </c>
    </row>
    <row r="46" spans="2:4" ht="13.8">
      <c r="B46" s="68">
        <v>10206</v>
      </c>
      <c r="C46" s="69" t="s">
        <v>288</v>
      </c>
      <c r="D46" s="88">
        <v>0</v>
      </c>
    </row>
    <row r="47" spans="2:4" ht="13.8">
      <c r="B47" s="58">
        <v>10207</v>
      </c>
      <c r="C47" s="59" t="s">
        <v>289</v>
      </c>
      <c r="D47" s="87">
        <v>0</v>
      </c>
    </row>
    <row r="48" spans="2:4" ht="13.8">
      <c r="B48" s="68">
        <v>10208</v>
      </c>
      <c r="C48" s="69" t="s">
        <v>290</v>
      </c>
      <c r="D48" s="88">
        <v>0</v>
      </c>
    </row>
    <row r="49" spans="2:4" ht="13.8">
      <c r="B49" s="58">
        <v>10209</v>
      </c>
      <c r="C49" s="59" t="s">
        <v>291</v>
      </c>
      <c r="D49" s="87">
        <v>0</v>
      </c>
    </row>
    <row r="50" spans="2:4" ht="13.8">
      <c r="B50" s="68">
        <v>10210</v>
      </c>
      <c r="C50" s="69" t="s">
        <v>292</v>
      </c>
      <c r="D50" s="88">
        <v>1</v>
      </c>
    </row>
    <row r="51" spans="2:4" ht="13.8">
      <c r="B51" s="58">
        <v>10211</v>
      </c>
      <c r="C51" s="59" t="s">
        <v>76</v>
      </c>
      <c r="D51" s="87">
        <v>0</v>
      </c>
    </row>
    <row r="52" spans="2:4" ht="13.8">
      <c r="B52" s="68">
        <v>10212</v>
      </c>
      <c r="C52" s="69" t="s">
        <v>293</v>
      </c>
      <c r="D52" s="88">
        <v>0</v>
      </c>
    </row>
    <row r="53" spans="2:4" ht="13.8">
      <c r="B53" s="58">
        <v>10213</v>
      </c>
      <c r="C53" s="59" t="s">
        <v>294</v>
      </c>
      <c r="D53" s="87">
        <v>0</v>
      </c>
    </row>
    <row r="54" spans="2:4" ht="13.8">
      <c r="B54" s="68">
        <v>10214</v>
      </c>
      <c r="C54" s="69" t="s">
        <v>295</v>
      </c>
      <c r="D54" s="88">
        <v>0</v>
      </c>
    </row>
    <row r="55" spans="2:4" ht="13.8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3.8">
      <c r="B57" s="58">
        <v>10217</v>
      </c>
      <c r="C57" s="59" t="s">
        <v>298</v>
      </c>
      <c r="D57" s="87">
        <v>0</v>
      </c>
    </row>
    <row r="58" spans="2:4" ht="13.8">
      <c r="B58" s="68">
        <v>10218</v>
      </c>
      <c r="C58" s="69" t="s">
        <v>299</v>
      </c>
      <c r="D58" s="88">
        <v>0</v>
      </c>
    </row>
    <row r="59" spans="2:4" ht="13.8">
      <c r="B59" s="58">
        <v>10219</v>
      </c>
      <c r="C59" s="59" t="s">
        <v>300</v>
      </c>
      <c r="D59" s="87">
        <v>0</v>
      </c>
    </row>
    <row r="60" spans="2:4" ht="13.8">
      <c r="B60" s="68">
        <v>10220</v>
      </c>
      <c r="C60" s="69" t="s">
        <v>301</v>
      </c>
      <c r="D60" s="88">
        <v>0</v>
      </c>
    </row>
    <row r="61" spans="2:4" ht="13.8">
      <c r="B61" s="58">
        <v>10301</v>
      </c>
      <c r="C61" s="59" t="s">
        <v>302</v>
      </c>
      <c r="D61" s="87">
        <v>0</v>
      </c>
    </row>
    <row r="62" spans="2:4" ht="13.8">
      <c r="B62" s="68">
        <v>10302</v>
      </c>
      <c r="C62" s="69" t="s">
        <v>303</v>
      </c>
      <c r="D62" s="88">
        <v>0</v>
      </c>
    </row>
    <row r="63" spans="2:4" ht="13.8">
      <c r="B63" s="58">
        <v>10303</v>
      </c>
      <c r="C63" s="59" t="s">
        <v>304</v>
      </c>
      <c r="D63" s="87">
        <v>0</v>
      </c>
    </row>
    <row r="64" spans="2:4" ht="13.8">
      <c r="B64" s="68">
        <v>10304</v>
      </c>
      <c r="C64" s="69" t="s">
        <v>305</v>
      </c>
      <c r="D64" s="88">
        <v>0</v>
      </c>
    </row>
    <row r="65" spans="2:4" ht="13.8">
      <c r="B65" s="58">
        <v>10305</v>
      </c>
      <c r="C65" s="59" t="s">
        <v>306</v>
      </c>
      <c r="D65" s="87">
        <v>5</v>
      </c>
    </row>
    <row r="66" spans="2:4" ht="13.8">
      <c r="B66" s="68">
        <v>10306</v>
      </c>
      <c r="C66" s="69" t="s">
        <v>307</v>
      </c>
      <c r="D66" s="88">
        <v>0</v>
      </c>
    </row>
    <row r="67" spans="2:4" ht="13.8">
      <c r="B67" s="58">
        <v>10307</v>
      </c>
      <c r="C67" s="59" t="s">
        <v>74</v>
      </c>
      <c r="D67" s="87">
        <v>0</v>
      </c>
    </row>
    <row r="68" spans="2:4" ht="13.8">
      <c r="B68" s="68">
        <v>10308</v>
      </c>
      <c r="C68" s="69" t="s">
        <v>308</v>
      </c>
      <c r="D68" s="88">
        <v>2</v>
      </c>
    </row>
    <row r="69" spans="2:4" ht="13.8">
      <c r="B69" s="58">
        <v>10309</v>
      </c>
      <c r="C69" s="59" t="s">
        <v>309</v>
      </c>
      <c r="D69" s="87">
        <v>0</v>
      </c>
    </row>
    <row r="70" spans="2:4" ht="13.8">
      <c r="B70" s="68">
        <v>10310</v>
      </c>
      <c r="C70" s="69" t="s">
        <v>310</v>
      </c>
      <c r="D70" s="88">
        <v>8</v>
      </c>
    </row>
    <row r="71" spans="2:4" ht="13.8">
      <c r="B71" s="58">
        <v>10311</v>
      </c>
      <c r="C71" s="59" t="s">
        <v>311</v>
      </c>
      <c r="D71" s="87">
        <v>1</v>
      </c>
    </row>
    <row r="72" spans="2:4" ht="13.8">
      <c r="B72" s="68">
        <v>10312</v>
      </c>
      <c r="C72" s="69" t="s">
        <v>312</v>
      </c>
      <c r="D72" s="88">
        <v>1</v>
      </c>
    </row>
    <row r="73" spans="2:4" ht="13.8">
      <c r="B73" s="58">
        <v>10313</v>
      </c>
      <c r="C73" s="59" t="s">
        <v>313</v>
      </c>
      <c r="D73" s="87">
        <v>0</v>
      </c>
    </row>
    <row r="74" spans="2:4" ht="13.8">
      <c r="B74" s="68">
        <v>10314</v>
      </c>
      <c r="C74" s="69" t="s">
        <v>314</v>
      </c>
      <c r="D74" s="88">
        <v>0</v>
      </c>
    </row>
    <row r="75" spans="2:4" ht="13.8">
      <c r="B75" s="58">
        <v>10315</v>
      </c>
      <c r="C75" s="59" t="s">
        <v>315</v>
      </c>
      <c r="D75" s="87">
        <v>1</v>
      </c>
    </row>
    <row r="76" spans="2:4" ht="13.8">
      <c r="B76" s="68">
        <v>10316</v>
      </c>
      <c r="C76" s="69" t="s">
        <v>316</v>
      </c>
      <c r="D76" s="88">
        <v>3</v>
      </c>
    </row>
    <row r="77" spans="2:4" ht="13.8">
      <c r="B77" s="58">
        <v>10317</v>
      </c>
      <c r="C77" s="59" t="s">
        <v>317</v>
      </c>
      <c r="D77" s="87">
        <v>1</v>
      </c>
    </row>
    <row r="78" spans="2:4" ht="13.8">
      <c r="B78" s="68">
        <v>10318</v>
      </c>
      <c r="C78" s="69" t="s">
        <v>318</v>
      </c>
      <c r="D78" s="88">
        <v>1</v>
      </c>
    </row>
    <row r="79" spans="2:4" ht="13.8">
      <c r="B79" s="58">
        <v>10319</v>
      </c>
      <c r="C79" s="59" t="s">
        <v>80</v>
      </c>
      <c r="D79" s="87">
        <v>0</v>
      </c>
    </row>
    <row r="80" spans="2:4" ht="13.8">
      <c r="B80" s="70">
        <v>20101</v>
      </c>
      <c r="C80" s="71" t="s">
        <v>319</v>
      </c>
      <c r="D80" s="89">
        <v>0</v>
      </c>
    </row>
    <row r="81" spans="2:4" ht="13.8">
      <c r="B81" s="60">
        <v>20102</v>
      </c>
      <c r="C81" s="61" t="s">
        <v>261</v>
      </c>
      <c r="D81" s="87">
        <v>0</v>
      </c>
    </row>
    <row r="82" spans="2:4" ht="13.8">
      <c r="B82" s="70">
        <v>20103</v>
      </c>
      <c r="C82" s="71" t="s">
        <v>78</v>
      </c>
      <c r="D82" s="89">
        <v>1</v>
      </c>
    </row>
    <row r="83" spans="2:4" ht="13.8">
      <c r="B83" s="60">
        <v>20104</v>
      </c>
      <c r="C83" s="61" t="s">
        <v>79</v>
      </c>
      <c r="D83" s="87">
        <v>4</v>
      </c>
    </row>
    <row r="84" spans="2:4" ht="13.8">
      <c r="B84" s="70">
        <v>20105</v>
      </c>
      <c r="C84" s="71" t="s">
        <v>320</v>
      </c>
      <c r="D84" s="89">
        <v>0</v>
      </c>
    </row>
    <row r="85" spans="2:4" ht="13.8">
      <c r="B85" s="60">
        <v>20106</v>
      </c>
      <c r="C85" s="61" t="s">
        <v>321</v>
      </c>
      <c r="D85" s="87">
        <v>0</v>
      </c>
    </row>
    <row r="86" spans="2:4" ht="13.8">
      <c r="B86" s="70">
        <v>20107</v>
      </c>
      <c r="C86" s="71" t="s">
        <v>81</v>
      </c>
      <c r="D86" s="89">
        <v>0</v>
      </c>
    </row>
    <row r="87" spans="2:4" ht="13.8">
      <c r="B87" s="60">
        <v>20108</v>
      </c>
      <c r="C87" s="61" t="s">
        <v>322</v>
      </c>
      <c r="D87" s="87">
        <v>1</v>
      </c>
    </row>
    <row r="88" spans="2:4" ht="13.8">
      <c r="B88" s="70">
        <v>20109</v>
      </c>
      <c r="C88" s="71" t="s">
        <v>323</v>
      </c>
      <c r="D88" s="89">
        <v>0</v>
      </c>
    </row>
    <row r="89" spans="2:4" ht="13.8">
      <c r="B89" s="60">
        <v>20110</v>
      </c>
      <c r="C89" s="61" t="s">
        <v>324</v>
      </c>
      <c r="D89" s="87">
        <v>0</v>
      </c>
    </row>
    <row r="90" spans="2:4" ht="13.8">
      <c r="B90" s="70">
        <v>20111</v>
      </c>
      <c r="C90" s="71" t="s">
        <v>325</v>
      </c>
      <c r="D90" s="89">
        <v>0</v>
      </c>
    </row>
    <row r="91" spans="2:4" ht="13.8">
      <c r="B91" s="60">
        <v>20112</v>
      </c>
      <c r="C91" s="61" t="s">
        <v>326</v>
      </c>
      <c r="D91" s="87">
        <v>0</v>
      </c>
    </row>
    <row r="92" spans="2:4" ht="13.8">
      <c r="B92" s="70">
        <v>20113</v>
      </c>
      <c r="C92" s="71" t="s">
        <v>195</v>
      </c>
      <c r="D92" s="89">
        <v>0</v>
      </c>
    </row>
    <row r="93" spans="2:4" ht="13.8">
      <c r="B93" s="60">
        <v>20114</v>
      </c>
      <c r="C93" s="61" t="s">
        <v>82</v>
      </c>
      <c r="D93" s="87">
        <v>0</v>
      </c>
    </row>
    <row r="94" spans="2:4" ht="13.8">
      <c r="B94" s="70">
        <v>20201</v>
      </c>
      <c r="C94" s="71" t="s">
        <v>83</v>
      </c>
      <c r="D94" s="89">
        <v>0</v>
      </c>
    </row>
    <row r="95" spans="2:4" ht="13.8">
      <c r="B95" s="60">
        <v>20202</v>
      </c>
      <c r="C95" s="61" t="s">
        <v>84</v>
      </c>
      <c r="D95" s="87">
        <v>0</v>
      </c>
    </row>
    <row r="96" spans="2:4" ht="13.8">
      <c r="B96" s="70">
        <v>20203</v>
      </c>
      <c r="C96" s="71" t="s">
        <v>85</v>
      </c>
      <c r="D96" s="89">
        <v>6</v>
      </c>
    </row>
    <row r="97" spans="2:4" ht="13.8">
      <c r="B97" s="60">
        <v>20204</v>
      </c>
      <c r="C97" s="61" t="s">
        <v>86</v>
      </c>
      <c r="D97" s="87">
        <v>0</v>
      </c>
    </row>
    <row r="98" spans="2:4" ht="13.8">
      <c r="B98" s="70">
        <v>20205</v>
      </c>
      <c r="C98" s="71" t="s">
        <v>87</v>
      </c>
      <c r="D98" s="89">
        <v>0</v>
      </c>
    </row>
    <row r="99" spans="2:4" ht="13.8">
      <c r="B99" s="60">
        <v>20206</v>
      </c>
      <c r="C99" s="61" t="s">
        <v>88</v>
      </c>
      <c r="D99" s="87">
        <v>0</v>
      </c>
    </row>
    <row r="100" spans="2:4" ht="13.8">
      <c r="B100" s="70">
        <v>20207</v>
      </c>
      <c r="C100" s="71" t="s">
        <v>89</v>
      </c>
      <c r="D100" s="89">
        <v>0</v>
      </c>
    </row>
    <row r="101" spans="2:4" ht="13.8">
      <c r="B101" s="60">
        <v>20208</v>
      </c>
      <c r="C101" s="61" t="s">
        <v>90</v>
      </c>
      <c r="D101" s="87">
        <v>0</v>
      </c>
    </row>
    <row r="102" spans="2:4" ht="13.8">
      <c r="B102" s="70">
        <v>20209</v>
      </c>
      <c r="C102" s="71" t="s">
        <v>91</v>
      </c>
      <c r="D102" s="89">
        <v>0</v>
      </c>
    </row>
    <row r="103" spans="2:4" ht="13.8">
      <c r="B103" s="60">
        <v>20210</v>
      </c>
      <c r="C103" s="61" t="s">
        <v>192</v>
      </c>
      <c r="D103" s="87">
        <v>0</v>
      </c>
    </row>
    <row r="104" spans="2:4" ht="13.8">
      <c r="B104" s="70">
        <v>20211</v>
      </c>
      <c r="C104" s="71" t="s">
        <v>327</v>
      </c>
      <c r="D104" s="89">
        <v>0</v>
      </c>
    </row>
    <row r="105" spans="2:4" ht="13.8">
      <c r="B105" s="60">
        <v>20212</v>
      </c>
      <c r="C105" s="61" t="s">
        <v>93</v>
      </c>
      <c r="D105" s="87">
        <v>0</v>
      </c>
    </row>
    <row r="106" spans="2:4" ht="13.8">
      <c r="B106" s="70">
        <v>20213</v>
      </c>
      <c r="C106" s="71" t="s">
        <v>94</v>
      </c>
      <c r="D106" s="89">
        <v>0</v>
      </c>
    </row>
    <row r="107" spans="2:4" ht="13.8">
      <c r="B107" s="60">
        <v>20214</v>
      </c>
      <c r="C107" s="61" t="s">
        <v>328</v>
      </c>
      <c r="D107" s="87">
        <v>0</v>
      </c>
    </row>
    <row r="108" spans="2:4" ht="13.8">
      <c r="B108" s="70">
        <v>20301</v>
      </c>
      <c r="C108" s="71" t="s">
        <v>329</v>
      </c>
      <c r="D108" s="89">
        <v>0</v>
      </c>
    </row>
    <row r="109" spans="2:4" ht="13.8">
      <c r="B109" s="60">
        <v>20302</v>
      </c>
      <c r="C109" s="61" t="s">
        <v>330</v>
      </c>
      <c r="D109" s="87">
        <v>0</v>
      </c>
    </row>
    <row r="110" spans="2:4" ht="13.8">
      <c r="B110" s="70">
        <v>20303</v>
      </c>
      <c r="C110" s="71" t="s">
        <v>331</v>
      </c>
      <c r="D110" s="89">
        <v>0</v>
      </c>
    </row>
    <row r="111" spans="2:4" ht="13.8">
      <c r="B111" s="60">
        <v>20304</v>
      </c>
      <c r="C111" s="61" t="s">
        <v>332</v>
      </c>
      <c r="D111" s="87">
        <v>0</v>
      </c>
    </row>
    <row r="112" spans="2:4" ht="13.8">
      <c r="B112" s="70">
        <v>20305</v>
      </c>
      <c r="C112" s="71" t="s">
        <v>333</v>
      </c>
      <c r="D112" s="89">
        <v>0</v>
      </c>
    </row>
    <row r="113" spans="2:4" ht="13.8">
      <c r="B113" s="60">
        <v>20306</v>
      </c>
      <c r="C113" s="61" t="s">
        <v>334</v>
      </c>
      <c r="D113" s="87">
        <v>0</v>
      </c>
    </row>
    <row r="114" spans="2:4" ht="13.8">
      <c r="B114" s="70">
        <v>20307</v>
      </c>
      <c r="C114" s="71" t="s">
        <v>335</v>
      </c>
      <c r="D114" s="89">
        <v>13</v>
      </c>
    </row>
    <row r="115" spans="2:4" ht="13.8">
      <c r="B115" s="60">
        <v>20308</v>
      </c>
      <c r="C115" s="61" t="s">
        <v>336</v>
      </c>
      <c r="D115" s="87">
        <v>7</v>
      </c>
    </row>
    <row r="116" spans="2:4" ht="13.8">
      <c r="B116" s="70">
        <v>20309</v>
      </c>
      <c r="C116" s="71" t="s">
        <v>337</v>
      </c>
      <c r="D116" s="89">
        <v>0</v>
      </c>
    </row>
    <row r="117" spans="2:4" ht="13.8">
      <c r="B117" s="60">
        <v>20310</v>
      </c>
      <c r="C117" s="61" t="s">
        <v>338</v>
      </c>
      <c r="D117" s="87">
        <v>0</v>
      </c>
    </row>
    <row r="118" spans="2:4" ht="13.8">
      <c r="B118" s="70">
        <v>20311</v>
      </c>
      <c r="C118" s="71" t="s">
        <v>339</v>
      </c>
      <c r="D118" s="89">
        <v>9</v>
      </c>
    </row>
    <row r="119" spans="2:4" ht="13.8">
      <c r="B119" s="60">
        <v>20401</v>
      </c>
      <c r="C119" s="61" t="s">
        <v>340</v>
      </c>
      <c r="D119" s="87">
        <v>0</v>
      </c>
    </row>
    <row r="120" spans="2:4" ht="13.8">
      <c r="B120" s="70">
        <v>20402</v>
      </c>
      <c r="C120" s="71" t="s">
        <v>341</v>
      </c>
      <c r="D120" s="89">
        <v>0</v>
      </c>
    </row>
    <row r="121" spans="2:4" ht="13.8">
      <c r="B121" s="60">
        <v>20403</v>
      </c>
      <c r="C121" s="61" t="s">
        <v>342</v>
      </c>
      <c r="D121" s="87">
        <v>0</v>
      </c>
    </row>
    <row r="122" spans="2:4" ht="13.8">
      <c r="B122" s="70">
        <v>20404</v>
      </c>
      <c r="C122" s="71" t="s">
        <v>343</v>
      </c>
      <c r="D122" s="89">
        <v>0</v>
      </c>
    </row>
    <row r="123" spans="2:4" ht="13.8">
      <c r="B123" s="64">
        <v>30101</v>
      </c>
      <c r="C123" s="65" t="s">
        <v>344</v>
      </c>
      <c r="D123" s="90">
        <v>0</v>
      </c>
    </row>
    <row r="124" spans="2:4" ht="13.8">
      <c r="B124" s="62">
        <v>30102</v>
      </c>
      <c r="C124" s="63" t="s">
        <v>95</v>
      </c>
      <c r="D124" s="87">
        <v>0</v>
      </c>
    </row>
    <row r="125" spans="2:4" ht="13.8">
      <c r="B125" s="64">
        <v>30103</v>
      </c>
      <c r="C125" s="65" t="s">
        <v>75</v>
      </c>
      <c r="D125" s="90">
        <v>5</v>
      </c>
    </row>
    <row r="126" spans="2:4" ht="13.8">
      <c r="B126" s="62">
        <v>30201</v>
      </c>
      <c r="C126" s="63" t="s">
        <v>96</v>
      </c>
      <c r="D126" s="87">
        <v>0</v>
      </c>
    </row>
    <row r="127" spans="2:4" ht="13.8">
      <c r="B127" s="64">
        <v>30202</v>
      </c>
      <c r="C127" s="65" t="s">
        <v>415</v>
      </c>
      <c r="D127" s="90">
        <v>0</v>
      </c>
    </row>
    <row r="128" spans="2:4" ht="13.8">
      <c r="B128" s="62">
        <v>30203</v>
      </c>
      <c r="C128" s="63" t="s">
        <v>345</v>
      </c>
      <c r="D128" s="87">
        <v>0</v>
      </c>
    </row>
    <row r="129" spans="2:4" ht="13.8">
      <c r="B129" s="64">
        <v>30204</v>
      </c>
      <c r="C129" s="65" t="s">
        <v>98</v>
      </c>
      <c r="D129" s="90">
        <v>1</v>
      </c>
    </row>
    <row r="130" spans="2:4" ht="13.8">
      <c r="B130" s="62">
        <v>30205</v>
      </c>
      <c r="C130" s="63" t="s">
        <v>346</v>
      </c>
      <c r="D130" s="87">
        <v>0</v>
      </c>
    </row>
    <row r="131" spans="2:4" ht="13.8">
      <c r="B131" s="64">
        <v>30206</v>
      </c>
      <c r="C131" s="65" t="s">
        <v>347</v>
      </c>
      <c r="D131" s="90">
        <v>0</v>
      </c>
    </row>
    <row r="132" spans="2:4" ht="13.8">
      <c r="B132" s="62">
        <v>30207</v>
      </c>
      <c r="C132" s="63" t="s">
        <v>348</v>
      </c>
      <c r="D132" s="87">
        <v>0</v>
      </c>
    </row>
    <row r="133" spans="2:4" ht="13.8">
      <c r="B133" s="64">
        <v>30301</v>
      </c>
      <c r="C133" s="65" t="s">
        <v>99</v>
      </c>
      <c r="D133" s="90">
        <v>0</v>
      </c>
    </row>
    <row r="134" spans="2:4" ht="13.8">
      <c r="B134" s="62">
        <v>30302</v>
      </c>
      <c r="C134" s="63" t="s">
        <v>100</v>
      </c>
      <c r="D134" s="87">
        <v>0</v>
      </c>
    </row>
    <row r="135" spans="2:4" ht="13.8">
      <c r="B135" s="64">
        <v>30303</v>
      </c>
      <c r="C135" s="65" t="s">
        <v>349</v>
      </c>
      <c r="D135" s="90">
        <v>0</v>
      </c>
    </row>
    <row r="136" spans="2:4" ht="13.8">
      <c r="B136" s="62">
        <v>30304</v>
      </c>
      <c r="C136" s="63" t="s">
        <v>101</v>
      </c>
      <c r="D136" s="87">
        <v>0</v>
      </c>
    </row>
    <row r="137" spans="2:4" ht="13.8">
      <c r="B137" s="64">
        <v>30305</v>
      </c>
      <c r="C137" s="65" t="s">
        <v>102</v>
      </c>
      <c r="D137" s="90">
        <v>2</v>
      </c>
    </row>
    <row r="138" spans="2:4" ht="13.8">
      <c r="B138" s="62">
        <v>30306</v>
      </c>
      <c r="C138" s="63" t="s">
        <v>103</v>
      </c>
      <c r="D138" s="87">
        <v>0</v>
      </c>
    </row>
    <row r="139" spans="2:4" ht="13.8">
      <c r="B139" s="64">
        <v>30307</v>
      </c>
      <c r="C139" s="65" t="s">
        <v>104</v>
      </c>
      <c r="D139" s="90">
        <v>0</v>
      </c>
    </row>
    <row r="140" spans="2:4" ht="13.8">
      <c r="B140" s="62">
        <v>30308</v>
      </c>
      <c r="C140" s="63" t="s">
        <v>350</v>
      </c>
      <c r="D140" s="87">
        <v>5</v>
      </c>
    </row>
    <row r="141" spans="2:4" ht="13.8">
      <c r="B141" s="64">
        <v>30309</v>
      </c>
      <c r="C141" s="65" t="s">
        <v>351</v>
      </c>
      <c r="D141" s="90">
        <v>7</v>
      </c>
    </row>
    <row r="142" spans="2:4" ht="13.8">
      <c r="B142" s="62">
        <v>30310</v>
      </c>
      <c r="C142" s="63" t="s">
        <v>352</v>
      </c>
      <c r="D142" s="87">
        <v>1</v>
      </c>
    </row>
    <row r="143" spans="2:4" ht="13.8">
      <c r="B143" s="64">
        <v>30401</v>
      </c>
      <c r="C143" s="65" t="s">
        <v>353</v>
      </c>
      <c r="D143" s="90">
        <v>44</v>
      </c>
    </row>
    <row r="144" spans="2:4" ht="13.8">
      <c r="B144" s="62">
        <v>30402</v>
      </c>
      <c r="C144" s="63" t="s">
        <v>354</v>
      </c>
      <c r="D144" s="87">
        <v>1</v>
      </c>
    </row>
    <row r="145" spans="2:4" ht="13.8">
      <c r="B145" s="64">
        <v>30403</v>
      </c>
      <c r="C145" s="65" t="s">
        <v>355</v>
      </c>
      <c r="D145" s="90">
        <v>0</v>
      </c>
    </row>
    <row r="146" spans="2:4" ht="13.8">
      <c r="B146" s="62">
        <v>30404</v>
      </c>
      <c r="C146" s="63" t="s">
        <v>105</v>
      </c>
      <c r="D146" s="87">
        <v>1</v>
      </c>
    </row>
    <row r="147" spans="2:4" ht="13.8">
      <c r="B147" s="64">
        <v>30405</v>
      </c>
      <c r="C147" s="65" t="s">
        <v>106</v>
      </c>
      <c r="D147" s="90">
        <v>0</v>
      </c>
    </row>
    <row r="148" spans="2:4" ht="13.8">
      <c r="B148" s="62">
        <v>30406</v>
      </c>
      <c r="C148" s="63" t="s">
        <v>107</v>
      </c>
      <c r="D148" s="87">
        <v>0</v>
      </c>
    </row>
    <row r="149" spans="2:4" ht="13.8">
      <c r="B149" s="64">
        <v>30407</v>
      </c>
      <c r="C149" s="65" t="s">
        <v>356</v>
      </c>
      <c r="D149" s="90">
        <v>2</v>
      </c>
    </row>
    <row r="150" spans="2:4" ht="13.8">
      <c r="B150" s="62">
        <v>30408</v>
      </c>
      <c r="C150" s="63" t="s">
        <v>357</v>
      </c>
      <c r="D150" s="87">
        <v>0</v>
      </c>
    </row>
    <row r="151" spans="2:4" ht="13.8">
      <c r="B151" s="64">
        <v>30409</v>
      </c>
      <c r="C151" s="65" t="s">
        <v>109</v>
      </c>
      <c r="D151" s="90">
        <v>0</v>
      </c>
    </row>
    <row r="152" spans="2:4" ht="13.8">
      <c r="B152" s="62">
        <v>30410</v>
      </c>
      <c r="C152" s="63" t="s">
        <v>110</v>
      </c>
      <c r="D152" s="87">
        <v>0</v>
      </c>
    </row>
    <row r="153" spans="2:4" ht="13.8">
      <c r="B153" s="64">
        <v>30411</v>
      </c>
      <c r="C153" s="65" t="s">
        <v>358</v>
      </c>
      <c r="D153" s="90">
        <v>0</v>
      </c>
    </row>
    <row r="154" spans="2:4" ht="13.8">
      <c r="B154" s="62">
        <v>30412</v>
      </c>
      <c r="C154" s="63" t="s">
        <v>111</v>
      </c>
      <c r="D154" s="87">
        <v>0</v>
      </c>
    </row>
    <row r="155" spans="2:4" ht="13.8">
      <c r="B155" s="64">
        <v>30413</v>
      </c>
      <c r="C155" s="65" t="s">
        <v>112</v>
      </c>
      <c r="D155" s="90">
        <v>0</v>
      </c>
    </row>
    <row r="156" spans="2:4" ht="13.8">
      <c r="B156" s="62">
        <v>30414</v>
      </c>
      <c r="C156" s="63" t="s">
        <v>113</v>
      </c>
      <c r="D156" s="87">
        <v>0</v>
      </c>
    </row>
    <row r="157" spans="2:4" ht="13.8">
      <c r="B157" s="64">
        <v>30415</v>
      </c>
      <c r="C157" s="65" t="s">
        <v>114</v>
      </c>
      <c r="D157" s="90">
        <v>0</v>
      </c>
    </row>
    <row r="158" spans="2:4" ht="13.8">
      <c r="B158" s="62">
        <v>30416</v>
      </c>
      <c r="C158" s="63" t="s">
        <v>115</v>
      </c>
      <c r="D158" s="87">
        <v>0</v>
      </c>
    </row>
    <row r="159" spans="2:4" ht="13.8">
      <c r="B159" s="64">
        <v>30417</v>
      </c>
      <c r="C159" s="65" t="s">
        <v>116</v>
      </c>
      <c r="D159" s="90">
        <v>0</v>
      </c>
    </row>
    <row r="160" spans="2:4" ht="13.8">
      <c r="B160" s="62">
        <v>30418</v>
      </c>
      <c r="C160" s="63" t="s">
        <v>117</v>
      </c>
      <c r="D160" s="87">
        <v>0</v>
      </c>
    </row>
    <row r="161" spans="2:4" ht="13.8">
      <c r="B161" s="64">
        <v>30419</v>
      </c>
      <c r="C161" s="65" t="s">
        <v>118</v>
      </c>
      <c r="D161" s="90">
        <v>0</v>
      </c>
    </row>
    <row r="162" spans="2:4" ht="13.8">
      <c r="B162" s="62">
        <v>30420</v>
      </c>
      <c r="C162" s="63" t="s">
        <v>119</v>
      </c>
      <c r="D162" s="87">
        <v>0</v>
      </c>
    </row>
    <row r="163" spans="2:4" ht="13.8">
      <c r="B163" s="64">
        <v>30421</v>
      </c>
      <c r="C163" s="65" t="s">
        <v>120</v>
      </c>
      <c r="D163" s="90">
        <v>0</v>
      </c>
    </row>
    <row r="164" spans="2:4" ht="13.8">
      <c r="B164" s="62">
        <v>30422</v>
      </c>
      <c r="C164" s="63" t="s">
        <v>121</v>
      </c>
      <c r="D164" s="87">
        <v>0</v>
      </c>
    </row>
    <row r="165" spans="2:4" ht="13.8">
      <c r="B165" s="64">
        <v>30423</v>
      </c>
      <c r="C165" s="65" t="s">
        <v>122</v>
      </c>
      <c r="D165" s="90">
        <v>0</v>
      </c>
    </row>
    <row r="166" spans="2:4" ht="13.8">
      <c r="B166" s="62">
        <v>30424</v>
      </c>
      <c r="C166" s="63" t="s">
        <v>123</v>
      </c>
      <c r="D166" s="87">
        <v>0</v>
      </c>
    </row>
    <row r="167" spans="2:4" ht="13.8">
      <c r="B167" s="64">
        <v>30425</v>
      </c>
      <c r="C167" s="65" t="s">
        <v>124</v>
      </c>
      <c r="D167" s="90">
        <v>0</v>
      </c>
    </row>
    <row r="168" spans="2:4" ht="13.8">
      <c r="B168" s="62">
        <v>30426</v>
      </c>
      <c r="C168" s="63" t="s">
        <v>125</v>
      </c>
      <c r="D168" s="87">
        <v>0</v>
      </c>
    </row>
    <row r="169" spans="2:4" ht="13.8">
      <c r="B169" s="64">
        <v>30427</v>
      </c>
      <c r="C169" s="65" t="s">
        <v>126</v>
      </c>
      <c r="D169" s="90">
        <v>0</v>
      </c>
    </row>
    <row r="170" spans="2:4" ht="13.8">
      <c r="B170" s="62">
        <v>30428</v>
      </c>
      <c r="C170" s="63" t="s">
        <v>127</v>
      </c>
      <c r="D170" s="87">
        <v>0</v>
      </c>
    </row>
    <row r="171" spans="2:4" ht="13.8">
      <c r="B171" s="64">
        <v>30429</v>
      </c>
      <c r="C171" s="65" t="s">
        <v>128</v>
      </c>
      <c r="D171" s="90">
        <v>0</v>
      </c>
    </row>
    <row r="172" spans="2:4" ht="13.8">
      <c r="B172" s="62">
        <v>30430</v>
      </c>
      <c r="C172" s="63" t="s">
        <v>129</v>
      </c>
      <c r="D172" s="87">
        <v>1</v>
      </c>
    </row>
    <row r="173" spans="2:4" ht="13.8">
      <c r="B173" s="64">
        <v>30431</v>
      </c>
      <c r="C173" s="65" t="s">
        <v>130</v>
      </c>
      <c r="D173" s="90">
        <v>0</v>
      </c>
    </row>
    <row r="174" spans="2:4" ht="13.8">
      <c r="B174" s="62">
        <v>30432</v>
      </c>
      <c r="C174" s="63" t="s">
        <v>131</v>
      </c>
      <c r="D174" s="87">
        <v>0</v>
      </c>
    </row>
    <row r="175" spans="2:4" ht="13.8">
      <c r="B175" s="64">
        <v>30433</v>
      </c>
      <c r="C175" s="65" t="s">
        <v>132</v>
      </c>
      <c r="D175" s="90">
        <v>0</v>
      </c>
    </row>
    <row r="176" spans="2:4" ht="13.8">
      <c r="B176" s="62">
        <v>30434</v>
      </c>
      <c r="C176" s="63" t="s">
        <v>133</v>
      </c>
      <c r="D176" s="87">
        <v>0</v>
      </c>
    </row>
    <row r="177" spans="2:4" ht="13.8">
      <c r="B177" s="64">
        <v>30435</v>
      </c>
      <c r="C177" s="65" t="s">
        <v>134</v>
      </c>
      <c r="D177" s="90">
        <v>0</v>
      </c>
    </row>
    <row r="178" spans="2:4" ht="13.8">
      <c r="B178" s="62">
        <v>30436</v>
      </c>
      <c r="C178" s="63" t="s">
        <v>135</v>
      </c>
      <c r="D178" s="87">
        <v>0</v>
      </c>
    </row>
    <row r="179" spans="2:4" ht="13.8">
      <c r="B179" s="64">
        <v>30437</v>
      </c>
      <c r="C179" s="65" t="s">
        <v>136</v>
      </c>
      <c r="D179" s="90">
        <v>0</v>
      </c>
    </row>
    <row r="180" spans="2:4" ht="13.8">
      <c r="B180" s="62">
        <v>30438</v>
      </c>
      <c r="C180" s="63" t="s">
        <v>137</v>
      </c>
      <c r="D180" s="87">
        <v>0</v>
      </c>
    </row>
    <row r="181" spans="2:4" ht="13.8">
      <c r="B181" s="64">
        <v>30439</v>
      </c>
      <c r="C181" s="65" t="s">
        <v>138</v>
      </c>
      <c r="D181" s="90">
        <v>0</v>
      </c>
    </row>
    <row r="182" spans="2:4" ht="13.8">
      <c r="B182" s="62">
        <v>30440</v>
      </c>
      <c r="C182" s="63" t="s">
        <v>359</v>
      </c>
      <c r="D182" s="87">
        <v>0</v>
      </c>
    </row>
    <row r="183" spans="2:4" ht="13.8">
      <c r="B183" s="64">
        <v>30441</v>
      </c>
      <c r="C183" s="65" t="s">
        <v>360</v>
      </c>
      <c r="D183" s="90">
        <v>0</v>
      </c>
    </row>
    <row r="184" spans="2:4" ht="13.8">
      <c r="B184" s="62">
        <v>30442</v>
      </c>
      <c r="C184" s="63" t="s">
        <v>361</v>
      </c>
      <c r="D184" s="87">
        <v>0</v>
      </c>
    </row>
    <row r="185" spans="2:4" ht="13.8">
      <c r="B185" s="64">
        <v>30443</v>
      </c>
      <c r="C185" s="65" t="s">
        <v>362</v>
      </c>
      <c r="D185" s="90">
        <v>0</v>
      </c>
    </row>
    <row r="186" spans="2:4" ht="13.8">
      <c r="B186" s="62">
        <v>30444</v>
      </c>
      <c r="C186" s="63" t="s">
        <v>363</v>
      </c>
      <c r="D186" s="87">
        <v>0</v>
      </c>
    </row>
    <row r="187" spans="2:4" ht="13.8">
      <c r="B187" s="64">
        <v>30445</v>
      </c>
      <c r="C187" s="65" t="s">
        <v>364</v>
      </c>
      <c r="D187" s="90">
        <v>0</v>
      </c>
    </row>
    <row r="188" spans="2:4" ht="13.8">
      <c r="B188" s="62">
        <v>30446</v>
      </c>
      <c r="C188" s="63" t="s">
        <v>365</v>
      </c>
      <c r="D188" s="87">
        <v>0</v>
      </c>
    </row>
    <row r="189" spans="2:4" ht="13.8">
      <c r="B189" s="64">
        <v>30501</v>
      </c>
      <c r="C189" s="65" t="s">
        <v>139</v>
      </c>
      <c r="D189" s="90">
        <v>0</v>
      </c>
    </row>
    <row r="190" spans="2:4" ht="13.8">
      <c r="B190" s="62">
        <v>30502</v>
      </c>
      <c r="C190" s="63" t="s">
        <v>140</v>
      </c>
      <c r="D190" s="87">
        <v>9</v>
      </c>
    </row>
    <row r="191" spans="2:4" ht="13.8">
      <c r="B191" s="64">
        <v>30503</v>
      </c>
      <c r="C191" s="65" t="s">
        <v>141</v>
      </c>
      <c r="D191" s="90">
        <v>2</v>
      </c>
    </row>
    <row r="192" spans="2:4" ht="13.8">
      <c r="B192" s="62">
        <v>30504</v>
      </c>
      <c r="C192" s="63" t="s">
        <v>366</v>
      </c>
      <c r="D192" s="87">
        <v>0</v>
      </c>
    </row>
    <row r="193" spans="2:4" ht="13.8">
      <c r="B193" s="64">
        <v>30505</v>
      </c>
      <c r="C193" s="65" t="s">
        <v>367</v>
      </c>
      <c r="D193" s="90">
        <v>1</v>
      </c>
    </row>
    <row r="194" spans="2:4" ht="13.8">
      <c r="B194" s="62">
        <v>30601</v>
      </c>
      <c r="C194" s="63" t="s">
        <v>142</v>
      </c>
      <c r="D194" s="87">
        <v>0</v>
      </c>
    </row>
    <row r="195" spans="2:4" ht="13.8">
      <c r="B195" s="64">
        <v>30602</v>
      </c>
      <c r="C195" s="65" t="s">
        <v>143</v>
      </c>
      <c r="D195" s="90">
        <v>1</v>
      </c>
    </row>
    <row r="196" spans="2:4" ht="13.8">
      <c r="B196" s="62">
        <v>30603</v>
      </c>
      <c r="C196" s="63" t="s">
        <v>144</v>
      </c>
      <c r="D196" s="87">
        <v>0</v>
      </c>
    </row>
    <row r="197" spans="2:4" ht="13.8">
      <c r="B197" s="64">
        <v>30604</v>
      </c>
      <c r="C197" s="65" t="s">
        <v>145</v>
      </c>
      <c r="D197" s="90">
        <v>0</v>
      </c>
    </row>
    <row r="198" spans="2:4" ht="13.8">
      <c r="B198" s="62">
        <v>30605</v>
      </c>
      <c r="C198" s="63" t="s">
        <v>368</v>
      </c>
      <c r="D198" s="87">
        <v>0</v>
      </c>
    </row>
    <row r="199" spans="2:4" ht="13.8">
      <c r="B199" s="64">
        <v>30606</v>
      </c>
      <c r="C199" s="65" t="s">
        <v>369</v>
      </c>
      <c r="D199" s="90">
        <v>0</v>
      </c>
    </row>
    <row r="200" spans="2:4" ht="13.8">
      <c r="B200" s="62">
        <v>30607</v>
      </c>
      <c r="C200" s="63" t="s">
        <v>146</v>
      </c>
      <c r="D200" s="87">
        <v>0</v>
      </c>
    </row>
    <row r="201" spans="2:4" ht="13.8">
      <c r="B201" s="64">
        <v>30608</v>
      </c>
      <c r="C201" s="65" t="s">
        <v>147</v>
      </c>
      <c r="D201" s="90">
        <v>0</v>
      </c>
    </row>
    <row r="202" spans="2:4" ht="13.8">
      <c r="B202" s="62">
        <v>30609</v>
      </c>
      <c r="C202" s="63" t="s">
        <v>370</v>
      </c>
      <c r="D202" s="87">
        <v>0</v>
      </c>
    </row>
    <row r="203" spans="2:4" ht="13.8">
      <c r="B203" s="64">
        <v>30610</v>
      </c>
      <c r="C203" s="65" t="s">
        <v>371</v>
      </c>
      <c r="D203" s="90">
        <v>0</v>
      </c>
    </row>
    <row r="204" spans="2:4" ht="13.8">
      <c r="B204" s="62">
        <v>30611</v>
      </c>
      <c r="C204" s="63" t="s">
        <v>372</v>
      </c>
      <c r="D204" s="87">
        <v>0</v>
      </c>
    </row>
    <row r="205" spans="2:4" ht="13.8">
      <c r="B205" s="64">
        <v>30701</v>
      </c>
      <c r="C205" s="65" t="s">
        <v>148</v>
      </c>
      <c r="D205" s="90">
        <v>0</v>
      </c>
    </row>
    <row r="206" spans="2:4" ht="13.8">
      <c r="B206" s="62">
        <v>30702</v>
      </c>
      <c r="C206" s="63" t="s">
        <v>149</v>
      </c>
      <c r="D206" s="87">
        <v>1</v>
      </c>
    </row>
    <row r="207" spans="2:4" ht="13.8">
      <c r="B207" s="64">
        <v>30703</v>
      </c>
      <c r="C207" s="65" t="s">
        <v>150</v>
      </c>
      <c r="D207" s="90">
        <v>0</v>
      </c>
    </row>
    <row r="208" spans="2:4" ht="13.8">
      <c r="B208" s="62">
        <v>30704</v>
      </c>
      <c r="C208" s="63" t="s">
        <v>151</v>
      </c>
      <c r="D208" s="87">
        <v>0</v>
      </c>
    </row>
    <row r="209" spans="2:4" ht="13.8">
      <c r="B209" s="64">
        <v>30705</v>
      </c>
      <c r="C209" s="65" t="s">
        <v>152</v>
      </c>
      <c r="D209" s="90">
        <v>0</v>
      </c>
    </row>
    <row r="210" spans="2:4" ht="13.8">
      <c r="B210" s="62">
        <v>30706</v>
      </c>
      <c r="C210" s="63" t="s">
        <v>153</v>
      </c>
      <c r="D210" s="87">
        <v>0</v>
      </c>
    </row>
    <row r="211" spans="2:4" ht="13.8">
      <c r="B211" s="64">
        <v>30707</v>
      </c>
      <c r="C211" s="65" t="s">
        <v>154</v>
      </c>
      <c r="D211" s="90">
        <v>0</v>
      </c>
    </row>
    <row r="212" spans="2:4" ht="13.8">
      <c r="B212" s="62">
        <v>30708</v>
      </c>
      <c r="C212" s="63" t="s">
        <v>373</v>
      </c>
      <c r="D212" s="87">
        <v>0</v>
      </c>
    </row>
    <row r="213" spans="2:4" ht="13.8">
      <c r="B213" s="64">
        <v>30709</v>
      </c>
      <c r="C213" s="65" t="s">
        <v>158</v>
      </c>
      <c r="D213" s="90">
        <v>0</v>
      </c>
    </row>
    <row r="214" spans="2:4" ht="13.8">
      <c r="B214" s="62">
        <v>30710</v>
      </c>
      <c r="C214" s="63" t="s">
        <v>374</v>
      </c>
      <c r="D214" s="87">
        <v>0</v>
      </c>
    </row>
    <row r="215" spans="2:4" ht="13.8">
      <c r="B215" s="64">
        <v>30711</v>
      </c>
      <c r="C215" s="65" t="s">
        <v>157</v>
      </c>
      <c r="D215" s="90">
        <v>0</v>
      </c>
    </row>
    <row r="216" spans="2:4" ht="13.8">
      <c r="B216" s="62">
        <v>30801</v>
      </c>
      <c r="C216" s="63" t="s">
        <v>155</v>
      </c>
      <c r="D216" s="87">
        <v>0</v>
      </c>
    </row>
    <row r="217" spans="2:4" ht="13.8">
      <c r="B217" s="64">
        <v>30802</v>
      </c>
      <c r="C217" s="65" t="s">
        <v>156</v>
      </c>
      <c r="D217" s="90">
        <v>0</v>
      </c>
    </row>
    <row r="218" spans="2:4" ht="13.8">
      <c r="B218" s="62">
        <v>30803</v>
      </c>
      <c r="C218" s="63" t="s">
        <v>97</v>
      </c>
      <c r="D218" s="87">
        <v>0</v>
      </c>
    </row>
    <row r="219" spans="2:4" ht="13.8">
      <c r="B219" s="64">
        <v>30804</v>
      </c>
      <c r="C219" s="65" t="s">
        <v>184</v>
      </c>
      <c r="D219" s="90">
        <v>0</v>
      </c>
    </row>
    <row r="220" spans="2:4" ht="13.8">
      <c r="B220" s="62">
        <v>30805</v>
      </c>
      <c r="C220" s="63" t="s">
        <v>174</v>
      </c>
      <c r="D220" s="87">
        <v>0</v>
      </c>
    </row>
    <row r="221" spans="2:4" ht="13.8">
      <c r="B221" s="64">
        <v>30806</v>
      </c>
      <c r="C221" s="65" t="s">
        <v>375</v>
      </c>
      <c r="D221" s="90">
        <v>0</v>
      </c>
    </row>
    <row r="222" spans="2:4" ht="13.8">
      <c r="B222" s="62">
        <v>30807</v>
      </c>
      <c r="C222" s="63" t="s">
        <v>376</v>
      </c>
      <c r="D222" s="87">
        <v>0</v>
      </c>
    </row>
    <row r="223" spans="2:4" ht="13.8">
      <c r="B223" s="64">
        <v>30808</v>
      </c>
      <c r="C223" s="65" t="s">
        <v>171</v>
      </c>
      <c r="D223" s="90">
        <v>0</v>
      </c>
    </row>
    <row r="224" spans="2:4" ht="13.8">
      <c r="B224" s="62">
        <v>30809</v>
      </c>
      <c r="C224" s="63" t="s">
        <v>377</v>
      </c>
      <c r="D224" s="87">
        <v>0</v>
      </c>
    </row>
    <row r="225" spans="2:4" ht="13.8">
      <c r="B225" s="64">
        <v>30810</v>
      </c>
      <c r="C225" s="65" t="s">
        <v>378</v>
      </c>
      <c r="D225" s="90">
        <v>0</v>
      </c>
    </row>
    <row r="226" spans="2:4" ht="13.8">
      <c r="B226" s="62">
        <v>30901</v>
      </c>
      <c r="C226" s="63" t="s">
        <v>379</v>
      </c>
      <c r="D226" s="87">
        <v>1</v>
      </c>
    </row>
    <row r="227" spans="2:4" ht="13.8">
      <c r="B227" s="64">
        <v>30902</v>
      </c>
      <c r="C227" s="65" t="s">
        <v>380</v>
      </c>
      <c r="D227" s="90">
        <v>0</v>
      </c>
    </row>
    <row r="228" spans="2:4" ht="13.8">
      <c r="B228" s="62">
        <v>30903</v>
      </c>
      <c r="C228" s="63" t="s">
        <v>163</v>
      </c>
      <c r="D228" s="87">
        <v>1</v>
      </c>
    </row>
    <row r="229" spans="2:4" ht="13.8">
      <c r="B229" s="64">
        <v>30904</v>
      </c>
      <c r="C229" s="65" t="s">
        <v>183</v>
      </c>
      <c r="D229" s="90">
        <v>5</v>
      </c>
    </row>
    <row r="230" spans="2:4" ht="13.8">
      <c r="B230" s="62">
        <v>30905</v>
      </c>
      <c r="C230" s="63" t="s">
        <v>159</v>
      </c>
      <c r="D230" s="87">
        <v>0</v>
      </c>
    </row>
    <row r="231" spans="2:4" ht="13.8">
      <c r="B231" s="64">
        <v>30906</v>
      </c>
      <c r="C231" s="65" t="s">
        <v>160</v>
      </c>
      <c r="D231" s="90">
        <v>0</v>
      </c>
    </row>
    <row r="232" spans="2:4" ht="13.8">
      <c r="B232" s="62">
        <v>30907</v>
      </c>
      <c r="C232" s="63" t="s">
        <v>161</v>
      </c>
      <c r="D232" s="87">
        <v>5</v>
      </c>
    </row>
    <row r="233" spans="2:4" ht="13.8">
      <c r="B233" s="64">
        <v>30908</v>
      </c>
      <c r="C233" s="65" t="s">
        <v>162</v>
      </c>
      <c r="D233" s="90">
        <v>0</v>
      </c>
    </row>
    <row r="234" spans="2:4" ht="13.8">
      <c r="B234" s="62">
        <v>30909</v>
      </c>
      <c r="C234" s="63" t="s">
        <v>381</v>
      </c>
      <c r="D234" s="87">
        <v>0</v>
      </c>
    </row>
    <row r="235" spans="2:4" ht="13.8">
      <c r="B235" s="64">
        <v>31001</v>
      </c>
      <c r="C235" s="65" t="s">
        <v>164</v>
      </c>
      <c r="D235" s="90">
        <v>0</v>
      </c>
    </row>
    <row r="236" spans="2:4" ht="13.8">
      <c r="B236" s="62">
        <v>31002</v>
      </c>
      <c r="C236" s="63" t="s">
        <v>382</v>
      </c>
      <c r="D236" s="87">
        <v>1</v>
      </c>
    </row>
    <row r="237" spans="2:4" ht="13.8">
      <c r="B237" s="64">
        <v>31003</v>
      </c>
      <c r="C237" s="65" t="s">
        <v>165</v>
      </c>
      <c r="D237" s="90">
        <v>0</v>
      </c>
    </row>
    <row r="238" spans="2:4" ht="13.8">
      <c r="B238" s="62">
        <v>31004</v>
      </c>
      <c r="C238" s="63" t="s">
        <v>166</v>
      </c>
      <c r="D238" s="87">
        <v>0</v>
      </c>
    </row>
    <row r="239" spans="2:4" ht="13.8">
      <c r="B239" s="64">
        <v>31005</v>
      </c>
      <c r="C239" s="65" t="s">
        <v>167</v>
      </c>
      <c r="D239" s="90">
        <v>0</v>
      </c>
    </row>
    <row r="240" spans="2:4" ht="13.8">
      <c r="B240" s="62">
        <v>31006</v>
      </c>
      <c r="C240" s="63" t="s">
        <v>168</v>
      </c>
      <c r="D240" s="87">
        <v>0</v>
      </c>
    </row>
    <row r="241" spans="2:4" ht="13.8">
      <c r="B241" s="64">
        <v>31007</v>
      </c>
      <c r="C241" s="65" t="s">
        <v>169</v>
      </c>
      <c r="D241" s="90">
        <v>0</v>
      </c>
    </row>
    <row r="242" spans="2:4" ht="13.8">
      <c r="B242" s="62">
        <v>31008</v>
      </c>
      <c r="C242" s="63" t="s">
        <v>383</v>
      </c>
      <c r="D242" s="87">
        <v>0</v>
      </c>
    </row>
    <row r="243" spans="2:4" ht="13.8">
      <c r="B243" s="64">
        <v>31009</v>
      </c>
      <c r="C243" s="65" t="s">
        <v>384</v>
      </c>
      <c r="D243" s="90">
        <v>0</v>
      </c>
    </row>
    <row r="244" spans="2:4" ht="13.8">
      <c r="B244" s="62">
        <v>31010</v>
      </c>
      <c r="C244" s="63" t="s">
        <v>92</v>
      </c>
      <c r="D244" s="87">
        <v>0</v>
      </c>
    </row>
    <row r="245" spans="2:4" ht="13.8">
      <c r="B245" s="64">
        <v>31011</v>
      </c>
      <c r="C245" s="65" t="s">
        <v>385</v>
      </c>
      <c r="D245" s="90">
        <v>0</v>
      </c>
    </row>
    <row r="246" spans="2:4" ht="13.8">
      <c r="B246" s="62">
        <v>31012</v>
      </c>
      <c r="C246" s="63" t="s">
        <v>386</v>
      </c>
      <c r="D246" s="87">
        <v>0</v>
      </c>
    </row>
    <row r="247" spans="2:4" ht="13.8">
      <c r="B247" s="64">
        <v>31013</v>
      </c>
      <c r="C247" s="65" t="s">
        <v>387</v>
      </c>
      <c r="D247" s="90">
        <v>0</v>
      </c>
    </row>
    <row r="248" spans="2:4" ht="13.8">
      <c r="B248" s="62">
        <v>31014</v>
      </c>
      <c r="C248" s="63" t="s">
        <v>388</v>
      </c>
      <c r="D248" s="87">
        <v>0</v>
      </c>
    </row>
    <row r="249" spans="2:4" ht="13.8">
      <c r="B249" s="64">
        <v>31015</v>
      </c>
      <c r="C249" s="65" t="s">
        <v>389</v>
      </c>
      <c r="D249" s="90">
        <v>0</v>
      </c>
    </row>
    <row r="250" spans="2:4" ht="13.8">
      <c r="B250" s="62">
        <v>31101</v>
      </c>
      <c r="C250" s="63" t="s">
        <v>172</v>
      </c>
      <c r="D250" s="87">
        <v>3</v>
      </c>
    </row>
    <row r="251" spans="2:4" ht="13.8">
      <c r="B251" s="64">
        <v>31102</v>
      </c>
      <c r="C251" s="65" t="s">
        <v>173</v>
      </c>
      <c r="D251" s="90">
        <v>1</v>
      </c>
    </row>
    <row r="252" spans="2:4" ht="13.8">
      <c r="B252" s="62">
        <v>31103</v>
      </c>
      <c r="C252" s="63" t="s">
        <v>175</v>
      </c>
      <c r="D252" s="87">
        <v>0</v>
      </c>
    </row>
    <row r="253" spans="2:4" ht="13.8">
      <c r="B253" s="64">
        <v>31104</v>
      </c>
      <c r="C253" s="65" t="s">
        <v>176</v>
      </c>
      <c r="D253" s="90">
        <v>0</v>
      </c>
    </row>
    <row r="254" spans="2:4" ht="13.8">
      <c r="B254" s="62">
        <v>31105</v>
      </c>
      <c r="C254" s="63" t="s">
        <v>177</v>
      </c>
      <c r="D254" s="87">
        <v>2</v>
      </c>
    </row>
    <row r="255" spans="2:4" ht="13.8">
      <c r="B255" s="64">
        <v>31106</v>
      </c>
      <c r="C255" s="65" t="s">
        <v>390</v>
      </c>
      <c r="D255" s="90">
        <v>0</v>
      </c>
    </row>
    <row r="256" spans="2:4" ht="13.8">
      <c r="B256" s="62">
        <v>31107</v>
      </c>
      <c r="C256" s="63" t="s">
        <v>391</v>
      </c>
      <c r="D256" s="87">
        <v>0</v>
      </c>
    </row>
    <row r="257" spans="2:4" ht="13.8">
      <c r="B257" s="64">
        <v>31108</v>
      </c>
      <c r="C257" s="65" t="s">
        <v>392</v>
      </c>
      <c r="D257" s="90">
        <v>0</v>
      </c>
    </row>
    <row r="258" spans="2:4" ht="13.8">
      <c r="B258" s="62">
        <v>31109</v>
      </c>
      <c r="C258" s="63" t="s">
        <v>178</v>
      </c>
      <c r="D258" s="87">
        <v>0</v>
      </c>
    </row>
    <row r="259" spans="2:4" ht="13.8">
      <c r="B259" s="64">
        <v>31110</v>
      </c>
      <c r="C259" s="65" t="s">
        <v>179</v>
      </c>
      <c r="D259" s="90">
        <v>0</v>
      </c>
    </row>
    <row r="260" spans="2:4" ht="13.8">
      <c r="B260" s="62">
        <v>31111</v>
      </c>
      <c r="C260" s="63" t="s">
        <v>180</v>
      </c>
      <c r="D260" s="87">
        <v>0</v>
      </c>
    </row>
    <row r="261" spans="2:4" ht="13.8">
      <c r="B261" s="64">
        <v>31112</v>
      </c>
      <c r="C261" s="65" t="s">
        <v>393</v>
      </c>
      <c r="D261" s="90">
        <v>8</v>
      </c>
    </row>
    <row r="262" spans="2:4" ht="13.8">
      <c r="B262" s="62">
        <v>31113</v>
      </c>
      <c r="C262" s="63" t="s">
        <v>181</v>
      </c>
      <c r="D262" s="87">
        <v>0</v>
      </c>
    </row>
    <row r="263" spans="2:4" ht="13.8">
      <c r="B263" s="64">
        <v>31114</v>
      </c>
      <c r="C263" s="65" t="s">
        <v>394</v>
      </c>
      <c r="D263" s="90">
        <v>4</v>
      </c>
    </row>
    <row r="264" spans="2:4" ht="13.8">
      <c r="B264" s="66">
        <v>40101</v>
      </c>
      <c r="C264" s="67" t="s">
        <v>187</v>
      </c>
      <c r="D264" s="91">
        <v>0</v>
      </c>
    </row>
    <row r="265" spans="2:4" ht="13.8">
      <c r="B265" s="62">
        <v>40102</v>
      </c>
      <c r="C265" s="63" t="s">
        <v>395</v>
      </c>
      <c r="D265" s="87">
        <v>1</v>
      </c>
    </row>
    <row r="266" spans="2:4" ht="13.8">
      <c r="B266" s="66">
        <v>40103</v>
      </c>
      <c r="C266" s="67" t="s">
        <v>188</v>
      </c>
      <c r="D266" s="91">
        <v>0</v>
      </c>
    </row>
    <row r="267" spans="2:4" ht="13.8">
      <c r="B267" s="62">
        <v>40104</v>
      </c>
      <c r="C267" s="63" t="s">
        <v>189</v>
      </c>
      <c r="D267" s="87">
        <v>0</v>
      </c>
    </row>
    <row r="268" spans="2:4" ht="13.8">
      <c r="B268" s="66">
        <v>40105</v>
      </c>
      <c r="C268" s="67" t="s">
        <v>191</v>
      </c>
      <c r="D268" s="91">
        <v>0</v>
      </c>
    </row>
    <row r="269" spans="2:4" ht="13.8">
      <c r="B269" s="62">
        <v>40106</v>
      </c>
      <c r="C269" s="63" t="s">
        <v>194</v>
      </c>
      <c r="D269" s="87">
        <v>0</v>
      </c>
    </row>
    <row r="270" spans="2:4" ht="13.8">
      <c r="B270" s="66">
        <v>40107</v>
      </c>
      <c r="C270" s="67" t="s">
        <v>196</v>
      </c>
      <c r="D270" s="91">
        <v>0</v>
      </c>
    </row>
    <row r="271" spans="2:4" ht="13.8">
      <c r="B271" s="62">
        <v>40108</v>
      </c>
      <c r="C271" s="63" t="s">
        <v>197</v>
      </c>
      <c r="D271" s="87">
        <v>0</v>
      </c>
    </row>
    <row r="272" spans="2:4" ht="13.8">
      <c r="B272" s="66">
        <v>40109</v>
      </c>
      <c r="C272" s="67" t="s">
        <v>77</v>
      </c>
      <c r="D272" s="91">
        <v>0</v>
      </c>
    </row>
    <row r="273" spans="2:4" ht="13.8">
      <c r="B273" s="62">
        <v>40110</v>
      </c>
      <c r="C273" s="63" t="s">
        <v>190</v>
      </c>
      <c r="D273" s="87">
        <v>0</v>
      </c>
    </row>
    <row r="274" spans="2:4" ht="13.8">
      <c r="B274" s="72">
        <v>50101</v>
      </c>
      <c r="C274" s="73" t="s">
        <v>396</v>
      </c>
      <c r="D274" s="92">
        <v>0</v>
      </c>
    </row>
    <row r="275" spans="2:4" ht="13.8">
      <c r="B275" s="62">
        <v>50102</v>
      </c>
      <c r="C275" s="63" t="s">
        <v>397</v>
      </c>
      <c r="D275" s="87">
        <v>0</v>
      </c>
    </row>
    <row r="276" spans="2:4" ht="13.8">
      <c r="B276" s="72">
        <v>50103</v>
      </c>
      <c r="C276" s="73" t="s">
        <v>398</v>
      </c>
      <c r="D276" s="92">
        <v>0</v>
      </c>
    </row>
    <row r="277" spans="2:4" ht="13.8">
      <c r="B277" s="62">
        <v>50104</v>
      </c>
      <c r="C277" s="63" t="s">
        <v>108</v>
      </c>
      <c r="D277" s="87">
        <v>0</v>
      </c>
    </row>
    <row r="278" spans="2:4" ht="13.8">
      <c r="B278" s="72">
        <v>50105</v>
      </c>
      <c r="C278" s="73" t="s">
        <v>182</v>
      </c>
      <c r="D278" s="92">
        <v>8</v>
      </c>
    </row>
    <row r="279" spans="2:4" ht="13.8">
      <c r="B279" s="62">
        <v>50106</v>
      </c>
      <c r="C279" s="63" t="s">
        <v>170</v>
      </c>
      <c r="D279" s="87">
        <v>0</v>
      </c>
    </row>
    <row r="280" spans="2:4" ht="13.8">
      <c r="B280" s="72">
        <v>50107</v>
      </c>
      <c r="C280" s="73" t="s">
        <v>399</v>
      </c>
      <c r="D280" s="92">
        <v>0</v>
      </c>
    </row>
    <row r="281" spans="2:4" ht="13.8">
      <c r="B281" s="62">
        <v>50108</v>
      </c>
      <c r="C281" s="63" t="s">
        <v>400</v>
      </c>
      <c r="D281" s="87">
        <v>0</v>
      </c>
    </row>
    <row r="282" spans="2:4" ht="13.8">
      <c r="B282" s="72">
        <v>50201</v>
      </c>
      <c r="C282" s="73" t="s">
        <v>401</v>
      </c>
      <c r="D282" s="92">
        <v>0</v>
      </c>
    </row>
    <row r="283" spans="2:4" ht="13.8">
      <c r="B283" s="62">
        <v>50202</v>
      </c>
      <c r="C283" s="63" t="s">
        <v>402</v>
      </c>
      <c r="D283" s="87">
        <v>0</v>
      </c>
    </row>
    <row r="284" spans="2:4" ht="13.8">
      <c r="B284" s="72">
        <v>50203</v>
      </c>
      <c r="C284" s="73" t="s">
        <v>403</v>
      </c>
      <c r="D284" s="92">
        <v>0</v>
      </c>
    </row>
    <row r="285" spans="2:4" ht="13.8">
      <c r="B285" s="62">
        <v>50301</v>
      </c>
      <c r="C285" s="63" t="s">
        <v>404</v>
      </c>
      <c r="D285" s="87">
        <v>17</v>
      </c>
    </row>
    <row r="286" spans="2:4" ht="13.8">
      <c r="B286" s="72">
        <v>50302</v>
      </c>
      <c r="C286" s="73" t="s">
        <v>405</v>
      </c>
      <c r="D286" s="92">
        <v>0</v>
      </c>
    </row>
    <row r="287" spans="2:4" ht="13.8">
      <c r="B287" s="62">
        <v>50303</v>
      </c>
      <c r="C287" s="63" t="s">
        <v>185</v>
      </c>
      <c r="D287" s="87">
        <v>0</v>
      </c>
    </row>
    <row r="288" spans="2:4" ht="13.8">
      <c r="B288" s="72">
        <v>50304</v>
      </c>
      <c r="C288" s="73" t="s">
        <v>186</v>
      </c>
      <c r="D288" s="92">
        <v>0</v>
      </c>
    </row>
    <row r="289" spans="2:4" ht="13.8">
      <c r="B289" s="62">
        <v>50305</v>
      </c>
      <c r="C289" s="63" t="s">
        <v>406</v>
      </c>
      <c r="D289" s="87">
        <v>1</v>
      </c>
    </row>
    <row r="290" spans="2:4" ht="13.8">
      <c r="B290" s="72">
        <v>50306</v>
      </c>
      <c r="C290" s="73" t="s">
        <v>407</v>
      </c>
      <c r="D290" s="92">
        <v>0</v>
      </c>
    </row>
    <row r="291" spans="2:4" ht="13.8">
      <c r="B291" s="74">
        <v>60101</v>
      </c>
      <c r="C291" s="75" t="s">
        <v>408</v>
      </c>
      <c r="D291" s="93">
        <v>0</v>
      </c>
    </row>
    <row r="292" spans="2:4" ht="13.8">
      <c r="B292" s="62">
        <v>60102</v>
      </c>
      <c r="C292" s="63" t="s">
        <v>193</v>
      </c>
      <c r="D292" s="87">
        <v>0</v>
      </c>
    </row>
    <row r="293" spans="2:4" ht="13.8">
      <c r="B293" s="74">
        <v>60103</v>
      </c>
      <c r="C293" s="75" t="s">
        <v>409</v>
      </c>
      <c r="D293" s="93">
        <v>1</v>
      </c>
    </row>
    <row r="294" spans="2:4" ht="13.8">
      <c r="B294" s="76">
        <v>70101</v>
      </c>
      <c r="C294" s="77" t="s">
        <v>410</v>
      </c>
      <c r="D294" s="94">
        <v>57</v>
      </c>
    </row>
    <row r="295" spans="2:4" ht="13.8">
      <c r="B295" s="62">
        <v>70102</v>
      </c>
      <c r="C295" s="63" t="s">
        <v>198</v>
      </c>
      <c r="D295" s="95">
        <v>13</v>
      </c>
    </row>
    <row r="296" spans="2:4" ht="13.8">
      <c r="B296" s="76">
        <v>70103</v>
      </c>
      <c r="C296" s="77" t="s">
        <v>199</v>
      </c>
      <c r="D296" s="96">
        <v>615</v>
      </c>
    </row>
    <row r="297" spans="2:4" ht="13.8">
      <c r="B297" s="62">
        <v>70104</v>
      </c>
      <c r="C297" s="63" t="s">
        <v>411</v>
      </c>
      <c r="D297" s="95">
        <v>2439</v>
      </c>
    </row>
    <row r="298" spans="2:4" ht="13.8">
      <c r="B298" s="76">
        <v>70105</v>
      </c>
      <c r="C298" s="77" t="s">
        <v>200</v>
      </c>
      <c r="D298" s="96">
        <v>241</v>
      </c>
    </row>
    <row r="299" spans="2:4" ht="13.8">
      <c r="B299" s="62">
        <v>70106</v>
      </c>
      <c r="C299" s="63" t="s">
        <v>412</v>
      </c>
      <c r="D299" s="95">
        <v>4</v>
      </c>
    </row>
    <row r="300" spans="2:4" ht="13.8">
      <c r="B300" s="76">
        <v>70107</v>
      </c>
      <c r="C300" s="77" t="s">
        <v>413</v>
      </c>
      <c r="D300" s="96">
        <v>10</v>
      </c>
    </row>
    <row r="301" spans="2:4" ht="14.4" thickBot="1">
      <c r="B301" s="78">
        <v>70108</v>
      </c>
      <c r="C301" s="79" t="s">
        <v>414</v>
      </c>
      <c r="D301" s="95">
        <v>110</v>
      </c>
    </row>
    <row r="302" spans="2:4" ht="20.100000000000001" customHeight="1" thickBot="1">
      <c r="B302" s="80" t="s">
        <v>1</v>
      </c>
      <c r="C302" s="81"/>
      <c r="D302" s="82">
        <f>SUM(D20:D301)</f>
        <v>3723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2"/>
  <sheetViews>
    <sheetView showGridLines="0" view="pageBreakPreview" topLeftCell="A10" zoomScaleNormal="100" zoomScaleSheetLayoutView="10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44140625" style="17" customWidth="1"/>
    <col min="4" max="4" width="45.44140625" style="25" customWidth="1"/>
    <col min="5" max="5" width="5.33203125" style="17" customWidth="1"/>
    <col min="6" max="7" width="14.886718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97" t="s">
        <v>427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0" t="s">
        <v>245</v>
      </c>
      <c r="C7" s="101"/>
      <c r="D7" s="101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0" t="s">
        <v>0</v>
      </c>
      <c r="C8" s="101"/>
      <c r="D8" s="101"/>
      <c r="E8" s="1"/>
      <c r="F8" s="102"/>
      <c r="G8" s="102"/>
      <c r="H8" s="102"/>
      <c r="I8" s="102"/>
      <c r="J8" s="10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00"/>
      <c r="C9" s="101"/>
      <c r="D9" s="101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03" t="s">
        <v>416</v>
      </c>
      <c r="C10" s="103"/>
      <c r="D10" s="10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240</v>
      </c>
      <c r="D12" s="48" t="str">
        <f>RESUMEN!C10</f>
        <v>Jalisco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241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242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4" t="s">
        <v>2</v>
      </c>
      <c r="C16" s="105"/>
      <c r="D16" s="106"/>
    </row>
    <row r="17" spans="2:7" ht="13.8">
      <c r="B17" s="107" t="s">
        <v>243</v>
      </c>
      <c r="C17" s="108"/>
      <c r="D17" s="50" t="s">
        <v>4</v>
      </c>
    </row>
    <row r="18" spans="2:7" ht="13.8">
      <c r="B18" s="98" t="s">
        <v>244</v>
      </c>
      <c r="C18" s="99"/>
      <c r="D18" s="50" t="s">
        <v>433</v>
      </c>
    </row>
    <row r="19" spans="2:7" ht="13.8">
      <c r="B19" s="51" t="s">
        <v>73</v>
      </c>
      <c r="C19" s="52" t="s">
        <v>72</v>
      </c>
      <c r="D19" s="53" t="s">
        <v>71</v>
      </c>
      <c r="G19" s="29"/>
    </row>
    <row r="20" spans="2:7" ht="13.8">
      <c r="B20" s="68">
        <v>10101</v>
      </c>
      <c r="C20" s="69" t="s">
        <v>262</v>
      </c>
      <c r="D20" s="88">
        <v>1</v>
      </c>
    </row>
    <row r="21" spans="2:7" ht="13.8">
      <c r="B21" s="58">
        <v>10102</v>
      </c>
      <c r="C21" s="59" t="s">
        <v>263</v>
      </c>
      <c r="D21" s="87">
        <v>0</v>
      </c>
    </row>
    <row r="22" spans="2:7" ht="13.8">
      <c r="B22" s="68">
        <v>10103</v>
      </c>
      <c r="C22" s="69" t="s">
        <v>264</v>
      </c>
      <c r="D22" s="88">
        <v>2</v>
      </c>
    </row>
    <row r="23" spans="2:7" ht="13.8">
      <c r="B23" s="58">
        <v>10104</v>
      </c>
      <c r="C23" s="59" t="s">
        <v>265</v>
      </c>
      <c r="D23" s="87">
        <v>3</v>
      </c>
    </row>
    <row r="24" spans="2:7" ht="13.8">
      <c r="B24" s="68">
        <v>10105</v>
      </c>
      <c r="C24" s="69" t="s">
        <v>266</v>
      </c>
      <c r="D24" s="88">
        <v>0</v>
      </c>
    </row>
    <row r="25" spans="2:7" ht="13.8">
      <c r="B25" s="58">
        <v>10106</v>
      </c>
      <c r="C25" s="59" t="s">
        <v>267</v>
      </c>
      <c r="D25" s="87">
        <v>0</v>
      </c>
    </row>
    <row r="26" spans="2:7" ht="13.8">
      <c r="B26" s="68">
        <v>10107</v>
      </c>
      <c r="C26" s="69" t="s">
        <v>268</v>
      </c>
      <c r="D26" s="88">
        <v>0</v>
      </c>
    </row>
    <row r="27" spans="2:7" ht="13.8">
      <c r="B27" s="58">
        <v>10108</v>
      </c>
      <c r="C27" s="59" t="s">
        <v>269</v>
      </c>
      <c r="D27" s="87">
        <v>0</v>
      </c>
    </row>
    <row r="28" spans="2:7" ht="13.8">
      <c r="B28" s="68">
        <v>10109</v>
      </c>
      <c r="C28" s="69" t="s">
        <v>270</v>
      </c>
      <c r="D28" s="88">
        <v>0</v>
      </c>
    </row>
    <row r="29" spans="2:7" ht="13.8">
      <c r="B29" s="58">
        <v>10110</v>
      </c>
      <c r="C29" s="59" t="s">
        <v>271</v>
      </c>
      <c r="D29" s="87">
        <v>0</v>
      </c>
    </row>
    <row r="30" spans="2:7" ht="13.8">
      <c r="B30" s="68">
        <v>10111</v>
      </c>
      <c r="C30" s="69" t="s">
        <v>272</v>
      </c>
      <c r="D30" s="88">
        <v>0</v>
      </c>
    </row>
    <row r="31" spans="2:7" ht="13.8">
      <c r="B31" s="58">
        <v>10112</v>
      </c>
      <c r="C31" s="59" t="s">
        <v>273</v>
      </c>
      <c r="D31" s="87">
        <v>0</v>
      </c>
    </row>
    <row r="32" spans="2:7" ht="13.8">
      <c r="B32" s="68">
        <v>10113</v>
      </c>
      <c r="C32" s="69" t="s">
        <v>274</v>
      </c>
      <c r="D32" s="88">
        <v>0</v>
      </c>
    </row>
    <row r="33" spans="2:4" ht="13.8">
      <c r="B33" s="58">
        <v>10114</v>
      </c>
      <c r="C33" s="59" t="s">
        <v>275</v>
      </c>
      <c r="D33" s="87">
        <v>0</v>
      </c>
    </row>
    <row r="34" spans="2:4" ht="13.8">
      <c r="B34" s="68">
        <v>10115</v>
      </c>
      <c r="C34" s="69" t="s">
        <v>276</v>
      </c>
      <c r="D34" s="88">
        <v>0</v>
      </c>
    </row>
    <row r="35" spans="2:4" ht="13.8">
      <c r="B35" s="58">
        <v>10116</v>
      </c>
      <c r="C35" s="59" t="s">
        <v>277</v>
      </c>
      <c r="D35" s="87">
        <v>0</v>
      </c>
    </row>
    <row r="36" spans="2:4" ht="13.8">
      <c r="B36" s="68">
        <v>10117</v>
      </c>
      <c r="C36" s="69" t="s">
        <v>278</v>
      </c>
      <c r="D36" s="88">
        <v>0</v>
      </c>
    </row>
    <row r="37" spans="2:4" ht="13.8">
      <c r="B37" s="58">
        <v>10118</v>
      </c>
      <c r="C37" s="59" t="s">
        <v>279</v>
      </c>
      <c r="D37" s="87">
        <v>0</v>
      </c>
    </row>
    <row r="38" spans="2:4" ht="13.8">
      <c r="B38" s="68">
        <v>10119</v>
      </c>
      <c r="C38" s="69" t="s">
        <v>280</v>
      </c>
      <c r="D38" s="88">
        <v>0</v>
      </c>
    </row>
    <row r="39" spans="2:4" ht="13.8">
      <c r="B39" s="58">
        <v>10120</v>
      </c>
      <c r="C39" s="59" t="s">
        <v>281</v>
      </c>
      <c r="D39" s="87">
        <v>0</v>
      </c>
    </row>
    <row r="40" spans="2:4" ht="13.8">
      <c r="B40" s="68">
        <v>10121</v>
      </c>
      <c r="C40" s="69" t="s">
        <v>282</v>
      </c>
      <c r="D40" s="88">
        <v>0</v>
      </c>
    </row>
    <row r="41" spans="2:4" ht="13.8">
      <c r="B41" s="58">
        <v>10201</v>
      </c>
      <c r="C41" s="59" t="s">
        <v>283</v>
      </c>
      <c r="D41" s="87">
        <v>0</v>
      </c>
    </row>
    <row r="42" spans="2:4" ht="13.8">
      <c r="B42" s="68">
        <v>10202</v>
      </c>
      <c r="C42" s="69" t="s">
        <v>284</v>
      </c>
      <c r="D42" s="88">
        <v>0</v>
      </c>
    </row>
    <row r="43" spans="2:4" ht="13.8">
      <c r="B43" s="58">
        <v>10203</v>
      </c>
      <c r="C43" s="59" t="s">
        <v>285</v>
      </c>
      <c r="D43" s="87">
        <v>0</v>
      </c>
    </row>
    <row r="44" spans="2:4" ht="13.8">
      <c r="B44" s="68">
        <v>10204</v>
      </c>
      <c r="C44" s="69" t="s">
        <v>286</v>
      </c>
      <c r="D44" s="88">
        <v>1</v>
      </c>
    </row>
    <row r="45" spans="2:4" ht="13.8">
      <c r="B45" s="58">
        <v>10205</v>
      </c>
      <c r="C45" s="59" t="s">
        <v>287</v>
      </c>
      <c r="D45" s="87">
        <v>1</v>
      </c>
    </row>
    <row r="46" spans="2:4" ht="13.8">
      <c r="B46" s="68">
        <v>10206</v>
      </c>
      <c r="C46" s="69" t="s">
        <v>288</v>
      </c>
      <c r="D46" s="88">
        <v>0</v>
      </c>
    </row>
    <row r="47" spans="2:4" ht="13.8">
      <c r="B47" s="58">
        <v>10207</v>
      </c>
      <c r="C47" s="59" t="s">
        <v>289</v>
      </c>
      <c r="D47" s="87">
        <v>0</v>
      </c>
    </row>
    <row r="48" spans="2:4" ht="13.8">
      <c r="B48" s="68">
        <v>10208</v>
      </c>
      <c r="C48" s="69" t="s">
        <v>290</v>
      </c>
      <c r="D48" s="88">
        <v>0</v>
      </c>
    </row>
    <row r="49" spans="2:4" ht="13.8">
      <c r="B49" s="58">
        <v>10209</v>
      </c>
      <c r="C49" s="59" t="s">
        <v>291</v>
      </c>
      <c r="D49" s="87">
        <v>0</v>
      </c>
    </row>
    <row r="50" spans="2:4" ht="13.8">
      <c r="B50" s="68">
        <v>10210</v>
      </c>
      <c r="C50" s="69" t="s">
        <v>292</v>
      </c>
      <c r="D50" s="88">
        <v>2</v>
      </c>
    </row>
    <row r="51" spans="2:4" ht="13.8">
      <c r="B51" s="58">
        <v>10211</v>
      </c>
      <c r="C51" s="59" t="s">
        <v>76</v>
      </c>
      <c r="D51" s="87">
        <v>0</v>
      </c>
    </row>
    <row r="52" spans="2:4" ht="13.8">
      <c r="B52" s="68">
        <v>10212</v>
      </c>
      <c r="C52" s="69" t="s">
        <v>293</v>
      </c>
      <c r="D52" s="88">
        <v>0</v>
      </c>
    </row>
    <row r="53" spans="2:4" ht="13.8">
      <c r="B53" s="58">
        <v>10213</v>
      </c>
      <c r="C53" s="59" t="s">
        <v>294</v>
      </c>
      <c r="D53" s="87">
        <v>0</v>
      </c>
    </row>
    <row r="54" spans="2:4" ht="13.8">
      <c r="B54" s="68">
        <v>10214</v>
      </c>
      <c r="C54" s="69" t="s">
        <v>295</v>
      </c>
      <c r="D54" s="88">
        <v>0</v>
      </c>
    </row>
    <row r="55" spans="2:4" ht="13.8">
      <c r="B55" s="58">
        <v>10215</v>
      </c>
      <c r="C55" s="59" t="s">
        <v>296</v>
      </c>
      <c r="D55" s="87">
        <v>0</v>
      </c>
    </row>
    <row r="56" spans="2:4" ht="16.5" customHeight="1">
      <c r="B56" s="68">
        <v>10216</v>
      </c>
      <c r="C56" s="69" t="s">
        <v>297</v>
      </c>
      <c r="D56" s="88">
        <v>0</v>
      </c>
    </row>
    <row r="57" spans="2:4" ht="13.8">
      <c r="B57" s="58">
        <v>10217</v>
      </c>
      <c r="C57" s="59" t="s">
        <v>298</v>
      </c>
      <c r="D57" s="87">
        <v>0</v>
      </c>
    </row>
    <row r="58" spans="2:4" ht="13.8">
      <c r="B58" s="68">
        <v>10218</v>
      </c>
      <c r="C58" s="69" t="s">
        <v>299</v>
      </c>
      <c r="D58" s="88">
        <v>0</v>
      </c>
    </row>
    <row r="59" spans="2:4" ht="13.8">
      <c r="B59" s="58">
        <v>10219</v>
      </c>
      <c r="C59" s="59" t="s">
        <v>300</v>
      </c>
      <c r="D59" s="87">
        <v>0</v>
      </c>
    </row>
    <row r="60" spans="2:4" ht="13.8">
      <c r="B60" s="68">
        <v>10220</v>
      </c>
      <c r="C60" s="69" t="s">
        <v>301</v>
      </c>
      <c r="D60" s="88">
        <v>0</v>
      </c>
    </row>
    <row r="61" spans="2:4" ht="13.8">
      <c r="B61" s="58">
        <v>10301</v>
      </c>
      <c r="C61" s="59" t="s">
        <v>302</v>
      </c>
      <c r="D61" s="87">
        <v>1</v>
      </c>
    </row>
    <row r="62" spans="2:4" ht="13.8">
      <c r="B62" s="68">
        <v>10302</v>
      </c>
      <c r="C62" s="69" t="s">
        <v>303</v>
      </c>
      <c r="D62" s="88">
        <v>0</v>
      </c>
    </row>
    <row r="63" spans="2:4" ht="13.8">
      <c r="B63" s="58">
        <v>10303</v>
      </c>
      <c r="C63" s="59" t="s">
        <v>304</v>
      </c>
      <c r="D63" s="87">
        <v>1</v>
      </c>
    </row>
    <row r="64" spans="2:4" ht="13.8">
      <c r="B64" s="68">
        <v>10304</v>
      </c>
      <c r="C64" s="69" t="s">
        <v>305</v>
      </c>
      <c r="D64" s="88">
        <v>0</v>
      </c>
    </row>
    <row r="65" spans="2:4" ht="13.8">
      <c r="B65" s="58">
        <v>10305</v>
      </c>
      <c r="C65" s="59" t="s">
        <v>306</v>
      </c>
      <c r="D65" s="87">
        <v>0</v>
      </c>
    </row>
    <row r="66" spans="2:4" ht="13.8">
      <c r="B66" s="68">
        <v>10306</v>
      </c>
      <c r="C66" s="69" t="s">
        <v>307</v>
      </c>
      <c r="D66" s="88">
        <v>0</v>
      </c>
    </row>
    <row r="67" spans="2:4" ht="13.8">
      <c r="B67" s="58">
        <v>10307</v>
      </c>
      <c r="C67" s="59" t="s">
        <v>74</v>
      </c>
      <c r="D67" s="87">
        <v>1</v>
      </c>
    </row>
    <row r="68" spans="2:4" ht="13.8">
      <c r="B68" s="68">
        <v>10308</v>
      </c>
      <c r="C68" s="69" t="s">
        <v>308</v>
      </c>
      <c r="D68" s="88">
        <v>0</v>
      </c>
    </row>
    <row r="69" spans="2:4" ht="13.8">
      <c r="B69" s="58">
        <v>10309</v>
      </c>
      <c r="C69" s="59" t="s">
        <v>309</v>
      </c>
      <c r="D69" s="87">
        <v>1</v>
      </c>
    </row>
    <row r="70" spans="2:4" ht="13.8">
      <c r="B70" s="68">
        <v>10310</v>
      </c>
      <c r="C70" s="69" t="s">
        <v>310</v>
      </c>
      <c r="D70" s="88">
        <v>6</v>
      </c>
    </row>
    <row r="71" spans="2:4" ht="13.8">
      <c r="B71" s="58">
        <v>10311</v>
      </c>
      <c r="C71" s="59" t="s">
        <v>311</v>
      </c>
      <c r="D71" s="87">
        <v>0</v>
      </c>
    </row>
    <row r="72" spans="2:4" ht="13.8">
      <c r="B72" s="68">
        <v>10312</v>
      </c>
      <c r="C72" s="69" t="s">
        <v>312</v>
      </c>
      <c r="D72" s="88">
        <v>1</v>
      </c>
    </row>
    <row r="73" spans="2:4" ht="13.8">
      <c r="B73" s="58">
        <v>10313</v>
      </c>
      <c r="C73" s="59" t="s">
        <v>313</v>
      </c>
      <c r="D73" s="87">
        <v>0</v>
      </c>
    </row>
    <row r="74" spans="2:4" ht="13.8">
      <c r="B74" s="68">
        <v>10314</v>
      </c>
      <c r="C74" s="69" t="s">
        <v>314</v>
      </c>
      <c r="D74" s="88">
        <v>0</v>
      </c>
    </row>
    <row r="75" spans="2:4" ht="13.8">
      <c r="B75" s="58">
        <v>10315</v>
      </c>
      <c r="C75" s="59" t="s">
        <v>315</v>
      </c>
      <c r="D75" s="87">
        <v>1</v>
      </c>
    </row>
    <row r="76" spans="2:4" ht="13.8">
      <c r="B76" s="68">
        <v>10316</v>
      </c>
      <c r="C76" s="69" t="s">
        <v>316</v>
      </c>
      <c r="D76" s="88">
        <v>0</v>
      </c>
    </row>
    <row r="77" spans="2:4" ht="13.8">
      <c r="B77" s="58">
        <v>10317</v>
      </c>
      <c r="C77" s="59" t="s">
        <v>317</v>
      </c>
      <c r="D77" s="87">
        <v>0</v>
      </c>
    </row>
    <row r="78" spans="2:4" ht="13.8">
      <c r="B78" s="68">
        <v>10318</v>
      </c>
      <c r="C78" s="69" t="s">
        <v>318</v>
      </c>
      <c r="D78" s="88">
        <v>1</v>
      </c>
    </row>
    <row r="79" spans="2:4" ht="13.8">
      <c r="B79" s="58">
        <v>10319</v>
      </c>
      <c r="C79" s="59" t="s">
        <v>80</v>
      </c>
      <c r="D79" s="87">
        <v>0</v>
      </c>
    </row>
    <row r="80" spans="2:4" ht="13.8">
      <c r="B80" s="70">
        <v>20101</v>
      </c>
      <c r="C80" s="71" t="s">
        <v>319</v>
      </c>
      <c r="D80" s="89">
        <v>0</v>
      </c>
    </row>
    <row r="81" spans="2:4" ht="13.8">
      <c r="B81" s="60">
        <v>20102</v>
      </c>
      <c r="C81" s="61" t="s">
        <v>261</v>
      </c>
      <c r="D81" s="87">
        <v>0</v>
      </c>
    </row>
    <row r="82" spans="2:4" ht="13.8">
      <c r="B82" s="70">
        <v>20103</v>
      </c>
      <c r="C82" s="71" t="s">
        <v>78</v>
      </c>
      <c r="D82" s="89">
        <v>0</v>
      </c>
    </row>
    <row r="83" spans="2:4" ht="13.8">
      <c r="B83" s="60">
        <v>20104</v>
      </c>
      <c r="C83" s="61" t="s">
        <v>79</v>
      </c>
      <c r="D83" s="87">
        <v>4</v>
      </c>
    </row>
    <row r="84" spans="2:4" ht="13.8">
      <c r="B84" s="70">
        <v>20105</v>
      </c>
      <c r="C84" s="71" t="s">
        <v>320</v>
      </c>
      <c r="D84" s="89">
        <v>0</v>
      </c>
    </row>
    <row r="85" spans="2:4" ht="13.8">
      <c r="B85" s="60">
        <v>20106</v>
      </c>
      <c r="C85" s="61" t="s">
        <v>321</v>
      </c>
      <c r="D85" s="87">
        <v>0</v>
      </c>
    </row>
    <row r="86" spans="2:4" ht="13.8">
      <c r="B86" s="70">
        <v>20107</v>
      </c>
      <c r="C86" s="71" t="s">
        <v>81</v>
      </c>
      <c r="D86" s="89">
        <v>0</v>
      </c>
    </row>
    <row r="87" spans="2:4" ht="13.8">
      <c r="B87" s="60">
        <v>20108</v>
      </c>
      <c r="C87" s="61" t="s">
        <v>322</v>
      </c>
      <c r="D87" s="87">
        <v>0</v>
      </c>
    </row>
    <row r="88" spans="2:4" ht="13.8">
      <c r="B88" s="70">
        <v>20109</v>
      </c>
      <c r="C88" s="71" t="s">
        <v>323</v>
      </c>
      <c r="D88" s="89">
        <v>0</v>
      </c>
    </row>
    <row r="89" spans="2:4" ht="13.8">
      <c r="B89" s="60">
        <v>20110</v>
      </c>
      <c r="C89" s="61" t="s">
        <v>324</v>
      </c>
      <c r="D89" s="87">
        <v>0</v>
      </c>
    </row>
    <row r="90" spans="2:4" ht="13.8">
      <c r="B90" s="70">
        <v>20111</v>
      </c>
      <c r="C90" s="71" t="s">
        <v>325</v>
      </c>
      <c r="D90" s="89">
        <v>0</v>
      </c>
    </row>
    <row r="91" spans="2:4" ht="13.8">
      <c r="B91" s="60">
        <v>20112</v>
      </c>
      <c r="C91" s="61" t="s">
        <v>326</v>
      </c>
      <c r="D91" s="87">
        <v>0</v>
      </c>
    </row>
    <row r="92" spans="2:4" ht="13.8">
      <c r="B92" s="70">
        <v>20113</v>
      </c>
      <c r="C92" s="71" t="s">
        <v>195</v>
      </c>
      <c r="D92" s="89">
        <v>0</v>
      </c>
    </row>
    <row r="93" spans="2:4" ht="13.8">
      <c r="B93" s="60">
        <v>20114</v>
      </c>
      <c r="C93" s="61" t="s">
        <v>82</v>
      </c>
      <c r="D93" s="87">
        <v>0</v>
      </c>
    </row>
    <row r="94" spans="2:4" ht="13.8">
      <c r="B94" s="70">
        <v>20201</v>
      </c>
      <c r="C94" s="71" t="s">
        <v>83</v>
      </c>
      <c r="D94" s="89">
        <v>0</v>
      </c>
    </row>
    <row r="95" spans="2:4" ht="13.8">
      <c r="B95" s="60">
        <v>20202</v>
      </c>
      <c r="C95" s="61" t="s">
        <v>84</v>
      </c>
      <c r="D95" s="87">
        <v>0</v>
      </c>
    </row>
    <row r="96" spans="2:4" ht="13.8">
      <c r="B96" s="70">
        <v>20203</v>
      </c>
      <c r="C96" s="71" t="s">
        <v>85</v>
      </c>
      <c r="D96" s="89">
        <v>2</v>
      </c>
    </row>
    <row r="97" spans="2:4" ht="13.8">
      <c r="B97" s="60">
        <v>20204</v>
      </c>
      <c r="C97" s="61" t="s">
        <v>86</v>
      </c>
      <c r="D97" s="87">
        <v>0</v>
      </c>
    </row>
    <row r="98" spans="2:4" ht="13.8">
      <c r="B98" s="70">
        <v>20205</v>
      </c>
      <c r="C98" s="71" t="s">
        <v>87</v>
      </c>
      <c r="D98" s="89">
        <v>0</v>
      </c>
    </row>
    <row r="99" spans="2:4" ht="13.8">
      <c r="B99" s="60">
        <v>20206</v>
      </c>
      <c r="C99" s="61" t="s">
        <v>88</v>
      </c>
      <c r="D99" s="87">
        <v>0</v>
      </c>
    </row>
    <row r="100" spans="2:4" ht="13.8">
      <c r="B100" s="70">
        <v>20207</v>
      </c>
      <c r="C100" s="71" t="s">
        <v>89</v>
      </c>
      <c r="D100" s="89">
        <v>0</v>
      </c>
    </row>
    <row r="101" spans="2:4" ht="13.8">
      <c r="B101" s="60">
        <v>20208</v>
      </c>
      <c r="C101" s="61" t="s">
        <v>90</v>
      </c>
      <c r="D101" s="87">
        <v>0</v>
      </c>
    </row>
    <row r="102" spans="2:4" ht="13.8">
      <c r="B102" s="70">
        <v>20209</v>
      </c>
      <c r="C102" s="71" t="s">
        <v>91</v>
      </c>
      <c r="D102" s="89">
        <v>0</v>
      </c>
    </row>
    <row r="103" spans="2:4" ht="13.8">
      <c r="B103" s="60">
        <v>20210</v>
      </c>
      <c r="C103" s="61" t="s">
        <v>192</v>
      </c>
      <c r="D103" s="87">
        <v>0</v>
      </c>
    </row>
    <row r="104" spans="2:4" ht="13.8">
      <c r="B104" s="70">
        <v>20211</v>
      </c>
      <c r="C104" s="71" t="s">
        <v>327</v>
      </c>
      <c r="D104" s="89">
        <v>0</v>
      </c>
    </row>
    <row r="105" spans="2:4" ht="13.8">
      <c r="B105" s="60">
        <v>20212</v>
      </c>
      <c r="C105" s="61" t="s">
        <v>93</v>
      </c>
      <c r="D105" s="87">
        <v>0</v>
      </c>
    </row>
    <row r="106" spans="2:4" ht="13.8">
      <c r="B106" s="70">
        <v>20213</v>
      </c>
      <c r="C106" s="71" t="s">
        <v>94</v>
      </c>
      <c r="D106" s="89">
        <v>0</v>
      </c>
    </row>
    <row r="107" spans="2:4" ht="13.8">
      <c r="B107" s="60">
        <v>20214</v>
      </c>
      <c r="C107" s="61" t="s">
        <v>328</v>
      </c>
      <c r="D107" s="87">
        <v>0</v>
      </c>
    </row>
    <row r="108" spans="2:4" ht="13.8">
      <c r="B108" s="70">
        <v>20301</v>
      </c>
      <c r="C108" s="71" t="s">
        <v>329</v>
      </c>
      <c r="D108" s="89">
        <v>0</v>
      </c>
    </row>
    <row r="109" spans="2:4" ht="13.8">
      <c r="B109" s="60">
        <v>20302</v>
      </c>
      <c r="C109" s="61" t="s">
        <v>330</v>
      </c>
      <c r="D109" s="87">
        <v>0</v>
      </c>
    </row>
    <row r="110" spans="2:4" ht="13.8">
      <c r="B110" s="70">
        <v>20303</v>
      </c>
      <c r="C110" s="71" t="s">
        <v>331</v>
      </c>
      <c r="D110" s="89">
        <v>0</v>
      </c>
    </row>
    <row r="111" spans="2:4" ht="13.8">
      <c r="B111" s="60">
        <v>20304</v>
      </c>
      <c r="C111" s="61" t="s">
        <v>332</v>
      </c>
      <c r="D111" s="87">
        <v>0</v>
      </c>
    </row>
    <row r="112" spans="2:4" ht="13.8">
      <c r="B112" s="70">
        <v>20305</v>
      </c>
      <c r="C112" s="71" t="s">
        <v>333</v>
      </c>
      <c r="D112" s="89">
        <v>0</v>
      </c>
    </row>
    <row r="113" spans="2:4" ht="13.8">
      <c r="B113" s="60">
        <v>20306</v>
      </c>
      <c r="C113" s="61" t="s">
        <v>334</v>
      </c>
      <c r="D113" s="87">
        <v>0</v>
      </c>
    </row>
    <row r="114" spans="2:4" ht="13.8">
      <c r="B114" s="70">
        <v>20307</v>
      </c>
      <c r="C114" s="71" t="s">
        <v>335</v>
      </c>
      <c r="D114" s="89">
        <v>2</v>
      </c>
    </row>
    <row r="115" spans="2:4" ht="13.8">
      <c r="B115" s="60">
        <v>20308</v>
      </c>
      <c r="C115" s="61" t="s">
        <v>336</v>
      </c>
      <c r="D115" s="87">
        <v>4</v>
      </c>
    </row>
    <row r="116" spans="2:4" ht="13.8">
      <c r="B116" s="70">
        <v>20309</v>
      </c>
      <c r="C116" s="71" t="s">
        <v>337</v>
      </c>
      <c r="D116" s="89">
        <v>0</v>
      </c>
    </row>
    <row r="117" spans="2:4" ht="13.8">
      <c r="B117" s="60">
        <v>20310</v>
      </c>
      <c r="C117" s="61" t="s">
        <v>338</v>
      </c>
      <c r="D117" s="87">
        <v>0</v>
      </c>
    </row>
    <row r="118" spans="2:4" ht="13.8">
      <c r="B118" s="70">
        <v>20311</v>
      </c>
      <c r="C118" s="71" t="s">
        <v>339</v>
      </c>
      <c r="D118" s="89">
        <v>4</v>
      </c>
    </row>
    <row r="119" spans="2:4" ht="13.8">
      <c r="B119" s="60">
        <v>20401</v>
      </c>
      <c r="C119" s="61" t="s">
        <v>340</v>
      </c>
      <c r="D119" s="87">
        <v>0</v>
      </c>
    </row>
    <row r="120" spans="2:4" ht="13.8">
      <c r="B120" s="70">
        <v>20402</v>
      </c>
      <c r="C120" s="71" t="s">
        <v>341</v>
      </c>
      <c r="D120" s="89">
        <v>0</v>
      </c>
    </row>
    <row r="121" spans="2:4" ht="13.8">
      <c r="B121" s="60">
        <v>20403</v>
      </c>
      <c r="C121" s="61" t="s">
        <v>342</v>
      </c>
      <c r="D121" s="87">
        <v>0</v>
      </c>
    </row>
    <row r="122" spans="2:4" ht="13.8">
      <c r="B122" s="70">
        <v>20404</v>
      </c>
      <c r="C122" s="71" t="s">
        <v>343</v>
      </c>
      <c r="D122" s="89">
        <v>0</v>
      </c>
    </row>
    <row r="123" spans="2:4" ht="13.8">
      <c r="B123" s="64">
        <v>30101</v>
      </c>
      <c r="C123" s="65" t="s">
        <v>344</v>
      </c>
      <c r="D123" s="90">
        <v>0</v>
      </c>
    </row>
    <row r="124" spans="2:4" ht="13.8">
      <c r="B124" s="62">
        <v>30102</v>
      </c>
      <c r="C124" s="63" t="s">
        <v>95</v>
      </c>
      <c r="D124" s="87">
        <v>0</v>
      </c>
    </row>
    <row r="125" spans="2:4" ht="13.8">
      <c r="B125" s="64">
        <v>30103</v>
      </c>
      <c r="C125" s="65" t="s">
        <v>75</v>
      </c>
      <c r="D125" s="90">
        <v>1</v>
      </c>
    </row>
    <row r="126" spans="2:4" ht="13.8">
      <c r="B126" s="62">
        <v>30201</v>
      </c>
      <c r="C126" s="63" t="s">
        <v>96</v>
      </c>
      <c r="D126" s="87">
        <v>0</v>
      </c>
    </row>
    <row r="127" spans="2:4" ht="13.8">
      <c r="B127" s="64">
        <v>30202</v>
      </c>
      <c r="C127" s="65" t="s">
        <v>415</v>
      </c>
      <c r="D127" s="90">
        <v>1</v>
      </c>
    </row>
    <row r="128" spans="2:4" ht="13.8">
      <c r="B128" s="62">
        <v>30203</v>
      </c>
      <c r="C128" s="63" t="s">
        <v>345</v>
      </c>
      <c r="D128" s="87">
        <v>0</v>
      </c>
    </row>
    <row r="129" spans="2:4" ht="13.8">
      <c r="B129" s="64">
        <v>30204</v>
      </c>
      <c r="C129" s="65" t="s">
        <v>98</v>
      </c>
      <c r="D129" s="90">
        <v>1</v>
      </c>
    </row>
    <row r="130" spans="2:4" ht="13.8">
      <c r="B130" s="62">
        <v>30205</v>
      </c>
      <c r="C130" s="63" t="s">
        <v>346</v>
      </c>
      <c r="D130" s="87">
        <v>0</v>
      </c>
    </row>
    <row r="131" spans="2:4" ht="13.8">
      <c r="B131" s="64">
        <v>30206</v>
      </c>
      <c r="C131" s="65" t="s">
        <v>347</v>
      </c>
      <c r="D131" s="90">
        <v>0</v>
      </c>
    </row>
    <row r="132" spans="2:4" ht="13.8">
      <c r="B132" s="62">
        <v>30207</v>
      </c>
      <c r="C132" s="63" t="s">
        <v>348</v>
      </c>
      <c r="D132" s="87">
        <v>0</v>
      </c>
    </row>
    <row r="133" spans="2:4" ht="13.8">
      <c r="B133" s="64">
        <v>30301</v>
      </c>
      <c r="C133" s="65" t="s">
        <v>99</v>
      </c>
      <c r="D133" s="90">
        <v>0</v>
      </c>
    </row>
    <row r="134" spans="2:4" ht="13.8">
      <c r="B134" s="62">
        <v>30302</v>
      </c>
      <c r="C134" s="63" t="s">
        <v>100</v>
      </c>
      <c r="D134" s="87">
        <v>0</v>
      </c>
    </row>
    <row r="135" spans="2:4" ht="13.8">
      <c r="B135" s="64">
        <v>30303</v>
      </c>
      <c r="C135" s="65" t="s">
        <v>349</v>
      </c>
      <c r="D135" s="90">
        <v>0</v>
      </c>
    </row>
    <row r="136" spans="2:4" ht="13.8">
      <c r="B136" s="62">
        <v>30304</v>
      </c>
      <c r="C136" s="63" t="s">
        <v>101</v>
      </c>
      <c r="D136" s="87">
        <v>0</v>
      </c>
    </row>
    <row r="137" spans="2:4" ht="13.8">
      <c r="B137" s="64">
        <v>30305</v>
      </c>
      <c r="C137" s="65" t="s">
        <v>102</v>
      </c>
      <c r="D137" s="90">
        <v>0</v>
      </c>
    </row>
    <row r="138" spans="2:4" ht="13.8">
      <c r="B138" s="62">
        <v>30306</v>
      </c>
      <c r="C138" s="63" t="s">
        <v>103</v>
      </c>
      <c r="D138" s="87">
        <v>0</v>
      </c>
    </row>
    <row r="139" spans="2:4" ht="13.8">
      <c r="B139" s="64">
        <v>30307</v>
      </c>
      <c r="C139" s="65" t="s">
        <v>104</v>
      </c>
      <c r="D139" s="90">
        <v>0</v>
      </c>
    </row>
    <row r="140" spans="2:4" ht="13.8">
      <c r="B140" s="62">
        <v>30308</v>
      </c>
      <c r="C140" s="63" t="s">
        <v>350</v>
      </c>
      <c r="D140" s="87">
        <v>0</v>
      </c>
    </row>
    <row r="141" spans="2:4" ht="13.8">
      <c r="B141" s="64">
        <v>30309</v>
      </c>
      <c r="C141" s="65" t="s">
        <v>351</v>
      </c>
      <c r="D141" s="90">
        <v>6</v>
      </c>
    </row>
    <row r="142" spans="2:4" ht="13.8">
      <c r="B142" s="62">
        <v>30310</v>
      </c>
      <c r="C142" s="63" t="s">
        <v>352</v>
      </c>
      <c r="D142" s="87">
        <v>0</v>
      </c>
    </row>
    <row r="143" spans="2:4" ht="13.8">
      <c r="B143" s="64">
        <v>30401</v>
      </c>
      <c r="C143" s="65" t="s">
        <v>353</v>
      </c>
      <c r="D143" s="90">
        <v>1</v>
      </c>
    </row>
    <row r="144" spans="2:4" ht="13.8">
      <c r="B144" s="62">
        <v>30402</v>
      </c>
      <c r="C144" s="63" t="s">
        <v>354</v>
      </c>
      <c r="D144" s="87">
        <v>2</v>
      </c>
    </row>
    <row r="145" spans="2:4" ht="13.8">
      <c r="B145" s="64">
        <v>30403</v>
      </c>
      <c r="C145" s="65" t="s">
        <v>355</v>
      </c>
      <c r="D145" s="90">
        <v>0</v>
      </c>
    </row>
    <row r="146" spans="2:4" ht="13.8">
      <c r="B146" s="62">
        <v>30404</v>
      </c>
      <c r="C146" s="63" t="s">
        <v>105</v>
      </c>
      <c r="D146" s="87">
        <v>0</v>
      </c>
    </row>
    <row r="147" spans="2:4" ht="13.8">
      <c r="B147" s="64">
        <v>30405</v>
      </c>
      <c r="C147" s="65" t="s">
        <v>106</v>
      </c>
      <c r="D147" s="90">
        <v>0</v>
      </c>
    </row>
    <row r="148" spans="2:4" ht="13.8">
      <c r="B148" s="62">
        <v>30406</v>
      </c>
      <c r="C148" s="63" t="s">
        <v>107</v>
      </c>
      <c r="D148" s="87">
        <v>0</v>
      </c>
    </row>
    <row r="149" spans="2:4" ht="13.8">
      <c r="B149" s="64">
        <v>30407</v>
      </c>
      <c r="C149" s="65" t="s">
        <v>356</v>
      </c>
      <c r="D149" s="90">
        <v>2</v>
      </c>
    </row>
    <row r="150" spans="2:4" ht="13.8">
      <c r="B150" s="62">
        <v>30408</v>
      </c>
      <c r="C150" s="63" t="s">
        <v>357</v>
      </c>
      <c r="D150" s="87">
        <v>0</v>
      </c>
    </row>
    <row r="151" spans="2:4" ht="13.8">
      <c r="B151" s="64">
        <v>30409</v>
      </c>
      <c r="C151" s="65" t="s">
        <v>109</v>
      </c>
      <c r="D151" s="90">
        <v>0</v>
      </c>
    </row>
    <row r="152" spans="2:4" ht="13.8">
      <c r="B152" s="62">
        <v>30410</v>
      </c>
      <c r="C152" s="63" t="s">
        <v>110</v>
      </c>
      <c r="D152" s="87">
        <v>0</v>
      </c>
    </row>
    <row r="153" spans="2:4" ht="13.8">
      <c r="B153" s="64">
        <v>30411</v>
      </c>
      <c r="C153" s="65" t="s">
        <v>358</v>
      </c>
      <c r="D153" s="90">
        <v>0</v>
      </c>
    </row>
    <row r="154" spans="2:4" ht="13.8">
      <c r="B154" s="62">
        <v>30412</v>
      </c>
      <c r="C154" s="63" t="s">
        <v>111</v>
      </c>
      <c r="D154" s="87">
        <v>0</v>
      </c>
    </row>
    <row r="155" spans="2:4" ht="13.8">
      <c r="B155" s="64">
        <v>30413</v>
      </c>
      <c r="C155" s="65" t="s">
        <v>112</v>
      </c>
      <c r="D155" s="90">
        <v>0</v>
      </c>
    </row>
    <row r="156" spans="2:4" ht="13.8">
      <c r="B156" s="62">
        <v>30414</v>
      </c>
      <c r="C156" s="63" t="s">
        <v>113</v>
      </c>
      <c r="D156" s="87">
        <v>0</v>
      </c>
    </row>
    <row r="157" spans="2:4" ht="13.8">
      <c r="B157" s="64">
        <v>30415</v>
      </c>
      <c r="C157" s="65" t="s">
        <v>114</v>
      </c>
      <c r="D157" s="90">
        <v>0</v>
      </c>
    </row>
    <row r="158" spans="2:4" ht="13.8">
      <c r="B158" s="62">
        <v>30416</v>
      </c>
      <c r="C158" s="63" t="s">
        <v>115</v>
      </c>
      <c r="D158" s="87">
        <v>0</v>
      </c>
    </row>
    <row r="159" spans="2:4" ht="13.8">
      <c r="B159" s="64">
        <v>30417</v>
      </c>
      <c r="C159" s="65" t="s">
        <v>116</v>
      </c>
      <c r="D159" s="90">
        <v>0</v>
      </c>
    </row>
    <row r="160" spans="2:4" ht="13.8">
      <c r="B160" s="62">
        <v>30418</v>
      </c>
      <c r="C160" s="63" t="s">
        <v>117</v>
      </c>
      <c r="D160" s="87">
        <v>0</v>
      </c>
    </row>
    <row r="161" spans="2:4" ht="13.8">
      <c r="B161" s="64">
        <v>30419</v>
      </c>
      <c r="C161" s="65" t="s">
        <v>118</v>
      </c>
      <c r="D161" s="90">
        <v>0</v>
      </c>
    </row>
    <row r="162" spans="2:4" ht="13.8">
      <c r="B162" s="62">
        <v>30420</v>
      </c>
      <c r="C162" s="63" t="s">
        <v>119</v>
      </c>
      <c r="D162" s="87">
        <v>0</v>
      </c>
    </row>
    <row r="163" spans="2:4" ht="13.8">
      <c r="B163" s="64">
        <v>30421</v>
      </c>
      <c r="C163" s="65" t="s">
        <v>120</v>
      </c>
      <c r="D163" s="90">
        <v>0</v>
      </c>
    </row>
    <row r="164" spans="2:4" ht="13.8">
      <c r="B164" s="62">
        <v>30422</v>
      </c>
      <c r="C164" s="63" t="s">
        <v>121</v>
      </c>
      <c r="D164" s="87">
        <v>1</v>
      </c>
    </row>
    <row r="165" spans="2:4" ht="13.8">
      <c r="B165" s="64">
        <v>30423</v>
      </c>
      <c r="C165" s="65" t="s">
        <v>122</v>
      </c>
      <c r="D165" s="90">
        <v>0</v>
      </c>
    </row>
    <row r="166" spans="2:4" ht="13.8">
      <c r="B166" s="62">
        <v>30424</v>
      </c>
      <c r="C166" s="63" t="s">
        <v>123</v>
      </c>
      <c r="D166" s="87">
        <v>0</v>
      </c>
    </row>
    <row r="167" spans="2:4" ht="13.8">
      <c r="B167" s="64">
        <v>30425</v>
      </c>
      <c r="C167" s="65" t="s">
        <v>124</v>
      </c>
      <c r="D167" s="90">
        <v>0</v>
      </c>
    </row>
    <row r="168" spans="2:4" ht="13.8">
      <c r="B168" s="62">
        <v>30426</v>
      </c>
      <c r="C168" s="63" t="s">
        <v>125</v>
      </c>
      <c r="D168" s="87">
        <v>0</v>
      </c>
    </row>
    <row r="169" spans="2:4" ht="13.8">
      <c r="B169" s="64">
        <v>30427</v>
      </c>
      <c r="C169" s="65" t="s">
        <v>126</v>
      </c>
      <c r="D169" s="90">
        <v>0</v>
      </c>
    </row>
    <row r="170" spans="2:4" ht="13.8">
      <c r="B170" s="62">
        <v>30428</v>
      </c>
      <c r="C170" s="63" t="s">
        <v>127</v>
      </c>
      <c r="D170" s="87">
        <v>0</v>
      </c>
    </row>
    <row r="171" spans="2:4" ht="13.8">
      <c r="B171" s="64">
        <v>30429</v>
      </c>
      <c r="C171" s="65" t="s">
        <v>128</v>
      </c>
      <c r="D171" s="90">
        <v>3</v>
      </c>
    </row>
    <row r="172" spans="2:4" ht="13.8">
      <c r="B172" s="62">
        <v>30430</v>
      </c>
      <c r="C172" s="63" t="s">
        <v>129</v>
      </c>
      <c r="D172" s="87">
        <v>0</v>
      </c>
    </row>
    <row r="173" spans="2:4" ht="13.8">
      <c r="B173" s="64">
        <v>30431</v>
      </c>
      <c r="C173" s="65" t="s">
        <v>130</v>
      </c>
      <c r="D173" s="90">
        <v>0</v>
      </c>
    </row>
    <row r="174" spans="2:4" ht="13.8">
      <c r="B174" s="62">
        <v>30432</v>
      </c>
      <c r="C174" s="63" t="s">
        <v>131</v>
      </c>
      <c r="D174" s="87">
        <v>0</v>
      </c>
    </row>
    <row r="175" spans="2:4" ht="13.8">
      <c r="B175" s="64">
        <v>30433</v>
      </c>
      <c r="C175" s="65" t="s">
        <v>132</v>
      </c>
      <c r="D175" s="90">
        <v>0</v>
      </c>
    </row>
    <row r="176" spans="2:4" ht="13.8">
      <c r="B176" s="62">
        <v>30434</v>
      </c>
      <c r="C176" s="63" t="s">
        <v>133</v>
      </c>
      <c r="D176" s="87">
        <v>0</v>
      </c>
    </row>
    <row r="177" spans="2:4" ht="13.8">
      <c r="B177" s="64">
        <v>30435</v>
      </c>
      <c r="C177" s="65" t="s">
        <v>134</v>
      </c>
      <c r="D177" s="90">
        <v>0</v>
      </c>
    </row>
    <row r="178" spans="2:4" ht="13.8">
      <c r="B178" s="62">
        <v>30436</v>
      </c>
      <c r="C178" s="63" t="s">
        <v>135</v>
      </c>
      <c r="D178" s="87">
        <v>0</v>
      </c>
    </row>
    <row r="179" spans="2:4" ht="13.8">
      <c r="B179" s="64">
        <v>30437</v>
      </c>
      <c r="C179" s="65" t="s">
        <v>136</v>
      </c>
      <c r="D179" s="90">
        <v>0</v>
      </c>
    </row>
    <row r="180" spans="2:4" ht="13.8">
      <c r="B180" s="62">
        <v>30438</v>
      </c>
      <c r="C180" s="63" t="s">
        <v>137</v>
      </c>
      <c r="D180" s="87">
        <v>0</v>
      </c>
    </row>
    <row r="181" spans="2:4" ht="13.8">
      <c r="B181" s="64">
        <v>30439</v>
      </c>
      <c r="C181" s="65" t="s">
        <v>138</v>
      </c>
      <c r="D181" s="90">
        <v>0</v>
      </c>
    </row>
    <row r="182" spans="2:4" ht="13.8">
      <c r="B182" s="62">
        <v>30440</v>
      </c>
      <c r="C182" s="63" t="s">
        <v>359</v>
      </c>
      <c r="D182" s="87">
        <v>0</v>
      </c>
    </row>
    <row r="183" spans="2:4" ht="13.8">
      <c r="B183" s="64">
        <v>30441</v>
      </c>
      <c r="C183" s="65" t="s">
        <v>360</v>
      </c>
      <c r="D183" s="90">
        <v>0</v>
      </c>
    </row>
    <row r="184" spans="2:4" ht="13.8">
      <c r="B184" s="62">
        <v>30442</v>
      </c>
      <c r="C184" s="63" t="s">
        <v>361</v>
      </c>
      <c r="D184" s="87">
        <v>0</v>
      </c>
    </row>
    <row r="185" spans="2:4" ht="13.8">
      <c r="B185" s="64">
        <v>30443</v>
      </c>
      <c r="C185" s="65" t="s">
        <v>362</v>
      </c>
      <c r="D185" s="90">
        <v>0</v>
      </c>
    </row>
    <row r="186" spans="2:4" ht="13.8">
      <c r="B186" s="62">
        <v>30444</v>
      </c>
      <c r="C186" s="63" t="s">
        <v>363</v>
      </c>
      <c r="D186" s="87">
        <v>0</v>
      </c>
    </row>
    <row r="187" spans="2:4" ht="13.8">
      <c r="B187" s="64">
        <v>30445</v>
      </c>
      <c r="C187" s="65" t="s">
        <v>364</v>
      </c>
      <c r="D187" s="90">
        <v>0</v>
      </c>
    </row>
    <row r="188" spans="2:4" ht="13.8">
      <c r="B188" s="62">
        <v>30446</v>
      </c>
      <c r="C188" s="63" t="s">
        <v>365</v>
      </c>
      <c r="D188" s="87">
        <v>0</v>
      </c>
    </row>
    <row r="189" spans="2:4" ht="13.8">
      <c r="B189" s="64">
        <v>30501</v>
      </c>
      <c r="C189" s="65" t="s">
        <v>139</v>
      </c>
      <c r="D189" s="90">
        <v>0</v>
      </c>
    </row>
    <row r="190" spans="2:4" ht="13.8">
      <c r="B190" s="62">
        <v>30502</v>
      </c>
      <c r="C190" s="63" t="s">
        <v>140</v>
      </c>
      <c r="D190" s="87">
        <v>3</v>
      </c>
    </row>
    <row r="191" spans="2:4" ht="13.8">
      <c r="B191" s="64">
        <v>30503</v>
      </c>
      <c r="C191" s="65" t="s">
        <v>141</v>
      </c>
      <c r="D191" s="90">
        <v>4</v>
      </c>
    </row>
    <row r="192" spans="2:4" ht="13.8">
      <c r="B192" s="62">
        <v>30504</v>
      </c>
      <c r="C192" s="63" t="s">
        <v>366</v>
      </c>
      <c r="D192" s="87">
        <v>2</v>
      </c>
    </row>
    <row r="193" spans="2:4" ht="13.8">
      <c r="B193" s="64">
        <v>30505</v>
      </c>
      <c r="C193" s="65" t="s">
        <v>367</v>
      </c>
      <c r="D193" s="90">
        <v>0</v>
      </c>
    </row>
    <row r="194" spans="2:4" ht="13.8">
      <c r="B194" s="62">
        <v>30601</v>
      </c>
      <c r="C194" s="63" t="s">
        <v>142</v>
      </c>
      <c r="D194" s="87">
        <v>0</v>
      </c>
    </row>
    <row r="195" spans="2:4" ht="13.8">
      <c r="B195" s="64">
        <v>30602</v>
      </c>
      <c r="C195" s="65" t="s">
        <v>143</v>
      </c>
      <c r="D195" s="90">
        <v>0</v>
      </c>
    </row>
    <row r="196" spans="2:4" ht="13.8">
      <c r="B196" s="62">
        <v>30603</v>
      </c>
      <c r="C196" s="63" t="s">
        <v>144</v>
      </c>
      <c r="D196" s="87">
        <v>0</v>
      </c>
    </row>
    <row r="197" spans="2:4" ht="13.8">
      <c r="B197" s="64">
        <v>30604</v>
      </c>
      <c r="C197" s="65" t="s">
        <v>145</v>
      </c>
      <c r="D197" s="90">
        <v>0</v>
      </c>
    </row>
    <row r="198" spans="2:4" ht="13.8">
      <c r="B198" s="62">
        <v>30605</v>
      </c>
      <c r="C198" s="63" t="s">
        <v>368</v>
      </c>
      <c r="D198" s="87">
        <v>0</v>
      </c>
    </row>
    <row r="199" spans="2:4" ht="13.8">
      <c r="B199" s="64">
        <v>30606</v>
      </c>
      <c r="C199" s="65" t="s">
        <v>369</v>
      </c>
      <c r="D199" s="90">
        <v>0</v>
      </c>
    </row>
    <row r="200" spans="2:4" ht="13.8">
      <c r="B200" s="62">
        <v>30607</v>
      </c>
      <c r="C200" s="63" t="s">
        <v>146</v>
      </c>
      <c r="D200" s="87">
        <v>0</v>
      </c>
    </row>
    <row r="201" spans="2:4" ht="13.8">
      <c r="B201" s="64">
        <v>30608</v>
      </c>
      <c r="C201" s="65" t="s">
        <v>147</v>
      </c>
      <c r="D201" s="90">
        <v>0</v>
      </c>
    </row>
    <row r="202" spans="2:4" ht="13.8">
      <c r="B202" s="62">
        <v>30609</v>
      </c>
      <c r="C202" s="63" t="s">
        <v>370</v>
      </c>
      <c r="D202" s="87">
        <v>0</v>
      </c>
    </row>
    <row r="203" spans="2:4" ht="13.8">
      <c r="B203" s="64">
        <v>30610</v>
      </c>
      <c r="C203" s="65" t="s">
        <v>371</v>
      </c>
      <c r="D203" s="90">
        <v>0</v>
      </c>
    </row>
    <row r="204" spans="2:4" ht="13.8">
      <c r="B204" s="62">
        <v>30611</v>
      </c>
      <c r="C204" s="63" t="s">
        <v>372</v>
      </c>
      <c r="D204" s="87">
        <v>0</v>
      </c>
    </row>
    <row r="205" spans="2:4" ht="13.8">
      <c r="B205" s="64">
        <v>30701</v>
      </c>
      <c r="C205" s="65" t="s">
        <v>148</v>
      </c>
      <c r="D205" s="90">
        <v>0</v>
      </c>
    </row>
    <row r="206" spans="2:4" ht="13.8">
      <c r="B206" s="62">
        <v>30702</v>
      </c>
      <c r="C206" s="63" t="s">
        <v>149</v>
      </c>
      <c r="D206" s="87">
        <v>0</v>
      </c>
    </row>
    <row r="207" spans="2:4" ht="13.8">
      <c r="B207" s="64">
        <v>30703</v>
      </c>
      <c r="C207" s="65" t="s">
        <v>150</v>
      </c>
      <c r="D207" s="90">
        <v>0</v>
      </c>
    </row>
    <row r="208" spans="2:4" ht="13.8">
      <c r="B208" s="62">
        <v>30704</v>
      </c>
      <c r="C208" s="63" t="s">
        <v>151</v>
      </c>
      <c r="D208" s="87">
        <v>0</v>
      </c>
    </row>
    <row r="209" spans="2:4" ht="13.8">
      <c r="B209" s="64">
        <v>30705</v>
      </c>
      <c r="C209" s="65" t="s">
        <v>152</v>
      </c>
      <c r="D209" s="90">
        <v>0</v>
      </c>
    </row>
    <row r="210" spans="2:4" ht="13.8">
      <c r="B210" s="62">
        <v>30706</v>
      </c>
      <c r="C210" s="63" t="s">
        <v>153</v>
      </c>
      <c r="D210" s="87">
        <v>0</v>
      </c>
    </row>
    <row r="211" spans="2:4" ht="13.8">
      <c r="B211" s="64">
        <v>30707</v>
      </c>
      <c r="C211" s="65" t="s">
        <v>154</v>
      </c>
      <c r="D211" s="90">
        <v>0</v>
      </c>
    </row>
    <row r="212" spans="2:4" ht="13.8">
      <c r="B212" s="62">
        <v>30708</v>
      </c>
      <c r="C212" s="63" t="s">
        <v>373</v>
      </c>
      <c r="D212" s="87">
        <v>0</v>
      </c>
    </row>
    <row r="213" spans="2:4" ht="13.8">
      <c r="B213" s="64">
        <v>30709</v>
      </c>
      <c r="C213" s="65" t="s">
        <v>158</v>
      </c>
      <c r="D213" s="90">
        <v>0</v>
      </c>
    </row>
    <row r="214" spans="2:4" ht="13.8">
      <c r="B214" s="62">
        <v>30710</v>
      </c>
      <c r="C214" s="63" t="s">
        <v>374</v>
      </c>
      <c r="D214" s="87">
        <v>0</v>
      </c>
    </row>
    <row r="215" spans="2:4" ht="13.8">
      <c r="B215" s="64">
        <v>30711</v>
      </c>
      <c r="C215" s="65" t="s">
        <v>157</v>
      </c>
      <c r="D215" s="90">
        <v>0</v>
      </c>
    </row>
    <row r="216" spans="2:4" ht="13.8">
      <c r="B216" s="62">
        <v>30801</v>
      </c>
      <c r="C216" s="63" t="s">
        <v>155</v>
      </c>
      <c r="D216" s="87">
        <v>0</v>
      </c>
    </row>
    <row r="217" spans="2:4" ht="13.8">
      <c r="B217" s="64">
        <v>30802</v>
      </c>
      <c r="C217" s="65" t="s">
        <v>156</v>
      </c>
      <c r="D217" s="90">
        <v>0</v>
      </c>
    </row>
    <row r="218" spans="2:4" ht="13.8">
      <c r="B218" s="62">
        <v>30803</v>
      </c>
      <c r="C218" s="63" t="s">
        <v>97</v>
      </c>
      <c r="D218" s="87">
        <v>0</v>
      </c>
    </row>
    <row r="219" spans="2:4" ht="13.8">
      <c r="B219" s="64">
        <v>30804</v>
      </c>
      <c r="C219" s="65" t="s">
        <v>184</v>
      </c>
      <c r="D219" s="90">
        <v>0</v>
      </c>
    </row>
    <row r="220" spans="2:4" ht="13.8">
      <c r="B220" s="62">
        <v>30805</v>
      </c>
      <c r="C220" s="63" t="s">
        <v>174</v>
      </c>
      <c r="D220" s="87">
        <v>0</v>
      </c>
    </row>
    <row r="221" spans="2:4" ht="13.8">
      <c r="B221" s="64">
        <v>30806</v>
      </c>
      <c r="C221" s="65" t="s">
        <v>375</v>
      </c>
      <c r="D221" s="90">
        <v>0</v>
      </c>
    </row>
    <row r="222" spans="2:4" ht="13.8">
      <c r="B222" s="62">
        <v>30807</v>
      </c>
      <c r="C222" s="63" t="s">
        <v>376</v>
      </c>
      <c r="D222" s="87">
        <v>0</v>
      </c>
    </row>
    <row r="223" spans="2:4" ht="13.8">
      <c r="B223" s="64">
        <v>30808</v>
      </c>
      <c r="C223" s="65" t="s">
        <v>171</v>
      </c>
      <c r="D223" s="90">
        <v>0</v>
      </c>
    </row>
    <row r="224" spans="2:4" ht="13.8">
      <c r="B224" s="62">
        <v>30809</v>
      </c>
      <c r="C224" s="63" t="s">
        <v>377</v>
      </c>
      <c r="D224" s="87">
        <v>0</v>
      </c>
    </row>
    <row r="225" spans="2:4" ht="13.8">
      <c r="B225" s="64">
        <v>30810</v>
      </c>
      <c r="C225" s="65" t="s">
        <v>378</v>
      </c>
      <c r="D225" s="90">
        <v>0</v>
      </c>
    </row>
    <row r="226" spans="2:4" ht="13.8">
      <c r="B226" s="62">
        <v>30901</v>
      </c>
      <c r="C226" s="63" t="s">
        <v>379</v>
      </c>
      <c r="D226" s="87">
        <v>0</v>
      </c>
    </row>
    <row r="227" spans="2:4" ht="13.8">
      <c r="B227" s="64">
        <v>30902</v>
      </c>
      <c r="C227" s="65" t="s">
        <v>380</v>
      </c>
      <c r="D227" s="90">
        <v>0</v>
      </c>
    </row>
    <row r="228" spans="2:4" ht="13.8">
      <c r="B228" s="62">
        <v>30903</v>
      </c>
      <c r="C228" s="63" t="s">
        <v>163</v>
      </c>
      <c r="D228" s="87">
        <v>0</v>
      </c>
    </row>
    <row r="229" spans="2:4" ht="13.8">
      <c r="B229" s="64">
        <v>30904</v>
      </c>
      <c r="C229" s="65" t="s">
        <v>183</v>
      </c>
      <c r="D229" s="90">
        <v>1</v>
      </c>
    </row>
    <row r="230" spans="2:4" ht="13.8">
      <c r="B230" s="62">
        <v>30905</v>
      </c>
      <c r="C230" s="63" t="s">
        <v>159</v>
      </c>
      <c r="D230" s="87">
        <v>0</v>
      </c>
    </row>
    <row r="231" spans="2:4" ht="13.8">
      <c r="B231" s="64">
        <v>30906</v>
      </c>
      <c r="C231" s="65" t="s">
        <v>160</v>
      </c>
      <c r="D231" s="90">
        <v>0</v>
      </c>
    </row>
    <row r="232" spans="2:4" ht="13.8">
      <c r="B232" s="62">
        <v>30907</v>
      </c>
      <c r="C232" s="63" t="s">
        <v>161</v>
      </c>
      <c r="D232" s="87">
        <v>5</v>
      </c>
    </row>
    <row r="233" spans="2:4" ht="13.8">
      <c r="B233" s="64">
        <v>30908</v>
      </c>
      <c r="C233" s="65" t="s">
        <v>162</v>
      </c>
      <c r="D233" s="90">
        <v>0</v>
      </c>
    </row>
    <row r="234" spans="2:4" ht="13.8">
      <c r="B234" s="62">
        <v>30909</v>
      </c>
      <c r="C234" s="63" t="s">
        <v>381</v>
      </c>
      <c r="D234" s="87">
        <v>0</v>
      </c>
    </row>
    <row r="235" spans="2:4" ht="13.8">
      <c r="B235" s="64">
        <v>31001</v>
      </c>
      <c r="C235" s="65" t="s">
        <v>164</v>
      </c>
      <c r="D235" s="90">
        <v>1</v>
      </c>
    </row>
    <row r="236" spans="2:4" ht="13.8">
      <c r="B236" s="62">
        <v>31002</v>
      </c>
      <c r="C236" s="63" t="s">
        <v>382</v>
      </c>
      <c r="D236" s="87">
        <v>0</v>
      </c>
    </row>
    <row r="237" spans="2:4" ht="13.8">
      <c r="B237" s="64">
        <v>31003</v>
      </c>
      <c r="C237" s="65" t="s">
        <v>165</v>
      </c>
      <c r="D237" s="90">
        <v>0</v>
      </c>
    </row>
    <row r="238" spans="2:4" ht="13.8">
      <c r="B238" s="62">
        <v>31004</v>
      </c>
      <c r="C238" s="63" t="s">
        <v>166</v>
      </c>
      <c r="D238" s="87">
        <v>0</v>
      </c>
    </row>
    <row r="239" spans="2:4" ht="13.8">
      <c r="B239" s="64">
        <v>31005</v>
      </c>
      <c r="C239" s="65" t="s">
        <v>167</v>
      </c>
      <c r="D239" s="90">
        <v>0</v>
      </c>
    </row>
    <row r="240" spans="2:4" ht="13.8">
      <c r="B240" s="62">
        <v>31006</v>
      </c>
      <c r="C240" s="63" t="s">
        <v>168</v>
      </c>
      <c r="D240" s="87">
        <v>0</v>
      </c>
    </row>
    <row r="241" spans="2:4" ht="13.8">
      <c r="B241" s="64">
        <v>31007</v>
      </c>
      <c r="C241" s="65" t="s">
        <v>169</v>
      </c>
      <c r="D241" s="90">
        <v>0</v>
      </c>
    </row>
    <row r="242" spans="2:4" ht="13.8">
      <c r="B242" s="62">
        <v>31008</v>
      </c>
      <c r="C242" s="63" t="s">
        <v>383</v>
      </c>
      <c r="D242" s="87">
        <v>0</v>
      </c>
    </row>
    <row r="243" spans="2:4" ht="13.8">
      <c r="B243" s="64">
        <v>31009</v>
      </c>
      <c r="C243" s="65" t="s">
        <v>384</v>
      </c>
      <c r="D243" s="90">
        <v>0</v>
      </c>
    </row>
    <row r="244" spans="2:4" ht="13.8">
      <c r="B244" s="62">
        <v>31010</v>
      </c>
      <c r="C244" s="63" t="s">
        <v>92</v>
      </c>
      <c r="D244" s="87">
        <v>0</v>
      </c>
    </row>
    <row r="245" spans="2:4" ht="13.8">
      <c r="B245" s="64">
        <v>31011</v>
      </c>
      <c r="C245" s="65" t="s">
        <v>385</v>
      </c>
      <c r="D245" s="90">
        <v>0</v>
      </c>
    </row>
    <row r="246" spans="2:4" ht="13.8">
      <c r="B246" s="62">
        <v>31012</v>
      </c>
      <c r="C246" s="63" t="s">
        <v>386</v>
      </c>
      <c r="D246" s="87">
        <v>0</v>
      </c>
    </row>
    <row r="247" spans="2:4" ht="13.8">
      <c r="B247" s="64">
        <v>31013</v>
      </c>
      <c r="C247" s="65" t="s">
        <v>387</v>
      </c>
      <c r="D247" s="90">
        <v>0</v>
      </c>
    </row>
    <row r="248" spans="2:4" ht="13.8">
      <c r="B248" s="62">
        <v>31014</v>
      </c>
      <c r="C248" s="63" t="s">
        <v>388</v>
      </c>
      <c r="D248" s="87">
        <v>0</v>
      </c>
    </row>
    <row r="249" spans="2:4" ht="13.8">
      <c r="B249" s="64">
        <v>31015</v>
      </c>
      <c r="C249" s="65" t="s">
        <v>389</v>
      </c>
      <c r="D249" s="90">
        <v>0</v>
      </c>
    </row>
    <row r="250" spans="2:4" ht="13.8">
      <c r="B250" s="62">
        <v>31101</v>
      </c>
      <c r="C250" s="63" t="s">
        <v>172</v>
      </c>
      <c r="D250" s="87">
        <v>3</v>
      </c>
    </row>
    <row r="251" spans="2:4" ht="13.8">
      <c r="B251" s="64">
        <v>31102</v>
      </c>
      <c r="C251" s="65" t="s">
        <v>173</v>
      </c>
      <c r="D251" s="90">
        <v>0</v>
      </c>
    </row>
    <row r="252" spans="2:4" ht="13.8">
      <c r="B252" s="62">
        <v>31103</v>
      </c>
      <c r="C252" s="63" t="s">
        <v>175</v>
      </c>
      <c r="D252" s="87">
        <v>0</v>
      </c>
    </row>
    <row r="253" spans="2:4" ht="13.8">
      <c r="B253" s="64">
        <v>31104</v>
      </c>
      <c r="C253" s="65" t="s">
        <v>176</v>
      </c>
      <c r="D253" s="90">
        <v>0</v>
      </c>
    </row>
    <row r="254" spans="2:4" ht="13.8">
      <c r="B254" s="62">
        <v>31105</v>
      </c>
      <c r="C254" s="63" t="s">
        <v>177</v>
      </c>
      <c r="D254" s="87">
        <v>0</v>
      </c>
    </row>
    <row r="255" spans="2:4" ht="13.8">
      <c r="B255" s="64">
        <v>31106</v>
      </c>
      <c r="C255" s="65" t="s">
        <v>390</v>
      </c>
      <c r="D255" s="90">
        <v>0</v>
      </c>
    </row>
    <row r="256" spans="2:4" ht="13.8">
      <c r="B256" s="62">
        <v>31107</v>
      </c>
      <c r="C256" s="63" t="s">
        <v>391</v>
      </c>
      <c r="D256" s="87">
        <v>0</v>
      </c>
    </row>
    <row r="257" spans="2:4" ht="13.8">
      <c r="B257" s="64">
        <v>31108</v>
      </c>
      <c r="C257" s="65" t="s">
        <v>392</v>
      </c>
      <c r="D257" s="90">
        <v>0</v>
      </c>
    </row>
    <row r="258" spans="2:4" ht="13.8">
      <c r="B258" s="62">
        <v>31109</v>
      </c>
      <c r="C258" s="63" t="s">
        <v>178</v>
      </c>
      <c r="D258" s="87">
        <v>0</v>
      </c>
    </row>
    <row r="259" spans="2:4" ht="13.8">
      <c r="B259" s="64">
        <v>31110</v>
      </c>
      <c r="C259" s="65" t="s">
        <v>179</v>
      </c>
      <c r="D259" s="90">
        <v>0</v>
      </c>
    </row>
    <row r="260" spans="2:4" ht="13.8">
      <c r="B260" s="62">
        <v>31111</v>
      </c>
      <c r="C260" s="63" t="s">
        <v>180</v>
      </c>
      <c r="D260" s="87">
        <v>0</v>
      </c>
    </row>
    <row r="261" spans="2:4" ht="13.8">
      <c r="B261" s="64">
        <v>31112</v>
      </c>
      <c r="C261" s="65" t="s">
        <v>393</v>
      </c>
      <c r="D261" s="90">
        <v>2</v>
      </c>
    </row>
    <row r="262" spans="2:4" ht="13.8">
      <c r="B262" s="62">
        <v>31113</v>
      </c>
      <c r="C262" s="63" t="s">
        <v>181</v>
      </c>
      <c r="D262" s="87">
        <v>0</v>
      </c>
    </row>
    <row r="263" spans="2:4" ht="13.8">
      <c r="B263" s="64">
        <v>31114</v>
      </c>
      <c r="C263" s="65" t="s">
        <v>394</v>
      </c>
      <c r="D263" s="90">
        <v>0</v>
      </c>
    </row>
    <row r="264" spans="2:4" ht="13.8">
      <c r="B264" s="66">
        <v>40101</v>
      </c>
      <c r="C264" s="67" t="s">
        <v>187</v>
      </c>
      <c r="D264" s="91">
        <v>0</v>
      </c>
    </row>
    <row r="265" spans="2:4" ht="13.8">
      <c r="B265" s="62">
        <v>40102</v>
      </c>
      <c r="C265" s="63" t="s">
        <v>395</v>
      </c>
      <c r="D265" s="87">
        <v>1</v>
      </c>
    </row>
    <row r="266" spans="2:4" ht="13.8">
      <c r="B266" s="66">
        <v>40103</v>
      </c>
      <c r="C266" s="67" t="s">
        <v>188</v>
      </c>
      <c r="D266" s="91">
        <v>0</v>
      </c>
    </row>
    <row r="267" spans="2:4" ht="13.8">
      <c r="B267" s="62">
        <v>40104</v>
      </c>
      <c r="C267" s="63" t="s">
        <v>189</v>
      </c>
      <c r="D267" s="87">
        <v>0</v>
      </c>
    </row>
    <row r="268" spans="2:4" ht="13.8">
      <c r="B268" s="66">
        <v>40105</v>
      </c>
      <c r="C268" s="67" t="s">
        <v>191</v>
      </c>
      <c r="D268" s="91">
        <v>0</v>
      </c>
    </row>
    <row r="269" spans="2:4" ht="13.8">
      <c r="B269" s="62">
        <v>40106</v>
      </c>
      <c r="C269" s="63" t="s">
        <v>194</v>
      </c>
      <c r="D269" s="87">
        <v>0</v>
      </c>
    </row>
    <row r="270" spans="2:4" ht="13.8">
      <c r="B270" s="66">
        <v>40107</v>
      </c>
      <c r="C270" s="67" t="s">
        <v>196</v>
      </c>
      <c r="D270" s="91">
        <v>0</v>
      </c>
    </row>
    <row r="271" spans="2:4" ht="13.8">
      <c r="B271" s="62">
        <v>40108</v>
      </c>
      <c r="C271" s="63" t="s">
        <v>197</v>
      </c>
      <c r="D271" s="87">
        <v>0</v>
      </c>
    </row>
    <row r="272" spans="2:4" ht="13.8">
      <c r="B272" s="66">
        <v>40109</v>
      </c>
      <c r="C272" s="67" t="s">
        <v>77</v>
      </c>
      <c r="D272" s="91">
        <v>0</v>
      </c>
    </row>
    <row r="273" spans="2:4" ht="13.8">
      <c r="B273" s="62">
        <v>40110</v>
      </c>
      <c r="C273" s="63" t="s">
        <v>190</v>
      </c>
      <c r="D273" s="87">
        <v>0</v>
      </c>
    </row>
    <row r="274" spans="2:4" ht="13.8">
      <c r="B274" s="72">
        <v>50101</v>
      </c>
      <c r="C274" s="73" t="s">
        <v>396</v>
      </c>
      <c r="D274" s="92">
        <v>0</v>
      </c>
    </row>
    <row r="275" spans="2:4" ht="13.8">
      <c r="B275" s="62">
        <v>50102</v>
      </c>
      <c r="C275" s="63" t="s">
        <v>397</v>
      </c>
      <c r="D275" s="87">
        <v>0</v>
      </c>
    </row>
    <row r="276" spans="2:4" ht="13.8">
      <c r="B276" s="72">
        <v>50103</v>
      </c>
      <c r="C276" s="73" t="s">
        <v>398</v>
      </c>
      <c r="D276" s="92">
        <v>0</v>
      </c>
    </row>
    <row r="277" spans="2:4" ht="13.8">
      <c r="B277" s="62">
        <v>50104</v>
      </c>
      <c r="C277" s="63" t="s">
        <v>108</v>
      </c>
      <c r="D277" s="87">
        <v>0</v>
      </c>
    </row>
    <row r="278" spans="2:4" ht="13.8">
      <c r="B278" s="72">
        <v>50105</v>
      </c>
      <c r="C278" s="73" t="s">
        <v>182</v>
      </c>
      <c r="D278" s="92">
        <v>2</v>
      </c>
    </row>
    <row r="279" spans="2:4" ht="13.8">
      <c r="B279" s="62">
        <v>50106</v>
      </c>
      <c r="C279" s="63" t="s">
        <v>170</v>
      </c>
      <c r="D279" s="87">
        <v>0</v>
      </c>
    </row>
    <row r="280" spans="2:4" ht="13.8">
      <c r="B280" s="72">
        <v>50107</v>
      </c>
      <c r="C280" s="73" t="s">
        <v>399</v>
      </c>
      <c r="D280" s="92">
        <v>0</v>
      </c>
    </row>
    <row r="281" spans="2:4" ht="13.8">
      <c r="B281" s="62">
        <v>50108</v>
      </c>
      <c r="C281" s="63" t="s">
        <v>400</v>
      </c>
      <c r="D281" s="87">
        <v>0</v>
      </c>
    </row>
    <row r="282" spans="2:4" ht="13.8">
      <c r="B282" s="72">
        <v>50201</v>
      </c>
      <c r="C282" s="73" t="s">
        <v>401</v>
      </c>
      <c r="D282" s="92">
        <v>0</v>
      </c>
    </row>
    <row r="283" spans="2:4" ht="13.8">
      <c r="B283" s="62">
        <v>50202</v>
      </c>
      <c r="C283" s="63" t="s">
        <v>402</v>
      </c>
      <c r="D283" s="87">
        <v>0</v>
      </c>
    </row>
    <row r="284" spans="2:4" ht="13.8">
      <c r="B284" s="72">
        <v>50203</v>
      </c>
      <c r="C284" s="73" t="s">
        <v>403</v>
      </c>
      <c r="D284" s="92">
        <v>0</v>
      </c>
    </row>
    <row r="285" spans="2:4" ht="13.8">
      <c r="B285" s="62">
        <v>50301</v>
      </c>
      <c r="C285" s="63" t="s">
        <v>404</v>
      </c>
      <c r="D285" s="87">
        <v>23</v>
      </c>
    </row>
    <row r="286" spans="2:4" ht="13.8">
      <c r="B286" s="72">
        <v>50302</v>
      </c>
      <c r="C286" s="73" t="s">
        <v>405</v>
      </c>
      <c r="D286" s="92">
        <v>0</v>
      </c>
    </row>
    <row r="287" spans="2:4" ht="13.8">
      <c r="B287" s="62">
        <v>50303</v>
      </c>
      <c r="C287" s="63" t="s">
        <v>185</v>
      </c>
      <c r="D287" s="87">
        <v>0</v>
      </c>
    </row>
    <row r="288" spans="2:4" ht="13.8">
      <c r="B288" s="72">
        <v>50304</v>
      </c>
      <c r="C288" s="73" t="s">
        <v>186</v>
      </c>
      <c r="D288" s="92">
        <v>0</v>
      </c>
    </row>
    <row r="289" spans="2:4" ht="13.8">
      <c r="B289" s="62">
        <v>50305</v>
      </c>
      <c r="C289" s="63" t="s">
        <v>406</v>
      </c>
      <c r="D289" s="87">
        <v>0</v>
      </c>
    </row>
    <row r="290" spans="2:4" ht="13.8">
      <c r="B290" s="72">
        <v>50306</v>
      </c>
      <c r="C290" s="73" t="s">
        <v>407</v>
      </c>
      <c r="D290" s="92">
        <v>0</v>
      </c>
    </row>
    <row r="291" spans="2:4" ht="13.8">
      <c r="B291" s="74">
        <v>60101</v>
      </c>
      <c r="C291" s="75" t="s">
        <v>408</v>
      </c>
      <c r="D291" s="93">
        <v>0</v>
      </c>
    </row>
    <row r="292" spans="2:4" ht="13.8">
      <c r="B292" s="62">
        <v>60102</v>
      </c>
      <c r="C292" s="63" t="s">
        <v>193</v>
      </c>
      <c r="D292" s="87">
        <v>0</v>
      </c>
    </row>
    <row r="293" spans="2:4" ht="13.8">
      <c r="B293" s="74">
        <v>60103</v>
      </c>
      <c r="C293" s="75" t="s">
        <v>409</v>
      </c>
      <c r="D293" s="93">
        <v>0</v>
      </c>
    </row>
    <row r="294" spans="2:4" ht="13.8">
      <c r="B294" s="76">
        <v>70101</v>
      </c>
      <c r="C294" s="77" t="s">
        <v>410</v>
      </c>
      <c r="D294" s="94">
        <v>139</v>
      </c>
    </row>
    <row r="295" spans="2:4" ht="13.8">
      <c r="B295" s="62">
        <v>70102</v>
      </c>
      <c r="C295" s="63" t="s">
        <v>198</v>
      </c>
      <c r="D295" s="95">
        <v>7</v>
      </c>
    </row>
    <row r="296" spans="2:4" ht="13.8">
      <c r="B296" s="76">
        <v>70103</v>
      </c>
      <c r="C296" s="77" t="s">
        <v>199</v>
      </c>
      <c r="D296" s="96">
        <v>813</v>
      </c>
    </row>
    <row r="297" spans="2:4" ht="13.8">
      <c r="B297" s="62">
        <v>70104</v>
      </c>
      <c r="C297" s="63" t="s">
        <v>411</v>
      </c>
      <c r="D297" s="95">
        <v>1148</v>
      </c>
    </row>
    <row r="298" spans="2:4" ht="13.8">
      <c r="B298" s="76">
        <v>70105</v>
      </c>
      <c r="C298" s="77" t="s">
        <v>200</v>
      </c>
      <c r="D298" s="96">
        <v>110</v>
      </c>
    </row>
    <row r="299" spans="2:4" ht="13.8">
      <c r="B299" s="62">
        <v>70106</v>
      </c>
      <c r="C299" s="63" t="s">
        <v>412</v>
      </c>
      <c r="D299" s="95">
        <v>4</v>
      </c>
    </row>
    <row r="300" spans="2:4" ht="13.8">
      <c r="B300" s="76">
        <v>70107</v>
      </c>
      <c r="C300" s="77" t="s">
        <v>413</v>
      </c>
      <c r="D300" s="96">
        <v>104</v>
      </c>
    </row>
    <row r="301" spans="2:4" ht="14.4" thickBot="1">
      <c r="B301" s="78">
        <v>70108</v>
      </c>
      <c r="C301" s="79" t="s">
        <v>414</v>
      </c>
      <c r="D301" s="95">
        <v>28</v>
      </c>
    </row>
    <row r="302" spans="2:4" ht="20.100000000000001" customHeight="1" thickBot="1">
      <c r="B302" s="80" t="s">
        <v>1</v>
      </c>
      <c r="C302" s="81"/>
      <c r="D302" s="82">
        <f>SUM(D20:D301)</f>
        <v>2457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16</vt:i4>
      </vt:variant>
    </vt:vector>
  </HeadingPairs>
  <TitlesOfParts>
    <vt:vector size="34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'C01'!Área_de_impresión</vt:lpstr>
      <vt:lpstr>'C010'!Área_de_impresión</vt:lpstr>
      <vt:lpstr>'C011'!Área_de_impresión</vt:lpstr>
      <vt:lpstr>'C012'!Área_de_impresión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Analisis Estrategico 2</cp:lastModifiedBy>
  <cp:lastPrinted>2015-12-19T01:31:18Z</cp:lastPrinted>
  <dcterms:created xsi:type="dcterms:W3CDTF">1999-03-11T18:07:10Z</dcterms:created>
  <dcterms:modified xsi:type="dcterms:W3CDTF">2026-06-08T16:53:52Z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22dacd43-e0e1-4ca1-a549-ff67248acbd7</vt:lpwstr>
  </property>
</Properties>
</file>