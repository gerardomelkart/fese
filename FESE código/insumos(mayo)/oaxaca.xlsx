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9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/>
  <bookViews>
    <workbookView xWindow="360" yWindow="15" windowWidth="20955" windowHeight="9720" activeTab="10"/>
  </bookViews>
  <sheets>
    <sheet name="PORTADA" sheetId="1" state="visible" r:id="rId1"/>
    <sheet name="PRESENTACIÓN" sheetId="2" state="visible" r:id="rId2"/>
    <sheet name="INSTRUCCIONES" sheetId="3" state="visible" r:id="rId3"/>
    <sheet name="Lista" sheetId="4" state="hidden" r:id="rId4"/>
    <sheet name="Datos" sheetId="5" state="hidden" r:id="rId5"/>
    <sheet name="RESUMEN" sheetId="6" state="visible" r:id="rId6"/>
    <sheet name="C01" sheetId="7" state="visible" r:id="rId7"/>
    <sheet name="C02" sheetId="8" state="visible" r:id="rId8"/>
    <sheet name="C03" sheetId="9" state="visible" r:id="rId9"/>
    <sheet name="C04" sheetId="10" state="visible" r:id="rId10"/>
    <sheet name="C05" sheetId="11" state="visible" r:id="rId11"/>
  </sheets>
  <definedNames>
    <definedName name="_xlnm.Print_Area" localSheetId="0">PORTADA!$B$2:$K$41</definedName>
    <definedName name="Z_857CB3B9_618A_49FD_8D38_75EE2A4021B4_.wvu.PrintArea" localSheetId="0" hidden="1">PORTADA!$B$2:$K$41</definedName>
    <definedName name="_xlnm.Print_Area" localSheetId="1">PRESENTACIÓN!$B$2:$O$52</definedName>
    <definedName name="Z_857CB3B9_618A_49FD_8D38_75EE2A4021B4_.wvu.PrintArea" localSheetId="1" hidden="1">PRESENTACIÓN!$B$2:$O$52</definedName>
    <definedName name="_xlnm.Print_Area" localSheetId="2">INSTRUCCIONES!$B$2:$O$25</definedName>
    <definedName name="Z_857CB3B9_618A_49FD_8D38_75EE2A4021B4_.wvu.PrintArea" localSheetId="2" hidden="1">INSTRUCCIONES!$B$2:$O$25</definedName>
    <definedName name="_xlnm.Print_Area" localSheetId="5">RESUMEN!$A$1:$G$22</definedName>
    <definedName name="Z_857CB3B9_618A_49FD_8D38_75EE2A4021B4_.wvu.PrintArea" localSheetId="5" hidden="1">RESUMEN!$A$1:$G$22</definedName>
    <definedName name="_xlnm.Print_Area" localSheetId="6">'C01'!$B$1:$D$302</definedName>
    <definedName name="Z_857CB3B9_618A_49FD_8D38_75EE2A4021B4_.wvu.PrintArea" localSheetId="6" hidden="1">'C01'!$B$1:$D$302</definedName>
    <definedName name="_xlnm.Print_Area" localSheetId="7">'C02'!$B$1:$F$302</definedName>
    <definedName name="Z_857CB3B9_618A_49FD_8D38_75EE2A4021B4_.wvu.PrintArea" localSheetId="7" hidden="1">'C02'!$B$1:$D$302</definedName>
    <definedName name="_xlnm.Print_Area" localSheetId="8">'C03'!$B$1:$D$302</definedName>
    <definedName name="Z_857CB3B9_618A_49FD_8D38_75EE2A4021B4_.wvu.PrintArea" localSheetId="8" hidden="1">'C03'!$B$1:$D$302</definedName>
    <definedName name="_xlnm.Print_Area" localSheetId="9">'C04'!$B$1:$D$302</definedName>
    <definedName name="Z_857CB3B9_618A_49FD_8D38_75EE2A4021B4_.wvu.PrintArea" localSheetId="9" hidden="1">'C04'!$B$1:$D$302</definedName>
    <definedName name="_xlnm.Print_Area" localSheetId="10">'C05'!$B$1:$D$302</definedName>
    <definedName name="Z_857CB3B9_618A_49FD_8D38_75EE2A4021B4_.wvu.PrintArea" localSheetId="10" hidden="1">'C05'!$B$1:$D$302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<sst xmlns="http://schemas.openxmlformats.org/spreadsheetml/2006/main" count="429" uniqueCount="429">
  <si>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</si>
  <si>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</si>
  <si>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 xml:space="preserve">Centro Nacional de Información</t>
  </si>
  <si>
    <t xml:space="preserve"> Secretariado Ejecutivo del Sistema Nacional de Seguridad Pública</t>
  </si>
  <si>
    <t xml:space="preserve">CENTRO NACIONAL DE INFORMACIÓN</t>
  </si>
  <si>
    <t xml:space="preserve">PRESENTACIÓN </t>
  </si>
  <si>
    <t xml:space="preserve">REPORTE ESTADÍSTICO MENSUAL DEL NÚMERO DE LLAMADAS GENERADAS
 EN EL SERVICIO DE ATENCIÓN DE LLAMADAS DE EMERGENCIA 911</t>
  </si>
  <si>
    <t xml:space="preserve">(FORMATO ELECTRÓNICO FESE)</t>
  </si>
  <si>
    <t>OBJETIVO</t>
  </si>
  <si>
    <t xml:space="preserve">Integrar, análisar  y explotar  la información generada de los tipos de incidentes de los Centros de Atención de Llamadas de Emergencia 9-1-1  que operan a nivel nacional.
</t>
  </si>
  <si>
    <t xml:space="preserve">Ley General del Sistema Nacional de Seguridad Pública
</t>
  </si>
  <si>
    <r>
      <rPr>
        <b/>
        <sz val="14"/>
        <color theme="1"/>
        <rFont val="Calibri"/>
        <scheme val="minor"/>
      </rPr>
      <t xml:space="preserve">Artículo 111.-</t>
    </r>
    <r>
      <rPr>
        <sz val="14"/>
        <color theme="1"/>
        <rFont val="Calibri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</si>
  <si>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</si>
  <si>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scheme val="minor"/>
      </rPr>
      <t>10/XXXVII/14</t>
    </r>
    <r>
      <rPr>
        <sz val="14"/>
        <color theme="1"/>
        <rFont val="Calibri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scheme val="minor"/>
      </rPr>
      <t xml:space="preserve">Acuerdo 12/XXXVIII/15</t>
    </r>
    <r>
      <rPr>
        <b/>
        <sz val="12"/>
        <color theme="1"/>
        <rFont val="Calibri"/>
        <scheme val="minor"/>
      </rPr>
      <t>.</t>
    </r>
    <r>
      <rPr>
        <b/>
        <sz val="14"/>
        <color theme="1"/>
        <rFont val="Calibri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scheme val="minor"/>
      </rPr>
      <t xml:space="preserve">
</t>
    </r>
    <r>
      <rPr>
        <b/>
        <sz val="14"/>
        <color theme="1"/>
        <rFont val="Calibri"/>
        <scheme val="minor"/>
      </rPr>
      <t xml:space="preserve">En el marco del Acuerdo 10/XXXVII/14</t>
    </r>
    <r>
      <rPr>
        <sz val="14"/>
        <color theme="1"/>
        <rFont val="Calibri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</si>
  <si>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</si>
  <si>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scheme val="minor"/>
      </rPr>
      <t xml:space="preserve">Acuerdo 03/XXXVIII/15. Programas con Prioridad Nacional.</t>
    </r>
    <r>
      <rPr>
        <sz val="14"/>
        <color theme="1"/>
        <rFont val="Calibri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</si>
  <si>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</si>
  <si>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scheme val="minor"/>
      </rPr>
      <t xml:space="preserve">Artículo 12.</t>
    </r>
    <r>
      <rPr>
        <sz val="14"/>
        <color theme="1"/>
        <rFont val="Calibri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scheme val="minor"/>
      </rPr>
      <t>VII.</t>
    </r>
    <r>
      <rPr>
        <sz val="14"/>
        <color theme="1"/>
        <rFont val="Calibri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scheme val="minor"/>
      </rPr>
      <t>VIII.</t>
    </r>
    <r>
      <rPr>
        <sz val="14"/>
        <color theme="1"/>
        <rFont val="Calibri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scheme val="minor"/>
      </rPr>
      <t>XXI.</t>
    </r>
    <r>
      <rPr>
        <sz val="14"/>
        <color theme="1"/>
        <rFont val="Calibri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</si>
  <si>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</si>
  <si>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 xml:space="preserve">Homologar la información sobre incidencia delictiva que generan los centros de atención de llamadas de emergencia, así como generar una base de datos nacional con información estadística.</t>
  </si>
  <si>
    <t xml:space="preserve">REPORTE ESTADÍSTICO MENSUAL DEL NÚMERO DE LLAMADAS GENERADAS
 EN EL SERVICIO DE ATENCIÓN DE LLAMADAS DE EMERGENCIA 066</t>
  </si>
  <si>
    <t>INSTRUCTIVO</t>
  </si>
  <si>
    <t xml:space="preserve">REPORTE ESTADÍSTICO DEL NÚMERO DE LLAMADAS GENERADAS
 EN LOS SERVICIOS DE ATENCIÓN DE LLAMADAS DE EMERGENCIA 911</t>
  </si>
  <si>
    <t xml:space="preserve">Se deberá enviar en los 10 primeros días de cada mes</t>
  </si>
  <si>
    <t xml:space="preserve">La información de la estadística generada en el Centro de Atención de Llamadas de Emergencia 911, es a mes vencido.
</t>
  </si>
  <si>
    <t xml:space="preserve">INSTRUCCIONES DE LLENADO</t>
  </si>
  <si>
    <r>
      <rPr>
        <b/>
        <sz val="14"/>
        <color theme="1"/>
        <rFont val="Calibri"/>
        <scheme val="minor"/>
      </rPr>
      <t>Elija</t>
    </r>
    <r>
      <rPr>
        <sz val="14"/>
        <color theme="1"/>
        <rFont val="Calibri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</si>
  <si>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scheme val="minor"/>
      </rPr>
      <t>elija</t>
    </r>
    <r>
      <rPr>
        <sz val="14"/>
        <color theme="1"/>
        <rFont val="Calibri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</si>
  <si>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scheme val="minor"/>
      </rPr>
      <t>Ingrese</t>
    </r>
    <r>
      <rPr>
        <sz val="14"/>
        <rFont val="Calibri"/>
        <scheme val="minor"/>
      </rPr>
      <t xml:space="preserve"> en la columna "cantidad" el número total de eventos occurridos</t>
    </r>
  </si>
  <si>
    <t xml:space="preserve"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</si>
  <si>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</si>
  <si>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</si>
  <si>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</si>
  <si>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</si>
  <si>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</si>
  <si>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</si>
  <si>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</si>
  <si>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 xml:space="preserve">BAJA CALIFORNIA</t>
  </si>
  <si>
    <t>Febrero</t>
  </si>
  <si>
    <t>Municipal</t>
  </si>
  <si>
    <t xml:space="preserve"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</si>
  <si>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</si>
  <si>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</si>
  <si>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</si>
  <si>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</si>
  <si>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</si>
  <si>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</si>
  <si>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</si>
  <si>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</si>
  <si>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</si>
  <si>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</si>
  <si>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</si>
  <si>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 xml:space="preserve"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</si>
  <si>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</si>
  <si>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</si>
  <si>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</si>
  <si>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</si>
  <si>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</si>
  <si>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</si>
  <si>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</si>
  <si>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</si>
  <si>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</si>
  <si>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</si>
  <si>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</si>
  <si>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</si>
  <si>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</si>
  <si>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</si>
  <si>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</si>
  <si>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</si>
  <si>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</si>
  <si>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</si>
  <si>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</si>
  <si>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</si>
  <si>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</si>
  <si>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</si>
  <si>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</si>
  <si>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</si>
  <si>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</si>
  <si>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</si>
  <si>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</si>
  <si>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</si>
  <si>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</si>
  <si>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 xml:space="preserve">Baja California</t>
  </si>
  <si>
    <t>Federal</t>
  </si>
  <si>
    <t xml:space="preserve">Baja California Sur</t>
  </si>
  <si>
    <t>Campeche</t>
  </si>
  <si>
    <t xml:space="preserve">Coahuila de Zaragoza</t>
  </si>
  <si>
    <t>Colima</t>
  </si>
  <si>
    <t>Chiapas</t>
  </si>
  <si>
    <t>Chihuahua</t>
  </si>
  <si>
    <t xml:space="preserve">Distrito Federal</t>
  </si>
  <si>
    <t>Durango</t>
  </si>
  <si>
    <t>Guanajuato</t>
  </si>
  <si>
    <t>Guerrero</t>
  </si>
  <si>
    <t>Hidalgo</t>
  </si>
  <si>
    <t>Jalisco</t>
  </si>
  <si>
    <t>México</t>
  </si>
  <si>
    <t xml:space="preserve">Michoacán de Ocampo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</si>
  <si>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</si>
  <si>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</si>
  <si>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</si>
  <si>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</si>
  <si>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</si>
  <si>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</si>
  <si>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</si>
  <si>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</si>
  <si>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</si>
  <si>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</si>
  <si>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</si>
  <si>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</si>
  <si>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</si>
  <si>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 xml:space="preserve">Veracruz de Ignacio de la Llave</t>
  </si>
  <si>
    <t>Yucatán</t>
  </si>
  <si>
    <t>Zacatecas</t>
  </si>
  <si>
    <t xml:space="preserve">SECRETARIA DE SEGURIDAD Y PROTECCIÓN CIUDADANA</t>
  </si>
  <si>
    <t xml:space="preserve">SECRETARIADO EJECUTIVO DEL SISTEMA NACIONAL DE SEGURIDAD PUBLICA</t>
  </si>
  <si>
    <t xml:space="preserve">RESUMEN ESTATAL DE LLAMADAS DE EMERGENCIA</t>
  </si>
  <si>
    <t xml:space="preserve">Nombre de la Entidad Federativa:</t>
  </si>
  <si>
    <t>Año:</t>
  </si>
  <si>
    <t>Mes:</t>
  </si>
  <si>
    <t xml:space="preserve">Total de Llamadas:</t>
  </si>
  <si>
    <t xml:space="preserve">Total de Llamadas por Tipo Médico</t>
  </si>
  <si>
    <t xml:space="preserve">Total de Llamadas por Tipo Protección Civil</t>
  </si>
  <si>
    <t xml:space="preserve">Total de Llamadas por Tipo Seguridad</t>
  </si>
  <si>
    <t xml:space="preserve">Total de Llamadas por Tipo Servicios Públicos</t>
  </si>
  <si>
    <t xml:space="preserve">Total de Llamadas por Tipo Asistencia</t>
  </si>
  <si>
    <t xml:space="preserve">Total de Llamadas por Tipo Otros Servicios</t>
  </si>
  <si>
    <t xml:space="preserve">Total de Llamadas por Tipo Improcedentes</t>
  </si>
  <si>
    <t xml:space="preserve">Porcentaje de Llamadas por tipo Médico</t>
  </si>
  <si>
    <t xml:space="preserve">Porcentaje de Llamadas por Tipo Protección Civil</t>
  </si>
  <si>
    <t xml:space="preserve">Porcentaje de Llamadas por Tipo Seguridad</t>
  </si>
  <si>
    <t xml:space="preserve">Porcentaje de Llamadas por Tipo Servicios Públicos</t>
  </si>
  <si>
    <t xml:space="preserve">Porcentaje de Llamadas por Tipo Asistencia</t>
  </si>
  <si>
    <t xml:space="preserve">Porcentaje de Llamadas por Tipo Otros Servicios</t>
  </si>
  <si>
    <t xml:space="preserve">Porcentaje de Llamadas por Tipo Improcedentes</t>
  </si>
  <si>
    <t xml:space="preserve">(FORMATO ELECTRÓNICO FESE V.2.0)</t>
  </si>
  <si>
    <t xml:space="preserve">CENTRO DE ATENCIÓN DE LLAMADAS DE EMERGENCIAS</t>
  </si>
  <si>
    <t xml:space="preserve">Tipo de Administración:</t>
  </si>
  <si>
    <t xml:space="preserve"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</si>
  <si>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</si>
  <si>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</si>
  <si>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</si>
  <si>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</si>
  <si>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</si>
  <si>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</si>
  <si>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</si>
  <si>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</si>
  <si>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</si>
  <si>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</si>
  <si>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</si>
  <si>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</si>
  <si>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</si>
  <si>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</si>
  <si>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</si>
  <si>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 xml:space="preserve">ACCIDENTE DE AERONAVE CON FALLECIDO</t>
  </si>
  <si>
    <t xml:space="preserve">ACCIDENTE DE EMBARCACIONES CON LESIONADOS</t>
  </si>
  <si>
    <t xml:space="preserve"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</si>
  <si>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</si>
  <si>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</si>
  <si>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</si>
  <si>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 xml:space="preserve">ACCIDENTES CON MATERIALES RADIOACTIVOS</t>
  </si>
  <si>
    <t xml:space="preserve">ACCIDENTES CON RIESGO BIOLÓGICO INFECTO-CONTAGIOSO </t>
  </si>
  <si>
    <t xml:space="preserve">OTROS ACCIDENTES CON LESIONADOS</t>
  </si>
  <si>
    <t xml:space="preserve">AHOGAMIENTO </t>
  </si>
  <si>
    <t xml:space="preserve">AMPUTACIÓN </t>
  </si>
  <si>
    <t xml:space="preserve">ASFIXIA   </t>
  </si>
  <si>
    <t>CAÍDA</t>
  </si>
  <si>
    <t xml:space="preserve"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</si>
  <si>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</si>
  <si>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</si>
  <si>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</si>
  <si>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</si>
  <si>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</si>
  <si>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</si>
  <si>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</si>
  <si>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</si>
  <si>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 xml:space="preserve">TRAUMATISMO DE TÓRAX (PECHO Y/ O ESPALDA)</t>
  </si>
  <si>
    <t xml:space="preserve">TRAUMATISMO ABDOMINAL</t>
  </si>
  <si>
    <t xml:space="preserve">TRAUMATISMO GENITAL Y/ O URINARIO</t>
  </si>
  <si>
    <t xml:space="preserve">CONGELAMIENTO / LESIONADO POR CONDICIONES AMBIENTALES </t>
  </si>
  <si>
    <t xml:space="preserve">HIPOTERMIA </t>
  </si>
  <si>
    <t xml:space="preserve">FALLECIDO DE CAUSA TRAUMÁTICA</t>
  </si>
  <si>
    <t xml:space="preserve">OTROS INCIDENTES MÉDICOS TRAUMÁTICOS</t>
  </si>
  <si>
    <t xml:space="preserve">TRABAJO DE PARTO </t>
  </si>
  <si>
    <t xml:space="preserve">AMENAZA DE ABORTO </t>
  </si>
  <si>
    <t xml:space="preserve">URGENCIA EN PACIENTE EMBARAZADA </t>
  </si>
  <si>
    <t xml:space="preserve"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</si>
  <si>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</si>
  <si>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</si>
  <si>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</si>
  <si>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</si>
  <si>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 xml:space="preserve">ENVENENAMIENTO POR ANIMAL DE PONZOÑA</t>
  </si>
  <si>
    <t xml:space="preserve">URGENCIA POR ENFERMEDAD GENERAL </t>
  </si>
  <si>
    <t xml:space="preserve">DOLOR ABDOMINAL / URGENCIA ABDOMINAL </t>
  </si>
  <si>
    <t xml:space="preserve"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</si>
  <si>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</si>
  <si>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</si>
  <si>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</si>
  <si>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OTROS INCIDENTES MÉDICOS CLÍNICOS</t>
  </si>
  <si>
    <t xml:space="preserve">FALLECIDO DE CAUSA NATURAL</t>
  </si>
  <si>
    <t xml:space="preserve">PERSONA EN CRISIS POR TRASTORNO MENTAL  </t>
  </si>
  <si>
    <t>EPIDEMIAS</t>
  </si>
  <si>
    <t xml:space="preserve">ACCIDENTE FERROVIARIO SIN LESIONADOS</t>
  </si>
  <si>
    <t xml:space="preserve">ALMACENAMIENTO DE SUSTANCIAS PELIGROSAS</t>
  </si>
  <si>
    <t xml:space="preserve">ANIMAL PELIGROSO</t>
  </si>
  <si>
    <t xml:space="preserve">ANIMALES SUELTOS</t>
  </si>
  <si>
    <t xml:space="preserve">FUGAS Y DERRAMES EN ESCUELA</t>
  </si>
  <si>
    <t xml:space="preserve">ENCHARCAMIENTO/ DESBORDAMIENTO DE RIO</t>
  </si>
  <si>
    <t>EXPLOSIÓN</t>
  </si>
  <si>
    <t xml:space="preserve">FUGAS Y DERRAMES DE SUSTANCIAS QUÍMICAS</t>
  </si>
  <si>
    <t xml:space="preserve">HUNDIMIENTOS / AGRIETAMIENTOS/ INESTABILIDAD DE LADERA</t>
  </si>
  <si>
    <t xml:space="preserve">GASES TÓXICOS</t>
  </si>
  <si>
    <t xml:space="preserve">OLORES FÉTIDOS</t>
  </si>
  <si>
    <t xml:space="preserve">MATERIALES PELIGROSOS O RADIOACTIVOS</t>
  </si>
  <si>
    <t xml:space="preserve">CAÍDA DE ANUNCIO O ESPECTACULAR</t>
  </si>
  <si>
    <t xml:space="preserve">TRANSPORTE DE SUSTANCIAS PELIGROSAS</t>
  </si>
  <si>
    <t xml:space="preserve">CONTAMINACIÓN DE SUELO, AIRE Y AGUA</t>
  </si>
  <si>
    <t>DERRUMBES</t>
  </si>
  <si>
    <t xml:space="preserve">ENJAMBRE DE ABEJAS</t>
  </si>
  <si>
    <t xml:space="preserve">ERUPCIÓN O EMISIONES VOLCÁNICAS</t>
  </si>
  <si>
    <t xml:space="preserve">FRENTES FRÍOS, BAJAS TEMPERATURAS, NEVADAS Y HELADAS</t>
  </si>
  <si>
    <t>HURACANES</t>
  </si>
  <si>
    <t>INUNDACIONES</t>
  </si>
  <si>
    <t>PLAGAS</t>
  </si>
  <si>
    <t>SISMO</t>
  </si>
  <si>
    <t xml:space="preserve">ÁRBOL CAÍDO O POR CAER</t>
  </si>
  <si>
    <t xml:space="preserve">TORMENTAS DE GRANIZO /DE NIEVE</t>
  </si>
  <si>
    <t>TORNADOS</t>
  </si>
  <si>
    <t>TSUNAMI</t>
  </si>
  <si>
    <t xml:space="preserve">VIENTO / TORMENTA DE POLVO</t>
  </si>
  <si>
    <t xml:space="preserve">INCENDIO DE CASA HABITACIÓN</t>
  </si>
  <si>
    <t xml:space="preserve">INCENDIO EN ESCUELA</t>
  </si>
  <si>
    <t xml:space="preserve">INCENDIO DE VEHÍCULO</t>
  </si>
  <si>
    <t xml:space="preserve">INCENDIO DE COMERCIO</t>
  </si>
  <si>
    <t xml:space="preserve">INCENDIO DE EDIFICIO</t>
  </si>
  <si>
    <t xml:space="preserve">INCENDIO A BORDO DE EMBARCACIÓN</t>
  </si>
  <si>
    <t xml:space="preserve">INCENDIO FORESTAL</t>
  </si>
  <si>
    <t xml:space="preserve">QUEMA URBANA </t>
  </si>
  <si>
    <t xml:space="preserve">QUEMA AGROPECUARIA</t>
  </si>
  <si>
    <t xml:space="preserve">INCENDIO DE FÁBRICA O INDUSTRIA</t>
  </si>
  <si>
    <t xml:space="preserve">OTROS INCENDIOS</t>
  </si>
  <si>
    <t xml:space="preserve">NAUFRAGIO/ HUNDIMIENTO / VARADURA DE EMBARCACIÓN</t>
  </si>
  <si>
    <t xml:space="preserve">PERSONA ATRAPADA</t>
  </si>
  <si>
    <t xml:space="preserve">RESCATE ANIMAL</t>
  </si>
  <si>
    <t xml:space="preserve">OTROS RESCATES</t>
  </si>
  <si>
    <t xml:space="preserve">VEHÍCULO ABANDONADO</t>
  </si>
  <si>
    <t xml:space="preserve">OBJETO SOSPECHOSO O PELIGROSO</t>
  </si>
  <si>
    <t xml:space="preserve">PERSONA TIRADA EN VÍA PÚBLICA</t>
  </si>
  <si>
    <t xml:space="preserve">DETONACIÓN DE EXPLOSIVOS</t>
  </si>
  <si>
    <t xml:space="preserve">DETONACIÓN DE ARMA DE FUEGO</t>
  </si>
  <si>
    <t xml:space="preserve">PERSONA ARMADA EN ESCUELA</t>
  </si>
  <si>
    <t xml:space="preserve">PORTACIÓN DE ARMAS O CARTUCHOS</t>
  </si>
  <si>
    <t xml:space="preserve">DETONACIÓN  DE COHETES O FUEGOS ARTIFICIALES </t>
  </si>
  <si>
    <t xml:space="preserve">DETONACIÓN DE ARMA DE FUEGO EN ESCUELA</t>
  </si>
  <si>
    <t xml:space="preserve">TRÁFICO DE ARMAS</t>
  </si>
  <si>
    <t xml:space="preserve">AERONAVE SOSPECHOSA</t>
  </si>
  <si>
    <t xml:space="preserve">ARRANCONES O CARRERAS DE VEHÍCULOS</t>
  </si>
  <si>
    <t xml:space="preserve">BLOQUEO O CORTE DE VÍAS DE COMUNICACIÓN</t>
  </si>
  <si>
    <t xml:space="preserve">CIRCULAR EN SENTIDO CONTRARIO</t>
  </si>
  <si>
    <t xml:space="preserve">VEHÍCULO A EXCESO DE VELOCIDAD</t>
  </si>
  <si>
    <t xml:space="preserve">VEHÍCULO EN HUIDA</t>
  </si>
  <si>
    <t xml:space="preserve">VEHÍCULO SOSPECHOSO</t>
  </si>
  <si>
    <t xml:space="preserve">VEHÍCULO DESCOMPUESTO</t>
  </si>
  <si>
    <t xml:space="preserve">ACCIDENTE DE TRÁNSITO SIN LESIONADOS</t>
  </si>
  <si>
    <t xml:space="preserve">OTRAS FALTAS A REGLAMENTO DE TRÁNSITO</t>
  </si>
  <si>
    <t xml:space="preserve">OTRAS ALARMAS DE EMERGENCIAS ACTIVADAS</t>
  </si>
  <si>
    <t xml:space="preserve">BOTÓN  DE EMERGENCIA ACTIVADO</t>
  </si>
  <si>
    <t xml:space="preserve">CRISTALAZO O ROBO AL INTERIOR DE VEHÍCULO</t>
  </si>
  <si>
    <t xml:space="preserve">DAÑO A PROPIEDAD AJENA</t>
  </si>
  <si>
    <t>DESPOJO</t>
  </si>
  <si>
    <t>EXTORSIÓN</t>
  </si>
  <si>
    <t xml:space="preserve">EXTORSIÓN TELEFÓNICA</t>
  </si>
  <si>
    <t xml:space="preserve">ACTIVACIÓN DE ALARMA EN ESCUELA</t>
  </si>
  <si>
    <t xml:space="preserve">ROBO DE COMBUSTIBLE O TOMA CLANDESTINA DE DUCTOS</t>
  </si>
  <si>
    <t xml:space="preserve">ROBO A CAJERO AUTOMÁTICO</t>
  </si>
  <si>
    <t xml:space="preserve">ROBO DE AUTOPARTES O ACCESORIOS</t>
  </si>
  <si>
    <t xml:space="preserve">ROBO DE GANADO</t>
  </si>
  <si>
    <t xml:space="preserve">ROBO A CASA HABITACIÓN CON VIOLENCIA</t>
  </si>
  <si>
    <t xml:space="preserve">ROBO A CASA HABITACIÓN SIN VIOLENCIA</t>
  </si>
  <si>
    <t xml:space="preserve">ROBO A ESCUELA CON VIOLENCIA</t>
  </si>
  <si>
    <t xml:space="preserve">ROBO A ESCUELA SIN VIOLENCIA</t>
  </si>
  <si>
    <t xml:space="preserve">ROBO A GASOLINERA CON VIOLENCIA</t>
  </si>
  <si>
    <t xml:space="preserve">ROBO A GASOLINERA SIN VIOLENCIA</t>
  </si>
  <si>
    <t xml:space="preserve">ROBO A NEGOCIO CON VIOLENCIA</t>
  </si>
  <si>
    <t xml:space="preserve">ROBO A NEGOCIO SIN VIOLENCIA</t>
  </si>
  <si>
    <t xml:space="preserve">ROBO A TRANSEÚNTE CON VIOLENCIA</t>
  </si>
  <si>
    <t xml:space="preserve">ROBO A TRANSEÚNTE SIN VIOLENCIA</t>
  </si>
  <si>
    <t xml:space="preserve">ROBO EN TRANSPORTE PÚBLICO COLECTIVO CON VIOLENCIA</t>
  </si>
  <si>
    <t xml:space="preserve">ROBO EN TRANSPORTE PÚBLICO COLECTIVO SIN VIOLENCIA</t>
  </si>
  <si>
    <t xml:space="preserve">ROBO EN TRANSPORTE PÚBLICO INDIVIDUAL CON VIOLENCIA</t>
  </si>
  <si>
    <t xml:space="preserve">ROBO EN TRANSPORTE PÚBLICO INDIVIDUAL SIN VIOLENCIA</t>
  </si>
  <si>
    <t xml:space="preserve">ROBO A TRANSPORTISTA CON VIOLENCIA</t>
  </si>
  <si>
    <t xml:space="preserve">ROBO A TRANSPORTISTA SIN VIOLENCIA</t>
  </si>
  <si>
    <t xml:space="preserve">ROBO DE VEHÍCULO PARTICULAR CON VIOLENCIA</t>
  </si>
  <si>
    <t xml:space="preserve">ROBO DE VEHÍCULO PARTICULAR SIN VIOLENCIA</t>
  </si>
  <si>
    <t xml:space="preserve">ROBO EN CARRETERA CON VIOLENCIA</t>
  </si>
  <si>
    <t xml:space="preserve">ROBO EN CARRETERA SIN VIOLENCIA</t>
  </si>
  <si>
    <t xml:space="preserve">ROBO A BANCO CON VIOLENCIA</t>
  </si>
  <si>
    <t xml:space="preserve">ROBO A BANCO SIN VIOLENCIA</t>
  </si>
  <si>
    <t xml:space="preserve">ROBO A CASA DE CAMBIO CON VIOLENCIA</t>
  </si>
  <si>
    <t xml:space="preserve">ROBO A CASA DE CAMBIO SIN VIOLENCIA</t>
  </si>
  <si>
    <t xml:space="preserve">ROBO A EMPRESA DE TRASLADO DE VALORES CON VIOLENCIA</t>
  </si>
  <si>
    <t xml:space="preserve">ROBO A EMPRESA DE TRASLADO DE VALORES SIN VIOLENCIA</t>
  </si>
  <si>
    <t xml:space="preserve">ROBO A FERROCARRIL</t>
  </si>
  <si>
    <t xml:space="preserve">ROBO  DE PLACA</t>
  </si>
  <si>
    <t xml:space="preserve">ROBO A TRANSPORTE ESCOLAR CON VIOLENCIA</t>
  </si>
  <si>
    <t xml:space="preserve">ROBO A TRANSPORTE ESCOLAR SIN VIOLENCIA</t>
  </si>
  <si>
    <t xml:space="preserve">ROBO A EMBARCACIONES Y PIRATERÍA</t>
  </si>
  <si>
    <t xml:space="preserve">TRANSPORTE ILEGAL DE COMBUSTIBLE</t>
  </si>
  <si>
    <t xml:space="preserve">ROBO DE ARTE SACRO</t>
  </si>
  <si>
    <t xml:space="preserve">OTROS ACTOS RELACIONADOS CON EL PATRIMONIO</t>
  </si>
  <si>
    <t xml:space="preserve">ABANDONO DE PERSONA</t>
  </si>
  <si>
    <t xml:space="preserve">VIOLENCIA DE PAREJA</t>
  </si>
  <si>
    <t xml:space="preserve">VIOLENCIA FAMILIAR</t>
  </si>
  <si>
    <t xml:space="preserve">OTROS ACTOS RELACIONADOS CON LA FAMILIA</t>
  </si>
  <si>
    <t xml:space="preserve">MALTRATO INFANTIL</t>
  </si>
  <si>
    <t xml:space="preserve">MENOR EXTRAVIADO</t>
  </si>
  <si>
    <t xml:space="preserve">PERSONA NO LOCALIZADA</t>
  </si>
  <si>
    <t xml:space="preserve">PRIVACIÓN DE LA LIBERTAD</t>
  </si>
  <si>
    <t>REHENES</t>
  </si>
  <si>
    <t xml:space="preserve">ROBO DE INFANTE</t>
  </si>
  <si>
    <t xml:space="preserve">PERSONA DETENIDA</t>
  </si>
  <si>
    <t xml:space="preserve">SUSTRACCIÓN DE MENORES</t>
  </si>
  <si>
    <t xml:space="preserve">TRÁFICO DE MENORES</t>
  </si>
  <si>
    <t xml:space="preserve">OTROS ACTOS RELACIONADOS CON LA LIBERTAD PERSONAL</t>
  </si>
  <si>
    <t xml:space="preserve">TENTATIVA DE PRIVACIÓN DE LA LIBERTAD</t>
  </si>
  <si>
    <t xml:space="preserve">NOTIFICACIÓN DE CIBER INCIDENTE</t>
  </si>
  <si>
    <t xml:space="preserve">ABUSO SEXUAL</t>
  </si>
  <si>
    <t xml:space="preserve">ACOSO U HOSTIGAMIENTO SEXUAL</t>
  </si>
  <si>
    <t xml:space="preserve">ATAQUES AL PUDOR</t>
  </si>
  <si>
    <t>ESTUPRO</t>
  </si>
  <si>
    <t xml:space="preserve">EXPLOTACIÓN DE MENORES</t>
  </si>
  <si>
    <t xml:space="preserve">TRATA DE MENORES</t>
  </si>
  <si>
    <t>VIOLACIÓN</t>
  </si>
  <si>
    <t xml:space="preserve">OTROS ACTOS RELACIONADOS CON LA LIBERTAD Y LA SEGURIDAD SEXUAL </t>
  </si>
  <si>
    <t xml:space="preserve">TRATA DE PERSONAS</t>
  </si>
  <si>
    <t xml:space="preserve">TRÁFICO DE PERSONAS/INDOCUMENTADAS</t>
  </si>
  <si>
    <t xml:space="preserve">CORRUPCIÓN DE MENORES</t>
  </si>
  <si>
    <t xml:space="preserve">ACTOS DE COMERCIALIZACIÓN ILEGAL DE SANGRE, ÓRGANOS Y TEJIDOS HUMANOS</t>
  </si>
  <si>
    <t xml:space="preserve">ASOCIACIÓN DELICTUOSA O PANDILLERISMO</t>
  </si>
  <si>
    <t xml:space="preserve">ENFRENTAMIENTO DE GRUPOS ARMADOS</t>
  </si>
  <si>
    <t xml:space="preserve">TERRORISMO O ATENTADO</t>
  </si>
  <si>
    <t xml:space="preserve">AMENAZA DE BOMBA</t>
  </si>
  <si>
    <t xml:space="preserve">OTROS ACTOS RELACIONADOS CON LA SEGURIDAD COLECTIVA</t>
  </si>
  <si>
    <t>MOTÍN</t>
  </si>
  <si>
    <t xml:space="preserve">VENTA CLANDESTINA DE PIROTECNIA, COHETES O FUEGOS ARTIFICIALES</t>
  </si>
  <si>
    <t xml:space="preserve">VENTA ILEGAL DE COMBUSTIBLE</t>
  </si>
  <si>
    <t xml:space="preserve">AMENAZA DE BOMBA EN ESCUELA</t>
  </si>
  <si>
    <t xml:space="preserve">OTROS ACTOS RELACIONADOS CON LA VIDA Y LA INTEGRIDAD PERSONAL</t>
  </si>
  <si>
    <t xml:space="preserve">ACCIDENTE DE TRÁNSITO CON MUERTOS</t>
  </si>
  <si>
    <t xml:space="preserve">VIOLENCIA CONTRA LA MUJER</t>
  </si>
  <si>
    <t xml:space="preserve">PERSONA SOSPECHOSA</t>
  </si>
  <si>
    <t xml:space="preserve">AMENAZA DE SUICIDIO</t>
  </si>
  <si>
    <t>HOMICIDIO</t>
  </si>
  <si>
    <t xml:space="preserve">PERSONA AGRESIVA</t>
  </si>
  <si>
    <t>SUICIDIO</t>
  </si>
  <si>
    <t xml:space="preserve">AGRESIÓN FÍSICA EN PANDILLA </t>
  </si>
  <si>
    <t xml:space="preserve">ALLANAMIENTO DE MORADA</t>
  </si>
  <si>
    <t>AMENAZA</t>
  </si>
  <si>
    <t xml:space="preserve">DAÑO A BIENES PÚBLICOS, INSTITUCIONES, MONUMENTOS, ENTRE OTROS</t>
  </si>
  <si>
    <t xml:space="preserve">DESCARGA DE DESECHOS SIN PERMISOS</t>
  </si>
  <si>
    <t>ELECTORALES</t>
  </si>
  <si>
    <t xml:space="preserve">FUGA DE REOS</t>
  </si>
  <si>
    <t>NARCOMENUDEO</t>
  </si>
  <si>
    <t xml:space="preserve">TOMA DE EDIFICIO PÚBLICO</t>
  </si>
  <si>
    <t xml:space="preserve">TOMA DE INSTALACIONES EDUCATIVAS CON VIOLENCIA</t>
  </si>
  <si>
    <t xml:space="preserve">TALA ILEGAL</t>
  </si>
  <si>
    <t xml:space="preserve">TRÁFICO DE MADERA</t>
  </si>
  <si>
    <t xml:space="preserve">TRÁFICO Y/O VENTA CLANDESTINA DE ANIMALES</t>
  </si>
  <si>
    <t xml:space="preserve">TRÁFICO DE DROGAS Y ESTUPEFACIENTES EN LA MAR</t>
  </si>
  <si>
    <t xml:space="preserve">TRÁFICO DE DROGAS Y ESTUPEFACIENTES EN VÍA PÚBLICA</t>
  </si>
  <si>
    <t xml:space="preserve">OTROS ACTOS RELACIONADOS CON OTROS BIENES JURÍDICOS</t>
  </si>
  <si>
    <t xml:space="preserve">ALTERACIÓN DEL ORDEN PÚBLICO POR PERSONA ALCOHOLIZADA</t>
  </si>
  <si>
    <t xml:space="preserve">ALTERACIÓN DEL ORDEN PÚBLICO POR PERSONA DROGADA</t>
  </si>
  <si>
    <t xml:space="preserve">CONDUCTOR EBRIO</t>
  </si>
  <si>
    <t xml:space="preserve">CONSUMO DE ALCOHOL EN VÍA PÚBLICA</t>
  </si>
  <si>
    <t xml:space="preserve">CONSUMO DE DROGAS EN VÍA PÚBLICA</t>
  </si>
  <si>
    <t xml:space="preserve">CONSUMO DE ALCOHOL EN ESCUELA</t>
  </si>
  <si>
    <t xml:space="preserve">CONSUMO DE DROGAS EN ESCUELA</t>
  </si>
  <si>
    <t>GRAFITIS</t>
  </si>
  <si>
    <t xml:space="preserve">MANIFESTACIÓN CON DISTURBIOS O BLOQUEOS</t>
  </si>
  <si>
    <t>MITIN</t>
  </si>
  <si>
    <t xml:space="preserve">PELEA CLANDESTINA CON ANIMALES</t>
  </si>
  <si>
    <t xml:space="preserve">RIÑA / PELEA CLANDESTINA</t>
  </si>
  <si>
    <t xml:space="preserve">PERSONA EXHIBICIONISTA</t>
  </si>
  <si>
    <t xml:space="preserve">OTROS TIPOS DE ALTERACIÓN AL ORDEN PÚBLICO</t>
  </si>
  <si>
    <t xml:space="preserve">CAÍDA DE BARDA</t>
  </si>
  <si>
    <t xml:space="preserve">CAÍDA DE POSTE </t>
  </si>
  <si>
    <t xml:space="preserve">FALLA DE ALUMBRADO PÚBLICO</t>
  </si>
  <si>
    <t xml:space="preserve">FALLAS DE SEMÁFORO</t>
  </si>
  <si>
    <t xml:space="preserve">ALCANTARILLA SIN TAPA</t>
  </si>
  <si>
    <t xml:space="preserve">CABLES COLGANDO</t>
  </si>
  <si>
    <t xml:space="preserve">CORTO CIRCUITO</t>
  </si>
  <si>
    <t xml:space="preserve">GRAVA SUELTA</t>
  </si>
  <si>
    <t xml:space="preserve">AFECTACIÓN DE LOS SERVICIOS BÁSICOS O DE INFRAESTRUCTURA ESTRATÉGICA</t>
  </si>
  <si>
    <t xml:space="preserve">VIALIDAD EN MAL ESTADO</t>
  </si>
  <si>
    <t xml:space="preserve">CONCENTRACIÓN PACÍFICA DE PERSONAS</t>
  </si>
  <si>
    <t xml:space="preserve">TENTATIVA DE ROBO</t>
  </si>
  <si>
    <t xml:space="preserve">EXTRAVÍO DE PLACA</t>
  </si>
  <si>
    <t>FRAUDE</t>
  </si>
  <si>
    <t xml:space="preserve">RUIDO EXCESIVO</t>
  </si>
  <si>
    <t xml:space="preserve">USURPACIÓN DE IDENTIDAD</t>
  </si>
  <si>
    <t xml:space="preserve">ABUSO DE CONFIANZA</t>
  </si>
  <si>
    <t xml:space="preserve">ABUSO DE AUTORIDAD</t>
  </si>
  <si>
    <t xml:space="preserve">RESTOS HUMANOS</t>
  </si>
  <si>
    <t xml:space="preserve">DE ARMA</t>
  </si>
  <si>
    <t xml:space="preserve">VEHÍCULO RECUPERADO</t>
  </si>
  <si>
    <t xml:space="preserve">APOYO  A LA CIUDADANÍA</t>
  </si>
  <si>
    <t xml:space="preserve">PERSONA LOCALIZADA</t>
  </si>
  <si>
    <t xml:space="preserve">MALTRATO DE ANIMALES</t>
  </si>
  <si>
    <t xml:space="preserve">PERSONA EN SITUACIÓN DE CALLE</t>
  </si>
  <si>
    <t xml:space="preserve">SOLICITUD DE RONDÍN</t>
  </si>
  <si>
    <t xml:space="preserve">QUEJA CONTRA SERVIDORES PÚBLICOS</t>
  </si>
  <si>
    <t xml:space="preserve">ALCANTARILLA OBSTRUÍDA</t>
  </si>
  <si>
    <t xml:space="preserve">ANIMAL MUERTO</t>
  </si>
  <si>
    <t xml:space="preserve">SOLICITUD DE OTROS SERVICIOS PÚBLICOS</t>
  </si>
  <si>
    <t xml:space="preserve">LLAMADA DE BROMA POR NIÑOS</t>
  </si>
  <si>
    <t xml:space="preserve">LLAMADA DE PRUEBA</t>
  </si>
  <si>
    <t xml:space="preserve">LLAMADA INCOMPLETA</t>
  </si>
  <si>
    <t xml:space="preserve">LLAMADA MUDA</t>
  </si>
  <si>
    <t xml:space="preserve">TRANSFERENCIA DE LLAMADA</t>
  </si>
  <si>
    <t xml:space="preserve">INSULTOS POR ADULTOS/ LLAMADA OBSCENA</t>
  </si>
  <si>
    <t xml:space="preserve">JÓVENES/ ADULTOS JUGANDO</t>
  </si>
  <si>
    <t xml:space="preserve">OTRAS LLAMADAS DE NO EMERGENCIA</t>
  </si>
  <si>
    <t>Total</t>
  </si>
  <si>
    <t>Itsmo</t>
  </si>
  <si>
    <t>Cuenca</t>
  </si>
  <si>
    <t>Costa</t>
  </si>
  <si>
    <t>Mixteca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</si>
</sst>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2">
    <font>
      <sz val="10.000000"/>
      <color theme="1"/>
      <name val="Arial"/>
    </font>
    <font>
      <sz val="10.000000"/>
      <name val="Arial"/>
    </font>
    <font>
      <sz val="11.000000"/>
      <color theme="1"/>
      <name val="Calibri"/>
      <scheme val="minor"/>
    </font>
    <font>
      <i/>
      <sz val="20.000000"/>
      <color theme="1"/>
      <name val="Calibri"/>
      <scheme val="minor"/>
    </font>
    <font>
      <b/>
      <i/>
      <sz val="72.000000"/>
      <color rgb="FFC00000"/>
      <name val="Calibri"/>
      <scheme val="minor"/>
    </font>
    <font>
      <sz val="28.000000"/>
      <color theme="1"/>
      <name val="Calibri"/>
      <scheme val="minor"/>
    </font>
    <font>
      <sz val="18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20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  <font>
      <sz val="15.000000"/>
      <color theme="1"/>
      <name val="Calibri"/>
      <scheme val="minor"/>
    </font>
    <font>
      <sz val="15.000000"/>
      <name val="Calibri"/>
      <scheme val="minor"/>
    </font>
    <font>
      <b/>
      <sz val="18.000000"/>
      <color rgb="FFC00000"/>
      <name val="Calibri"/>
      <scheme val="minor"/>
    </font>
    <font>
      <sz val="18.000000"/>
      <color rgb="FFC00000"/>
      <name val="Calibri"/>
      <scheme val="minor"/>
    </font>
    <font>
      <b/>
      <sz val="14.000000"/>
      <color theme="0"/>
      <name val="Calibri"/>
      <scheme val="minor"/>
    </font>
    <font>
      <b/>
      <sz val="15.000000"/>
      <color theme="1"/>
      <name val="Calibri"/>
      <scheme val="minor"/>
    </font>
    <font>
      <b/>
      <sz val="18.000000"/>
      <color theme="0"/>
      <name val="Calibri"/>
      <scheme val="minor"/>
    </font>
    <font>
      <b/>
      <sz val="16.000000"/>
      <name val="Calibri"/>
      <scheme val="minor"/>
    </font>
    <font>
      <b/>
      <sz val="16.000000"/>
      <color indexed="2"/>
      <name val="Calibri"/>
      <scheme val="minor"/>
    </font>
    <font>
      <sz val="14.000000"/>
      <name val="Calibri"/>
      <scheme val="minor"/>
    </font>
    <font>
      <sz val="14.000000"/>
      <color rgb="FFC00000"/>
      <name val="Calibri"/>
      <scheme val="minor"/>
    </font>
    <font>
      <sz val="11.000000"/>
      <name val="Arial Narrow"/>
    </font>
    <font>
      <i/>
      <sz val="72.000000"/>
      <color rgb="FFC00000"/>
      <name val="Calibri"/>
      <scheme val="minor"/>
    </font>
    <font>
      <b/>
      <sz val="10.000000"/>
      <name val="Arial"/>
    </font>
    <font>
      <b/>
      <sz val="11.000000"/>
      <name val="Arial Narrow"/>
    </font>
    <font>
      <sz val="10.000000"/>
      <name val="Arial Narrow"/>
    </font>
    <font>
      <b/>
      <sz val="14.000000"/>
      <color rgb="FFC00000"/>
      <name val="Arial"/>
    </font>
    <font>
      <b/>
      <sz val="11.000000"/>
      <name val="Arial"/>
    </font>
    <font>
      <b/>
      <sz val="12.000000"/>
      <color indexed="2"/>
      <name val="Arial Narrow"/>
    </font>
    <font>
      <b/>
      <sz val="12.000000"/>
      <color rgb="FFC00000"/>
      <name val="Arial"/>
    </font>
    <font>
      <b/>
      <sz val="11.000000"/>
      <color theme="0"/>
      <name val="Arial"/>
    </font>
    <font>
      <b/>
      <sz val="10.000000"/>
      <color theme="0"/>
      <name val="Arial"/>
    </font>
    <font>
      <b/>
      <sz val="24.000000"/>
      <name val="Arial Narrow"/>
    </font>
    <font>
      <b/>
      <sz val="11.000000"/>
      <color indexed="65"/>
      <name val="Arial Narrow"/>
    </font>
    <font>
      <b/>
      <sz val="11.000000"/>
      <color theme="0"/>
      <name val="Arial Narrow"/>
    </font>
    <font>
      <b/>
      <sz val="18.000000"/>
      <color rgb="FFC00000"/>
      <name val="Arial"/>
    </font>
    <font>
      <b/>
      <i/>
      <sz val="11.000000"/>
      <name val="Apple Chancery"/>
    </font>
    <font>
      <b/>
      <i/>
      <sz val="11.000000"/>
      <name val="Arial"/>
    </font>
    <font>
      <b/>
      <sz val="11.000000"/>
      <color theme="1"/>
      <name val="Arial"/>
    </font>
    <font>
      <sz val="11.000000"/>
      <color theme="0"/>
      <name val="Arial Narrow"/>
    </font>
    <font>
      <sz val="10.000000"/>
      <color theme="0"/>
      <name val="Arial Narrow"/>
    </font>
  </fonts>
  <fills count="16">
    <fill>
      <patternFill patternType="none"/>
    </fill>
    <fill>
      <patternFill patternType="gray125"/>
    </fill>
    <fill>
      <patternFill patternType="darkGrid">
        <fgColor indexed="65"/>
        <bgColor indexed="65"/>
      </patternFill>
    </fill>
    <fill>
      <patternFill patternType="solid">
        <fgColor theme="1" tint="0.34998626667073579"/>
      </patternFill>
    </fill>
    <fill>
      <patternFill patternType="solid">
        <fgColor rgb="FFC00000"/>
      </patternFill>
    </fill>
    <fill>
      <patternFill patternType="solid">
        <fgColor theme="0"/>
      </patternFill>
    </fill>
    <fill>
      <patternFill patternType="solid">
        <fgColor theme="1" tint="0.499984740745262"/>
      </patternFill>
    </fill>
    <fill>
      <patternFill patternType="solid">
        <fgColor rgb="FF00823B"/>
      </patternFill>
    </fill>
    <fill>
      <patternFill patternType="solid">
        <fgColor rgb="FF596B5A"/>
      </patternFill>
    </fill>
    <fill>
      <patternFill patternType="solid">
        <fgColor rgb="FFE6E7E8"/>
      </patternFill>
    </fill>
    <fill>
      <patternFill patternType="solid">
        <fgColor rgb="FFB0782E"/>
      </patternFill>
    </fill>
    <fill>
      <patternFill patternType="solid">
        <fgColor rgb="FF006666"/>
      </patternFill>
    </fill>
    <fill>
      <patternFill patternType="solid">
        <fgColor rgb="FF5E548A"/>
      </patternFill>
    </fill>
    <fill>
      <patternFill patternType="solid">
        <fgColor rgb="FFD27D00"/>
      </patternFill>
    </fill>
    <fill>
      <patternFill patternType="solid">
        <fgColor theme="6" tint="-0.249977111117893"/>
      </patternFill>
    </fill>
    <fill>
      <patternFill patternType="solid">
        <fgColor rgb="FFC65D5A"/>
      </patternFill>
    </fill>
  </fills>
  <borders count="3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double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none"/>
      <diagonal style="none"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ck">
        <color rgb="FF638A86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hair">
        <color auto="1"/>
      </right>
      <top style="thin">
        <color theme="0" tint="-0.14996795556505021"/>
      </top>
      <bottom style="medium">
        <color auto="1"/>
      </bottom>
      <diagonal style="none"/>
    </border>
    <border>
      <left style="none"/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none"/>
      <right style="hair">
        <color auto="1"/>
      </right>
      <top style="thin">
        <color theme="0" tint="-0.14996795556505021"/>
      </top>
      <bottom style="medium">
        <color auto="1"/>
      </bottom>
      <diagonal style="none"/>
    </border>
  </borders>
  <cellStyleXfs count="10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2" fillId="0" borderId="0" numFmtId="0" applyNumberFormat="1" applyFont="1" applyFill="1" applyBorder="1"/>
    <xf fontId="1" fillId="2" borderId="0" numFmtId="0" applyNumberFormat="1" applyFont="1" applyFill="1" applyBorder="0"/>
    <xf fontId="1" fillId="2" borderId="0" numFmtId="0" applyNumberFormat="1" applyFont="1" applyFill="1" applyBorder="0"/>
    <xf fontId="1" fillId="2" borderId="0" numFmtId="0" applyNumberFormat="1" applyFont="1" applyFill="1" applyBorder="0"/>
    <xf fontId="2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172">
    <xf fontId="0" fillId="0" borderId="0" numFmtId="0" xfId="0"/>
    <xf fontId="2" fillId="0" borderId="0" numFmtId="0" xfId="2" applyFont="1"/>
    <xf fontId="3" fillId="0" borderId="0" numFmtId="0" xfId="2" applyFont="1" applyAlignment="1">
      <alignment horizontal="center"/>
    </xf>
    <xf fontId="4" fillId="0" borderId="0" numFmtId="0" xfId="2" applyFont="1" applyAlignment="1">
      <alignment horizontal="center"/>
    </xf>
    <xf fontId="5" fillId="0" borderId="0" numFmtId="0" xfId="2" applyFont="1" applyAlignment="1">
      <alignment horizontal="center" vertical="center" wrapText="1"/>
    </xf>
    <xf fontId="6" fillId="0" borderId="0" numFmtId="0" xfId="2" applyFont="1"/>
    <xf fontId="7" fillId="0" borderId="0" numFmtId="0" xfId="2" applyFont="1" applyAlignment="1">
      <alignment horizontal="right"/>
    </xf>
    <xf fontId="8" fillId="0" borderId="0" numFmtId="0" xfId="2" applyFont="1" applyAlignment="1">
      <alignment horizontal="right"/>
    </xf>
    <xf fontId="9" fillId="0" borderId="0" numFmtId="0" xfId="6" applyFont="1" applyAlignment="1">
      <alignment vertical="top"/>
    </xf>
    <xf fontId="9" fillId="0" borderId="0" numFmtId="0" xfId="6" applyFont="1" applyAlignment="1">
      <alignment horizontal="center" vertical="top" wrapText="1"/>
    </xf>
    <xf fontId="10" fillId="0" borderId="0" numFmtId="0" xfId="6" applyFont="1" applyAlignment="1">
      <alignment horizontal="center" vertical="top"/>
    </xf>
    <xf fontId="11" fillId="0" borderId="0" numFmtId="0" xfId="6" applyFont="1" applyAlignment="1">
      <alignment vertical="top"/>
    </xf>
    <xf fontId="12" fillId="0" borderId="0" numFmtId="0" xfId="8" applyFont="1" applyAlignment="1" applyProtection="1">
      <alignment horizontal="center" vertical="top" wrapText="1"/>
      <protection hidden="1"/>
    </xf>
    <xf fontId="11" fillId="0" borderId="0" numFmtId="0" xfId="6" applyFont="1" applyAlignment="1">
      <alignment horizontal="center" vertical="top" wrapText="1"/>
    </xf>
    <xf fontId="13" fillId="0" borderId="0" numFmtId="0" xfId="8" applyFont="1" applyAlignment="1">
      <alignment horizontal="center" vertical="top" wrapText="1"/>
    </xf>
    <xf fontId="14" fillId="0" borderId="0" numFmtId="0" xfId="6" applyFont="1" applyAlignment="1">
      <alignment horizontal="center" vertical="top" wrapText="1"/>
    </xf>
    <xf fontId="15" fillId="3" borderId="0" numFmtId="0" xfId="6" applyFont="1" applyFill="1" applyAlignment="1">
      <alignment horizontal="center" vertical="top"/>
    </xf>
    <xf fontId="9" fillId="0" borderId="0" numFmtId="0" xfId="6" applyFont="1" applyAlignment="1">
      <alignment horizontal="left" vertical="top" wrapText="1"/>
    </xf>
    <xf fontId="9" fillId="0" borderId="0" numFmtId="0" xfId="6" applyFont="1" applyAlignment="1">
      <alignment vertical="top" wrapText="1"/>
    </xf>
    <xf fontId="15" fillId="3" borderId="0" numFmtId="0" xfId="6" applyFont="1" applyFill="1" applyAlignment="1">
      <alignment horizontal="center" vertical="top" wrapText="1"/>
    </xf>
    <xf fontId="9" fillId="0" borderId="0" numFmtId="0" xfId="6" applyFont="1" applyAlignment="1">
      <alignment horizontal="center" vertical="top"/>
    </xf>
    <xf fontId="13" fillId="0" borderId="0" numFmtId="0" xfId="6" applyFont="1" applyAlignment="1">
      <alignment horizontal="center" vertical="top" wrapText="1"/>
    </xf>
    <xf fontId="16" fillId="0" borderId="0" numFmtId="0" xfId="6" applyFont="1" applyAlignment="1">
      <alignment horizontal="center" vertical="top"/>
    </xf>
    <xf fontId="15" fillId="4" borderId="0" numFmtId="0" xfId="6" applyFont="1" applyFill="1" applyAlignment="1">
      <alignment vertical="top"/>
    </xf>
    <xf fontId="17" fillId="4" borderId="0" numFmtId="0" xfId="6" applyFont="1" applyFill="1" applyAlignment="1">
      <alignment horizontal="left" vertical="top"/>
    </xf>
    <xf fontId="17" fillId="4" borderId="0" numFmtId="0" xfId="6" applyFont="1" applyFill="1" applyAlignment="1">
      <alignment vertical="top"/>
    </xf>
    <xf fontId="17" fillId="4" borderId="0" numFmtId="0" xfId="6" applyFont="1" applyFill="1" applyAlignment="1">
      <alignment horizontal="left" vertical="top" wrapText="1"/>
    </xf>
    <xf fontId="18" fillId="0" borderId="0" numFmtId="0" xfId="6" applyFont="1" applyAlignment="1">
      <alignment horizontal="left" vertical="top" wrapText="1"/>
    </xf>
    <xf fontId="19" fillId="0" borderId="0" numFmtId="0" xfId="6" applyFont="1" applyAlignment="1">
      <alignment horizontal="left" vertical="top" wrapText="1"/>
    </xf>
    <xf fontId="9" fillId="0" borderId="0" numFmtId="0" xfId="6" applyFont="1" applyAlignment="1">
      <alignment horizontal="left" vertical="top"/>
    </xf>
    <xf fontId="20" fillId="0" borderId="0" numFmtId="0" xfId="6" applyFont="1" applyAlignment="1">
      <alignment horizontal="left" vertical="top" wrapText="1"/>
    </xf>
    <xf fontId="20" fillId="0" borderId="0" numFmtId="0" xfId="6" applyFont="1" applyAlignment="1">
      <alignment horizontal="center" vertical="top" wrapText="1"/>
    </xf>
    <xf fontId="21" fillId="0" borderId="0" numFmtId="0" xfId="6" applyFont="1" applyAlignment="1">
      <alignment horizontal="left" vertical="top" wrapText="1"/>
    </xf>
    <xf fontId="15" fillId="3" borderId="0" numFmtId="0" xfId="6" applyFont="1" applyFill="1" applyAlignment="1">
      <alignment vertical="top"/>
    </xf>
    <xf fontId="22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22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1" fillId="0" borderId="0" numFmtId="0" xfId="0" applyFont="1"/>
    <xf fontId="0" fillId="5" borderId="0" numFmtId="0" xfId="0" applyFill="1"/>
    <xf fontId="23" fillId="5" borderId="0" numFmtId="0" xfId="0" applyFont="1" applyFill="1"/>
    <xf fontId="1" fillId="5" borderId="0" numFmtId="165" xfId="1" applyNumberFormat="1" applyFont="1" applyFill="1" applyAlignment="1">
      <alignment horizontal="center"/>
    </xf>
    <xf fontId="1" fillId="5" borderId="0" numFmtId="165" xfId="1" applyNumberFormat="1" applyFont="1" applyFill="1"/>
    <xf fontId="1" fillId="0" borderId="0" numFmtId="0" xfId="7" applyFont="1"/>
    <xf fontId="1" fillId="5" borderId="0" numFmtId="0" xfId="7" applyFont="1" applyFill="1"/>
    <xf fontId="24" fillId="5" borderId="0" numFmtId="165" xfId="1" applyNumberFormat="1" applyFont="1" applyFill="1"/>
    <xf fontId="25" fillId="0" borderId="0" numFmtId="165" xfId="1" applyNumberFormat="1" applyFont="1"/>
    <xf fontId="26" fillId="0" borderId="0" numFmtId="0" xfId="7" applyFont="1"/>
    <xf fontId="27" fillId="5" borderId="0" numFmtId="0" xfId="8" applyFont="1" applyFill="1" applyAlignment="1" applyProtection="1">
      <alignment horizontal="center" vertical="top" wrapText="1"/>
      <protection hidden="1"/>
    </xf>
    <xf fontId="24" fillId="5" borderId="0" numFmtId="0" xfId="7" applyFont="1" applyFill="1" applyAlignment="1">
      <alignment horizontal="right" indent="1" wrapText="1"/>
    </xf>
    <xf fontId="28" fillId="5" borderId="1" numFmtId="165" xfId="1" applyNumberFormat="1" applyFont="1" applyFill="1" applyBorder="1" applyAlignment="1">
      <alignment horizontal="center" vertical="center"/>
    </xf>
    <xf fontId="28" fillId="5" borderId="0" numFmtId="0" xfId="7" applyFont="1" applyFill="1" applyAlignment="1">
      <alignment horizontal="right" indent="1" wrapText="1"/>
    </xf>
    <xf fontId="28" fillId="5" borderId="0" numFmtId="166" xfId="1" applyNumberFormat="1" applyFont="1" applyFill="1" applyAlignment="1">
      <alignment horizontal="center"/>
    </xf>
    <xf fontId="29" fillId="5" borderId="2" numFmtId="0" xfId="7" applyFont="1" applyFill="1" applyBorder="1" applyAlignment="1" applyProtection="1">
      <alignment horizontal="center" vertical="center"/>
      <protection locked="0"/>
    </xf>
    <xf fontId="30" fillId="5" borderId="0" numFmtId="3" xfId="8" applyNumberFormat="1" applyFont="1" applyFill="1" applyAlignment="1" applyProtection="1">
      <alignment horizontal="center" vertical="center" wrapText="1"/>
      <protection hidden="1"/>
    </xf>
    <xf fontId="31" fillId="6" borderId="1" numFmtId="0" xfId="7" applyFont="1" applyFill="1" applyBorder="1" applyAlignment="1">
      <alignment horizontal="center" wrapText="1"/>
    </xf>
    <xf fontId="22" fillId="5" borderId="3" numFmtId="3" xfId="0" applyNumberFormat="1" applyFont="1" applyFill="1" applyBorder="1" applyAlignment="1">
      <alignment horizontal="center" vertical="center" wrapText="1"/>
    </xf>
    <xf fontId="31" fillId="5" borderId="1" numFmtId="0" xfId="7" applyFont="1" applyFill="1" applyBorder="1" applyAlignment="1">
      <alignment horizontal="center" wrapText="1"/>
    </xf>
    <xf fontId="31" fillId="5" borderId="0" numFmtId="0" xfId="7" applyFont="1" applyFill="1" applyAlignment="1">
      <alignment horizontal="center" wrapText="1"/>
    </xf>
    <xf fontId="1" fillId="5" borderId="0" numFmtId="0" xfId="0" applyFont="1" applyFill="1"/>
    <xf fontId="32" fillId="4" borderId="1" numFmtId="0" xfId="7" applyFont="1" applyFill="1" applyBorder="1" applyAlignment="1">
      <alignment horizontal="center" wrapText="1"/>
    </xf>
    <xf fontId="33" fillId="5" borderId="3" numFmtId="9" xfId="9" applyNumberFormat="1" applyFont="1" applyFill="1" applyBorder="1" applyAlignment="1" applyProtection="1">
      <alignment horizontal="center" vertical="center" wrapText="1"/>
    </xf>
    <xf fontId="1" fillId="0" borderId="0" numFmtId="0" xfId="7" applyFont="1" applyAlignment="1">
      <alignment horizontal="center"/>
    </xf>
    <xf fontId="34" fillId="7" borderId="0" numFmtId="0" xfId="0" applyFont="1" applyFill="1" applyAlignment="1">
      <alignment horizontal="center" vertical="center" wrapText="1"/>
    </xf>
    <xf fontId="33" fillId="5" borderId="0" numFmtId="46" xfId="0" applyNumberFormat="1" applyFont="1" applyFill="1" applyAlignment="1">
      <alignment horizontal="center" vertical="center" wrapText="1"/>
    </xf>
    <xf fontId="33" fillId="5" borderId="0" numFmtId="21" xfId="0" applyNumberFormat="1" applyFont="1" applyFill="1" applyAlignment="1">
      <alignment horizontal="center" vertical="center" wrapText="1"/>
    </xf>
    <xf fontId="1" fillId="0" borderId="0" numFmtId="165" xfId="1" applyNumberFormat="1" applyFont="1" applyAlignment="1" applyProtection="1">
      <alignment horizontal="center"/>
    </xf>
    <xf fontId="24" fillId="0" borderId="0" numFmtId="165" xfId="1" applyNumberFormat="1" applyFont="1" applyAlignment="1" applyProtection="1">
      <alignment horizontal="center"/>
    </xf>
    <xf fontId="35" fillId="7" borderId="0" numFmtId="0" xfId="0" applyFont="1" applyFill="1" applyAlignment="1">
      <alignment horizontal="center" vertical="center" wrapText="1"/>
    </xf>
    <xf fontId="36" fillId="0" borderId="0" numFmtId="165" xfId="1" applyNumberFormat="1" applyFont="1" applyAlignment="1" applyProtection="1">
      <alignment horizontal="center"/>
    </xf>
    <xf fontId="25" fillId="5" borderId="0" numFmtId="165" xfId="1" applyNumberFormat="1" applyFont="1" applyFill="1" applyAlignment="1" applyProtection="1">
      <alignment horizontal="center"/>
    </xf>
    <xf fontId="37" fillId="5" borderId="0" numFmtId="165" xfId="1" applyNumberFormat="1" applyFont="1" applyFill="1" applyAlignment="1" applyProtection="1">
      <alignment horizontal="center"/>
    </xf>
    <xf fontId="25" fillId="0" borderId="0" numFmtId="165" xfId="1" applyNumberFormat="1" applyFont="1" applyAlignment="1">
      <alignment horizontal="center"/>
    </xf>
    <xf fontId="28" fillId="5" borderId="0" numFmtId="0" xfId="7" applyFont="1" applyFill="1" applyAlignment="1">
      <alignment horizontal="right" indent="2" wrapText="1"/>
    </xf>
    <xf fontId="28" fillId="5" borderId="0" numFmtId="165" xfId="1" applyNumberFormat="1" applyFont="1" applyFill="1" applyAlignment="1" applyProtection="1">
      <alignment horizontal="center"/>
    </xf>
    <xf fontId="28" fillId="5" borderId="0" numFmtId="166" xfId="1" applyNumberFormat="1" applyFont="1" applyFill="1" applyAlignment="1" applyProtection="1">
      <alignment horizontal="center"/>
    </xf>
    <xf fontId="28" fillId="5" borderId="0" numFmtId="165" xfId="1" applyNumberFormat="1" applyFont="1" applyFill="1" applyAlignment="1">
      <alignment horizontal="center"/>
    </xf>
    <xf fontId="38" fillId="5" borderId="0" numFmtId="165" xfId="1" applyNumberFormat="1" applyFont="1" applyFill="1" applyAlignment="1">
      <alignment horizontal="center"/>
    </xf>
    <xf fontId="26" fillId="0" borderId="0" numFmtId="0" xfId="7" applyFont="1" applyAlignment="1">
      <alignment horizontal="right"/>
    </xf>
    <xf fontId="31" fillId="6" borderId="4" numFmtId="0" xfId="7" applyFont="1" applyFill="1" applyBorder="1" applyAlignment="1">
      <alignment horizontal="center" wrapText="1"/>
    </xf>
    <xf fontId="31" fillId="6" borderId="5" numFmtId="0" xfId="7" applyFont="1" applyFill="1" applyBorder="1" applyAlignment="1">
      <alignment horizontal="center" wrapText="1"/>
    </xf>
    <xf fontId="31" fillId="6" borderId="6" numFmtId="0" xfId="7" applyFont="1" applyFill="1" applyBorder="1" applyAlignment="1">
      <alignment horizontal="center" wrapText="1"/>
    </xf>
    <xf fontId="39" fillId="0" borderId="4" numFmtId="0" xfId="7" applyFont="1" applyBorder="1" applyAlignment="1">
      <alignment horizontal="right" indent="2" wrapText="1"/>
    </xf>
    <xf fontId="39" fillId="0" borderId="6" numFmtId="0" xfId="7" applyFont="1" applyBorder="1" applyAlignment="1">
      <alignment horizontal="right" indent="2" wrapText="1"/>
    </xf>
    <xf fontId="39" fillId="0" borderId="1" numFmtId="0" xfId="7" applyFont="1" applyBorder="1" applyAlignment="1">
      <alignment horizontal="center" indent="3" wrapText="1"/>
    </xf>
    <xf fontId="39" fillId="0" borderId="7" numFmtId="0" xfId="7" applyFont="1" applyBorder="1" applyAlignment="1">
      <alignment horizontal="right" indent="2" wrapText="1"/>
    </xf>
    <xf fontId="39" fillId="0" borderId="8" numFmtId="0" xfId="7" applyFont="1" applyBorder="1" applyAlignment="1">
      <alignment horizontal="right" indent="2" wrapText="1"/>
    </xf>
    <xf fontId="31" fillId="6" borderId="9" numFmtId="0" xfId="7" applyFont="1" applyFill="1" applyBorder="1" applyAlignment="1">
      <alignment horizontal="center" wrapText="1"/>
    </xf>
    <xf fontId="31" fillId="6" borderId="10" numFmtId="0" xfId="7" applyFont="1" applyFill="1" applyBorder="1" applyAlignment="1">
      <alignment horizontal="left" indent="6" wrapText="1"/>
    </xf>
    <xf fontId="31" fillId="6" borderId="11" numFmtId="0" xfId="7" applyFont="1" applyFill="1" applyBorder="1" applyAlignment="1">
      <alignment horizontal="center" wrapText="1"/>
    </xf>
    <xf fontId="1" fillId="0" borderId="0" numFmtId="0" xfId="7" applyFont="1" applyAlignment="1">
      <alignment horizontal="left"/>
    </xf>
    <xf fontId="40" fillId="8" borderId="12" numFmtId="0" xfId="7" applyFont="1" applyFill="1" applyBorder="1" applyAlignment="1">
      <alignment horizontal="center" vertical="center"/>
    </xf>
    <xf fontId="40" fillId="8" borderId="13" numFmtId="0" xfId="7" applyFont="1" applyFill="1" applyBorder="1" applyAlignment="1">
      <alignment horizontal="left" indent="1" vertical="center"/>
    </xf>
    <xf fontId="40" fillId="8" borderId="13" numFmtId="0" xfId="7" applyFont="1" applyFill="1" applyBorder="1" applyAlignment="1" applyProtection="1">
      <alignment horizontal="center" indent="1" vertical="center"/>
      <protection locked="0"/>
    </xf>
    <xf fontId="22" fillId="9" borderId="12" numFmtId="0" xfId="7" applyFont="1" applyFill="1" applyBorder="1" applyAlignment="1">
      <alignment horizontal="center" vertical="center"/>
    </xf>
    <xf fontId="22" fillId="9" borderId="13" numFmtId="0" xfId="7" applyFont="1" applyFill="1" applyBorder="1" applyAlignment="1">
      <alignment horizontal="left" indent="1" vertical="center"/>
    </xf>
    <xf fontId="22" fillId="9" borderId="13" numFmtId="0" xfId="7" applyFont="1" applyFill="1" applyBorder="1" applyAlignment="1" applyProtection="1">
      <alignment horizontal="center" indent="1" vertical="center"/>
      <protection locked="0"/>
    </xf>
    <xf fontId="40" fillId="10" borderId="14" numFmtId="167" xfId="7" applyNumberFormat="1" applyFont="1" applyFill="1" applyBorder="1" applyAlignment="1">
      <alignment horizontal="center" vertical="top"/>
    </xf>
    <xf fontId="40" fillId="10" borderId="15" numFmtId="0" xfId="7" applyFont="1" applyFill="1" applyBorder="1" applyAlignment="1">
      <alignment horizontal="left" indent="1" vertical="top"/>
    </xf>
    <xf fontId="40" fillId="10" borderId="15" numFmtId="0" xfId="7" applyFont="1" applyFill="1" applyBorder="1" applyAlignment="1" applyProtection="1">
      <alignment horizontal="center" indent="1" vertical="top"/>
      <protection locked="0"/>
    </xf>
    <xf fontId="22" fillId="9" borderId="14" numFmtId="0" xfId="7" applyFont="1" applyFill="1" applyBorder="1" applyAlignment="1">
      <alignment horizontal="center" vertical="center"/>
    </xf>
    <xf fontId="22" fillId="9" borderId="15" numFmtId="0" xfId="7" applyFont="1" applyFill="1" applyBorder="1" applyAlignment="1">
      <alignment horizontal="left" indent="1" vertical="center"/>
    </xf>
    <xf fontId="22" fillId="9" borderId="15" numFmtId="0" xfId="7" applyFont="1" applyFill="1" applyBorder="1" applyAlignment="1" applyProtection="1">
      <alignment horizontal="center" indent="1" vertical="center"/>
      <protection locked="0"/>
    </xf>
    <xf fontId="22" fillId="9" borderId="16" numFmtId="0" xfId="7" applyFont="1" applyFill="1" applyBorder="1" applyAlignment="1">
      <alignment horizontal="left" indent="1" vertical="center"/>
    </xf>
    <xf fontId="40" fillId="11" borderId="17" numFmtId="0" xfId="7" applyFont="1" applyFill="1" applyBorder="1" applyAlignment="1">
      <alignment horizontal="center" vertical="center"/>
    </xf>
    <xf fontId="40" fillId="11" borderId="18" numFmtId="0" xfId="7" applyFont="1" applyFill="1" applyBorder="1" applyAlignment="1">
      <alignment horizontal="left" indent="1" vertical="center"/>
    </xf>
    <xf fontId="40" fillId="11" borderId="18" numFmtId="0" xfId="7" applyFont="1" applyFill="1" applyBorder="1" applyAlignment="1" applyProtection="1">
      <alignment horizontal="center" indent="1" vertical="center"/>
      <protection locked="0"/>
    </xf>
    <xf fontId="22" fillId="9" borderId="17" numFmtId="0" xfId="7" applyFont="1" applyFill="1" applyBorder="1" applyAlignment="1">
      <alignment horizontal="center" vertical="center"/>
    </xf>
    <xf fontId="22" fillId="9" borderId="18" numFmtId="0" xfId="7" applyFont="1" applyFill="1" applyBorder="1" applyAlignment="1">
      <alignment horizontal="left" indent="1" vertical="center"/>
    </xf>
    <xf fontId="22" fillId="9" borderId="18" numFmtId="0" xfId="7" applyFont="1" applyFill="1" applyBorder="1" applyAlignment="1" applyProtection="1">
      <alignment horizontal="center" indent="1" vertical="center"/>
      <protection locked="0"/>
    </xf>
    <xf fontId="40" fillId="12" borderId="17" numFmtId="0" xfId="7" applyFont="1" applyFill="1" applyBorder="1" applyAlignment="1">
      <alignment horizontal="center" vertical="center"/>
    </xf>
    <xf fontId="40" fillId="12" borderId="18" numFmtId="0" xfId="7" applyFont="1" applyFill="1" applyBorder="1" applyAlignment="1">
      <alignment horizontal="left" indent="1" vertical="center"/>
    </xf>
    <xf fontId="40" fillId="12" borderId="18" numFmtId="0" xfId="7" applyFont="1" applyFill="1" applyBorder="1" applyAlignment="1" applyProtection="1">
      <alignment horizontal="center" indent="1" vertical="center"/>
      <protection locked="0"/>
    </xf>
    <xf fontId="40" fillId="13" borderId="17" numFmtId="0" xfId="7" applyFont="1" applyFill="1" applyBorder="1" applyAlignment="1">
      <alignment horizontal="center" vertical="center"/>
    </xf>
    <xf fontId="40" fillId="13" borderId="18" numFmtId="0" xfId="7" applyFont="1" applyFill="1" applyBorder="1" applyAlignment="1">
      <alignment horizontal="left" indent="1" vertical="center"/>
    </xf>
    <xf fontId="40" fillId="13" borderId="18" numFmtId="0" xfId="7" applyFont="1" applyFill="1" applyBorder="1" applyAlignment="1" applyProtection="1">
      <alignment horizontal="center" indent="1" vertical="center"/>
      <protection locked="0"/>
    </xf>
    <xf fontId="40" fillId="14" borderId="17" numFmtId="0" xfId="7" applyFont="1" applyFill="1" applyBorder="1" applyAlignment="1">
      <alignment horizontal="center" vertical="center"/>
    </xf>
    <xf fontId="40" fillId="14" borderId="18" numFmtId="0" xfId="7" applyFont="1" applyFill="1" applyBorder="1" applyAlignment="1">
      <alignment horizontal="left" indent="1" vertical="center"/>
    </xf>
    <xf fontId="40" fillId="14" borderId="18" numFmtId="0" xfId="7" applyFont="1" applyFill="1" applyBorder="1" applyAlignment="1" applyProtection="1">
      <alignment horizontal="center" indent="1" vertical="center"/>
      <protection locked="0"/>
    </xf>
    <xf fontId="40" fillId="15" borderId="17" numFmtId="0" xfId="7" applyFont="1" applyFill="1" applyBorder="1" applyAlignment="1">
      <alignment horizontal="center" vertical="center"/>
    </xf>
    <xf fontId="40" fillId="15" borderId="18" numFmtId="0" xfId="7" applyFont="1" applyFill="1" applyBorder="1" applyAlignment="1">
      <alignment horizontal="left" indent="1" vertical="center"/>
    </xf>
    <xf fontId="40" fillId="15" borderId="18" numFmtId="0" xfId="7" applyFont="1" applyFill="1" applyBorder="1" applyAlignment="1" applyProtection="1">
      <alignment horizontal="center" indent="1" vertical="center"/>
      <protection locked="0"/>
    </xf>
    <xf fontId="22" fillId="9" borderId="19" numFmtId="0" xfId="7" applyFont="1" applyFill="1" applyBorder="1" applyAlignment="1">
      <alignment horizontal="center" vertical="center"/>
    </xf>
    <xf fontId="22" fillId="9" borderId="20" numFmtId="0" xfId="7" applyFont="1" applyFill="1" applyBorder="1" applyAlignment="1">
      <alignment horizontal="left" indent="1" vertical="center"/>
    </xf>
    <xf fontId="22" fillId="9" borderId="20" numFmtId="0" xfId="7" applyFont="1" applyFill="1" applyBorder="1" applyAlignment="1" applyProtection="1">
      <alignment horizontal="center" indent="1" vertical="center"/>
      <protection locked="0"/>
    </xf>
    <xf fontId="31" fillId="6" borderId="21" numFmtId="0" xfId="7" applyFont="1" applyFill="1" applyBorder="1" applyAlignment="1">
      <alignment horizontal="center" wrapText="1"/>
    </xf>
    <xf fontId="31" fillId="6" borderId="22" numFmtId="0" xfId="7" applyFont="1" applyFill="1" applyBorder="1" applyAlignment="1">
      <alignment horizontal="left" wrapText="1"/>
    </xf>
    <xf fontId="31" fillId="6" borderId="22" numFmtId="0" xfId="7" applyFont="1" applyFill="1" applyBorder="1" applyAlignment="1">
      <alignment horizontal="center" wrapText="1"/>
    </xf>
    <xf fontId="37" fillId="5" borderId="0" numFmtId="165" xfId="1" applyNumberFormat="1" applyFont="1" applyFill="1" applyProtection="1"/>
    <xf fontId="38" fillId="5" borderId="0" numFmtId="165" xfId="1" applyNumberFormat="1" applyFont="1" applyFill="1"/>
    <xf fontId="39" fillId="0" borderId="1" numFmtId="0" xfId="7" applyFont="1" applyBorder="1" applyAlignment="1">
      <alignment horizontal="left" indent="3" wrapText="1"/>
    </xf>
    <xf fontId="40" fillId="8" borderId="13" numFmtId="0" xfId="7" applyFont="1" applyFill="1" applyBorder="1" applyAlignment="1" applyProtection="1">
      <alignment horizontal="center" vertical="center"/>
      <protection locked="0"/>
    </xf>
    <xf fontId="22" fillId="9" borderId="13" numFmtId="0" xfId="7" applyFont="1" applyFill="1" applyBorder="1" applyAlignment="1" applyProtection="1">
      <alignment horizontal="center" vertical="center"/>
      <protection locked="0"/>
    </xf>
    <xf fontId="41" fillId="8" borderId="13" numFmtId="0" xfId="7" applyFont="1" applyFill="1" applyBorder="1" applyAlignment="1" applyProtection="1">
      <alignment horizontal="center" vertical="center"/>
      <protection locked="0"/>
    </xf>
    <xf fontId="26" fillId="9" borderId="13" numFmtId="0" xfId="7" applyFont="1" applyFill="1" applyBorder="1" applyAlignment="1" applyProtection="1">
      <alignment horizontal="center" vertical="center"/>
      <protection locked="0"/>
    </xf>
    <xf fontId="40" fillId="10" borderId="15" numFmtId="0" xfId="7" applyFont="1" applyFill="1" applyBorder="1" applyAlignment="1" applyProtection="1">
      <alignment horizontal="center" vertical="top"/>
      <protection locked="0"/>
    </xf>
    <xf fontId="22" fillId="9" borderId="15" numFmtId="0" xfId="7" applyFont="1" applyFill="1" applyBorder="1" applyAlignment="1" applyProtection="1">
      <alignment horizontal="center" vertical="center"/>
      <protection locked="0"/>
    </xf>
    <xf fontId="41" fillId="10" borderId="15" numFmtId="0" xfId="7" applyFont="1" applyFill="1" applyBorder="1" applyAlignment="1" applyProtection="1">
      <alignment horizontal="center" vertical="top"/>
      <protection locked="0"/>
    </xf>
    <xf fontId="26" fillId="9" borderId="15" numFmtId="0" xfId="7" applyFont="1" applyFill="1" applyBorder="1" applyAlignment="1" applyProtection="1">
      <alignment horizontal="center" vertical="center"/>
      <protection locked="0"/>
    </xf>
    <xf fontId="41" fillId="11" borderId="18" numFmtId="0" xfId="7" applyFont="1" applyFill="1" applyBorder="1" applyAlignment="1" applyProtection="1">
      <alignment horizontal="center" vertical="center"/>
      <protection locked="0"/>
    </xf>
    <xf fontId="26" fillId="9" borderId="18" numFmtId="0" xfId="7" applyFont="1" applyFill="1" applyBorder="1" applyAlignment="1" applyProtection="1">
      <alignment horizontal="center" vertical="center"/>
      <protection locked="0"/>
    </xf>
    <xf fontId="22" fillId="9" borderId="18" numFmtId="0" xfId="7" applyFont="1" applyFill="1" applyBorder="1" applyAlignment="1" applyProtection="1">
      <alignment horizontal="center" vertical="center"/>
      <protection locked="0"/>
    </xf>
    <xf fontId="40" fillId="11" borderId="18" numFmtId="0" xfId="7" applyFont="1" applyFill="1" applyBorder="1" applyAlignment="1" applyProtection="1">
      <alignment horizontal="center" vertical="center"/>
      <protection locked="0"/>
    </xf>
    <xf fontId="41" fillId="12" borderId="18" numFmtId="0" xfId="7" applyFont="1" applyFill="1" applyBorder="1" applyAlignment="1" applyProtection="1">
      <alignment horizontal="center" vertical="center"/>
      <protection locked="0"/>
    </xf>
    <xf fontId="40" fillId="12" borderId="18" numFmtId="0" xfId="7" applyFont="1" applyFill="1" applyBorder="1" applyAlignment="1" applyProtection="1">
      <alignment horizontal="center" vertical="center"/>
      <protection locked="0"/>
    </xf>
    <xf fontId="41" fillId="13" borderId="18" numFmtId="0" xfId="7" applyFont="1" applyFill="1" applyBorder="1" applyAlignment="1" applyProtection="1">
      <alignment horizontal="center" vertical="center"/>
      <protection locked="0"/>
    </xf>
    <xf fontId="40" fillId="13" borderId="18" numFmtId="0" xfId="7" applyFont="1" applyFill="1" applyBorder="1" applyAlignment="1" applyProtection="1">
      <alignment horizontal="center" vertical="center"/>
      <protection locked="0"/>
    </xf>
    <xf fontId="40" fillId="14" borderId="18" numFmtId="0" xfId="7" applyFont="1" applyFill="1" applyBorder="1" applyAlignment="1" applyProtection="1">
      <alignment horizontal="center" vertical="center"/>
      <protection locked="0"/>
    </xf>
    <xf fontId="41" fillId="14" borderId="18" numFmtId="0" xfId="7" applyFont="1" applyFill="1" applyBorder="1" applyAlignment="1" applyProtection="1">
      <alignment horizontal="center" vertical="center"/>
      <protection locked="0"/>
    </xf>
    <xf fontId="41" fillId="15" borderId="18" numFmtId="0" xfId="7" applyFont="1" applyFill="1" applyBorder="1" applyAlignment="1" applyProtection="1">
      <alignment horizontal="center" vertical="center"/>
      <protection locked="0"/>
    </xf>
    <xf fontId="26" fillId="9" borderId="23" numFmtId="0" xfId="7" applyFont="1" applyFill="1" applyBorder="1" applyAlignment="1" applyProtection="1">
      <alignment horizontal="center" vertical="center"/>
      <protection locked="0"/>
    </xf>
    <xf fontId="40" fillId="8" borderId="24" numFmtId="0" xfId="7" applyFont="1" applyFill="1" applyBorder="1" applyAlignment="1" applyProtection="1">
      <alignment horizontal="center" vertical="center"/>
      <protection locked="0"/>
    </xf>
    <xf fontId="40" fillId="10" borderId="25" numFmtId="0" xfId="7" applyFont="1" applyFill="1" applyBorder="1" applyAlignment="1" applyProtection="1">
      <alignment horizontal="center"/>
      <protection locked="0"/>
    </xf>
    <xf fontId="22" fillId="9" borderId="25" numFmtId="0" xfId="7" applyFont="1" applyFill="1" applyBorder="1" applyAlignment="1" applyProtection="1">
      <alignment horizontal="center" vertical="center"/>
      <protection locked="0"/>
    </xf>
    <xf fontId="40" fillId="11" borderId="26" numFmtId="0" xfId="7" applyFont="1" applyFill="1" applyBorder="1" applyAlignment="1" applyProtection="1">
      <alignment horizontal="center" vertical="center"/>
      <protection locked="0"/>
    </xf>
    <xf fontId="22" fillId="9" borderId="26" numFmtId="0" xfId="7" applyFont="1" applyFill="1" applyBorder="1" applyAlignment="1" applyProtection="1">
      <alignment horizontal="center" vertical="center"/>
      <protection locked="0"/>
    </xf>
    <xf fontId="40" fillId="12" borderId="26" numFmtId="0" xfId="7" applyFont="1" applyFill="1" applyBorder="1" applyAlignment="1" applyProtection="1">
      <alignment horizontal="center" vertical="center"/>
      <protection locked="0"/>
    </xf>
    <xf fontId="40" fillId="13" borderId="26" numFmtId="0" xfId="7" applyFont="1" applyFill="1" applyBorder="1" applyAlignment="1" applyProtection="1">
      <alignment horizontal="center" vertical="center"/>
      <protection locked="0"/>
    </xf>
    <xf fontId="40" fillId="14" borderId="26" numFmtId="0" xfId="7" applyFont="1" applyFill="1" applyBorder="1" applyAlignment="1" applyProtection="1">
      <alignment horizontal="center" vertical="center"/>
      <protection locked="0"/>
    </xf>
    <xf fontId="40" fillId="15" borderId="26" numFmtId="0" xfId="7" applyFont="1" applyFill="1" applyBorder="1" applyAlignment="1" applyProtection="1">
      <alignment horizontal="center" vertical="center"/>
      <protection locked="0"/>
    </xf>
    <xf fontId="22" fillId="9" borderId="27" numFmtId="0" xfId="7" applyFont="1" applyFill="1" applyBorder="1" applyAlignment="1" applyProtection="1">
      <alignment horizontal="center" vertical="center"/>
      <protection locked="0"/>
    </xf>
    <xf fontId="40" fillId="8" borderId="28" numFmtId="0" xfId="7" applyFont="1" applyFill="1" applyBorder="1" applyAlignment="1" applyProtection="1">
      <alignment horizontal="center" vertical="center"/>
      <protection locked="0"/>
    </xf>
    <xf fontId="22" fillId="9" borderId="2" numFmtId="0" xfId="7" applyFont="1" applyFill="1" applyBorder="1" applyAlignment="1" applyProtection="1">
      <alignment horizontal="center" vertical="center"/>
      <protection locked="0"/>
    </xf>
    <xf fontId="40" fillId="10" borderId="28" numFmtId="0" xfId="7" applyFont="1" applyFill="1" applyBorder="1" applyAlignment="1" applyProtection="1">
      <alignment horizontal="center"/>
      <protection locked="0"/>
    </xf>
    <xf fontId="22" fillId="9" borderId="28" numFmtId="0" xfId="7" applyFont="1" applyFill="1" applyBorder="1" applyAlignment="1" applyProtection="1">
      <alignment horizontal="center" vertical="center"/>
      <protection locked="0"/>
    </xf>
    <xf fontId="40" fillId="11" borderId="28" numFmtId="0" xfId="7" applyFont="1" applyFill="1" applyBorder="1" applyAlignment="1" applyProtection="1">
      <alignment horizontal="center" vertical="center"/>
      <protection locked="0"/>
    </xf>
    <xf fontId="40" fillId="12" borderId="28" numFmtId="0" xfId="7" applyFont="1" applyFill="1" applyBorder="1" applyAlignment="1" applyProtection="1">
      <alignment horizontal="center" vertical="center"/>
      <protection locked="0"/>
    </xf>
    <xf fontId="40" fillId="13" borderId="28" numFmtId="0" xfId="7" applyFont="1" applyFill="1" applyBorder="1" applyAlignment="1" applyProtection="1">
      <alignment horizontal="center" vertical="center"/>
      <protection locked="0"/>
    </xf>
    <xf fontId="40" fillId="14" borderId="28" numFmtId="0" xfId="7" applyFont="1" applyFill="1" applyBorder="1" applyAlignment="1" applyProtection="1">
      <alignment horizontal="center" vertical="center"/>
      <protection locked="0"/>
    </xf>
    <xf fontId="40" fillId="15" borderId="28" numFmtId="0" xfId="7" applyFont="1" applyFill="1" applyBorder="1" applyAlignment="1" applyProtection="1">
      <alignment horizontal="center" vertical="center"/>
      <protection locked="0"/>
    </xf>
    <xf fontId="22" fillId="9" borderId="29" numFmtId="0" xfId="7" applyFont="1" applyFill="1" applyBorder="1" applyAlignment="1" applyProtection="1">
      <alignment horizontal="center" vertical="center"/>
      <protection locked="0"/>
    </xf>
    <xf fontId="22" fillId="9" borderId="28" numFmtId="3" xfId="7" applyNumberFormat="1" applyFont="1" applyFill="1" applyBorder="1" applyAlignment="1" applyProtection="1">
      <alignment horizontal="center" vertical="center"/>
      <protection locked="0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7"/>
    <cellStyle name="Normal_Zac ene 6 del 2000" xfId="8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723897</xdr:colOff>
      <xdr:row>31</xdr:row>
      <xdr:rowOff>38102</xdr:rowOff>
    </xdr:from>
    <xdr:to>
      <xdr:col>10</xdr:col>
      <xdr:colOff>206372</xdr:colOff>
      <xdr:row>32</xdr:row>
      <xdr:rowOff>77790</xdr:rowOff>
    </xdr:to>
    <xdr:pic>
      <xdr:nvPicPr>
        <xdr:cNvPr id="8" name="7 Imagen" descr="C:\Users\pafernandez\Desktop\logoSEGOB_hoz.png"/>
        <xdr:cNvPicPr/>
      </xdr:nvPicPr>
      <xdr:blipFill rotWithShape="1">
        <a:blip r:embed="rId1"/>
        <a:srcRect l="61542" t="0" r="34661" b="0"/>
        <a:stretch/>
      </xdr:blipFill>
      <xdr:spPr bwMode="auto">
        <a:xfrm rot="5400000">
          <a:off x="4674391" y="3545684"/>
          <a:ext cx="230188" cy="72739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157798</xdr:rowOff>
    </xdr:to>
    <xdr:pic>
      <xdr:nvPicPr>
        <xdr:cNvPr id="9" name="8 Imagen" descr="C:\Users\pafernandez\Desktop\logoSEGOB_hoz.png"/>
        <xdr:cNvPicPr/>
      </xdr:nvPicPr>
      <xdr:blipFill rotWithShape="1">
        <a:blip r:embed="rId1"/>
        <a:srcRect l="61542" t="0" r="34661" b="0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655318</xdr:colOff>
      <xdr:row>13</xdr:row>
      <xdr:rowOff>68668</xdr:rowOff>
    </xdr:to>
    <xdr:pic>
      <xdr:nvPicPr>
        <xdr:cNvPr id="10" name="9 Imagen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600075</xdr:colOff>
      <xdr:row>1</xdr:row>
      <xdr:rowOff>9525</xdr:rowOff>
    </xdr:from>
    <xdr:to>
      <xdr:col>10</xdr:col>
      <xdr:colOff>163768</xdr:colOff>
      <xdr:row>6</xdr:row>
      <xdr:rowOff>76200</xdr:rowOff>
    </xdr:to>
    <xdr:pic>
      <xdr:nvPicPr>
        <xdr:cNvPr id="11" name="10 Imagen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028700" y="200025"/>
          <a:ext cx="7355143" cy="1019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698499</xdr:colOff>
      <xdr:row>1</xdr:row>
      <xdr:rowOff>95250</xdr:rowOff>
    </xdr:from>
    <xdr:to>
      <xdr:col>12</xdr:col>
      <xdr:colOff>158750</xdr:colOff>
      <xdr:row>5</xdr:row>
      <xdr:rowOff>136525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381250" y="33866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527891</xdr:colOff>
      <xdr:row>1</xdr:row>
      <xdr:rowOff>45904</xdr:rowOff>
    </xdr:from>
    <xdr:to>
      <xdr:col>13</xdr:col>
      <xdr:colOff>503334</xdr:colOff>
      <xdr:row>7</xdr:row>
      <xdr:rowOff>28690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595150" y="286898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409575</xdr:colOff>
      <xdr:row>0</xdr:row>
      <xdr:rowOff>38100</xdr:rowOff>
    </xdr:from>
    <xdr:to>
      <xdr:col>5</xdr:col>
      <xdr:colOff>1319794</xdr:colOff>
      <xdr:row>3</xdr:row>
      <xdr:rowOff>94130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962150" y="38100"/>
          <a:ext cx="7806318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590549</xdr:colOff>
      <xdr:row>0</xdr:row>
      <xdr:rowOff>47625</xdr:rowOff>
    </xdr:from>
    <xdr:to>
      <xdr:col>3</xdr:col>
      <xdr:colOff>1879600</xdr:colOff>
      <xdr:row>4</xdr:row>
      <xdr:rowOff>156448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38300" y="476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666749</xdr:colOff>
      <xdr:row>0</xdr:row>
      <xdr:rowOff>85725</xdr:rowOff>
    </xdr:from>
    <xdr:to>
      <xdr:col>3</xdr:col>
      <xdr:colOff>2559049</xdr:colOff>
      <xdr:row>4</xdr:row>
      <xdr:rowOff>194545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619125</xdr:colOff>
      <xdr:row>0</xdr:row>
      <xdr:rowOff>104775</xdr:rowOff>
    </xdr:from>
    <xdr:to>
      <xdr:col>3</xdr:col>
      <xdr:colOff>1908175</xdr:colOff>
      <xdr:row>4</xdr:row>
      <xdr:rowOff>213597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66875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657225</xdr:colOff>
      <xdr:row>0</xdr:row>
      <xdr:rowOff>57150</xdr:rowOff>
    </xdr:from>
    <xdr:to>
      <xdr:col>3</xdr:col>
      <xdr:colOff>1946275</xdr:colOff>
      <xdr:row>4</xdr:row>
      <xdr:rowOff>165973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04975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752475</xdr:colOff>
      <xdr:row>1</xdr:row>
      <xdr:rowOff>47625</xdr:rowOff>
    </xdr:from>
    <xdr:to>
      <xdr:col>3</xdr:col>
      <xdr:colOff>2041525</xdr:colOff>
      <xdr:row>4</xdr:row>
      <xdr:rowOff>318373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800225" y="209550"/>
          <a:ext cx="6318250" cy="1023223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outlinePr applyStyles="0" summaryBelow="1" summaryRight="1" showOutlineSymbols="1"/>
    <pageSetUpPr autoPageBreaks="1" fitToPage="0"/>
  </sheetPr>
  <sheetViews>
    <sheetView showGridLines="0" view="pageBreakPreview" zoomScale="100" workbookViewId="0">
      <selection activeCell="I40" activeCellId="0" sqref="I40"/>
    </sheetView>
  </sheetViews>
  <sheetFormatPr baseColWidth="10" defaultColWidth="11.42578125" defaultRowHeight="15"/>
  <cols>
    <col customWidth="1" min="1" max="1" style="1" width="6.42578125"/>
    <col min="2" max="5" style="1" width="11.42578125"/>
    <col bestFit="1" customWidth="1" min="6" max="6" style="1" width="25.42578125"/>
    <col min="7" max="10" style="1" width="11.42578125"/>
    <col customWidth="1" min="11" max="12" style="1" width="11.42578125"/>
    <col min="13" max="16384" style="1" width="11.42578125"/>
  </cols>
  <sheetData>
    <row r="2">
      <c r="B2" s="1" t="s">
        <v>0</v>
      </c>
    </row>
    <row r="7" ht="26.25">
      <c r="B7" s="2"/>
      <c r="C7" s="2"/>
      <c r="D7" s="2"/>
      <c r="E7" s="2"/>
      <c r="F7" s="2"/>
      <c r="G7" s="2"/>
      <c r="H7" s="2"/>
      <c r="I7" s="2"/>
      <c r="J7" s="2"/>
      <c r="K7" s="2"/>
    </row>
    <row r="8" ht="92.25">
      <c r="F8" s="3"/>
      <c r="G8" s="3"/>
    </row>
    <row r="12">
      <c r="B12" s="4" t="s">
        <v>1</v>
      </c>
      <c r="C12" s="4"/>
      <c r="D12" s="4"/>
      <c r="E12" s="4"/>
      <c r="F12" s="4"/>
      <c r="G12" s="4"/>
      <c r="H12" s="4"/>
      <c r="I12" s="4"/>
      <c r="J12" s="4"/>
      <c r="K12" s="4"/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5" customHeight="1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5" customHeight="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5" customHeight="1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" customHeight="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" customHeight="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" customHeight="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" customHeight="1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" customHeight="1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" customHeight="1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" customHeight="1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" customHeight="1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" customHeight="1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" customHeight="1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" customHeight="1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" customHeight="1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" customHeight="1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" customHeight="1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" customHeight="1"/>
    <row r="38" ht="23.25">
      <c r="I38" s="5"/>
      <c r="J38" s="5"/>
      <c r="K38" s="6" t="s">
        <v>2</v>
      </c>
    </row>
    <row r="39" ht="23.25">
      <c r="K39" s="6" t="s">
        <v>3</v>
      </c>
    </row>
    <row r="41" ht="26.25">
      <c r="K41" s="7">
        <v>2024</v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3">
    <mergeCell ref="B7:K7"/>
    <mergeCell ref="B12:K30"/>
    <mergeCell ref="F8:G8"/>
  </mergeCells>
  <printOptions headings="0" gridLines="0"/>
  <pageMargins left="0.69999999999999996" right="0.69999999999999996" top="0.75" bottom="0.75" header="0.29999999999999999" footer="0.29999999999999999"/>
  <pageSetup paperSize="9" scale="71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outlinePr applyStyles="0" summaryBelow="1" summaryRight="1" showOutlineSymbols="1"/>
    <pageSetUpPr autoPageBreaks="1" fitToPage="0"/>
  </sheetPr>
  <sheetViews>
    <sheetView showGridLines="0" view="pageBreakPreview" topLeftCell="A40" zoomScale="90" workbookViewId="0">
      <selection activeCell="B25" activeCellId="0" sqref="B25:O38"/>
    </sheetView>
  </sheetViews>
  <sheetFormatPr baseColWidth="10" defaultColWidth="11.42578125" defaultRowHeight="18.75"/>
  <cols>
    <col customWidth="1" min="1" max="1" style="8" width="5.42578125"/>
    <col customWidth="1" min="2" max="2" style="8" width="4.5703125"/>
    <col customWidth="1" min="3" max="3" style="8" width="15.28515625"/>
    <col min="4" max="16384" style="8" width="11.42578125"/>
  </cols>
  <sheetData>
    <row r="7">
      <c r="B7" s="9" t="s">
        <v>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="11" customFormat="1" ht="60.75" customHeight="1">
      <c r="B9" s="12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23.25">
      <c r="B10" s="14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2">
      <c r="B12" s="16" t="s">
        <v>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" customHeight="1">
      <c r="B13" s="17" t="s">
        <v>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5" customHeight="1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5" customHeight="1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5" customHeight="1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8.75" customHeight="1">
      <c r="B17" s="19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8.75" customHeight="1">
      <c r="B18" s="17" t="s">
        <v>11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8.75" customHeight="1">
      <c r="B24" s="19" t="s">
        <v>12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B25" s="17" t="s">
        <v>13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8.75" customHeight="1">
      <c r="B39" s="19" t="s">
        <v>14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8.75" customHeight="1">
      <c r="B40" s="17" t="s">
        <v>15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8.75" customHeight="1">
      <c r="B45" s="19" t="s">
        <v>16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8.75" customHeight="1">
      <c r="B46" s="17" t="s">
        <v>17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78.75" customHeight="1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8.75" customHeight="1">
      <c r="B51" s="19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ht="54.75" customHeight="1">
      <c r="B52" s="17" t="s">
        <v>19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eadings="0" gridLines="0" horizontalCentered="1"/>
  <pageMargins left="0.70866141732283472" right="0.70866141732283472" top="0.74803149606299213" bottom="0.74803149606299213" header="0" footer="0"/>
  <pageSetup paperSize="9" scale="53" fitToWidth="1" fitToHeight="2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4">
    <outlinePr applyStyles="0" summaryBelow="1" summaryRight="1" showOutlineSymbols="1"/>
    <pageSetUpPr autoPageBreaks="1" fitToPage="1"/>
  </sheetPr>
  <sheetViews>
    <sheetView showGridLines="0" view="pageBreakPreview" zoomScale="83" workbookViewId="0">
      <selection activeCell="T14" activeCellId="0" sqref="T14"/>
    </sheetView>
  </sheetViews>
  <sheetFormatPr baseColWidth="10" defaultColWidth="11.42578125" defaultRowHeight="12.75"/>
  <cols>
    <col min="1" max="1" style="8" width="11.42578125"/>
    <col customWidth="1" min="2" max="2" style="8" width="4.5703125"/>
    <col customWidth="1" min="3" max="3" style="8" width="15.28515625"/>
    <col customWidth="1" min="4" max="4" style="8" width="18.42578125"/>
    <col min="5" max="13" style="8" width="11.42578125"/>
    <col customWidth="1" min="14" max="14" style="8" width="10.7109375"/>
    <col min="15" max="16384" style="8" width="11.42578125"/>
  </cols>
  <sheetData>
    <row r="8" ht="18.75">
      <c r="B8" s="9" t="s">
        <v>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8.75">
      <c r="B9" s="20" t="s">
        <v>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ht="20.25">
      <c r="B10" s="12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23.25">
      <c r="B11" s="14" t="s">
        <v>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3" ht="20.25">
      <c r="B13" s="22" t="s">
        <v>21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="11" customFormat="1" ht="46.5" customHeight="1"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33" customHeight="1">
      <c r="B15" s="23"/>
      <c r="C15" s="24" t="s">
        <v>23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</row>
    <row r="16" ht="48" customHeight="1">
      <c r="B16" s="23"/>
      <c r="C16" s="26" t="s">
        <v>24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ht="21"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ht="18.75">
      <c r="B18" s="16" t="s">
        <v>25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8.75">
      <c r="B19" s="10">
        <v>1</v>
      </c>
      <c r="C19" s="29" t="s">
        <v>26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ht="18.75">
      <c r="B20" s="10">
        <v>2</v>
      </c>
      <c r="C20" s="17" t="s">
        <v>27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ht="18.75">
      <c r="B21" s="10">
        <v>3</v>
      </c>
      <c r="C21" s="30" t="s">
        <v>28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>
      <c r="B22" s="1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ht="18.75">
      <c r="B23" s="10"/>
      <c r="C23" s="32" t="s">
        <v>29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4">
    <mergeCell ref="B8:O8"/>
    <mergeCell ref="B9:O9"/>
    <mergeCell ref="B10:O10"/>
    <mergeCell ref="B11:O11"/>
    <mergeCell ref="B13:O13"/>
    <mergeCell ref="B14:O14"/>
    <mergeCell ref="C15:N15"/>
    <mergeCell ref="C16:O16"/>
    <mergeCell ref="B18:O18"/>
    <mergeCell ref="C19:O19"/>
    <mergeCell ref="C20:O20"/>
    <mergeCell ref="C21:O21"/>
    <mergeCell ref="C22:O22"/>
    <mergeCell ref="C23:O23"/>
  </mergeCells>
  <printOptions headings="0" gridLines="0"/>
  <pageMargins left="0.69999999999999996" right="0.69999999999999996" top="0.75" bottom="0.75" header="0.29999999999999999" footer="0.29999999999999999"/>
  <pageSetup paperSize="9" scale="5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7">
    <outlinePr applyStyles="0" summaryBelow="1" summaryRight="1" showOutlineSymbols="1"/>
    <pageSetUpPr autoPageBreaks="1" fitToPage="0"/>
  </sheetPr>
  <sheetViews>
    <sheetView topLeftCell="A7" zoomScale="100" workbookViewId="0">
      <selection activeCell="E42" activeCellId="0" sqref="E42"/>
    </sheetView>
  </sheetViews>
  <sheetFormatPr baseColWidth="10" defaultRowHeight="12.75"/>
  <cols>
    <col customWidth="1" min="3" max="3" width="21.140625"/>
    <col customWidth="1" min="9" max="9" width="14"/>
  </cols>
  <sheetData>
    <row r="4" ht="16.5">
      <c r="C4" s="34" t="s">
        <v>30</v>
      </c>
      <c r="E4" s="35" t="s">
        <v>31</v>
      </c>
      <c r="G4" s="35" t="s">
        <v>32</v>
      </c>
      <c r="I4" s="35" t="s">
        <v>33</v>
      </c>
    </row>
    <row r="5" ht="16.5">
      <c r="C5" s="36" t="s">
        <v>34</v>
      </c>
      <c r="E5" s="37">
        <v>2010</v>
      </c>
      <c r="G5" s="35" t="s">
        <v>35</v>
      </c>
      <c r="I5" s="35" t="s">
        <v>36</v>
      </c>
    </row>
    <row r="6" ht="16.5">
      <c r="C6" s="36" t="s">
        <v>37</v>
      </c>
      <c r="E6" s="37">
        <v>2011</v>
      </c>
      <c r="G6" s="35" t="s">
        <v>38</v>
      </c>
      <c r="I6" s="35" t="s">
        <v>39</v>
      </c>
    </row>
    <row r="7" ht="16.5">
      <c r="C7" s="36" t="s">
        <v>40</v>
      </c>
      <c r="E7" s="37">
        <v>2012</v>
      </c>
      <c r="G7" s="35" t="s">
        <v>41</v>
      </c>
    </row>
    <row r="8" ht="16.5">
      <c r="C8" s="36" t="s">
        <v>42</v>
      </c>
      <c r="E8" s="37">
        <v>2013</v>
      </c>
      <c r="G8" s="35" t="s">
        <v>43</v>
      </c>
    </row>
    <row r="9" ht="16.5">
      <c r="C9" s="36" t="s">
        <v>44</v>
      </c>
      <c r="E9" s="37">
        <v>2014</v>
      </c>
      <c r="G9" s="35" t="s">
        <v>45</v>
      </c>
    </row>
    <row r="10" ht="16.5">
      <c r="C10" s="36" t="s">
        <v>46</v>
      </c>
      <c r="E10" s="37">
        <v>2015</v>
      </c>
      <c r="G10" s="35" t="s">
        <v>47</v>
      </c>
    </row>
    <row r="11" ht="16.5">
      <c r="C11" s="36" t="s">
        <v>48</v>
      </c>
      <c r="E11" s="37">
        <v>2016</v>
      </c>
      <c r="G11" s="35" t="s">
        <v>49</v>
      </c>
    </row>
    <row r="12" ht="16.5">
      <c r="C12" s="36" t="s">
        <v>50</v>
      </c>
      <c r="E12" s="37">
        <v>2017</v>
      </c>
      <c r="G12" s="35" t="s">
        <v>51</v>
      </c>
    </row>
    <row r="13" ht="16.5">
      <c r="C13" s="36" t="s">
        <v>52</v>
      </c>
      <c r="E13" s="37">
        <v>2018</v>
      </c>
      <c r="G13" s="35" t="s">
        <v>53</v>
      </c>
    </row>
    <row r="14" ht="16.5">
      <c r="C14" s="36" t="s">
        <v>54</v>
      </c>
      <c r="G14" s="35" t="s">
        <v>55</v>
      </c>
    </row>
    <row r="15" ht="16.5">
      <c r="C15" s="36" t="s">
        <v>56</v>
      </c>
      <c r="G15" s="35" t="s">
        <v>57</v>
      </c>
    </row>
    <row r="16" ht="16.5">
      <c r="C16" s="36" t="s">
        <v>58</v>
      </c>
      <c r="G16" s="35" t="s">
        <v>59</v>
      </c>
    </row>
    <row r="17" ht="16.5">
      <c r="C17" s="36" t="s">
        <v>60</v>
      </c>
    </row>
    <row r="18" ht="16.5">
      <c r="C18" s="36" t="s">
        <v>61</v>
      </c>
    </row>
    <row r="19" ht="16.5">
      <c r="C19" s="36" t="s">
        <v>62</v>
      </c>
    </row>
    <row r="20" ht="16.5">
      <c r="C20" s="36" t="s">
        <v>63</v>
      </c>
    </row>
    <row r="21" ht="16.5">
      <c r="C21" s="36" t="s">
        <v>64</v>
      </c>
    </row>
    <row r="22" ht="16.5">
      <c r="C22" s="36" t="s">
        <v>65</v>
      </c>
    </row>
    <row r="23" ht="16.5">
      <c r="C23" s="36" t="s">
        <v>66</v>
      </c>
    </row>
    <row r="24" ht="16.5">
      <c r="C24" s="36" t="s">
        <v>67</v>
      </c>
    </row>
    <row r="25" ht="16.5">
      <c r="C25" s="36" t="s">
        <v>68</v>
      </c>
    </row>
    <row r="26" ht="16.5">
      <c r="C26" s="36" t="s">
        <v>69</v>
      </c>
    </row>
    <row r="27" ht="16.5">
      <c r="C27" s="36" t="s">
        <v>70</v>
      </c>
    </row>
    <row r="28" ht="16.5">
      <c r="C28" s="36" t="s">
        <v>71</v>
      </c>
    </row>
    <row r="29" ht="16.5">
      <c r="C29" s="36" t="s">
        <v>72</v>
      </c>
    </row>
    <row r="30" ht="16.5">
      <c r="C30" s="36" t="s">
        <v>73</v>
      </c>
    </row>
    <row r="31" ht="16.5">
      <c r="C31" s="36" t="s">
        <v>74</v>
      </c>
    </row>
    <row r="32" ht="16.5">
      <c r="C32" s="36" t="s">
        <v>75</v>
      </c>
    </row>
    <row r="33" ht="16.5">
      <c r="C33" s="36" t="s">
        <v>76</v>
      </c>
    </row>
    <row r="34" ht="16.5">
      <c r="C34" s="36" t="s">
        <v>77</v>
      </c>
    </row>
    <row r="35" ht="16.5">
      <c r="C35" s="36" t="s">
        <v>78</v>
      </c>
    </row>
    <row r="36" ht="16.5">
      <c r="C36" s="36" t="s">
        <v>79</v>
      </c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zoomScale="100" workbookViewId="0">
      <selection activeCell="C4" activeCellId="0" sqref="C4"/>
    </sheetView>
  </sheetViews>
  <sheetFormatPr baseColWidth="10" defaultRowHeight="12.75"/>
  <cols>
    <col customWidth="1" min="1" max="1" width="26.85546875"/>
    <col customWidth="1" min="3" max="3" width="20.7109375"/>
  </cols>
  <sheetData>
    <row r="1">
      <c r="A1" s="38" t="s">
        <v>80</v>
      </c>
      <c r="B1" s="38" t="s">
        <v>32</v>
      </c>
      <c r="C1" t="s">
        <v>33</v>
      </c>
    </row>
    <row r="2">
      <c r="A2" t="s">
        <v>81</v>
      </c>
      <c r="B2" s="38" t="s">
        <v>35</v>
      </c>
      <c r="C2" t="s">
        <v>36</v>
      </c>
    </row>
    <row r="3">
      <c r="A3" t="s">
        <v>82</v>
      </c>
      <c r="B3" s="38" t="s">
        <v>38</v>
      </c>
      <c r="C3" t="s">
        <v>83</v>
      </c>
    </row>
    <row r="4">
      <c r="A4" t="s">
        <v>84</v>
      </c>
      <c r="B4" s="38" t="s">
        <v>41</v>
      </c>
    </row>
    <row r="5">
      <c r="A5" t="s">
        <v>85</v>
      </c>
      <c r="B5" s="38" t="s">
        <v>43</v>
      </c>
    </row>
    <row r="6">
      <c r="A6" t="s">
        <v>86</v>
      </c>
      <c r="B6" s="38" t="s">
        <v>45</v>
      </c>
    </row>
    <row r="7">
      <c r="A7" t="s">
        <v>87</v>
      </c>
      <c r="B7" s="38" t="s">
        <v>47</v>
      </c>
    </row>
    <row r="8">
      <c r="A8" t="s">
        <v>88</v>
      </c>
      <c r="B8" s="38" t="s">
        <v>49</v>
      </c>
    </row>
    <row r="9">
      <c r="A9" t="s">
        <v>89</v>
      </c>
      <c r="B9" s="38" t="s">
        <v>51</v>
      </c>
    </row>
    <row r="10">
      <c r="A10" t="s">
        <v>90</v>
      </c>
      <c r="B10" s="38" t="s">
        <v>53</v>
      </c>
    </row>
    <row r="11">
      <c r="A11" t="s">
        <v>91</v>
      </c>
      <c r="B11" s="38" t="s">
        <v>55</v>
      </c>
    </row>
    <row r="12">
      <c r="A12" t="s">
        <v>92</v>
      </c>
      <c r="B12" s="38" t="s">
        <v>57</v>
      </c>
    </row>
    <row r="13">
      <c r="A13" t="s">
        <v>93</v>
      </c>
      <c r="B13" s="38" t="s">
        <v>59</v>
      </c>
    </row>
    <row r="14">
      <c r="A14" t="s">
        <v>94</v>
      </c>
      <c r="B14" s="38" t="s">
        <v>35</v>
      </c>
    </row>
    <row r="15">
      <c r="A15" t="s">
        <v>95</v>
      </c>
      <c r="B15" s="38" t="s">
        <v>38</v>
      </c>
    </row>
    <row r="16">
      <c r="A16" t="s">
        <v>96</v>
      </c>
      <c r="B16" s="38" t="s">
        <v>41</v>
      </c>
    </row>
    <row r="17">
      <c r="A17" t="s">
        <v>97</v>
      </c>
      <c r="B17" s="38" t="s">
        <v>43</v>
      </c>
    </row>
    <row r="18">
      <c r="A18" t="s">
        <v>98</v>
      </c>
      <c r="B18" s="38" t="s">
        <v>45</v>
      </c>
    </row>
    <row r="19">
      <c r="A19" t="s">
        <v>99</v>
      </c>
      <c r="B19" s="38" t="s">
        <v>47</v>
      </c>
    </row>
    <row r="20">
      <c r="A20" t="s">
        <v>100</v>
      </c>
      <c r="B20" s="38" t="s">
        <v>49</v>
      </c>
    </row>
    <row r="21">
      <c r="A21" t="s">
        <v>101</v>
      </c>
      <c r="B21" s="38" t="s">
        <v>51</v>
      </c>
    </row>
    <row r="22">
      <c r="A22" t="s">
        <v>102</v>
      </c>
      <c r="B22" s="38" t="s">
        <v>53</v>
      </c>
    </row>
    <row r="23">
      <c r="A23" t="s">
        <v>103</v>
      </c>
      <c r="B23" s="38" t="s">
        <v>55</v>
      </c>
    </row>
    <row r="24">
      <c r="A24" t="s">
        <v>104</v>
      </c>
      <c r="B24" s="38" t="s">
        <v>57</v>
      </c>
    </row>
    <row r="25">
      <c r="A25" t="s">
        <v>105</v>
      </c>
      <c r="B25" s="38" t="s">
        <v>59</v>
      </c>
    </row>
    <row r="26">
      <c r="A26" t="s">
        <v>106</v>
      </c>
    </row>
    <row r="27">
      <c r="A27" t="s">
        <v>107</v>
      </c>
    </row>
    <row r="28">
      <c r="A28" t="s">
        <v>108</v>
      </c>
    </row>
    <row r="29">
      <c r="A29" t="s">
        <v>109</v>
      </c>
    </row>
    <row r="30">
      <c r="A30" t="s">
        <v>110</v>
      </c>
    </row>
    <row r="31">
      <c r="A31" t="s">
        <v>111</v>
      </c>
    </row>
    <row r="32">
      <c r="A32" t="s">
        <v>112</v>
      </c>
    </row>
    <row r="33">
      <c r="A33" t="s">
        <v>113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5">
    <outlinePr applyStyles="0" summaryBelow="1" summaryRight="1" showOutlineSymbols="1"/>
    <pageSetUpPr autoPageBreaks="1" fitToPage="0"/>
  </sheetPr>
  <sheetViews>
    <sheetView view="pageBreakPreview" zoomScale="100" workbookViewId="0">
      <selection activeCell="F11" activeCellId="0" sqref="F11"/>
    </sheetView>
  </sheetViews>
  <sheetFormatPr baseColWidth="10" defaultColWidth="11.42578125" defaultRowHeight="12.75"/>
  <cols>
    <col customWidth="1" min="1" max="1" style="39" width="23.28515625"/>
    <col customWidth="1" min="2" max="2" style="39" width="26.140625"/>
    <col customWidth="1" min="3" max="3" style="39" width="28.28515625"/>
    <col customWidth="1" min="4" max="4" style="39" width="23.28515625"/>
    <col customWidth="1" min="5" max="5" style="39" width="25.7109375"/>
    <col customWidth="1" min="6" max="6" style="39" width="26.85546875"/>
    <col customWidth="1" min="7" max="7" style="39" width="29.42578125"/>
    <col min="8" max="16384" style="39" width="11.42578125"/>
  </cols>
  <sheetData>
    <row r="3" ht="69.75" customHeight="1">
      <c r="B3" s="40"/>
      <c r="C3" s="40"/>
    </row>
    <row r="4" ht="21.75" customHeight="1">
      <c r="B4" s="41" t="s">
        <v>114</v>
      </c>
      <c r="C4" s="41"/>
      <c r="D4" s="41"/>
    </row>
    <row r="5" ht="12.75" customHeight="1">
      <c r="B5" s="42" t="s">
        <v>115</v>
      </c>
      <c r="C5" s="42"/>
    </row>
    <row r="6" s="43" customFormat="1" ht="18" customHeight="1">
      <c r="A6" s="44"/>
      <c r="B6" s="41" t="s">
        <v>4</v>
      </c>
      <c r="C6" s="41"/>
      <c r="D6" s="45"/>
      <c r="E6" s="45"/>
      <c r="F6" s="45"/>
      <c r="G6" s="46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</row>
    <row r="7" s="43" customFormat="1">
      <c r="A7" s="44"/>
      <c r="B7" s="44"/>
      <c r="C7" s="44"/>
      <c r="D7" s="45"/>
      <c r="E7" s="45"/>
      <c r="F7" s="45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</row>
    <row r="8" s="43" customFormat="1" ht="16.5">
      <c r="A8" s="48" t="s">
        <v>116</v>
      </c>
      <c r="B8" s="48"/>
      <c r="C8" s="48"/>
      <c r="D8" s="48"/>
      <c r="E8" s="48"/>
      <c r="F8" s="48"/>
      <c r="G8" s="46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</row>
    <row r="10" ht="25.5">
      <c r="A10" s="48"/>
      <c r="B10" s="49" t="s">
        <v>117</v>
      </c>
      <c r="C10" s="50" t="s">
        <v>101</v>
      </c>
      <c r="D10" s="48"/>
      <c r="E10" s="48"/>
      <c r="F10" s="48"/>
    </row>
    <row r="11" ht="16.5">
      <c r="A11" s="48"/>
      <c r="B11" s="51" t="s">
        <v>118</v>
      </c>
      <c r="C11" s="52">
        <v>2026</v>
      </c>
      <c r="D11" s="48"/>
      <c r="E11" s="48"/>
      <c r="F11" s="48"/>
    </row>
    <row r="12" ht="16.5">
      <c r="A12" s="48"/>
      <c r="B12" s="51" t="s">
        <v>119</v>
      </c>
      <c r="C12" s="53" t="s">
        <v>45</v>
      </c>
      <c r="D12" s="48"/>
      <c r="E12" s="48"/>
      <c r="F12" s="48"/>
    </row>
    <row r="13" ht="16.5">
      <c r="A13" s="48"/>
      <c r="B13" s="51" t="s">
        <v>120</v>
      </c>
      <c r="C13" s="54">
        <f>A16+B16+C16+D16+E16+F16+G16</f>
        <v>80228</v>
      </c>
    </row>
    <row r="15" ht="63.600000000000001" customHeight="1">
      <c r="A15" s="55" t="s">
        <v>121</v>
      </c>
      <c r="B15" s="55" t="s">
        <v>122</v>
      </c>
      <c r="C15" s="55" t="s">
        <v>123</v>
      </c>
      <c r="D15" s="55" t="s">
        <v>124</v>
      </c>
      <c r="E15" s="55" t="s">
        <v>125</v>
      </c>
      <c r="F15" s="55" t="s">
        <v>126</v>
      </c>
      <c r="G15" s="55" t="s">
        <v>127</v>
      </c>
    </row>
    <row r="16" ht="14.25">
      <c r="A16" s="56">
        <f>SUM('C01'!D20:'C01'!D79,'C02'!D20:'C02'!D79,'C03'!D20:'C03'!D79,'C04'!D20:'C04'!D79,'C05'!D20:'C05'!D79)</f>
        <v>2794</v>
      </c>
      <c r="B16" s="56">
        <f>SUM('C01'!D80:'C01'!D122,'C02'!D80:'C02'!D122,'C03'!D80:'C03'!D122,'C04'!D80:'C04'!D122,'C05'!D80:'C05'!D122)</f>
        <v>1335</v>
      </c>
      <c r="C16" s="56">
        <f>SUM('C01'!D123:'C01'!D263,'C02'!D123:'C02'!D263,'C03'!D123:'C03'!D263,'C04'!D123:'C04'!D263,'C05'!D123:'C05'!D263)</f>
        <v>15460</v>
      </c>
      <c r="D16" s="56">
        <f>SUM('C01'!D264:D273,'C02'!D264:D273,'C03'!D264:D273,'C04'!D264:D273,'C05'!D264:D273)</f>
        <v>341</v>
      </c>
      <c r="E16" s="56">
        <f>SUM('C01'!D274:'C01'!D290,'C02'!D274:'C02'!D290,'C03'!D274:'C03'!D290,'C04'!D274:'C04'!D290,'C05'!D274:'C05'!D290)</f>
        <v>2457</v>
      </c>
      <c r="F16" s="56">
        <f>SUM('C01'!D291:'C01'!D293,'C02'!D291:'C02'!D293,'C03'!D291:'C03'!D293,'C04'!D291:'C04'!D293,'C05'!D291:'C05'!D293)</f>
        <v>2036</v>
      </c>
      <c r="G16" s="56">
        <f>SUM('C01'!D294:'C01'!D301,'C02'!D294:'C02'!D301,'C03'!D294:'C03'!D301,'C04'!D294:'C04'!D301,'C05'!D294:'C05'!D301)</f>
        <v>55805</v>
      </c>
    </row>
    <row r="17" ht="14.25">
      <c r="A17" s="55"/>
      <c r="B17" s="55"/>
      <c r="C17" s="55"/>
      <c r="D17" s="55"/>
      <c r="E17" s="55"/>
      <c r="F17" s="55"/>
      <c r="G17" s="55"/>
    </row>
    <row r="18" ht="14.25">
      <c r="A18" s="57"/>
      <c r="B18" s="57"/>
      <c r="C18" s="57"/>
      <c r="D18" s="57"/>
      <c r="E18" s="58"/>
      <c r="F18" s="58"/>
    </row>
    <row r="19" s="59" customFormat="1" ht="38.25">
      <c r="A19" s="60" t="s">
        <v>128</v>
      </c>
      <c r="B19" s="60" t="s">
        <v>129</v>
      </c>
      <c r="C19" s="60" t="s">
        <v>130</v>
      </c>
      <c r="D19" s="60" t="s">
        <v>131</v>
      </c>
      <c r="E19" s="60" t="s">
        <v>132</v>
      </c>
      <c r="F19" s="60" t="s">
        <v>133</v>
      </c>
      <c r="G19" s="60" t="s">
        <v>134</v>
      </c>
    </row>
    <row r="20" ht="28.5">
      <c r="A20" s="61">
        <f>IFERROR(A16/$C$13,0)</f>
        <v>3.4825746622126938e-002</v>
      </c>
      <c r="B20" s="61">
        <f>IFERROR(B16/$C$13,0)</f>
        <v>1.6640075784015555e-002</v>
      </c>
      <c r="C20" s="61">
        <f t="shared" ref="C20:G20" si="0">IFERROR(C16/$C$13,0)</f>
        <v>0.19270080271227003</v>
      </c>
      <c r="D20" s="61">
        <f t="shared" si="0"/>
        <v>4.250386398763524e-003</v>
      </c>
      <c r="E20" s="61">
        <f t="shared" si="0"/>
        <v>3.0625218128334249e-002</v>
      </c>
      <c r="F20" s="61">
        <f t="shared" si="0"/>
        <v>2.5377673630154061e-002</v>
      </c>
      <c r="G20" s="61">
        <f t="shared" si="0"/>
        <v>0.69558009672433563</v>
      </c>
    </row>
    <row r="21" ht="14.25">
      <c r="A21" s="55"/>
      <c r="B21" s="55"/>
      <c r="C21" s="55"/>
      <c r="D21" s="55"/>
      <c r="E21" s="55"/>
      <c r="F21" s="55"/>
      <c r="G21" s="55"/>
    </row>
  </sheetData>
  <mergeCells count="3">
    <mergeCell ref="B4:D4"/>
    <mergeCell ref="B6:C6"/>
    <mergeCell ref="A8:D8"/>
  </mergeCells>
  <dataValidations count="1" disablePrompts="0">
    <dataValidation sqref="C12" type="list" allowBlank="1" errorStyle="stop" imeMode="noControl" operator="between" showDropDown="0" showErrorMessage="1" showInputMessage="1">
      <formula1>Datos!$B$2:$B$25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5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8">
    <outlinePr applyStyles="0" summaryBelow="1" summaryRight="1" showOutlineSymbols="1"/>
    <pageSetUpPr autoPageBreaks="1" fitToPage="1"/>
  </sheetPr>
  <sheetViews>
    <sheetView showGridLines="0" view="pageBreakPreview" topLeftCell="B269" zoomScale="160" workbookViewId="0">
      <selection activeCell="D297" activeCellId="0" sqref="D297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62"/>
    </row>
    <row r="2">
      <c r="D2" s="62"/>
    </row>
    <row r="3" ht="16.5">
      <c r="D3" s="62"/>
      <c r="F3" s="63"/>
      <c r="G3" s="63"/>
      <c r="H3" s="63"/>
      <c r="I3" s="63"/>
      <c r="J3" s="63"/>
    </row>
    <row r="4" ht="30">
      <c r="B4" s="43"/>
      <c r="D4" s="62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30">
      <c r="B5" s="43"/>
      <c r="D5" s="62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6.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3.2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6.5">
      <c r="C11" s="70"/>
      <c r="D11" s="71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6.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6.5">
      <c r="C14" s="73" t="s">
        <v>119</v>
      </c>
      <c r="D14" s="75" t="str">
        <f>RESUMEN!C12</f>
        <v>Mayo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6.5">
      <c r="C15" s="76"/>
      <c r="D15" s="77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5">
      <c r="B17" s="82" t="s">
        <v>137</v>
      </c>
      <c r="C17" s="83"/>
      <c r="D17" s="84" t="s">
        <v>36</v>
      </c>
    </row>
    <row r="18" ht="15">
      <c r="B18" s="85" t="s">
        <v>138</v>
      </c>
      <c r="C18" s="86"/>
      <c r="D18" s="84" t="s">
        <v>101</v>
      </c>
    </row>
    <row r="19" ht="15">
      <c r="B19" s="87" t="s">
        <v>139</v>
      </c>
      <c r="C19" s="88" t="s">
        <v>140</v>
      </c>
      <c r="D19" s="89" t="s">
        <v>141</v>
      </c>
      <c r="G19" s="90"/>
    </row>
    <row r="20" ht="16.5">
      <c r="B20" s="91">
        <v>10101</v>
      </c>
      <c r="C20" s="92" t="s">
        <v>142</v>
      </c>
      <c r="D20" s="93">
        <v>0</v>
      </c>
    </row>
    <row r="21" ht="16.5">
      <c r="B21" s="94">
        <v>10102</v>
      </c>
      <c r="C21" s="95" t="s">
        <v>143</v>
      </c>
      <c r="D21" s="96">
        <v>0</v>
      </c>
    </row>
    <row r="22" ht="16.5">
      <c r="B22" s="91">
        <v>10103</v>
      </c>
      <c r="C22" s="92" t="s">
        <v>144</v>
      </c>
      <c r="D22" s="93">
        <v>275</v>
      </c>
    </row>
    <row r="23" ht="16.5">
      <c r="B23" s="94">
        <v>10104</v>
      </c>
      <c r="C23" s="95" t="s">
        <v>145</v>
      </c>
      <c r="D23" s="96">
        <v>319</v>
      </c>
    </row>
    <row r="24" ht="16.5">
      <c r="B24" s="91">
        <v>10105</v>
      </c>
      <c r="C24" s="92" t="s">
        <v>146</v>
      </c>
      <c r="D24" s="93">
        <v>0</v>
      </c>
    </row>
    <row r="25" ht="16.5">
      <c r="B25" s="94">
        <v>10106</v>
      </c>
      <c r="C25" s="95" t="s">
        <v>147</v>
      </c>
      <c r="D25" s="96">
        <v>0</v>
      </c>
    </row>
    <row r="26" ht="16.5">
      <c r="B26" s="91">
        <v>10107</v>
      </c>
      <c r="C26" s="92" t="s">
        <v>148</v>
      </c>
      <c r="D26" s="93">
        <v>2</v>
      </c>
    </row>
    <row r="27" ht="16.5">
      <c r="B27" s="94">
        <v>10108</v>
      </c>
      <c r="C27" s="95" t="s">
        <v>149</v>
      </c>
      <c r="D27" s="96">
        <v>0</v>
      </c>
    </row>
    <row r="28" ht="16.5">
      <c r="B28" s="91">
        <v>10109</v>
      </c>
      <c r="C28" s="92" t="s">
        <v>150</v>
      </c>
      <c r="D28" s="93">
        <v>0</v>
      </c>
    </row>
    <row r="29" ht="16.5">
      <c r="B29" s="94">
        <v>10110</v>
      </c>
      <c r="C29" s="95" t="s">
        <v>151</v>
      </c>
      <c r="D29" s="96">
        <v>0</v>
      </c>
    </row>
    <row r="30" ht="16.5">
      <c r="B30" s="91">
        <v>10111</v>
      </c>
      <c r="C30" s="92" t="s">
        <v>152</v>
      </c>
      <c r="D30" s="93">
        <v>0</v>
      </c>
    </row>
    <row r="31" ht="16.5">
      <c r="B31" s="94">
        <v>10112</v>
      </c>
      <c r="C31" s="95" t="s">
        <v>153</v>
      </c>
      <c r="D31" s="96">
        <v>0</v>
      </c>
    </row>
    <row r="32" ht="16.5">
      <c r="B32" s="91">
        <v>10113</v>
      </c>
      <c r="C32" s="92" t="s">
        <v>154</v>
      </c>
      <c r="D32" s="93">
        <v>0</v>
      </c>
    </row>
    <row r="33" ht="16.5">
      <c r="B33" s="94">
        <v>10114</v>
      </c>
      <c r="C33" s="95" t="s">
        <v>155</v>
      </c>
      <c r="D33" s="96">
        <v>0</v>
      </c>
    </row>
    <row r="34" ht="16.5">
      <c r="B34" s="91">
        <v>10115</v>
      </c>
      <c r="C34" s="92" t="s">
        <v>156</v>
      </c>
      <c r="D34" s="93">
        <v>0</v>
      </c>
    </row>
    <row r="35" ht="16.5">
      <c r="B35" s="94">
        <v>10116</v>
      </c>
      <c r="C35" s="95" t="s">
        <v>157</v>
      </c>
      <c r="D35" s="96">
        <v>69</v>
      </c>
    </row>
    <row r="36" ht="16.5">
      <c r="B36" s="91">
        <v>10117</v>
      </c>
      <c r="C36" s="92" t="s">
        <v>158</v>
      </c>
      <c r="D36" s="93">
        <v>0</v>
      </c>
    </row>
    <row r="37" ht="16.5">
      <c r="B37" s="94">
        <v>10118</v>
      </c>
      <c r="C37" s="95" t="s">
        <v>159</v>
      </c>
      <c r="D37" s="96">
        <v>0</v>
      </c>
    </row>
    <row r="38" ht="16.5">
      <c r="B38" s="91">
        <v>10119</v>
      </c>
      <c r="C38" s="92" t="s">
        <v>160</v>
      </c>
      <c r="D38" s="93">
        <v>0</v>
      </c>
    </row>
    <row r="39" ht="16.5">
      <c r="B39" s="94">
        <v>10120</v>
      </c>
      <c r="C39" s="95" t="s">
        <v>161</v>
      </c>
      <c r="D39" s="96">
        <v>0</v>
      </c>
    </row>
    <row r="40" ht="16.5">
      <c r="B40" s="91">
        <v>10121</v>
      </c>
      <c r="C40" s="92" t="s">
        <v>162</v>
      </c>
      <c r="D40" s="93">
        <v>2</v>
      </c>
    </row>
    <row r="41" ht="16.5">
      <c r="B41" s="94">
        <v>10201</v>
      </c>
      <c r="C41" s="95" t="s">
        <v>163</v>
      </c>
      <c r="D41" s="96">
        <v>1</v>
      </c>
    </row>
    <row r="42" ht="16.5">
      <c r="B42" s="91">
        <v>10202</v>
      </c>
      <c r="C42" s="92" t="s">
        <v>164</v>
      </c>
      <c r="D42" s="93">
        <v>1</v>
      </c>
    </row>
    <row r="43" ht="16.5">
      <c r="B43" s="94">
        <v>10203</v>
      </c>
      <c r="C43" s="95" t="s">
        <v>165</v>
      </c>
      <c r="D43" s="96">
        <v>8</v>
      </c>
    </row>
    <row r="44" ht="16.5">
      <c r="B44" s="91">
        <v>10204</v>
      </c>
      <c r="C44" s="92" t="s">
        <v>166</v>
      </c>
      <c r="D44" s="93">
        <v>167</v>
      </c>
    </row>
    <row r="45" ht="16.5">
      <c r="B45" s="94">
        <v>10205</v>
      </c>
      <c r="C45" s="95" t="s">
        <v>167</v>
      </c>
      <c r="D45" s="96">
        <v>4</v>
      </c>
    </row>
    <row r="46" ht="16.5">
      <c r="B46" s="91">
        <v>10206</v>
      </c>
      <c r="C46" s="92" t="s">
        <v>168</v>
      </c>
      <c r="D46" s="93">
        <v>11</v>
      </c>
    </row>
    <row r="47" ht="16.5">
      <c r="B47" s="94">
        <v>10207</v>
      </c>
      <c r="C47" s="95" t="s">
        <v>169</v>
      </c>
      <c r="D47" s="96">
        <v>16</v>
      </c>
    </row>
    <row r="48" ht="16.5">
      <c r="B48" s="91">
        <v>10208</v>
      </c>
      <c r="C48" s="92" t="s">
        <v>170</v>
      </c>
      <c r="D48" s="93">
        <v>24</v>
      </c>
    </row>
    <row r="49" ht="16.5">
      <c r="B49" s="94">
        <v>10209</v>
      </c>
      <c r="C49" s="95" t="s">
        <v>171</v>
      </c>
      <c r="D49" s="96">
        <v>13</v>
      </c>
    </row>
    <row r="50" ht="16.5">
      <c r="B50" s="91">
        <v>10210</v>
      </c>
      <c r="C50" s="92" t="s">
        <v>172</v>
      </c>
      <c r="D50" s="93">
        <v>19</v>
      </c>
    </row>
    <row r="51" ht="16.5">
      <c r="B51" s="94">
        <v>10211</v>
      </c>
      <c r="C51" s="95" t="s">
        <v>173</v>
      </c>
      <c r="D51" s="96">
        <v>3</v>
      </c>
    </row>
    <row r="52" ht="16.5">
      <c r="B52" s="91">
        <v>10212</v>
      </c>
      <c r="C52" s="92" t="s">
        <v>174</v>
      </c>
      <c r="D52" s="93">
        <v>16</v>
      </c>
    </row>
    <row r="53" ht="16.5">
      <c r="B53" s="94">
        <v>10213</v>
      </c>
      <c r="C53" s="95" t="s">
        <v>175</v>
      </c>
      <c r="D53" s="96">
        <v>14</v>
      </c>
    </row>
    <row r="54" ht="16.5">
      <c r="B54" s="91">
        <v>10214</v>
      </c>
      <c r="C54" s="92" t="s">
        <v>176</v>
      </c>
      <c r="D54" s="93">
        <v>0</v>
      </c>
    </row>
    <row r="55" ht="16.5">
      <c r="B55" s="94">
        <v>10215</v>
      </c>
      <c r="C55" s="95" t="s">
        <v>177</v>
      </c>
      <c r="D55" s="96">
        <v>0</v>
      </c>
    </row>
    <row r="56" ht="16.5" customHeight="1">
      <c r="B56" s="91">
        <v>10216</v>
      </c>
      <c r="C56" s="92" t="s">
        <v>178</v>
      </c>
      <c r="D56" s="93">
        <v>0</v>
      </c>
    </row>
    <row r="57" ht="16.5">
      <c r="B57" s="94">
        <v>10217</v>
      </c>
      <c r="C57" s="95" t="s">
        <v>179</v>
      </c>
      <c r="D57" s="96">
        <v>0</v>
      </c>
    </row>
    <row r="58" ht="16.5">
      <c r="B58" s="91">
        <v>10218</v>
      </c>
      <c r="C58" s="92" t="s">
        <v>180</v>
      </c>
      <c r="D58" s="93">
        <v>0</v>
      </c>
    </row>
    <row r="59" ht="16.5">
      <c r="B59" s="94">
        <v>10219</v>
      </c>
      <c r="C59" s="95" t="s">
        <v>181</v>
      </c>
      <c r="D59" s="96">
        <v>3</v>
      </c>
    </row>
    <row r="60" ht="16.5">
      <c r="B60" s="91">
        <v>10220</v>
      </c>
      <c r="C60" s="92" t="s">
        <v>182</v>
      </c>
      <c r="D60" s="93">
        <v>8</v>
      </c>
    </row>
    <row r="61" ht="16.5">
      <c r="B61" s="94">
        <v>10301</v>
      </c>
      <c r="C61" s="95" t="s">
        <v>183</v>
      </c>
      <c r="D61" s="96">
        <v>7</v>
      </c>
    </row>
    <row r="62" ht="16.5">
      <c r="B62" s="91">
        <v>10302</v>
      </c>
      <c r="C62" s="92" t="s">
        <v>184</v>
      </c>
      <c r="D62" s="93">
        <v>1</v>
      </c>
    </row>
    <row r="63" ht="16.5">
      <c r="B63" s="94">
        <v>10303</v>
      </c>
      <c r="C63" s="95" t="s">
        <v>185</v>
      </c>
      <c r="D63" s="96">
        <v>10</v>
      </c>
    </row>
    <row r="64" ht="16.5">
      <c r="B64" s="91">
        <v>10304</v>
      </c>
      <c r="C64" s="92" t="s">
        <v>186</v>
      </c>
      <c r="D64" s="93">
        <v>1</v>
      </c>
    </row>
    <row r="65" ht="16.5">
      <c r="B65" s="94">
        <v>10305</v>
      </c>
      <c r="C65" s="95" t="s">
        <v>187</v>
      </c>
      <c r="D65" s="96">
        <v>52</v>
      </c>
    </row>
    <row r="66" ht="16.5">
      <c r="B66" s="91">
        <v>10306</v>
      </c>
      <c r="C66" s="92" t="s">
        <v>188</v>
      </c>
      <c r="D66" s="93">
        <v>1</v>
      </c>
    </row>
    <row r="67" ht="16.5">
      <c r="B67" s="94">
        <v>10307</v>
      </c>
      <c r="C67" s="95" t="s">
        <v>189</v>
      </c>
      <c r="D67" s="96">
        <v>93</v>
      </c>
    </row>
    <row r="68" ht="16.5">
      <c r="B68" s="91">
        <v>10308</v>
      </c>
      <c r="C68" s="92" t="s">
        <v>190</v>
      </c>
      <c r="D68" s="93">
        <v>171</v>
      </c>
    </row>
    <row r="69" ht="16.5">
      <c r="B69" s="94">
        <v>10309</v>
      </c>
      <c r="C69" s="95" t="s">
        <v>191</v>
      </c>
      <c r="D69" s="96">
        <v>9</v>
      </c>
    </row>
    <row r="70" ht="16.5">
      <c r="B70" s="91">
        <v>10310</v>
      </c>
      <c r="C70" s="92" t="s">
        <v>192</v>
      </c>
      <c r="D70" s="93">
        <v>13</v>
      </c>
    </row>
    <row r="71" ht="16.5">
      <c r="B71" s="94">
        <v>10311</v>
      </c>
      <c r="C71" s="95" t="s">
        <v>193</v>
      </c>
      <c r="D71" s="96">
        <v>19</v>
      </c>
    </row>
    <row r="72" ht="16.5">
      <c r="B72" s="91">
        <v>10312</v>
      </c>
      <c r="C72" s="92" t="s">
        <v>194</v>
      </c>
      <c r="D72" s="93">
        <v>21</v>
      </c>
    </row>
    <row r="73" ht="16.5">
      <c r="B73" s="94">
        <v>10313</v>
      </c>
      <c r="C73" s="95" t="s">
        <v>195</v>
      </c>
      <c r="D73" s="96">
        <v>2</v>
      </c>
    </row>
    <row r="74" ht="16.5">
      <c r="B74" s="91">
        <v>10314</v>
      </c>
      <c r="C74" s="92" t="s">
        <v>196</v>
      </c>
      <c r="D74" s="93">
        <v>11</v>
      </c>
    </row>
    <row r="75" ht="16.5">
      <c r="B75" s="94">
        <v>10315</v>
      </c>
      <c r="C75" s="95" t="s">
        <v>197</v>
      </c>
      <c r="D75" s="96">
        <v>10</v>
      </c>
    </row>
    <row r="76" ht="16.5">
      <c r="B76" s="91">
        <v>10316</v>
      </c>
      <c r="C76" s="92" t="s">
        <v>198</v>
      </c>
      <c r="D76" s="93">
        <v>222</v>
      </c>
    </row>
    <row r="77" ht="16.5">
      <c r="B77" s="94">
        <v>10317</v>
      </c>
      <c r="C77" s="95" t="s">
        <v>199</v>
      </c>
      <c r="D77" s="96">
        <v>12</v>
      </c>
    </row>
    <row r="78" ht="16.5">
      <c r="B78" s="91">
        <v>10318</v>
      </c>
      <c r="C78" s="92" t="s">
        <v>200</v>
      </c>
      <c r="D78" s="93">
        <v>8</v>
      </c>
    </row>
    <row r="79" ht="16.5">
      <c r="B79" s="94">
        <v>10319</v>
      </c>
      <c r="C79" s="95" t="s">
        <v>201</v>
      </c>
      <c r="D79" s="96">
        <v>0</v>
      </c>
    </row>
    <row r="80" ht="16.5">
      <c r="B80" s="97">
        <v>20101</v>
      </c>
      <c r="C80" s="98" t="s">
        <v>202</v>
      </c>
      <c r="D80" s="99">
        <v>3</v>
      </c>
    </row>
    <row r="81" ht="16.5">
      <c r="B81" s="100">
        <v>20102</v>
      </c>
      <c r="C81" s="101" t="s">
        <v>203</v>
      </c>
      <c r="D81" s="102">
        <v>0</v>
      </c>
    </row>
    <row r="82" ht="16.5">
      <c r="B82" s="97">
        <v>20103</v>
      </c>
      <c r="C82" s="98" t="s">
        <v>204</v>
      </c>
      <c r="D82" s="99">
        <v>48</v>
      </c>
    </row>
    <row r="83" ht="16.5">
      <c r="B83" s="100">
        <v>20104</v>
      </c>
      <c r="C83" s="103" t="s">
        <v>205</v>
      </c>
      <c r="D83" s="96">
        <v>10</v>
      </c>
    </row>
    <row r="84" ht="16.5">
      <c r="B84" s="97">
        <v>20105</v>
      </c>
      <c r="C84" s="98" t="s">
        <v>206</v>
      </c>
      <c r="D84" s="99">
        <v>1</v>
      </c>
    </row>
    <row r="85" ht="16.5">
      <c r="B85" s="100">
        <v>20106</v>
      </c>
      <c r="C85" s="101" t="s">
        <v>207</v>
      </c>
      <c r="D85" s="102">
        <v>1</v>
      </c>
    </row>
    <row r="86" ht="16.5">
      <c r="B86" s="97">
        <v>20107</v>
      </c>
      <c r="C86" s="98" t="s">
        <v>208</v>
      </c>
      <c r="D86" s="99">
        <v>2</v>
      </c>
    </row>
    <row r="87" ht="16.5">
      <c r="B87" s="100">
        <v>20108</v>
      </c>
      <c r="C87" s="103" t="s">
        <v>209</v>
      </c>
      <c r="D87" s="96">
        <v>46</v>
      </c>
    </row>
    <row r="88" ht="16.5">
      <c r="B88" s="97">
        <v>20109</v>
      </c>
      <c r="C88" s="98" t="s">
        <v>210</v>
      </c>
      <c r="D88" s="99">
        <v>0</v>
      </c>
    </row>
    <row r="89" ht="16.5">
      <c r="B89" s="100">
        <v>20110</v>
      </c>
      <c r="C89" s="103" t="s">
        <v>211</v>
      </c>
      <c r="D89" s="96">
        <v>5</v>
      </c>
    </row>
    <row r="90" ht="16.5">
      <c r="B90" s="97">
        <v>20111</v>
      </c>
      <c r="C90" s="98" t="s">
        <v>212</v>
      </c>
      <c r="D90" s="99">
        <v>9</v>
      </c>
    </row>
    <row r="91" ht="16.5">
      <c r="B91" s="100">
        <v>20112</v>
      </c>
      <c r="C91" s="101" t="s">
        <v>213</v>
      </c>
      <c r="D91" s="102">
        <v>0</v>
      </c>
    </row>
    <row r="92" ht="16.5">
      <c r="B92" s="97">
        <v>20113</v>
      </c>
      <c r="C92" s="98" t="s">
        <v>214</v>
      </c>
      <c r="D92" s="99">
        <v>2</v>
      </c>
    </row>
    <row r="93" ht="16.5">
      <c r="B93" s="100">
        <v>20114</v>
      </c>
      <c r="C93" s="101" t="s">
        <v>215</v>
      </c>
      <c r="D93" s="102">
        <v>0</v>
      </c>
    </row>
    <row r="94" ht="16.5">
      <c r="B94" s="97">
        <v>20201</v>
      </c>
      <c r="C94" s="98" t="s">
        <v>216</v>
      </c>
      <c r="D94" s="99">
        <v>88</v>
      </c>
    </row>
    <row r="95" ht="16.5">
      <c r="B95" s="100">
        <v>20202</v>
      </c>
      <c r="C95" s="101" t="s">
        <v>217</v>
      </c>
      <c r="D95" s="102">
        <v>4</v>
      </c>
    </row>
    <row r="96" ht="16.5">
      <c r="B96" s="97">
        <v>20203</v>
      </c>
      <c r="C96" s="98" t="s">
        <v>218</v>
      </c>
      <c r="D96" s="99">
        <v>38</v>
      </c>
    </row>
    <row r="97" ht="16.5">
      <c r="B97" s="100">
        <v>20204</v>
      </c>
      <c r="C97" s="101" t="s">
        <v>219</v>
      </c>
      <c r="D97" s="102">
        <v>0</v>
      </c>
    </row>
    <row r="98" ht="16.5">
      <c r="B98" s="97">
        <v>20205</v>
      </c>
      <c r="C98" s="98" t="s">
        <v>220</v>
      </c>
      <c r="D98" s="99">
        <v>0</v>
      </c>
    </row>
    <row r="99" ht="16.5">
      <c r="B99" s="100">
        <v>20206</v>
      </c>
      <c r="C99" s="101" t="s">
        <v>221</v>
      </c>
      <c r="D99" s="102">
        <v>0</v>
      </c>
    </row>
    <row r="100" ht="16.5">
      <c r="B100" s="97">
        <v>20207</v>
      </c>
      <c r="C100" s="98" t="s">
        <v>222</v>
      </c>
      <c r="D100" s="99">
        <v>17</v>
      </c>
    </row>
    <row r="101" ht="16.5">
      <c r="B101" s="100">
        <v>20208</v>
      </c>
      <c r="C101" s="101" t="s">
        <v>223</v>
      </c>
      <c r="D101" s="102">
        <v>0</v>
      </c>
    </row>
    <row r="102" ht="16.5">
      <c r="B102" s="97">
        <v>20209</v>
      </c>
      <c r="C102" s="98" t="s">
        <v>224</v>
      </c>
      <c r="D102" s="99">
        <v>2</v>
      </c>
    </row>
    <row r="103" ht="16.5">
      <c r="B103" s="100">
        <v>20210</v>
      </c>
      <c r="C103" s="101" t="s">
        <v>225</v>
      </c>
      <c r="D103" s="102">
        <v>88</v>
      </c>
    </row>
    <row r="104" ht="16.5">
      <c r="B104" s="97">
        <v>20211</v>
      </c>
      <c r="C104" s="98" t="s">
        <v>226</v>
      </c>
      <c r="D104" s="99">
        <v>0</v>
      </c>
    </row>
    <row r="105" ht="16.5">
      <c r="B105" s="100">
        <v>20212</v>
      </c>
      <c r="C105" s="101" t="s">
        <v>227</v>
      </c>
      <c r="D105" s="102">
        <v>0</v>
      </c>
    </row>
    <row r="106" ht="16.5">
      <c r="B106" s="97">
        <v>20213</v>
      </c>
      <c r="C106" s="98" t="s">
        <v>228</v>
      </c>
      <c r="D106" s="99">
        <v>0</v>
      </c>
    </row>
    <row r="107" ht="16.5">
      <c r="B107" s="100">
        <v>20214</v>
      </c>
      <c r="C107" s="101" t="s">
        <v>229</v>
      </c>
      <c r="D107" s="102">
        <v>1</v>
      </c>
    </row>
    <row r="108" ht="16.5">
      <c r="B108" s="97">
        <v>20301</v>
      </c>
      <c r="C108" s="98" t="s">
        <v>230</v>
      </c>
      <c r="D108" s="99">
        <v>28</v>
      </c>
    </row>
    <row r="109" ht="16.5">
      <c r="B109" s="100">
        <v>20302</v>
      </c>
      <c r="C109" s="101" t="s">
        <v>231</v>
      </c>
      <c r="D109" s="102">
        <v>0</v>
      </c>
    </row>
    <row r="110" ht="16.5">
      <c r="B110" s="97">
        <v>20303</v>
      </c>
      <c r="C110" s="98" t="s">
        <v>232</v>
      </c>
      <c r="D110" s="99">
        <v>15</v>
      </c>
    </row>
    <row r="111" ht="16.5">
      <c r="B111" s="100">
        <v>20304</v>
      </c>
      <c r="C111" s="101" t="s">
        <v>233</v>
      </c>
      <c r="D111" s="102">
        <v>2</v>
      </c>
    </row>
    <row r="112" ht="16.5">
      <c r="B112" s="97">
        <v>20305</v>
      </c>
      <c r="C112" s="98" t="s">
        <v>234</v>
      </c>
      <c r="D112" s="99">
        <v>0</v>
      </c>
    </row>
    <row r="113" ht="16.5">
      <c r="B113" s="100">
        <v>20306</v>
      </c>
      <c r="C113" s="101" t="s">
        <v>235</v>
      </c>
      <c r="D113" s="102">
        <v>0</v>
      </c>
    </row>
    <row r="114" ht="16.5">
      <c r="B114" s="97">
        <v>20307</v>
      </c>
      <c r="C114" s="98" t="s">
        <v>236</v>
      </c>
      <c r="D114" s="99">
        <v>10</v>
      </c>
    </row>
    <row r="115" ht="16.5">
      <c r="B115" s="100">
        <v>20308</v>
      </c>
      <c r="C115" s="101" t="s">
        <v>237</v>
      </c>
      <c r="D115" s="102">
        <v>0</v>
      </c>
    </row>
    <row r="116" ht="16.5">
      <c r="B116" s="97">
        <v>20309</v>
      </c>
      <c r="C116" s="98" t="s">
        <v>238</v>
      </c>
      <c r="D116" s="99">
        <v>1</v>
      </c>
    </row>
    <row r="117" ht="16.5">
      <c r="B117" s="100">
        <v>20310</v>
      </c>
      <c r="C117" s="101" t="s">
        <v>239</v>
      </c>
      <c r="D117" s="102">
        <v>0</v>
      </c>
    </row>
    <row r="118" ht="16.5">
      <c r="B118" s="97">
        <v>20311</v>
      </c>
      <c r="C118" s="98" t="s">
        <v>240</v>
      </c>
      <c r="D118" s="99">
        <v>186</v>
      </c>
    </row>
    <row r="119" ht="16.5">
      <c r="B119" s="100">
        <v>20401</v>
      </c>
      <c r="C119" s="101" t="s">
        <v>241</v>
      </c>
      <c r="D119" s="102">
        <v>0</v>
      </c>
    </row>
    <row r="120" ht="16.5">
      <c r="B120" s="97">
        <v>20402</v>
      </c>
      <c r="C120" s="98" t="s">
        <v>242</v>
      </c>
      <c r="D120" s="99">
        <v>0</v>
      </c>
    </row>
    <row r="121" ht="16.5">
      <c r="B121" s="100">
        <v>20403</v>
      </c>
      <c r="C121" s="101" t="s">
        <v>243</v>
      </c>
      <c r="D121" s="102">
        <v>39</v>
      </c>
    </row>
    <row r="122" ht="16.5">
      <c r="B122" s="97">
        <v>20404</v>
      </c>
      <c r="C122" s="98" t="s">
        <v>244</v>
      </c>
      <c r="D122" s="99">
        <v>15</v>
      </c>
    </row>
    <row r="123" ht="16.5">
      <c r="B123" s="104">
        <v>30101</v>
      </c>
      <c r="C123" s="105" t="s">
        <v>245</v>
      </c>
      <c r="D123" s="106">
        <v>84</v>
      </c>
    </row>
    <row r="124" ht="16.5">
      <c r="B124" s="107">
        <v>30102</v>
      </c>
      <c r="C124" s="108" t="s">
        <v>246</v>
      </c>
      <c r="D124" s="109">
        <v>29</v>
      </c>
    </row>
    <row r="125" ht="16.5">
      <c r="B125" s="104">
        <v>30103</v>
      </c>
      <c r="C125" s="105" t="s">
        <v>247</v>
      </c>
      <c r="D125" s="106">
        <v>156</v>
      </c>
    </row>
    <row r="126" ht="16.5">
      <c r="B126" s="107">
        <v>30201</v>
      </c>
      <c r="C126" s="108" t="s">
        <v>248</v>
      </c>
      <c r="D126" s="109">
        <v>0</v>
      </c>
    </row>
    <row r="127" ht="16.5">
      <c r="B127" s="104">
        <v>30202</v>
      </c>
      <c r="C127" s="105" t="s">
        <v>249</v>
      </c>
      <c r="D127" s="106">
        <v>105</v>
      </c>
    </row>
    <row r="128" ht="16.5">
      <c r="B128" s="107">
        <v>30203</v>
      </c>
      <c r="C128" s="108" t="s">
        <v>250</v>
      </c>
      <c r="D128" s="109">
        <v>0</v>
      </c>
    </row>
    <row r="129" ht="14.25">
      <c r="B129" s="104">
        <v>30204</v>
      </c>
      <c r="C129" s="105" t="s">
        <v>251</v>
      </c>
      <c r="D129" s="106">
        <v>98</v>
      </c>
    </row>
    <row r="130" ht="14.25">
      <c r="B130" s="107">
        <v>30205</v>
      </c>
      <c r="C130" s="108" t="s">
        <v>252</v>
      </c>
      <c r="D130" s="109">
        <v>11</v>
      </c>
    </row>
    <row r="131" ht="14.25">
      <c r="B131" s="104">
        <v>30206</v>
      </c>
      <c r="C131" s="105" t="s">
        <v>253</v>
      </c>
      <c r="D131" s="106">
        <v>1</v>
      </c>
    </row>
    <row r="132" ht="14.25">
      <c r="B132" s="107">
        <v>30207</v>
      </c>
      <c r="C132" s="108" t="s">
        <v>254</v>
      </c>
      <c r="D132" s="109">
        <v>0</v>
      </c>
    </row>
    <row r="133" ht="14.25">
      <c r="B133" s="104">
        <v>30301</v>
      </c>
      <c r="C133" s="105" t="s">
        <v>255</v>
      </c>
      <c r="D133" s="106">
        <v>0</v>
      </c>
    </row>
    <row r="134" ht="14.25">
      <c r="B134" s="107">
        <v>30302</v>
      </c>
      <c r="C134" s="108" t="s">
        <v>256</v>
      </c>
      <c r="D134" s="109">
        <v>16</v>
      </c>
    </row>
    <row r="135" ht="14.25">
      <c r="B135" s="104">
        <v>30303</v>
      </c>
      <c r="C135" s="105" t="s">
        <v>257</v>
      </c>
      <c r="D135" s="106">
        <v>13</v>
      </c>
    </row>
    <row r="136" ht="14.25">
      <c r="B136" s="107">
        <v>30304</v>
      </c>
      <c r="C136" s="108" t="s">
        <v>258</v>
      </c>
      <c r="D136" s="109">
        <v>6</v>
      </c>
    </row>
    <row r="137" ht="14.25">
      <c r="B137" s="104">
        <v>30305</v>
      </c>
      <c r="C137" s="105" t="s">
        <v>259</v>
      </c>
      <c r="D137" s="106">
        <v>49</v>
      </c>
    </row>
    <row r="138" ht="14.25">
      <c r="B138" s="107">
        <v>30306</v>
      </c>
      <c r="C138" s="108" t="s">
        <v>260</v>
      </c>
      <c r="D138" s="109">
        <v>26</v>
      </c>
    </row>
    <row r="139" ht="14.25">
      <c r="B139" s="104">
        <v>30307</v>
      </c>
      <c r="C139" s="105" t="s">
        <v>261</v>
      </c>
      <c r="D139" s="106">
        <v>208</v>
      </c>
    </row>
    <row r="140" ht="14.25">
      <c r="B140" s="107">
        <v>30308</v>
      </c>
      <c r="C140" s="108" t="s">
        <v>262</v>
      </c>
      <c r="D140" s="109">
        <v>102</v>
      </c>
    </row>
    <row r="141" ht="14.25">
      <c r="B141" s="104">
        <v>30309</v>
      </c>
      <c r="C141" s="105" t="s">
        <v>263</v>
      </c>
      <c r="D141" s="106">
        <v>808</v>
      </c>
    </row>
    <row r="142" ht="14.25">
      <c r="B142" s="107">
        <v>30310</v>
      </c>
      <c r="C142" s="108" t="s">
        <v>264</v>
      </c>
      <c r="D142" s="109">
        <v>639</v>
      </c>
    </row>
    <row r="143" ht="14.25">
      <c r="B143" s="104">
        <v>30401</v>
      </c>
      <c r="C143" s="105" t="s">
        <v>265</v>
      </c>
      <c r="D143" s="106">
        <v>1479</v>
      </c>
    </row>
    <row r="144" ht="14.25">
      <c r="B144" s="107">
        <v>30402</v>
      </c>
      <c r="C144" s="108" t="s">
        <v>266</v>
      </c>
      <c r="D144" s="109">
        <v>13</v>
      </c>
    </row>
    <row r="145" ht="14.25">
      <c r="B145" s="104">
        <v>30403</v>
      </c>
      <c r="C145" s="105" t="s">
        <v>267</v>
      </c>
      <c r="D145" s="106">
        <v>18</v>
      </c>
    </row>
    <row r="146" ht="14.25">
      <c r="B146" s="107">
        <v>30404</v>
      </c>
      <c r="C146" s="108" t="s">
        <v>268</v>
      </c>
      <c r="D146" s="109">
        <v>28</v>
      </c>
    </row>
    <row r="147" ht="14.25">
      <c r="B147" s="104">
        <v>30405</v>
      </c>
      <c r="C147" s="105" t="s">
        <v>269</v>
      </c>
      <c r="D147" s="106">
        <v>0</v>
      </c>
    </row>
    <row r="148" ht="14.25">
      <c r="B148" s="107">
        <v>30406</v>
      </c>
      <c r="C148" s="108" t="s">
        <v>270</v>
      </c>
      <c r="D148" s="109">
        <v>7</v>
      </c>
    </row>
    <row r="149" ht="14.25">
      <c r="B149" s="104">
        <v>30407</v>
      </c>
      <c r="C149" s="105" t="s">
        <v>271</v>
      </c>
      <c r="D149" s="106">
        <v>17</v>
      </c>
    </row>
    <row r="150" ht="14.25">
      <c r="B150" s="107">
        <v>30408</v>
      </c>
      <c r="C150" s="108" t="s">
        <v>272</v>
      </c>
      <c r="D150" s="109">
        <v>1</v>
      </c>
    </row>
    <row r="151" ht="14.25">
      <c r="B151" s="104">
        <v>30409</v>
      </c>
      <c r="C151" s="105" t="s">
        <v>273</v>
      </c>
      <c r="D151" s="106">
        <v>0</v>
      </c>
    </row>
    <row r="152" ht="14.25">
      <c r="B152" s="107">
        <v>30410</v>
      </c>
      <c r="C152" s="108" t="s">
        <v>274</v>
      </c>
      <c r="D152" s="109">
        <v>0</v>
      </c>
    </row>
    <row r="153" ht="14.25">
      <c r="B153" s="104">
        <v>30411</v>
      </c>
      <c r="C153" s="105" t="s">
        <v>275</v>
      </c>
      <c r="D153" s="106">
        <v>14</v>
      </c>
    </row>
    <row r="154" ht="14.25">
      <c r="B154" s="107">
        <v>30412</v>
      </c>
      <c r="C154" s="108" t="s">
        <v>276</v>
      </c>
      <c r="D154" s="109">
        <v>0</v>
      </c>
    </row>
    <row r="155" ht="14.25">
      <c r="B155" s="104">
        <v>30413</v>
      </c>
      <c r="C155" s="105" t="s">
        <v>277</v>
      </c>
      <c r="D155" s="106">
        <v>0</v>
      </c>
    </row>
    <row r="156" ht="14.25">
      <c r="B156" s="107">
        <v>30414</v>
      </c>
      <c r="C156" s="108" t="s">
        <v>278</v>
      </c>
      <c r="D156" s="109">
        <v>31</v>
      </c>
    </row>
    <row r="157" ht="14.25">
      <c r="B157" s="104">
        <v>30415</v>
      </c>
      <c r="C157" s="105" t="s">
        <v>279</v>
      </c>
      <c r="D157" s="106">
        <v>1</v>
      </c>
    </row>
    <row r="158" ht="14.25">
      <c r="B158" s="107">
        <v>30416</v>
      </c>
      <c r="C158" s="108" t="s">
        <v>280</v>
      </c>
      <c r="D158" s="109">
        <v>2</v>
      </c>
    </row>
    <row r="159" ht="14.25">
      <c r="B159" s="104">
        <v>30417</v>
      </c>
      <c r="C159" s="105" t="s">
        <v>281</v>
      </c>
      <c r="D159" s="106">
        <v>0</v>
      </c>
    </row>
    <row r="160" ht="14.25">
      <c r="B160" s="107">
        <v>30418</v>
      </c>
      <c r="C160" s="108" t="s">
        <v>282</v>
      </c>
      <c r="D160" s="109">
        <v>0</v>
      </c>
    </row>
    <row r="161" ht="14.25">
      <c r="B161" s="104">
        <v>30419</v>
      </c>
      <c r="C161" s="105" t="s">
        <v>283</v>
      </c>
      <c r="D161" s="106">
        <v>18</v>
      </c>
    </row>
    <row r="162" ht="14.25">
      <c r="B162" s="107">
        <v>30420</v>
      </c>
      <c r="C162" s="108" t="s">
        <v>284</v>
      </c>
      <c r="D162" s="109">
        <v>21</v>
      </c>
    </row>
    <row r="163" ht="14.25">
      <c r="B163" s="104">
        <v>30421</v>
      </c>
      <c r="C163" s="105" t="s">
        <v>285</v>
      </c>
      <c r="D163" s="106">
        <v>99</v>
      </c>
    </row>
    <row r="164" ht="14.25">
      <c r="B164" s="107">
        <v>30422</v>
      </c>
      <c r="C164" s="108" t="s">
        <v>286</v>
      </c>
      <c r="D164" s="109">
        <v>86</v>
      </c>
    </row>
    <row r="165" ht="14.25">
      <c r="B165" s="104">
        <v>30423</v>
      </c>
      <c r="C165" s="105" t="s">
        <v>287</v>
      </c>
      <c r="D165" s="106">
        <v>0</v>
      </c>
    </row>
    <row r="166" ht="14.25">
      <c r="B166" s="107">
        <v>30424</v>
      </c>
      <c r="C166" s="108" t="s">
        <v>288</v>
      </c>
      <c r="D166" s="109">
        <v>1</v>
      </c>
    </row>
    <row r="167" ht="14.25">
      <c r="B167" s="104">
        <v>30425</v>
      </c>
      <c r="C167" s="105" t="s">
        <v>289</v>
      </c>
      <c r="D167" s="106">
        <v>0</v>
      </c>
    </row>
    <row r="168" ht="14.25">
      <c r="B168" s="107">
        <v>30426</v>
      </c>
      <c r="C168" s="108" t="s">
        <v>290</v>
      </c>
      <c r="D168" s="109">
        <v>0</v>
      </c>
    </row>
    <row r="169" ht="14.25">
      <c r="B169" s="104">
        <v>30427</v>
      </c>
      <c r="C169" s="105" t="s">
        <v>291</v>
      </c>
      <c r="D169" s="106">
        <v>2</v>
      </c>
    </row>
    <row r="170" ht="14.25">
      <c r="B170" s="107">
        <v>30428</v>
      </c>
      <c r="C170" s="108" t="s">
        <v>292</v>
      </c>
      <c r="D170" s="109">
        <v>0</v>
      </c>
    </row>
    <row r="171" ht="14.25">
      <c r="B171" s="104">
        <v>30429</v>
      </c>
      <c r="C171" s="105" t="s">
        <v>293</v>
      </c>
      <c r="D171" s="106">
        <v>28</v>
      </c>
    </row>
    <row r="172" ht="14.25">
      <c r="B172" s="107">
        <v>30430</v>
      </c>
      <c r="C172" s="108" t="s">
        <v>294</v>
      </c>
      <c r="D172" s="109">
        <v>189</v>
      </c>
    </row>
    <row r="173" ht="14.25">
      <c r="B173" s="104">
        <v>30431</v>
      </c>
      <c r="C173" s="105" t="s">
        <v>295</v>
      </c>
      <c r="D173" s="106">
        <v>0</v>
      </c>
    </row>
    <row r="174" ht="14.25">
      <c r="B174" s="107">
        <v>30432</v>
      </c>
      <c r="C174" s="108" t="s">
        <v>296</v>
      </c>
      <c r="D174" s="109">
        <v>0</v>
      </c>
    </row>
    <row r="175" ht="14.25">
      <c r="B175" s="104">
        <v>30433</v>
      </c>
      <c r="C175" s="105" t="s">
        <v>297</v>
      </c>
      <c r="D175" s="106">
        <v>0</v>
      </c>
    </row>
    <row r="176" ht="14.25">
      <c r="B176" s="107">
        <v>30434</v>
      </c>
      <c r="C176" s="108" t="s">
        <v>298</v>
      </c>
      <c r="D176" s="109">
        <v>1</v>
      </c>
    </row>
    <row r="177" ht="14.25">
      <c r="B177" s="104">
        <v>30435</v>
      </c>
      <c r="C177" s="105" t="s">
        <v>299</v>
      </c>
      <c r="D177" s="106">
        <v>0</v>
      </c>
    </row>
    <row r="178" ht="14.25">
      <c r="B178" s="107">
        <v>30436</v>
      </c>
      <c r="C178" s="108" t="s">
        <v>300</v>
      </c>
      <c r="D178" s="109">
        <v>0</v>
      </c>
    </row>
    <row r="179" ht="14.25">
      <c r="B179" s="104">
        <v>30437</v>
      </c>
      <c r="C179" s="105" t="s">
        <v>301</v>
      </c>
      <c r="D179" s="106">
        <v>0</v>
      </c>
    </row>
    <row r="180" ht="14.25">
      <c r="B180" s="107">
        <v>30438</v>
      </c>
      <c r="C180" s="108" t="s">
        <v>302</v>
      </c>
      <c r="D180" s="109">
        <v>0</v>
      </c>
    </row>
    <row r="181" ht="14.25">
      <c r="B181" s="104">
        <v>30439</v>
      </c>
      <c r="C181" s="105" t="s">
        <v>303</v>
      </c>
      <c r="D181" s="106">
        <v>0</v>
      </c>
    </row>
    <row r="182" ht="14.25">
      <c r="B182" s="107">
        <v>30440</v>
      </c>
      <c r="C182" s="108" t="s">
        <v>304</v>
      </c>
      <c r="D182" s="109">
        <v>7</v>
      </c>
    </row>
    <row r="183" ht="14.25">
      <c r="B183" s="104">
        <v>30441</v>
      </c>
      <c r="C183" s="105" t="s">
        <v>305</v>
      </c>
      <c r="D183" s="106">
        <v>0</v>
      </c>
    </row>
    <row r="184" ht="14.25">
      <c r="B184" s="107">
        <v>30442</v>
      </c>
      <c r="C184" s="108" t="s">
        <v>306</v>
      </c>
      <c r="D184" s="109">
        <v>0</v>
      </c>
    </row>
    <row r="185" ht="14.25">
      <c r="B185" s="104">
        <v>30443</v>
      </c>
      <c r="C185" s="105" t="s">
        <v>307</v>
      </c>
      <c r="D185" s="106">
        <v>0</v>
      </c>
    </row>
    <row r="186" ht="14.25">
      <c r="B186" s="107">
        <v>30444</v>
      </c>
      <c r="C186" s="108" t="s">
        <v>308</v>
      </c>
      <c r="D186" s="109">
        <v>0</v>
      </c>
    </row>
    <row r="187" ht="14.25">
      <c r="B187" s="104">
        <v>30445</v>
      </c>
      <c r="C187" s="105" t="s">
        <v>309</v>
      </c>
      <c r="D187" s="106">
        <v>0</v>
      </c>
    </row>
    <row r="188" ht="14.25">
      <c r="B188" s="107">
        <v>30446</v>
      </c>
      <c r="C188" s="108" t="s">
        <v>310</v>
      </c>
      <c r="D188" s="109">
        <v>1</v>
      </c>
    </row>
    <row r="189" ht="14.25">
      <c r="B189" s="104">
        <v>30501</v>
      </c>
      <c r="C189" s="105" t="s">
        <v>311</v>
      </c>
      <c r="D189" s="106">
        <v>3</v>
      </c>
    </row>
    <row r="190" ht="14.25">
      <c r="B190" s="107">
        <v>30502</v>
      </c>
      <c r="C190" s="108" t="s">
        <v>312</v>
      </c>
      <c r="D190" s="109">
        <v>396</v>
      </c>
    </row>
    <row r="191" ht="14.25">
      <c r="B191" s="104">
        <v>30503</v>
      </c>
      <c r="C191" s="105" t="s">
        <v>313</v>
      </c>
      <c r="D191" s="106">
        <v>545</v>
      </c>
    </row>
    <row r="192" ht="14.25">
      <c r="B192" s="107">
        <v>30504</v>
      </c>
      <c r="C192" s="108" t="s">
        <v>314</v>
      </c>
      <c r="D192" s="109">
        <v>13</v>
      </c>
    </row>
    <row r="193" ht="16.5">
      <c r="B193" s="104">
        <v>30505</v>
      </c>
      <c r="C193" s="105" t="s">
        <v>315</v>
      </c>
      <c r="D193" s="106">
        <v>28</v>
      </c>
    </row>
    <row r="194" ht="16.5">
      <c r="B194" s="107">
        <v>30601</v>
      </c>
      <c r="C194" s="108" t="s">
        <v>316</v>
      </c>
      <c r="D194" s="109">
        <v>22</v>
      </c>
    </row>
    <row r="195" ht="16.5">
      <c r="B195" s="104">
        <v>30602</v>
      </c>
      <c r="C195" s="105" t="s">
        <v>317</v>
      </c>
      <c r="D195" s="106">
        <v>62</v>
      </c>
    </row>
    <row r="196" ht="16.5">
      <c r="B196" s="107">
        <v>30603</v>
      </c>
      <c r="C196" s="108" t="s">
        <v>318</v>
      </c>
      <c r="D196" s="109">
        <v>1</v>
      </c>
    </row>
    <row r="197" ht="16.5">
      <c r="B197" s="104">
        <v>30604</v>
      </c>
      <c r="C197" s="105" t="s">
        <v>319</v>
      </c>
      <c r="D197" s="106">
        <v>0</v>
      </c>
    </row>
    <row r="198" ht="16.5">
      <c r="B198" s="107">
        <v>30605</v>
      </c>
      <c r="C198" s="108" t="s">
        <v>320</v>
      </c>
      <c r="D198" s="109">
        <v>0</v>
      </c>
    </row>
    <row r="199" ht="16.5">
      <c r="B199" s="104">
        <v>30606</v>
      </c>
      <c r="C199" s="105" t="s">
        <v>321</v>
      </c>
      <c r="D199" s="106">
        <v>82</v>
      </c>
    </row>
    <row r="200" ht="16.5">
      <c r="B200" s="107">
        <v>30607</v>
      </c>
      <c r="C200" s="108" t="s">
        <v>322</v>
      </c>
      <c r="D200" s="109">
        <v>1</v>
      </c>
    </row>
    <row r="201" ht="16.5">
      <c r="B201" s="104">
        <v>30608</v>
      </c>
      <c r="C201" s="105" t="s">
        <v>323</v>
      </c>
      <c r="D201" s="106">
        <v>0</v>
      </c>
    </row>
    <row r="202" ht="16.5">
      <c r="B202" s="107">
        <v>30609</v>
      </c>
      <c r="C202" s="108" t="s">
        <v>324</v>
      </c>
      <c r="D202" s="109">
        <v>22</v>
      </c>
    </row>
    <row r="203" ht="16.5">
      <c r="B203" s="104">
        <v>30610</v>
      </c>
      <c r="C203" s="105" t="s">
        <v>325</v>
      </c>
      <c r="D203" s="106">
        <v>2</v>
      </c>
    </row>
    <row r="204" ht="16.5">
      <c r="B204" s="107">
        <v>30611</v>
      </c>
      <c r="C204" s="108" t="s">
        <v>326</v>
      </c>
      <c r="D204" s="109">
        <v>1</v>
      </c>
    </row>
    <row r="205" ht="16.5">
      <c r="B205" s="104">
        <v>30701</v>
      </c>
      <c r="C205" s="105" t="s">
        <v>327</v>
      </c>
      <c r="D205" s="106">
        <v>2</v>
      </c>
    </row>
    <row r="206" ht="16.5">
      <c r="B206" s="107">
        <v>30702</v>
      </c>
      <c r="C206" s="108" t="s">
        <v>328</v>
      </c>
      <c r="D206" s="109">
        <v>22</v>
      </c>
    </row>
    <row r="207" ht="16.5">
      <c r="B207" s="104">
        <v>30703</v>
      </c>
      <c r="C207" s="105" t="s">
        <v>329</v>
      </c>
      <c r="D207" s="106">
        <v>26</v>
      </c>
    </row>
    <row r="208" ht="16.5">
      <c r="B208" s="107">
        <v>30704</v>
      </c>
      <c r="C208" s="108" t="s">
        <v>330</v>
      </c>
      <c r="D208" s="109">
        <v>2</v>
      </c>
    </row>
    <row r="209" ht="16.5">
      <c r="B209" s="104">
        <v>30705</v>
      </c>
      <c r="C209" s="105" t="s">
        <v>331</v>
      </c>
      <c r="D209" s="106">
        <v>0</v>
      </c>
    </row>
    <row r="210" ht="16.5">
      <c r="B210" s="107">
        <v>30706</v>
      </c>
      <c r="C210" s="108" t="s">
        <v>332</v>
      </c>
      <c r="D210" s="109">
        <v>0</v>
      </c>
    </row>
    <row r="211" ht="16.5">
      <c r="B211" s="104">
        <v>30707</v>
      </c>
      <c r="C211" s="105" t="s">
        <v>333</v>
      </c>
      <c r="D211" s="106">
        <v>2</v>
      </c>
    </row>
    <row r="212" ht="16.5">
      <c r="B212" s="107">
        <v>30708</v>
      </c>
      <c r="C212" s="108" t="s">
        <v>334</v>
      </c>
      <c r="D212" s="109">
        <v>2</v>
      </c>
    </row>
    <row r="213" ht="16.5">
      <c r="B213" s="104">
        <v>30709</v>
      </c>
      <c r="C213" s="105" t="s">
        <v>335</v>
      </c>
      <c r="D213" s="106">
        <v>0</v>
      </c>
    </row>
    <row r="214" ht="16.5">
      <c r="B214" s="107">
        <v>30710</v>
      </c>
      <c r="C214" s="108" t="s">
        <v>336</v>
      </c>
      <c r="D214" s="109">
        <v>0</v>
      </c>
    </row>
    <row r="215" ht="16.5">
      <c r="B215" s="104">
        <v>30711</v>
      </c>
      <c r="C215" s="105" t="s">
        <v>337</v>
      </c>
      <c r="D215" s="106">
        <v>0</v>
      </c>
    </row>
    <row r="216" ht="16.5">
      <c r="B216" s="107">
        <v>30801</v>
      </c>
      <c r="C216" s="108" t="s">
        <v>338</v>
      </c>
      <c r="D216" s="109">
        <v>0</v>
      </c>
    </row>
    <row r="217" ht="16.5">
      <c r="B217" s="104">
        <v>30802</v>
      </c>
      <c r="C217" s="105" t="s">
        <v>339</v>
      </c>
      <c r="D217" s="106">
        <v>6</v>
      </c>
    </row>
    <row r="218" ht="16.5">
      <c r="B218" s="107">
        <v>30803</v>
      </c>
      <c r="C218" s="108" t="s">
        <v>340</v>
      </c>
      <c r="D218" s="109">
        <v>0</v>
      </c>
    </row>
    <row r="219" ht="16.5">
      <c r="B219" s="104">
        <v>30804</v>
      </c>
      <c r="C219" s="105" t="s">
        <v>341</v>
      </c>
      <c r="D219" s="106">
        <v>0</v>
      </c>
    </row>
    <row r="220" ht="16.5">
      <c r="B220" s="107">
        <v>30805</v>
      </c>
      <c r="C220" s="108" t="s">
        <v>342</v>
      </c>
      <c r="D220" s="109">
        <v>0</v>
      </c>
    </row>
    <row r="221" ht="16.5">
      <c r="B221" s="104">
        <v>30806</v>
      </c>
      <c r="C221" s="105" t="s">
        <v>343</v>
      </c>
      <c r="D221" s="106">
        <v>0</v>
      </c>
    </row>
    <row r="222" ht="16.5">
      <c r="B222" s="107">
        <v>30807</v>
      </c>
      <c r="C222" s="108" t="s">
        <v>344</v>
      </c>
      <c r="D222" s="109">
        <v>0</v>
      </c>
    </row>
    <row r="223" ht="16.5">
      <c r="B223" s="104">
        <v>30808</v>
      </c>
      <c r="C223" s="105" t="s">
        <v>345</v>
      </c>
      <c r="D223" s="106">
        <v>0</v>
      </c>
    </row>
    <row r="224" ht="16.5">
      <c r="B224" s="107">
        <v>30809</v>
      </c>
      <c r="C224" s="108" t="s">
        <v>346</v>
      </c>
      <c r="D224" s="109">
        <v>0</v>
      </c>
    </row>
    <row r="225" ht="16.5">
      <c r="B225" s="104">
        <v>30810</v>
      </c>
      <c r="C225" s="105" t="s">
        <v>347</v>
      </c>
      <c r="D225" s="106">
        <v>0</v>
      </c>
    </row>
    <row r="226" ht="16.5">
      <c r="B226" s="107">
        <v>30901</v>
      </c>
      <c r="C226" s="108" t="s">
        <v>348</v>
      </c>
      <c r="D226" s="109">
        <v>0</v>
      </c>
    </row>
    <row r="227" ht="16.5">
      <c r="B227" s="104">
        <v>30902</v>
      </c>
      <c r="C227" s="105" t="s">
        <v>349</v>
      </c>
      <c r="D227" s="106">
        <v>0</v>
      </c>
    </row>
    <row r="228" ht="16.5">
      <c r="B228" s="107">
        <v>30903</v>
      </c>
      <c r="C228" s="108" t="s">
        <v>350</v>
      </c>
      <c r="D228" s="109">
        <v>201</v>
      </c>
    </row>
    <row r="229" ht="16.5">
      <c r="B229" s="104">
        <v>30904</v>
      </c>
      <c r="C229" s="105" t="s">
        <v>351</v>
      </c>
      <c r="D229" s="106">
        <v>664</v>
      </c>
    </row>
    <row r="230" ht="16.5">
      <c r="B230" s="107">
        <v>30905</v>
      </c>
      <c r="C230" s="108" t="s">
        <v>352</v>
      </c>
      <c r="D230" s="109">
        <v>11</v>
      </c>
    </row>
    <row r="231" ht="16.5">
      <c r="B231" s="104">
        <v>30906</v>
      </c>
      <c r="C231" s="105" t="s">
        <v>353</v>
      </c>
      <c r="D231" s="106">
        <v>0</v>
      </c>
    </row>
    <row r="232" ht="16.5">
      <c r="B232" s="107">
        <v>30907</v>
      </c>
      <c r="C232" s="108" t="s">
        <v>354</v>
      </c>
      <c r="D232" s="109">
        <v>1089</v>
      </c>
    </row>
    <row r="233" ht="16.5">
      <c r="B233" s="104">
        <v>30908</v>
      </c>
      <c r="C233" s="105" t="s">
        <v>355</v>
      </c>
      <c r="D233" s="106">
        <v>9</v>
      </c>
    </row>
    <row r="234" ht="16.5">
      <c r="B234" s="107">
        <v>30909</v>
      </c>
      <c r="C234" s="108" t="s">
        <v>356</v>
      </c>
      <c r="D234" s="109">
        <v>4</v>
      </c>
    </row>
    <row r="235" ht="16.5">
      <c r="B235" s="104">
        <v>31001</v>
      </c>
      <c r="C235" s="105" t="s">
        <v>357</v>
      </c>
      <c r="D235" s="106">
        <v>109</v>
      </c>
    </row>
    <row r="236" ht="16.5">
      <c r="B236" s="107">
        <v>31002</v>
      </c>
      <c r="C236" s="108" t="s">
        <v>358</v>
      </c>
      <c r="D236" s="109">
        <v>18</v>
      </c>
    </row>
    <row r="237" ht="16.5">
      <c r="B237" s="104">
        <v>31003</v>
      </c>
      <c r="C237" s="105" t="s">
        <v>359</v>
      </c>
      <c r="D237" s="106">
        <v>12</v>
      </c>
    </row>
    <row r="238" ht="16.5">
      <c r="B238" s="107">
        <v>31004</v>
      </c>
      <c r="C238" s="108" t="s">
        <v>360</v>
      </c>
      <c r="D238" s="109">
        <v>0</v>
      </c>
    </row>
    <row r="239" ht="16.5">
      <c r="B239" s="104">
        <v>31005</v>
      </c>
      <c r="C239" s="105" t="s">
        <v>361</v>
      </c>
      <c r="D239" s="106">
        <v>0</v>
      </c>
    </row>
    <row r="240" ht="16.5">
      <c r="B240" s="107">
        <v>31006</v>
      </c>
      <c r="C240" s="108" t="s">
        <v>362</v>
      </c>
      <c r="D240" s="109">
        <v>0</v>
      </c>
    </row>
    <row r="241" ht="16.5">
      <c r="B241" s="104">
        <v>31007</v>
      </c>
      <c r="C241" s="105" t="s">
        <v>363</v>
      </c>
      <c r="D241" s="106">
        <v>0</v>
      </c>
    </row>
    <row r="242" ht="16.5">
      <c r="B242" s="107">
        <v>31008</v>
      </c>
      <c r="C242" s="108" t="s">
        <v>364</v>
      </c>
      <c r="D242" s="109">
        <v>9</v>
      </c>
    </row>
    <row r="243" ht="16.5">
      <c r="B243" s="104">
        <v>31009</v>
      </c>
      <c r="C243" s="105" t="s">
        <v>365</v>
      </c>
      <c r="D243" s="106">
        <v>0</v>
      </c>
    </row>
    <row r="244" ht="16.5">
      <c r="B244" s="107">
        <v>31010</v>
      </c>
      <c r="C244" s="108" t="s">
        <v>366</v>
      </c>
      <c r="D244" s="109">
        <v>16</v>
      </c>
    </row>
    <row r="245" ht="16.5">
      <c r="B245" s="104">
        <v>31011</v>
      </c>
      <c r="C245" s="105" t="s">
        <v>367</v>
      </c>
      <c r="D245" s="106">
        <v>0</v>
      </c>
    </row>
    <row r="246" ht="16.5">
      <c r="B246" s="107">
        <v>31012</v>
      </c>
      <c r="C246" s="108" t="s">
        <v>368</v>
      </c>
      <c r="D246" s="109">
        <v>1</v>
      </c>
    </row>
    <row r="247" ht="16.5">
      <c r="B247" s="104">
        <v>31013</v>
      </c>
      <c r="C247" s="105" t="s">
        <v>369</v>
      </c>
      <c r="D247" s="106">
        <v>0</v>
      </c>
    </row>
    <row r="248" ht="16.5">
      <c r="B248" s="107">
        <v>31014</v>
      </c>
      <c r="C248" s="108" t="s">
        <v>370</v>
      </c>
      <c r="D248" s="109">
        <v>2</v>
      </c>
    </row>
    <row r="249" ht="16.5">
      <c r="B249" s="104">
        <v>31015</v>
      </c>
      <c r="C249" s="105" t="s">
        <v>371</v>
      </c>
      <c r="D249" s="106">
        <v>0</v>
      </c>
    </row>
    <row r="250" ht="16.5">
      <c r="B250" s="107">
        <v>31101</v>
      </c>
      <c r="C250" s="108" t="s">
        <v>372</v>
      </c>
      <c r="D250" s="109">
        <v>388</v>
      </c>
    </row>
    <row r="251" ht="16.5">
      <c r="B251" s="104">
        <v>31102</v>
      </c>
      <c r="C251" s="105" t="s">
        <v>373</v>
      </c>
      <c r="D251" s="106">
        <v>78</v>
      </c>
    </row>
    <row r="252" ht="16.5">
      <c r="B252" s="107">
        <v>31103</v>
      </c>
      <c r="C252" s="108" t="s">
        <v>374</v>
      </c>
      <c r="D252" s="109">
        <v>177</v>
      </c>
    </row>
    <row r="253" ht="16.5">
      <c r="B253" s="104">
        <v>31104</v>
      </c>
      <c r="C253" s="105" t="s">
        <v>375</v>
      </c>
      <c r="D253" s="106">
        <v>179</v>
      </c>
    </row>
    <row r="254" ht="16.5">
      <c r="B254" s="107">
        <v>31105</v>
      </c>
      <c r="C254" s="108" t="s">
        <v>376</v>
      </c>
      <c r="D254" s="109">
        <v>87</v>
      </c>
    </row>
    <row r="255" ht="16.5">
      <c r="B255" s="104">
        <v>31106</v>
      </c>
      <c r="C255" s="105" t="s">
        <v>377</v>
      </c>
      <c r="D255" s="106">
        <v>0</v>
      </c>
    </row>
    <row r="256" ht="16.5">
      <c r="B256" s="107">
        <v>31107</v>
      </c>
      <c r="C256" s="108" t="s">
        <v>378</v>
      </c>
      <c r="D256" s="109">
        <v>0</v>
      </c>
    </row>
    <row r="257" ht="14.25">
      <c r="B257" s="104">
        <v>31108</v>
      </c>
      <c r="C257" s="105" t="s">
        <v>379</v>
      </c>
      <c r="D257" s="106">
        <v>7</v>
      </c>
    </row>
    <row r="258" ht="14.25">
      <c r="B258" s="107">
        <v>31109</v>
      </c>
      <c r="C258" s="108" t="s">
        <v>380</v>
      </c>
      <c r="D258" s="109">
        <v>0</v>
      </c>
    </row>
    <row r="259" ht="14.25">
      <c r="B259" s="104">
        <v>31110</v>
      </c>
      <c r="C259" s="105" t="s">
        <v>381</v>
      </c>
      <c r="D259" s="106">
        <v>0</v>
      </c>
    </row>
    <row r="260" ht="14.25">
      <c r="B260" s="107">
        <v>31111</v>
      </c>
      <c r="C260" s="108" t="s">
        <v>382</v>
      </c>
      <c r="D260" s="109">
        <v>1</v>
      </c>
    </row>
    <row r="261" ht="14.25">
      <c r="B261" s="104">
        <v>31112</v>
      </c>
      <c r="C261" s="105" t="s">
        <v>383</v>
      </c>
      <c r="D261" s="106">
        <v>235</v>
      </c>
    </row>
    <row r="262" ht="14.25">
      <c r="B262" s="107">
        <v>31113</v>
      </c>
      <c r="C262" s="108" t="s">
        <v>384</v>
      </c>
      <c r="D262" s="109">
        <v>7</v>
      </c>
    </row>
    <row r="263" ht="14.25">
      <c r="B263" s="104">
        <v>31114</v>
      </c>
      <c r="C263" s="105" t="s">
        <v>385</v>
      </c>
      <c r="D263" s="106">
        <v>42</v>
      </c>
    </row>
    <row r="264" ht="14.25">
      <c r="B264" s="110">
        <v>40101</v>
      </c>
      <c r="C264" s="111" t="s">
        <v>386</v>
      </c>
      <c r="D264" s="112">
        <v>3</v>
      </c>
    </row>
    <row r="265" ht="14.25">
      <c r="B265" s="107">
        <v>40102</v>
      </c>
      <c r="C265" s="108" t="s">
        <v>387</v>
      </c>
      <c r="D265" s="109">
        <v>17</v>
      </c>
    </row>
    <row r="266" ht="14.25">
      <c r="B266" s="110">
        <v>40103</v>
      </c>
      <c r="C266" s="111" t="s">
        <v>388</v>
      </c>
      <c r="D266" s="112">
        <v>3</v>
      </c>
    </row>
    <row r="267" ht="14.25">
      <c r="B267" s="107">
        <v>40104</v>
      </c>
      <c r="C267" s="108" t="s">
        <v>389</v>
      </c>
      <c r="D267" s="109">
        <v>56</v>
      </c>
    </row>
    <row r="268" ht="14.25">
      <c r="B268" s="110">
        <v>40105</v>
      </c>
      <c r="C268" s="111" t="s">
        <v>390</v>
      </c>
      <c r="D268" s="112">
        <v>13</v>
      </c>
    </row>
    <row r="269" ht="14.25">
      <c r="B269" s="107">
        <v>40106</v>
      </c>
      <c r="C269" s="108" t="s">
        <v>391</v>
      </c>
      <c r="D269" s="109">
        <v>40</v>
      </c>
    </row>
    <row r="270" ht="14.25">
      <c r="B270" s="110">
        <v>40107</v>
      </c>
      <c r="C270" s="111" t="s">
        <v>392</v>
      </c>
      <c r="D270" s="112">
        <v>61</v>
      </c>
    </row>
    <row r="271" ht="14.25">
      <c r="B271" s="107">
        <v>40108</v>
      </c>
      <c r="C271" s="108" t="s">
        <v>393</v>
      </c>
      <c r="D271" s="109">
        <v>1</v>
      </c>
    </row>
    <row r="272" ht="14.25">
      <c r="B272" s="110">
        <v>40109</v>
      </c>
      <c r="C272" s="111" t="s">
        <v>394</v>
      </c>
      <c r="D272" s="112">
        <v>0</v>
      </c>
    </row>
    <row r="273" ht="14.25">
      <c r="B273" s="107">
        <v>40110</v>
      </c>
      <c r="C273" s="108" t="s">
        <v>395</v>
      </c>
      <c r="D273" s="109">
        <v>9</v>
      </c>
    </row>
    <row r="274" ht="14.25">
      <c r="B274" s="113">
        <v>50101</v>
      </c>
      <c r="C274" s="114" t="s">
        <v>396</v>
      </c>
      <c r="D274" s="115">
        <v>70</v>
      </c>
    </row>
    <row r="275" ht="14.25">
      <c r="B275" s="107">
        <v>50102</v>
      </c>
      <c r="C275" s="108" t="s">
        <v>397</v>
      </c>
      <c r="D275" s="109">
        <v>50</v>
      </c>
    </row>
    <row r="276" ht="14.25">
      <c r="B276" s="113">
        <v>50103</v>
      </c>
      <c r="C276" s="114" t="s">
        <v>398</v>
      </c>
      <c r="D276" s="115">
        <v>2</v>
      </c>
    </row>
    <row r="277" ht="14.25">
      <c r="B277" s="107">
        <v>50104</v>
      </c>
      <c r="C277" s="108" t="s">
        <v>399</v>
      </c>
      <c r="D277" s="109">
        <v>0</v>
      </c>
    </row>
    <row r="278" ht="14.25">
      <c r="B278" s="113">
        <v>50105</v>
      </c>
      <c r="C278" s="114" t="s">
        <v>400</v>
      </c>
      <c r="D278" s="115">
        <v>337</v>
      </c>
    </row>
    <row r="279" ht="14.25">
      <c r="B279" s="107">
        <v>50106</v>
      </c>
      <c r="C279" s="108" t="s">
        <v>401</v>
      </c>
      <c r="D279" s="109">
        <v>0</v>
      </c>
    </row>
    <row r="280" ht="14.25">
      <c r="B280" s="113">
        <v>50107</v>
      </c>
      <c r="C280" s="114" t="s">
        <v>402</v>
      </c>
      <c r="D280" s="115">
        <v>14</v>
      </c>
    </row>
    <row r="281" ht="14.25">
      <c r="B281" s="107">
        <v>50108</v>
      </c>
      <c r="C281" s="108" t="s">
        <v>403</v>
      </c>
      <c r="D281" s="109">
        <v>0</v>
      </c>
    </row>
    <row r="282" ht="14.25">
      <c r="B282" s="113">
        <v>50201</v>
      </c>
      <c r="C282" s="114" t="s">
        <v>404</v>
      </c>
      <c r="D282" s="115">
        <v>3</v>
      </c>
    </row>
    <row r="283" ht="14.25">
      <c r="B283" s="107">
        <v>50202</v>
      </c>
      <c r="C283" s="108" t="s">
        <v>405</v>
      </c>
      <c r="D283" s="109">
        <v>0</v>
      </c>
    </row>
    <row r="284" ht="14.25">
      <c r="B284" s="113">
        <v>50203</v>
      </c>
      <c r="C284" s="114" t="s">
        <v>406</v>
      </c>
      <c r="D284" s="115">
        <v>28</v>
      </c>
    </row>
    <row r="285" ht="14.25">
      <c r="B285" s="107">
        <v>50301</v>
      </c>
      <c r="C285" s="108" t="s">
        <v>407</v>
      </c>
      <c r="D285" s="109">
        <v>657</v>
      </c>
    </row>
    <row r="286" ht="14.25">
      <c r="B286" s="113">
        <v>50302</v>
      </c>
      <c r="C286" s="114" t="s">
        <v>408</v>
      </c>
      <c r="D286" s="115">
        <v>3</v>
      </c>
    </row>
    <row r="287" ht="14.25">
      <c r="B287" s="107">
        <v>50303</v>
      </c>
      <c r="C287" s="108" t="s">
        <v>409</v>
      </c>
      <c r="D287" s="109">
        <v>48</v>
      </c>
    </row>
    <row r="288" ht="14.25">
      <c r="B288" s="113">
        <v>50304</v>
      </c>
      <c r="C288" s="114" t="s">
        <v>410</v>
      </c>
      <c r="D288" s="115">
        <v>45</v>
      </c>
    </row>
    <row r="289" ht="14.25">
      <c r="B289" s="107">
        <v>50305</v>
      </c>
      <c r="C289" s="108" t="s">
        <v>411</v>
      </c>
      <c r="D289" s="109">
        <v>44</v>
      </c>
    </row>
    <row r="290" ht="14.25">
      <c r="B290" s="113">
        <v>50306</v>
      </c>
      <c r="C290" s="114" t="s">
        <v>412</v>
      </c>
      <c r="D290" s="115">
        <v>102</v>
      </c>
    </row>
    <row r="291" ht="14.25">
      <c r="B291" s="116">
        <v>60101</v>
      </c>
      <c r="C291" s="117" t="s">
        <v>413</v>
      </c>
      <c r="D291" s="118">
        <v>1</v>
      </c>
    </row>
    <row r="292" ht="14.25">
      <c r="B292" s="107">
        <v>60102</v>
      </c>
      <c r="C292" s="108" t="s">
        <v>414</v>
      </c>
      <c r="D292" s="109">
        <v>13</v>
      </c>
    </row>
    <row r="293" ht="14.25">
      <c r="B293" s="116">
        <v>60103</v>
      </c>
      <c r="C293" s="117" t="s">
        <v>415</v>
      </c>
      <c r="D293" s="118">
        <v>1709</v>
      </c>
    </row>
    <row r="294" ht="14.25">
      <c r="B294" s="119">
        <v>70101</v>
      </c>
      <c r="C294" s="120" t="s">
        <v>416</v>
      </c>
      <c r="D294" s="121">
        <v>2756</v>
      </c>
    </row>
    <row r="295" ht="14.25">
      <c r="B295" s="107">
        <v>70102</v>
      </c>
      <c r="C295" s="108" t="s">
        <v>417</v>
      </c>
      <c r="D295" s="109">
        <v>1</v>
      </c>
    </row>
    <row r="296" ht="14.25">
      <c r="B296" s="119">
        <v>70103</v>
      </c>
      <c r="C296" s="120" t="s">
        <v>418</v>
      </c>
      <c r="D296" s="121">
        <v>161</v>
      </c>
    </row>
    <row r="297" ht="14.25">
      <c r="B297" s="107">
        <v>70104</v>
      </c>
      <c r="C297" s="108" t="s">
        <v>419</v>
      </c>
      <c r="D297" s="109">
        <v>22212</v>
      </c>
    </row>
    <row r="298" ht="14.25">
      <c r="B298" s="119">
        <v>70105</v>
      </c>
      <c r="C298" s="120" t="s">
        <v>420</v>
      </c>
      <c r="D298" s="121">
        <v>284</v>
      </c>
    </row>
    <row r="299" ht="14.25">
      <c r="B299" s="107">
        <v>70106</v>
      </c>
      <c r="C299" s="108" t="s">
        <v>421</v>
      </c>
      <c r="D299" s="109">
        <v>198</v>
      </c>
    </row>
    <row r="300" ht="14.25">
      <c r="B300" s="119">
        <v>70107</v>
      </c>
      <c r="C300" s="120" t="s">
        <v>422</v>
      </c>
      <c r="D300" s="121">
        <v>1525</v>
      </c>
    </row>
    <row r="301" ht="14.25">
      <c r="B301" s="122">
        <v>70108</v>
      </c>
      <c r="C301" s="123" t="s">
        <v>423</v>
      </c>
      <c r="D301" s="124">
        <v>3994</v>
      </c>
    </row>
    <row r="302" ht="19.899999999999999" customHeight="1">
      <c r="B302" s="125" t="s">
        <v>424</v>
      </c>
      <c r="C302" s="126"/>
      <c r="D302" s="127">
        <f>SUM(D20:D301)</f>
        <v>45760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245 D247:D298 D300:D301"/>
    <protectedRange name="Rango1_1" sqref="D246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0" manualBreakCount="0"/>
  <colBreaks count="1" manualBreakCount="1">
    <brk id="3" man="1" max="1048575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6">
    <outlinePr applyStyles="0" summaryBelow="1" summaryRight="1" showOutlineSymbols="1"/>
    <pageSetUpPr autoPageBreaks="1" fitToPage="1"/>
  </sheetPr>
  <sheetViews>
    <sheetView showGridLines="0" view="pageBreakPreview" topLeftCell="A262" zoomScale="150" workbookViewId="0">
      <selection activeCell="D297" activeCellId="0" sqref="D297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66.2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Mayo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425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31">
        <v>0</v>
      </c>
    </row>
    <row r="21" ht="14.25">
      <c r="B21" s="94">
        <v>10102</v>
      </c>
      <c r="C21" s="95" t="s">
        <v>143</v>
      </c>
      <c r="D21" s="132">
        <v>0</v>
      </c>
    </row>
    <row r="22" ht="14.25">
      <c r="B22" s="91">
        <v>10103</v>
      </c>
      <c r="C22" s="92" t="s">
        <v>144</v>
      </c>
      <c r="D22" s="133">
        <v>84</v>
      </c>
    </row>
    <row r="23" ht="14.25">
      <c r="B23" s="94">
        <v>10104</v>
      </c>
      <c r="C23" s="95" t="s">
        <v>145</v>
      </c>
      <c r="D23" s="134">
        <v>45</v>
      </c>
    </row>
    <row r="24" ht="14.25">
      <c r="B24" s="91">
        <v>10105</v>
      </c>
      <c r="C24" s="92" t="s">
        <v>146</v>
      </c>
      <c r="D24" s="131">
        <v>0</v>
      </c>
    </row>
    <row r="25" ht="14.25">
      <c r="B25" s="94">
        <v>10106</v>
      </c>
      <c r="C25" s="95" t="s">
        <v>147</v>
      </c>
      <c r="D25" s="132">
        <v>0</v>
      </c>
    </row>
    <row r="26" ht="14.25">
      <c r="B26" s="91">
        <v>10107</v>
      </c>
      <c r="C26" s="92" t="s">
        <v>148</v>
      </c>
      <c r="D26" s="133">
        <v>11</v>
      </c>
    </row>
    <row r="27" ht="14.25">
      <c r="B27" s="94">
        <v>10108</v>
      </c>
      <c r="C27" s="95" t="s">
        <v>149</v>
      </c>
      <c r="D27" s="134">
        <v>0</v>
      </c>
    </row>
    <row r="28" ht="14.25">
      <c r="B28" s="91">
        <v>10109</v>
      </c>
      <c r="C28" s="92" t="s">
        <v>150</v>
      </c>
      <c r="D28" s="131">
        <v>2</v>
      </c>
    </row>
    <row r="29" ht="14.25">
      <c r="B29" s="94">
        <v>10110</v>
      </c>
      <c r="C29" s="95" t="s">
        <v>151</v>
      </c>
      <c r="D29" s="132">
        <v>0</v>
      </c>
    </row>
    <row r="30" ht="14.25">
      <c r="B30" s="91">
        <v>10111</v>
      </c>
      <c r="C30" s="92" t="s">
        <v>152</v>
      </c>
      <c r="D30" s="131">
        <v>1</v>
      </c>
    </row>
    <row r="31" ht="14.25">
      <c r="B31" s="94">
        <v>10112</v>
      </c>
      <c r="C31" s="95" t="s">
        <v>153</v>
      </c>
      <c r="D31" s="132">
        <v>0</v>
      </c>
    </row>
    <row r="32" ht="14.25">
      <c r="B32" s="91">
        <v>10113</v>
      </c>
      <c r="C32" s="92" t="s">
        <v>154</v>
      </c>
      <c r="D32" s="131">
        <v>0</v>
      </c>
    </row>
    <row r="33" ht="14.25">
      <c r="B33" s="94">
        <v>10114</v>
      </c>
      <c r="C33" s="95" t="s">
        <v>155</v>
      </c>
      <c r="D33" s="132">
        <v>0</v>
      </c>
    </row>
    <row r="34" ht="14.25">
      <c r="B34" s="91">
        <v>10115</v>
      </c>
      <c r="C34" s="92" t="s">
        <v>156</v>
      </c>
      <c r="D34" s="131">
        <v>0</v>
      </c>
    </row>
    <row r="35" ht="14.25">
      <c r="B35" s="94">
        <v>10116</v>
      </c>
      <c r="C35" s="95" t="s">
        <v>157</v>
      </c>
      <c r="D35" s="134">
        <v>11</v>
      </c>
    </row>
    <row r="36" ht="14.25">
      <c r="B36" s="91">
        <v>10117</v>
      </c>
      <c r="C36" s="92" t="s">
        <v>158</v>
      </c>
      <c r="D36" s="131">
        <v>0</v>
      </c>
    </row>
    <row r="37" ht="14.25">
      <c r="B37" s="94">
        <v>10118</v>
      </c>
      <c r="C37" s="95" t="s">
        <v>159</v>
      </c>
      <c r="D37" s="132">
        <v>0</v>
      </c>
    </row>
    <row r="38" ht="14.25">
      <c r="B38" s="91">
        <v>10119</v>
      </c>
      <c r="C38" s="92" t="s">
        <v>160</v>
      </c>
      <c r="D38" s="131">
        <v>0</v>
      </c>
    </row>
    <row r="39" ht="14.25">
      <c r="B39" s="94">
        <v>10120</v>
      </c>
      <c r="C39" s="95" t="s">
        <v>161</v>
      </c>
      <c r="D39" s="132">
        <v>0</v>
      </c>
    </row>
    <row r="40" ht="14.25">
      <c r="B40" s="91">
        <v>10121</v>
      </c>
      <c r="C40" s="92" t="s">
        <v>162</v>
      </c>
      <c r="D40" s="131">
        <v>0</v>
      </c>
    </row>
    <row r="41" ht="14.25">
      <c r="B41" s="94">
        <v>10201</v>
      </c>
      <c r="C41" s="95" t="s">
        <v>163</v>
      </c>
      <c r="D41" s="134">
        <v>1</v>
      </c>
    </row>
    <row r="42" ht="14.25">
      <c r="B42" s="91">
        <v>10202</v>
      </c>
      <c r="C42" s="92" t="s">
        <v>164</v>
      </c>
      <c r="D42" s="131">
        <v>0</v>
      </c>
    </row>
    <row r="43" ht="14.25">
      <c r="B43" s="94">
        <v>10203</v>
      </c>
      <c r="C43" s="95" t="s">
        <v>165</v>
      </c>
      <c r="D43" s="132">
        <v>0</v>
      </c>
    </row>
    <row r="44" ht="14.25">
      <c r="B44" s="91">
        <v>10204</v>
      </c>
      <c r="C44" s="92" t="s">
        <v>166</v>
      </c>
      <c r="D44" s="133">
        <v>32</v>
      </c>
    </row>
    <row r="45" ht="14.25">
      <c r="B45" s="94">
        <v>10205</v>
      </c>
      <c r="C45" s="95" t="s">
        <v>167</v>
      </c>
      <c r="D45" s="134">
        <v>1</v>
      </c>
    </row>
    <row r="46" ht="14.25">
      <c r="B46" s="91">
        <v>10206</v>
      </c>
      <c r="C46" s="92" t="s">
        <v>168</v>
      </c>
      <c r="D46" s="133">
        <v>3</v>
      </c>
    </row>
    <row r="47" ht="14.25">
      <c r="B47" s="94">
        <v>10207</v>
      </c>
      <c r="C47" s="95" t="s">
        <v>169</v>
      </c>
      <c r="D47" s="134">
        <v>0</v>
      </c>
    </row>
    <row r="48" ht="14.25">
      <c r="B48" s="91">
        <v>10208</v>
      </c>
      <c r="C48" s="92" t="s">
        <v>170</v>
      </c>
      <c r="D48" s="133">
        <v>4</v>
      </c>
    </row>
    <row r="49" ht="14.25">
      <c r="B49" s="94">
        <v>10209</v>
      </c>
      <c r="C49" s="95" t="s">
        <v>171</v>
      </c>
      <c r="D49" s="134">
        <v>11</v>
      </c>
    </row>
    <row r="50" ht="14.25">
      <c r="B50" s="91">
        <v>10210</v>
      </c>
      <c r="C50" s="92" t="s">
        <v>172</v>
      </c>
      <c r="D50" s="133">
        <v>2</v>
      </c>
    </row>
    <row r="51" ht="14.25">
      <c r="B51" s="94">
        <v>10211</v>
      </c>
      <c r="C51" s="95" t="s">
        <v>173</v>
      </c>
      <c r="D51" s="132">
        <v>1</v>
      </c>
    </row>
    <row r="52" ht="14.25">
      <c r="B52" s="91">
        <v>10212</v>
      </c>
      <c r="C52" s="92" t="s">
        <v>174</v>
      </c>
      <c r="D52" s="131">
        <v>1</v>
      </c>
    </row>
    <row r="53" ht="14.25">
      <c r="B53" s="94">
        <v>10213</v>
      </c>
      <c r="C53" s="95" t="s">
        <v>175</v>
      </c>
      <c r="D53" s="132">
        <v>0</v>
      </c>
    </row>
    <row r="54" ht="14.25">
      <c r="B54" s="91">
        <v>10214</v>
      </c>
      <c r="C54" s="92" t="s">
        <v>176</v>
      </c>
      <c r="D54" s="131">
        <v>0</v>
      </c>
    </row>
    <row r="55" ht="14.25">
      <c r="B55" s="94">
        <v>10215</v>
      </c>
      <c r="C55" s="95" t="s">
        <v>177</v>
      </c>
      <c r="D55" s="132">
        <v>0</v>
      </c>
    </row>
    <row r="56" ht="16.5" customHeight="1">
      <c r="B56" s="91">
        <v>10216</v>
      </c>
      <c r="C56" s="92" t="s">
        <v>178</v>
      </c>
      <c r="D56" s="131">
        <v>0</v>
      </c>
    </row>
    <row r="57" ht="14.25">
      <c r="B57" s="94">
        <v>10217</v>
      </c>
      <c r="C57" s="95" t="s">
        <v>179</v>
      </c>
      <c r="D57" s="132">
        <v>0</v>
      </c>
    </row>
    <row r="58" ht="14.25">
      <c r="B58" s="91">
        <v>10218</v>
      </c>
      <c r="C58" s="92" t="s">
        <v>180</v>
      </c>
      <c r="D58" s="131">
        <v>0</v>
      </c>
    </row>
    <row r="59" ht="14.25">
      <c r="B59" s="94">
        <v>10219</v>
      </c>
      <c r="C59" s="95" t="s">
        <v>181</v>
      </c>
      <c r="D59" s="132">
        <v>1</v>
      </c>
    </row>
    <row r="60" ht="14.25">
      <c r="B60" s="91">
        <v>10220</v>
      </c>
      <c r="C60" s="92" t="s">
        <v>182</v>
      </c>
      <c r="D60" s="131">
        <v>2</v>
      </c>
    </row>
    <row r="61" ht="14.25">
      <c r="B61" s="94">
        <v>10301</v>
      </c>
      <c r="C61" s="95" t="s">
        <v>183</v>
      </c>
      <c r="D61" s="132">
        <v>1</v>
      </c>
    </row>
    <row r="62" ht="14.25">
      <c r="B62" s="91">
        <v>10302</v>
      </c>
      <c r="C62" s="92" t="s">
        <v>184</v>
      </c>
      <c r="D62" s="131">
        <v>0</v>
      </c>
    </row>
    <row r="63" ht="14.25">
      <c r="B63" s="94">
        <v>10303</v>
      </c>
      <c r="C63" s="95" t="s">
        <v>185</v>
      </c>
      <c r="D63" s="132">
        <v>1</v>
      </c>
    </row>
    <row r="64" ht="14.25">
      <c r="B64" s="91">
        <v>10304</v>
      </c>
      <c r="C64" s="92" t="s">
        <v>186</v>
      </c>
      <c r="D64" s="131">
        <v>0</v>
      </c>
    </row>
    <row r="65" ht="16.5">
      <c r="B65" s="94">
        <v>10305</v>
      </c>
      <c r="C65" s="95" t="s">
        <v>187</v>
      </c>
      <c r="D65" s="134">
        <v>15</v>
      </c>
    </row>
    <row r="66" ht="16.5">
      <c r="B66" s="91">
        <v>10306</v>
      </c>
      <c r="C66" s="92" t="s">
        <v>188</v>
      </c>
      <c r="D66" s="131">
        <v>0</v>
      </c>
    </row>
    <row r="67" ht="16.5">
      <c r="B67" s="94">
        <v>10307</v>
      </c>
      <c r="C67" s="95" t="s">
        <v>189</v>
      </c>
      <c r="D67" s="134">
        <v>19</v>
      </c>
    </row>
    <row r="68" ht="16.5">
      <c r="B68" s="91">
        <v>10308</v>
      </c>
      <c r="C68" s="92" t="s">
        <v>190</v>
      </c>
      <c r="D68" s="133">
        <v>36</v>
      </c>
    </row>
    <row r="69" ht="16.5">
      <c r="B69" s="94">
        <v>10309</v>
      </c>
      <c r="C69" s="95" t="s">
        <v>191</v>
      </c>
      <c r="D69" s="134">
        <v>2</v>
      </c>
    </row>
    <row r="70" ht="16.5">
      <c r="B70" s="91">
        <v>10310</v>
      </c>
      <c r="C70" s="92" t="s">
        <v>192</v>
      </c>
      <c r="D70" s="131">
        <v>0</v>
      </c>
    </row>
    <row r="71" ht="16.5">
      <c r="B71" s="94">
        <v>10311</v>
      </c>
      <c r="C71" s="95" t="s">
        <v>193</v>
      </c>
      <c r="D71" s="134">
        <v>1</v>
      </c>
    </row>
    <row r="72" ht="16.5">
      <c r="B72" s="91">
        <v>10312</v>
      </c>
      <c r="C72" s="92" t="s">
        <v>194</v>
      </c>
      <c r="D72" s="133">
        <v>5</v>
      </c>
    </row>
    <row r="73" ht="16.5">
      <c r="B73" s="94">
        <v>10313</v>
      </c>
      <c r="C73" s="95" t="s">
        <v>195</v>
      </c>
      <c r="D73" s="132">
        <v>1</v>
      </c>
    </row>
    <row r="74" ht="16.5">
      <c r="B74" s="91">
        <v>10314</v>
      </c>
      <c r="C74" s="92" t="s">
        <v>196</v>
      </c>
      <c r="D74" s="133">
        <v>1</v>
      </c>
    </row>
    <row r="75" ht="16.5">
      <c r="B75" s="94">
        <v>10315</v>
      </c>
      <c r="C75" s="95" t="s">
        <v>197</v>
      </c>
      <c r="D75" s="132">
        <v>2</v>
      </c>
    </row>
    <row r="76" ht="16.5">
      <c r="B76" s="91">
        <v>10316</v>
      </c>
      <c r="C76" s="92" t="s">
        <v>198</v>
      </c>
      <c r="D76" s="133">
        <v>52</v>
      </c>
    </row>
    <row r="77" ht="16.5">
      <c r="B77" s="94">
        <v>10317</v>
      </c>
      <c r="C77" s="95" t="s">
        <v>199</v>
      </c>
      <c r="D77" s="132">
        <v>0</v>
      </c>
    </row>
    <row r="78" ht="16.5">
      <c r="B78" s="91">
        <v>10318</v>
      </c>
      <c r="C78" s="92" t="s">
        <v>200</v>
      </c>
      <c r="D78" s="133">
        <v>6</v>
      </c>
    </row>
    <row r="79" ht="16.5">
      <c r="B79" s="94">
        <v>10319</v>
      </c>
      <c r="C79" s="95" t="s">
        <v>201</v>
      </c>
      <c r="D79" s="132">
        <v>0</v>
      </c>
    </row>
    <row r="80" ht="16.5">
      <c r="B80" s="97">
        <v>20101</v>
      </c>
      <c r="C80" s="98" t="s">
        <v>202</v>
      </c>
      <c r="D80" s="135">
        <v>0</v>
      </c>
    </row>
    <row r="81" ht="16.5">
      <c r="B81" s="100">
        <v>20102</v>
      </c>
      <c r="C81" s="101" t="s">
        <v>203</v>
      </c>
      <c r="D81" s="136">
        <v>0</v>
      </c>
    </row>
    <row r="82" ht="16.5">
      <c r="B82" s="97">
        <v>20103</v>
      </c>
      <c r="C82" s="98" t="s">
        <v>204</v>
      </c>
      <c r="D82" s="137">
        <v>11</v>
      </c>
    </row>
    <row r="83" ht="16.5">
      <c r="B83" s="100">
        <v>20104</v>
      </c>
      <c r="C83" s="101" t="s">
        <v>205</v>
      </c>
      <c r="D83" s="138">
        <v>5</v>
      </c>
    </row>
    <row r="84" ht="16.5">
      <c r="B84" s="97">
        <v>20105</v>
      </c>
      <c r="C84" s="98" t="s">
        <v>206</v>
      </c>
      <c r="D84" s="135">
        <v>1</v>
      </c>
    </row>
    <row r="85" ht="16.5">
      <c r="B85" s="100">
        <v>20106</v>
      </c>
      <c r="C85" s="101" t="s">
        <v>207</v>
      </c>
      <c r="D85" s="136">
        <v>0</v>
      </c>
    </row>
    <row r="86" ht="16.5">
      <c r="B86" s="97">
        <v>20107</v>
      </c>
      <c r="C86" s="98" t="s">
        <v>208</v>
      </c>
      <c r="D86" s="137">
        <v>0</v>
      </c>
    </row>
    <row r="87" ht="16.5">
      <c r="B87" s="100">
        <v>20108</v>
      </c>
      <c r="C87" s="101" t="s">
        <v>209</v>
      </c>
      <c r="D87" s="138">
        <v>7</v>
      </c>
    </row>
    <row r="88" ht="16.5">
      <c r="B88" s="97">
        <v>20109</v>
      </c>
      <c r="C88" s="98" t="s">
        <v>210</v>
      </c>
      <c r="D88" s="137">
        <v>0</v>
      </c>
    </row>
    <row r="89" ht="16.5">
      <c r="B89" s="100">
        <v>20110</v>
      </c>
      <c r="C89" s="101" t="s">
        <v>211</v>
      </c>
      <c r="D89" s="138">
        <v>0</v>
      </c>
    </row>
    <row r="90" ht="16.5">
      <c r="B90" s="97">
        <v>20111</v>
      </c>
      <c r="C90" s="98" t="s">
        <v>212</v>
      </c>
      <c r="D90" s="135">
        <v>3</v>
      </c>
    </row>
    <row r="91" ht="16.5">
      <c r="B91" s="100">
        <v>20112</v>
      </c>
      <c r="C91" s="101" t="s">
        <v>213</v>
      </c>
      <c r="D91" s="136">
        <v>0</v>
      </c>
    </row>
    <row r="92" ht="16.5">
      <c r="B92" s="97">
        <v>20113</v>
      </c>
      <c r="C92" s="98" t="s">
        <v>214</v>
      </c>
      <c r="D92" s="137">
        <v>0</v>
      </c>
    </row>
    <row r="93" ht="16.5">
      <c r="B93" s="100">
        <v>20114</v>
      </c>
      <c r="C93" s="101" t="s">
        <v>215</v>
      </c>
      <c r="D93" s="136">
        <v>0</v>
      </c>
    </row>
    <row r="94" ht="16.5">
      <c r="B94" s="97">
        <v>20201</v>
      </c>
      <c r="C94" s="98" t="s">
        <v>216</v>
      </c>
      <c r="D94" s="137">
        <v>42</v>
      </c>
    </row>
    <row r="95" ht="16.5">
      <c r="B95" s="100">
        <v>20202</v>
      </c>
      <c r="C95" s="101" t="s">
        <v>217</v>
      </c>
      <c r="D95" s="136">
        <v>0</v>
      </c>
    </row>
    <row r="96" ht="16.5">
      <c r="B96" s="97">
        <v>20203</v>
      </c>
      <c r="C96" s="98" t="s">
        <v>218</v>
      </c>
      <c r="D96" s="137">
        <v>28</v>
      </c>
    </row>
    <row r="97" ht="16.5">
      <c r="B97" s="100">
        <v>20204</v>
      </c>
      <c r="C97" s="101" t="s">
        <v>219</v>
      </c>
      <c r="D97" s="136">
        <v>0</v>
      </c>
    </row>
    <row r="98" ht="16.5">
      <c r="B98" s="97">
        <v>20205</v>
      </c>
      <c r="C98" s="98" t="s">
        <v>220</v>
      </c>
      <c r="D98" s="135">
        <v>0</v>
      </c>
    </row>
    <row r="99" ht="16.5">
      <c r="B99" s="100">
        <v>20206</v>
      </c>
      <c r="C99" s="101" t="s">
        <v>221</v>
      </c>
      <c r="D99" s="136">
        <v>1</v>
      </c>
    </row>
    <row r="100" ht="16.5">
      <c r="B100" s="97">
        <v>20207</v>
      </c>
      <c r="C100" s="98" t="s">
        <v>222</v>
      </c>
      <c r="D100" s="135">
        <v>2</v>
      </c>
    </row>
    <row r="101" ht="16.5">
      <c r="B101" s="100">
        <v>20208</v>
      </c>
      <c r="C101" s="101" t="s">
        <v>223</v>
      </c>
      <c r="D101" s="136">
        <v>1</v>
      </c>
    </row>
    <row r="102" ht="16.5">
      <c r="B102" s="97">
        <v>20209</v>
      </c>
      <c r="C102" s="98" t="s">
        <v>224</v>
      </c>
      <c r="D102" s="137">
        <v>1</v>
      </c>
    </row>
    <row r="103" ht="16.5">
      <c r="B103" s="100">
        <v>20210</v>
      </c>
      <c r="C103" s="101" t="s">
        <v>225</v>
      </c>
      <c r="D103" s="138">
        <v>4</v>
      </c>
    </row>
    <row r="104" ht="16.5">
      <c r="B104" s="97">
        <v>20211</v>
      </c>
      <c r="C104" s="98" t="s">
        <v>226</v>
      </c>
      <c r="D104" s="135">
        <v>0</v>
      </c>
    </row>
    <row r="105" ht="16.5">
      <c r="B105" s="100">
        <v>20212</v>
      </c>
      <c r="C105" s="101" t="s">
        <v>227</v>
      </c>
      <c r="D105" s="136">
        <v>0</v>
      </c>
    </row>
    <row r="106" ht="16.5">
      <c r="B106" s="97">
        <v>20213</v>
      </c>
      <c r="C106" s="98" t="s">
        <v>228</v>
      </c>
      <c r="D106" s="135">
        <v>0</v>
      </c>
    </row>
    <row r="107" ht="16.5">
      <c r="B107" s="100">
        <v>20214</v>
      </c>
      <c r="C107" s="101" t="s">
        <v>229</v>
      </c>
      <c r="D107" s="138">
        <v>0</v>
      </c>
    </row>
    <row r="108" ht="16.5">
      <c r="B108" s="97">
        <v>20301</v>
      </c>
      <c r="C108" s="98" t="s">
        <v>230</v>
      </c>
      <c r="D108" s="137">
        <v>12</v>
      </c>
    </row>
    <row r="109" ht="16.5">
      <c r="B109" s="100">
        <v>20302</v>
      </c>
      <c r="C109" s="101" t="s">
        <v>231</v>
      </c>
      <c r="D109" s="138">
        <v>0</v>
      </c>
    </row>
    <row r="110" ht="16.5">
      <c r="B110" s="97">
        <v>20303</v>
      </c>
      <c r="C110" s="98" t="s">
        <v>232</v>
      </c>
      <c r="D110" s="137">
        <v>8</v>
      </c>
    </row>
    <row r="111" ht="16.5">
      <c r="B111" s="100">
        <v>20304</v>
      </c>
      <c r="C111" s="101" t="s">
        <v>233</v>
      </c>
      <c r="D111" s="136">
        <v>1</v>
      </c>
    </row>
    <row r="112" ht="16.5">
      <c r="B112" s="97">
        <v>20305</v>
      </c>
      <c r="C112" s="98" t="s">
        <v>234</v>
      </c>
      <c r="D112" s="135">
        <v>0</v>
      </c>
    </row>
    <row r="113" ht="16.5">
      <c r="B113" s="100">
        <v>20306</v>
      </c>
      <c r="C113" s="101" t="s">
        <v>235</v>
      </c>
      <c r="D113" s="136">
        <v>0</v>
      </c>
    </row>
    <row r="114" ht="16.5">
      <c r="B114" s="97">
        <v>20307</v>
      </c>
      <c r="C114" s="98" t="s">
        <v>236</v>
      </c>
      <c r="D114" s="135">
        <v>2</v>
      </c>
    </row>
    <row r="115" ht="16.5">
      <c r="B115" s="100">
        <v>20308</v>
      </c>
      <c r="C115" s="101" t="s">
        <v>237</v>
      </c>
      <c r="D115" s="138">
        <v>1</v>
      </c>
    </row>
    <row r="116" ht="16.5">
      <c r="B116" s="97">
        <v>20309</v>
      </c>
      <c r="C116" s="98" t="s">
        <v>238</v>
      </c>
      <c r="D116" s="135">
        <v>0</v>
      </c>
    </row>
    <row r="117" ht="16.5">
      <c r="B117" s="100">
        <v>20310</v>
      </c>
      <c r="C117" s="101" t="s">
        <v>239</v>
      </c>
      <c r="D117" s="136">
        <v>0</v>
      </c>
    </row>
    <row r="118" ht="16.5">
      <c r="B118" s="97">
        <v>20311</v>
      </c>
      <c r="C118" s="98" t="s">
        <v>240</v>
      </c>
      <c r="D118" s="137">
        <v>98</v>
      </c>
    </row>
    <row r="119" ht="16.5">
      <c r="B119" s="100">
        <v>20401</v>
      </c>
      <c r="C119" s="101" t="s">
        <v>241</v>
      </c>
      <c r="D119" s="136">
        <v>0</v>
      </c>
    </row>
    <row r="120" ht="16.5">
      <c r="B120" s="97">
        <v>20402</v>
      </c>
      <c r="C120" s="98" t="s">
        <v>242</v>
      </c>
      <c r="D120" s="135">
        <v>1</v>
      </c>
    </row>
    <row r="121" ht="16.5">
      <c r="B121" s="100">
        <v>20403</v>
      </c>
      <c r="C121" s="101" t="s">
        <v>243</v>
      </c>
      <c r="D121" s="138">
        <v>1</v>
      </c>
    </row>
    <row r="122" ht="16.5">
      <c r="B122" s="97">
        <v>20404</v>
      </c>
      <c r="C122" s="98" t="s">
        <v>244</v>
      </c>
      <c r="D122" s="137">
        <v>0</v>
      </c>
    </row>
    <row r="123" ht="16.5">
      <c r="B123" s="104">
        <v>30101</v>
      </c>
      <c r="C123" s="105" t="s">
        <v>245</v>
      </c>
      <c r="D123" s="139">
        <v>21</v>
      </c>
    </row>
    <row r="124" ht="16.5">
      <c r="B124" s="107">
        <v>30102</v>
      </c>
      <c r="C124" s="108" t="s">
        <v>246</v>
      </c>
      <c r="D124" s="140">
        <v>3</v>
      </c>
    </row>
    <row r="125" ht="16.5">
      <c r="B125" s="104">
        <v>30103</v>
      </c>
      <c r="C125" s="105" t="s">
        <v>247</v>
      </c>
      <c r="D125" s="139">
        <v>25</v>
      </c>
    </row>
    <row r="126" ht="16.5">
      <c r="B126" s="107">
        <v>30201</v>
      </c>
      <c r="C126" s="108" t="s">
        <v>248</v>
      </c>
      <c r="D126" s="141">
        <v>0</v>
      </c>
    </row>
    <row r="127" ht="16.5">
      <c r="B127" s="104">
        <v>30202</v>
      </c>
      <c r="C127" s="105" t="s">
        <v>249</v>
      </c>
      <c r="D127" s="139">
        <v>64</v>
      </c>
    </row>
    <row r="128" ht="16.5">
      <c r="B128" s="107">
        <v>30203</v>
      </c>
      <c r="C128" s="108" t="s">
        <v>250</v>
      </c>
      <c r="D128" s="141">
        <v>0</v>
      </c>
    </row>
    <row r="129" ht="16.5">
      <c r="B129" s="104">
        <v>30204</v>
      </c>
      <c r="C129" s="105" t="s">
        <v>251</v>
      </c>
      <c r="D129" s="139">
        <v>38</v>
      </c>
    </row>
    <row r="130" ht="16.5">
      <c r="B130" s="107">
        <v>30205</v>
      </c>
      <c r="C130" s="108" t="s">
        <v>252</v>
      </c>
      <c r="D130" s="141">
        <v>1</v>
      </c>
    </row>
    <row r="131" ht="16.5">
      <c r="B131" s="104">
        <v>30206</v>
      </c>
      <c r="C131" s="105" t="s">
        <v>253</v>
      </c>
      <c r="D131" s="142">
        <v>0</v>
      </c>
    </row>
    <row r="132" ht="16.5">
      <c r="B132" s="107">
        <v>30207</v>
      </c>
      <c r="C132" s="108" t="s">
        <v>254</v>
      </c>
      <c r="D132" s="141">
        <v>0</v>
      </c>
    </row>
    <row r="133" ht="16.5">
      <c r="B133" s="104">
        <v>30301</v>
      </c>
      <c r="C133" s="105" t="s">
        <v>255</v>
      </c>
      <c r="D133" s="139">
        <v>1</v>
      </c>
    </row>
    <row r="134" ht="16.5">
      <c r="B134" s="107">
        <v>30302</v>
      </c>
      <c r="C134" s="108" t="s">
        <v>256</v>
      </c>
      <c r="D134" s="140">
        <v>3</v>
      </c>
    </row>
    <row r="135" ht="16.5">
      <c r="B135" s="104">
        <v>30303</v>
      </c>
      <c r="C135" s="105" t="s">
        <v>257</v>
      </c>
      <c r="D135" s="139">
        <v>12</v>
      </c>
    </row>
    <row r="136" ht="16.5">
      <c r="B136" s="107">
        <v>30304</v>
      </c>
      <c r="C136" s="108" t="s">
        <v>258</v>
      </c>
      <c r="D136" s="141">
        <v>0</v>
      </c>
    </row>
    <row r="137" ht="16.5">
      <c r="B137" s="104">
        <v>30305</v>
      </c>
      <c r="C137" s="105" t="s">
        <v>259</v>
      </c>
      <c r="D137" s="139">
        <v>17</v>
      </c>
    </row>
    <row r="138" ht="16.5">
      <c r="B138" s="107">
        <v>30306</v>
      </c>
      <c r="C138" s="108" t="s">
        <v>260</v>
      </c>
      <c r="D138" s="140">
        <v>37</v>
      </c>
    </row>
    <row r="139" ht="16.5">
      <c r="B139" s="104">
        <v>30307</v>
      </c>
      <c r="C139" s="105" t="s">
        <v>261</v>
      </c>
      <c r="D139" s="139">
        <v>48</v>
      </c>
    </row>
    <row r="140" ht="16.5">
      <c r="B140" s="107">
        <v>30308</v>
      </c>
      <c r="C140" s="108" t="s">
        <v>262</v>
      </c>
      <c r="D140" s="140">
        <v>30</v>
      </c>
    </row>
    <row r="141" ht="16.5">
      <c r="B141" s="104">
        <v>30309</v>
      </c>
      <c r="C141" s="105" t="s">
        <v>263</v>
      </c>
      <c r="D141" s="139">
        <v>79</v>
      </c>
    </row>
    <row r="142" ht="16.5">
      <c r="B142" s="107">
        <v>30310</v>
      </c>
      <c r="C142" s="108" t="s">
        <v>264</v>
      </c>
      <c r="D142" s="140">
        <v>54</v>
      </c>
    </row>
    <row r="143" ht="16.5">
      <c r="B143" s="104">
        <v>30401</v>
      </c>
      <c r="C143" s="105" t="s">
        <v>265</v>
      </c>
      <c r="D143" s="139">
        <v>584</v>
      </c>
    </row>
    <row r="144" ht="16.5">
      <c r="B144" s="107">
        <v>30402</v>
      </c>
      <c r="C144" s="108" t="s">
        <v>266</v>
      </c>
      <c r="D144" s="140">
        <v>3</v>
      </c>
    </row>
    <row r="145" ht="16.5">
      <c r="B145" s="104">
        <v>30403</v>
      </c>
      <c r="C145" s="105" t="s">
        <v>267</v>
      </c>
      <c r="D145" s="142">
        <v>0</v>
      </c>
    </row>
    <row r="146" ht="16.5">
      <c r="B146" s="107">
        <v>30404</v>
      </c>
      <c r="C146" s="108" t="s">
        <v>268</v>
      </c>
      <c r="D146" s="140">
        <v>2</v>
      </c>
    </row>
    <row r="147" ht="16.5">
      <c r="B147" s="104">
        <v>30405</v>
      </c>
      <c r="C147" s="105" t="s">
        <v>269</v>
      </c>
      <c r="D147" s="142">
        <v>0</v>
      </c>
    </row>
    <row r="148" ht="16.5">
      <c r="B148" s="107">
        <v>30406</v>
      </c>
      <c r="C148" s="108" t="s">
        <v>270</v>
      </c>
      <c r="D148" s="140">
        <v>1</v>
      </c>
    </row>
    <row r="149" ht="16.5">
      <c r="B149" s="104">
        <v>30407</v>
      </c>
      <c r="C149" s="105" t="s">
        <v>271</v>
      </c>
      <c r="D149" s="139">
        <v>1</v>
      </c>
    </row>
    <row r="150" ht="16.5">
      <c r="B150" s="107">
        <v>30408</v>
      </c>
      <c r="C150" s="108" t="s">
        <v>272</v>
      </c>
      <c r="D150" s="141">
        <v>0</v>
      </c>
    </row>
    <row r="151" ht="16.5">
      <c r="B151" s="104">
        <v>30409</v>
      </c>
      <c r="C151" s="105" t="s">
        <v>273</v>
      </c>
      <c r="D151" s="139">
        <v>13</v>
      </c>
    </row>
    <row r="152" ht="16.5">
      <c r="B152" s="107">
        <v>30410</v>
      </c>
      <c r="C152" s="108" t="s">
        <v>274</v>
      </c>
      <c r="D152" s="141">
        <v>0</v>
      </c>
    </row>
    <row r="153" ht="16.5">
      <c r="B153" s="104">
        <v>30411</v>
      </c>
      <c r="C153" s="105" t="s">
        <v>275</v>
      </c>
      <c r="D153" s="139">
        <v>1</v>
      </c>
    </row>
    <row r="154" ht="16.5">
      <c r="B154" s="107">
        <v>30412</v>
      </c>
      <c r="C154" s="108" t="s">
        <v>276</v>
      </c>
      <c r="D154" s="140">
        <v>0</v>
      </c>
    </row>
    <row r="155" ht="16.5">
      <c r="B155" s="104">
        <v>30413</v>
      </c>
      <c r="C155" s="105" t="s">
        <v>277</v>
      </c>
      <c r="D155" s="139">
        <v>3</v>
      </c>
    </row>
    <row r="156" ht="16.5">
      <c r="B156" s="107">
        <v>30414</v>
      </c>
      <c r="C156" s="108" t="s">
        <v>278</v>
      </c>
      <c r="D156" s="140">
        <v>3</v>
      </c>
    </row>
    <row r="157" ht="16.5">
      <c r="B157" s="104">
        <v>30415</v>
      </c>
      <c r="C157" s="105" t="s">
        <v>279</v>
      </c>
      <c r="D157" s="142">
        <v>0</v>
      </c>
    </row>
    <row r="158" ht="16.5">
      <c r="B158" s="107">
        <v>30416</v>
      </c>
      <c r="C158" s="108" t="s">
        <v>280</v>
      </c>
      <c r="D158" s="140">
        <v>0</v>
      </c>
    </row>
    <row r="159" ht="16.5">
      <c r="B159" s="104">
        <v>30417</v>
      </c>
      <c r="C159" s="105" t="s">
        <v>281</v>
      </c>
      <c r="D159" s="142">
        <v>0</v>
      </c>
    </row>
    <row r="160" ht="16.5">
      <c r="B160" s="107">
        <v>30418</v>
      </c>
      <c r="C160" s="108" t="s">
        <v>282</v>
      </c>
      <c r="D160" s="141">
        <v>0</v>
      </c>
    </row>
    <row r="161" ht="16.5">
      <c r="B161" s="104">
        <v>30419</v>
      </c>
      <c r="C161" s="105" t="s">
        <v>283</v>
      </c>
      <c r="D161" s="139">
        <v>21</v>
      </c>
    </row>
    <row r="162" ht="16.5">
      <c r="B162" s="107">
        <v>30420</v>
      </c>
      <c r="C162" s="108" t="s">
        <v>284</v>
      </c>
      <c r="D162" s="140">
        <v>3</v>
      </c>
    </row>
    <row r="163" ht="16.5">
      <c r="B163" s="104">
        <v>30421</v>
      </c>
      <c r="C163" s="105" t="s">
        <v>285</v>
      </c>
      <c r="D163" s="139">
        <v>11</v>
      </c>
    </row>
    <row r="164" ht="16.5">
      <c r="B164" s="107">
        <v>30422</v>
      </c>
      <c r="C164" s="108" t="s">
        <v>286</v>
      </c>
      <c r="D164" s="141">
        <v>7</v>
      </c>
    </row>
    <row r="165" ht="16.5">
      <c r="B165" s="104">
        <v>30423</v>
      </c>
      <c r="C165" s="105" t="s">
        <v>287</v>
      </c>
      <c r="D165" s="142">
        <v>0</v>
      </c>
    </row>
    <row r="166" ht="16.5">
      <c r="B166" s="107">
        <v>30424</v>
      </c>
      <c r="C166" s="108" t="s">
        <v>288</v>
      </c>
      <c r="D166" s="141">
        <v>0</v>
      </c>
    </row>
    <row r="167" ht="16.5">
      <c r="B167" s="104">
        <v>30425</v>
      </c>
      <c r="C167" s="105" t="s">
        <v>289</v>
      </c>
      <c r="D167" s="142">
        <v>0</v>
      </c>
    </row>
    <row r="168" ht="16.5">
      <c r="B168" s="107">
        <v>30426</v>
      </c>
      <c r="C168" s="108" t="s">
        <v>290</v>
      </c>
      <c r="D168" s="141">
        <v>0</v>
      </c>
    </row>
    <row r="169" ht="16.5">
      <c r="B169" s="104">
        <v>30427</v>
      </c>
      <c r="C169" s="105" t="s">
        <v>291</v>
      </c>
      <c r="D169" s="142">
        <v>2</v>
      </c>
    </row>
    <row r="170" ht="16.5">
      <c r="B170" s="107">
        <v>30428</v>
      </c>
      <c r="C170" s="108" t="s">
        <v>292</v>
      </c>
      <c r="D170" s="140">
        <v>0</v>
      </c>
    </row>
    <row r="171" ht="16.5">
      <c r="B171" s="104">
        <v>30429</v>
      </c>
      <c r="C171" s="105" t="s">
        <v>293</v>
      </c>
      <c r="D171" s="139">
        <v>20</v>
      </c>
    </row>
    <row r="172" ht="16.5">
      <c r="B172" s="107">
        <v>30430</v>
      </c>
      <c r="C172" s="108" t="s">
        <v>294</v>
      </c>
      <c r="D172" s="140">
        <v>25</v>
      </c>
    </row>
    <row r="173" ht="16.5">
      <c r="B173" s="104">
        <v>30431</v>
      </c>
      <c r="C173" s="105" t="s">
        <v>295</v>
      </c>
      <c r="D173" s="142">
        <v>0</v>
      </c>
    </row>
    <row r="174" ht="16.5">
      <c r="B174" s="107">
        <v>30432</v>
      </c>
      <c r="C174" s="108" t="s">
        <v>296</v>
      </c>
      <c r="D174" s="141">
        <v>0</v>
      </c>
    </row>
    <row r="175" ht="16.5">
      <c r="B175" s="104">
        <v>30433</v>
      </c>
      <c r="C175" s="105" t="s">
        <v>297</v>
      </c>
      <c r="D175" s="142">
        <v>0</v>
      </c>
    </row>
    <row r="176" ht="16.5">
      <c r="B176" s="107">
        <v>30434</v>
      </c>
      <c r="C176" s="108" t="s">
        <v>298</v>
      </c>
      <c r="D176" s="141">
        <v>0</v>
      </c>
    </row>
    <row r="177" ht="16.5">
      <c r="B177" s="104">
        <v>30435</v>
      </c>
      <c r="C177" s="105" t="s">
        <v>299</v>
      </c>
      <c r="D177" s="142">
        <v>0</v>
      </c>
    </row>
    <row r="178" ht="16.5">
      <c r="B178" s="107">
        <v>30436</v>
      </c>
      <c r="C178" s="108" t="s">
        <v>300</v>
      </c>
      <c r="D178" s="141">
        <v>0</v>
      </c>
    </row>
    <row r="179" ht="16.5">
      <c r="B179" s="104">
        <v>30437</v>
      </c>
      <c r="C179" s="105" t="s">
        <v>301</v>
      </c>
      <c r="D179" s="142">
        <v>0</v>
      </c>
    </row>
    <row r="180" ht="16.5">
      <c r="B180" s="107">
        <v>30438</v>
      </c>
      <c r="C180" s="108" t="s">
        <v>302</v>
      </c>
      <c r="D180" s="141">
        <v>0</v>
      </c>
    </row>
    <row r="181" ht="16.5">
      <c r="B181" s="104">
        <v>30439</v>
      </c>
      <c r="C181" s="105" t="s">
        <v>303</v>
      </c>
      <c r="D181" s="142">
        <v>0</v>
      </c>
    </row>
    <row r="182" ht="16.5">
      <c r="B182" s="107">
        <v>30440</v>
      </c>
      <c r="C182" s="108" t="s">
        <v>304</v>
      </c>
      <c r="D182" s="141">
        <v>0</v>
      </c>
    </row>
    <row r="183" ht="16.5">
      <c r="B183" s="104">
        <v>30441</v>
      </c>
      <c r="C183" s="105" t="s">
        <v>305</v>
      </c>
      <c r="D183" s="142">
        <v>0</v>
      </c>
    </row>
    <row r="184" ht="16.5">
      <c r="B184" s="107">
        <v>30442</v>
      </c>
      <c r="C184" s="108" t="s">
        <v>306</v>
      </c>
      <c r="D184" s="141">
        <v>0</v>
      </c>
    </row>
    <row r="185" ht="16.5">
      <c r="B185" s="104">
        <v>30443</v>
      </c>
      <c r="C185" s="105" t="s">
        <v>307</v>
      </c>
      <c r="D185" s="142">
        <v>0</v>
      </c>
    </row>
    <row r="186" ht="16.5">
      <c r="B186" s="107">
        <v>30444</v>
      </c>
      <c r="C186" s="108" t="s">
        <v>308</v>
      </c>
      <c r="D186" s="141">
        <v>1</v>
      </c>
    </row>
    <row r="187" ht="16.5">
      <c r="B187" s="104">
        <v>30445</v>
      </c>
      <c r="C187" s="105" t="s">
        <v>309</v>
      </c>
      <c r="D187" s="142">
        <v>0</v>
      </c>
    </row>
    <row r="188" ht="16.5">
      <c r="B188" s="107">
        <v>30446</v>
      </c>
      <c r="C188" s="108" t="s">
        <v>310</v>
      </c>
      <c r="D188" s="141">
        <v>0</v>
      </c>
    </row>
    <row r="189" ht="16.5">
      <c r="B189" s="104">
        <v>30501</v>
      </c>
      <c r="C189" s="105" t="s">
        <v>311</v>
      </c>
      <c r="D189" s="142">
        <v>1</v>
      </c>
    </row>
    <row r="190" ht="16.5">
      <c r="B190" s="107">
        <v>30502</v>
      </c>
      <c r="C190" s="108" t="s">
        <v>312</v>
      </c>
      <c r="D190" s="140">
        <v>81</v>
      </c>
    </row>
    <row r="191" ht="16.5">
      <c r="B191" s="104">
        <v>30503</v>
      </c>
      <c r="C191" s="105" t="s">
        <v>313</v>
      </c>
      <c r="D191" s="139">
        <v>137</v>
      </c>
    </row>
    <row r="192" ht="16.5">
      <c r="B192" s="107">
        <v>30504</v>
      </c>
      <c r="C192" s="108" t="s">
        <v>314</v>
      </c>
      <c r="D192" s="141">
        <v>0</v>
      </c>
    </row>
    <row r="193" ht="16.5">
      <c r="B193" s="104">
        <v>30505</v>
      </c>
      <c r="C193" s="105" t="s">
        <v>315</v>
      </c>
      <c r="D193" s="142">
        <v>1</v>
      </c>
    </row>
    <row r="194" ht="16.5">
      <c r="B194" s="107">
        <v>30601</v>
      </c>
      <c r="C194" s="108" t="s">
        <v>316</v>
      </c>
      <c r="D194" s="140">
        <v>5</v>
      </c>
    </row>
    <row r="195" ht="16.5">
      <c r="B195" s="104">
        <v>30602</v>
      </c>
      <c r="C195" s="105" t="s">
        <v>317</v>
      </c>
      <c r="D195" s="139">
        <v>11</v>
      </c>
    </row>
    <row r="196" ht="16.5">
      <c r="B196" s="107">
        <v>30603</v>
      </c>
      <c r="C196" s="108" t="s">
        <v>318</v>
      </c>
      <c r="D196" s="140">
        <v>4</v>
      </c>
    </row>
    <row r="197" ht="16.5">
      <c r="B197" s="104">
        <v>30604</v>
      </c>
      <c r="C197" s="105" t="s">
        <v>319</v>
      </c>
      <c r="D197" s="142">
        <v>0</v>
      </c>
    </row>
    <row r="198" ht="16.5">
      <c r="B198" s="107">
        <v>30605</v>
      </c>
      <c r="C198" s="108" t="s">
        <v>320</v>
      </c>
      <c r="D198" s="141">
        <v>0</v>
      </c>
    </row>
    <row r="199" ht="16.5">
      <c r="B199" s="104">
        <v>30606</v>
      </c>
      <c r="C199" s="105" t="s">
        <v>321</v>
      </c>
      <c r="D199" s="139">
        <v>10</v>
      </c>
    </row>
    <row r="200" ht="16.5">
      <c r="B200" s="107">
        <v>30607</v>
      </c>
      <c r="C200" s="108" t="s">
        <v>322</v>
      </c>
      <c r="D200" s="141">
        <v>0</v>
      </c>
    </row>
    <row r="201" ht="16.5">
      <c r="B201" s="104">
        <v>30608</v>
      </c>
      <c r="C201" s="105" t="s">
        <v>323</v>
      </c>
      <c r="D201" s="142">
        <v>0</v>
      </c>
    </row>
    <row r="202" ht="16.5">
      <c r="B202" s="107">
        <v>30609</v>
      </c>
      <c r="C202" s="108" t="s">
        <v>324</v>
      </c>
      <c r="D202" s="141">
        <v>1</v>
      </c>
    </row>
    <row r="203" ht="16.5">
      <c r="B203" s="104">
        <v>30610</v>
      </c>
      <c r="C203" s="105" t="s">
        <v>325</v>
      </c>
      <c r="D203" s="142">
        <v>1</v>
      </c>
    </row>
    <row r="204" ht="16.5">
      <c r="B204" s="107">
        <v>30611</v>
      </c>
      <c r="C204" s="108" t="s">
        <v>326</v>
      </c>
      <c r="D204" s="140">
        <v>3</v>
      </c>
    </row>
    <row r="205" ht="16.5">
      <c r="B205" s="104">
        <v>30701</v>
      </c>
      <c r="C205" s="105" t="s">
        <v>327</v>
      </c>
      <c r="D205" s="142">
        <v>1</v>
      </c>
    </row>
    <row r="206" ht="16.5">
      <c r="B206" s="107">
        <v>30702</v>
      </c>
      <c r="C206" s="108" t="s">
        <v>328</v>
      </c>
      <c r="D206" s="140">
        <v>13</v>
      </c>
    </row>
    <row r="207" ht="16.5">
      <c r="B207" s="104">
        <v>30703</v>
      </c>
      <c r="C207" s="105" t="s">
        <v>329</v>
      </c>
      <c r="D207" s="142">
        <v>1</v>
      </c>
    </row>
    <row r="208" ht="16.5">
      <c r="B208" s="107">
        <v>30704</v>
      </c>
      <c r="C208" s="108" t="s">
        <v>330</v>
      </c>
      <c r="D208" s="141">
        <v>0</v>
      </c>
    </row>
    <row r="209" ht="16.5">
      <c r="B209" s="104">
        <v>30705</v>
      </c>
      <c r="C209" s="105" t="s">
        <v>331</v>
      </c>
      <c r="D209" s="142">
        <v>0</v>
      </c>
    </row>
    <row r="210" ht="16.5">
      <c r="B210" s="107">
        <v>30706</v>
      </c>
      <c r="C210" s="108" t="s">
        <v>332</v>
      </c>
      <c r="D210" s="141">
        <v>0</v>
      </c>
    </row>
    <row r="211" ht="16.5">
      <c r="B211" s="104">
        <v>30707</v>
      </c>
      <c r="C211" s="105" t="s">
        <v>333</v>
      </c>
      <c r="D211" s="142">
        <v>1</v>
      </c>
    </row>
    <row r="212" ht="16.5">
      <c r="B212" s="107">
        <v>30708</v>
      </c>
      <c r="C212" s="108" t="s">
        <v>334</v>
      </c>
      <c r="D212" s="140">
        <v>0</v>
      </c>
    </row>
    <row r="213" ht="16.5">
      <c r="B213" s="104">
        <v>30709</v>
      </c>
      <c r="C213" s="105" t="s">
        <v>335</v>
      </c>
      <c r="D213" s="142">
        <v>0</v>
      </c>
    </row>
    <row r="214" ht="16.5">
      <c r="B214" s="107">
        <v>30710</v>
      </c>
      <c r="C214" s="108" t="s">
        <v>336</v>
      </c>
      <c r="D214" s="141">
        <v>0</v>
      </c>
    </row>
    <row r="215" ht="16.5">
      <c r="B215" s="104">
        <v>30711</v>
      </c>
      <c r="C215" s="105" t="s">
        <v>337</v>
      </c>
      <c r="D215" s="142">
        <v>0</v>
      </c>
    </row>
    <row r="216" ht="16.5">
      <c r="B216" s="107">
        <v>30801</v>
      </c>
      <c r="C216" s="108" t="s">
        <v>338</v>
      </c>
      <c r="D216" s="141">
        <v>0</v>
      </c>
    </row>
    <row r="217" ht="16.5">
      <c r="B217" s="104">
        <v>30802</v>
      </c>
      <c r="C217" s="105" t="s">
        <v>339</v>
      </c>
      <c r="D217" s="142">
        <v>0</v>
      </c>
    </row>
    <row r="218" ht="16.5">
      <c r="B218" s="107">
        <v>30803</v>
      </c>
      <c r="C218" s="108" t="s">
        <v>340</v>
      </c>
      <c r="D218" s="141">
        <v>0</v>
      </c>
    </row>
    <row r="219" ht="16.5">
      <c r="B219" s="104">
        <v>30804</v>
      </c>
      <c r="C219" s="105" t="s">
        <v>341</v>
      </c>
      <c r="D219" s="142">
        <v>0</v>
      </c>
    </row>
    <row r="220" ht="16.5">
      <c r="B220" s="107">
        <v>30805</v>
      </c>
      <c r="C220" s="108" t="s">
        <v>342</v>
      </c>
      <c r="D220" s="141">
        <v>0</v>
      </c>
    </row>
    <row r="221" ht="16.5">
      <c r="B221" s="104">
        <v>30806</v>
      </c>
      <c r="C221" s="105" t="s">
        <v>343</v>
      </c>
      <c r="D221" s="142">
        <v>0</v>
      </c>
    </row>
    <row r="222" ht="16.5">
      <c r="B222" s="107">
        <v>30807</v>
      </c>
      <c r="C222" s="108" t="s">
        <v>344</v>
      </c>
      <c r="D222" s="141">
        <v>0</v>
      </c>
    </row>
    <row r="223" ht="16.5">
      <c r="B223" s="104">
        <v>30808</v>
      </c>
      <c r="C223" s="105" t="s">
        <v>345</v>
      </c>
      <c r="D223" s="142">
        <v>0</v>
      </c>
    </row>
    <row r="224" ht="16.5">
      <c r="B224" s="107">
        <v>30809</v>
      </c>
      <c r="C224" s="108" t="s">
        <v>346</v>
      </c>
      <c r="D224" s="141">
        <v>0</v>
      </c>
    </row>
    <row r="225" ht="16.5">
      <c r="B225" s="104">
        <v>30810</v>
      </c>
      <c r="C225" s="105" t="s">
        <v>347</v>
      </c>
      <c r="D225" s="142">
        <v>0</v>
      </c>
    </row>
    <row r="226" ht="16.5">
      <c r="B226" s="107">
        <v>30901</v>
      </c>
      <c r="C226" s="108" t="s">
        <v>348</v>
      </c>
      <c r="D226" s="141">
        <v>3</v>
      </c>
    </row>
    <row r="227" ht="16.5">
      <c r="B227" s="104">
        <v>30902</v>
      </c>
      <c r="C227" s="105" t="s">
        <v>349</v>
      </c>
      <c r="D227" s="142">
        <v>0</v>
      </c>
    </row>
    <row r="228" ht="16.5">
      <c r="B228" s="107">
        <v>30903</v>
      </c>
      <c r="C228" s="108" t="s">
        <v>350</v>
      </c>
      <c r="D228" s="140">
        <v>35</v>
      </c>
    </row>
    <row r="229" ht="16.5">
      <c r="B229" s="104">
        <v>30904</v>
      </c>
      <c r="C229" s="105" t="s">
        <v>351</v>
      </c>
      <c r="D229" s="139">
        <v>94</v>
      </c>
    </row>
    <row r="230" ht="16.5">
      <c r="B230" s="107">
        <v>30905</v>
      </c>
      <c r="C230" s="108" t="s">
        <v>352</v>
      </c>
      <c r="D230" s="141">
        <v>4</v>
      </c>
    </row>
    <row r="231" ht="16.5">
      <c r="B231" s="104">
        <v>30906</v>
      </c>
      <c r="C231" s="105" t="s">
        <v>353</v>
      </c>
      <c r="D231" s="139">
        <v>0</v>
      </c>
    </row>
    <row r="232" ht="16.5">
      <c r="B232" s="107">
        <v>30907</v>
      </c>
      <c r="C232" s="108" t="s">
        <v>354</v>
      </c>
      <c r="D232" s="140">
        <v>347</v>
      </c>
    </row>
    <row r="233" ht="16.5">
      <c r="B233" s="104">
        <v>30908</v>
      </c>
      <c r="C233" s="105" t="s">
        <v>355</v>
      </c>
      <c r="D233" s="139">
        <v>1</v>
      </c>
    </row>
    <row r="234" ht="16.5">
      <c r="B234" s="107">
        <v>30909</v>
      </c>
      <c r="C234" s="108" t="s">
        <v>356</v>
      </c>
      <c r="D234" s="140">
        <v>1</v>
      </c>
    </row>
    <row r="235" ht="16.5">
      <c r="B235" s="104">
        <v>31001</v>
      </c>
      <c r="C235" s="105" t="s">
        <v>357</v>
      </c>
      <c r="D235" s="139">
        <v>11</v>
      </c>
    </row>
    <row r="236" ht="16.5">
      <c r="B236" s="107">
        <v>31002</v>
      </c>
      <c r="C236" s="108" t="s">
        <v>358</v>
      </c>
      <c r="D236" s="140">
        <v>16</v>
      </c>
    </row>
    <row r="237" ht="16.5">
      <c r="B237" s="104">
        <v>31003</v>
      </c>
      <c r="C237" s="105" t="s">
        <v>359</v>
      </c>
      <c r="D237" s="142">
        <v>2</v>
      </c>
    </row>
    <row r="238" ht="16.5">
      <c r="B238" s="107">
        <v>31004</v>
      </c>
      <c r="C238" s="108" t="s">
        <v>360</v>
      </c>
      <c r="D238" s="141">
        <v>0</v>
      </c>
    </row>
    <row r="239" ht="16.5">
      <c r="B239" s="104">
        <v>31005</v>
      </c>
      <c r="C239" s="105" t="s">
        <v>361</v>
      </c>
      <c r="D239" s="142">
        <v>0</v>
      </c>
    </row>
    <row r="240" ht="16.5">
      <c r="B240" s="107">
        <v>31006</v>
      </c>
      <c r="C240" s="108" t="s">
        <v>362</v>
      </c>
      <c r="D240" s="141">
        <v>0</v>
      </c>
    </row>
    <row r="241" ht="16.5">
      <c r="B241" s="104">
        <v>31007</v>
      </c>
      <c r="C241" s="105" t="s">
        <v>363</v>
      </c>
      <c r="D241" s="142">
        <v>0</v>
      </c>
    </row>
    <row r="242" ht="16.5">
      <c r="B242" s="107">
        <v>31008</v>
      </c>
      <c r="C242" s="108" t="s">
        <v>364</v>
      </c>
      <c r="D242" s="140">
        <v>6</v>
      </c>
    </row>
    <row r="243" ht="16.5">
      <c r="B243" s="104">
        <v>31009</v>
      </c>
      <c r="C243" s="105" t="s">
        <v>365</v>
      </c>
      <c r="D243" s="142">
        <v>0</v>
      </c>
    </row>
    <row r="244" ht="16.5">
      <c r="B244" s="107">
        <v>31010</v>
      </c>
      <c r="C244" s="108" t="s">
        <v>366</v>
      </c>
      <c r="D244" s="141">
        <v>1</v>
      </c>
    </row>
    <row r="245" ht="16.5">
      <c r="B245" s="104">
        <v>31011</v>
      </c>
      <c r="C245" s="105" t="s">
        <v>367</v>
      </c>
      <c r="D245" s="142">
        <v>0</v>
      </c>
    </row>
    <row r="246" ht="16.5">
      <c r="B246" s="107">
        <v>31012</v>
      </c>
      <c r="C246" s="108" t="s">
        <v>368</v>
      </c>
      <c r="D246" s="141">
        <v>0</v>
      </c>
    </row>
    <row r="247" ht="16.5">
      <c r="B247" s="104">
        <v>31013</v>
      </c>
      <c r="C247" s="105" t="s">
        <v>369</v>
      </c>
      <c r="D247" s="142">
        <v>0</v>
      </c>
    </row>
    <row r="248" ht="16.5">
      <c r="B248" s="107">
        <v>31014</v>
      </c>
      <c r="C248" s="108" t="s">
        <v>370</v>
      </c>
      <c r="D248" s="140">
        <v>1</v>
      </c>
    </row>
    <row r="249" ht="16.5">
      <c r="B249" s="104">
        <v>31015</v>
      </c>
      <c r="C249" s="105" t="s">
        <v>371</v>
      </c>
      <c r="D249" s="142">
        <v>0</v>
      </c>
    </row>
    <row r="250" ht="16.5">
      <c r="B250" s="107">
        <v>31101</v>
      </c>
      <c r="C250" s="108" t="s">
        <v>372</v>
      </c>
      <c r="D250" s="140">
        <v>58</v>
      </c>
    </row>
    <row r="251" ht="16.5">
      <c r="B251" s="104">
        <v>31102</v>
      </c>
      <c r="C251" s="105" t="s">
        <v>373</v>
      </c>
      <c r="D251" s="142">
        <v>6</v>
      </c>
    </row>
    <row r="252" ht="16.5">
      <c r="B252" s="107">
        <v>31103</v>
      </c>
      <c r="C252" s="108" t="s">
        <v>374</v>
      </c>
      <c r="D252" s="140">
        <v>17</v>
      </c>
    </row>
    <row r="253" ht="16.5">
      <c r="B253" s="104">
        <v>31104</v>
      </c>
      <c r="C253" s="105" t="s">
        <v>375</v>
      </c>
      <c r="D253" s="139">
        <v>13</v>
      </c>
    </row>
    <row r="254" ht="16.5">
      <c r="B254" s="107">
        <v>31105</v>
      </c>
      <c r="C254" s="108" t="s">
        <v>376</v>
      </c>
      <c r="D254" s="140">
        <v>24</v>
      </c>
    </row>
    <row r="255" ht="16.5">
      <c r="B255" s="104">
        <v>31106</v>
      </c>
      <c r="C255" s="105" t="s">
        <v>377</v>
      </c>
      <c r="D255" s="139">
        <v>0</v>
      </c>
    </row>
    <row r="256" ht="16.5">
      <c r="B256" s="107">
        <v>31107</v>
      </c>
      <c r="C256" s="108" t="s">
        <v>378</v>
      </c>
      <c r="D256" s="141">
        <v>0</v>
      </c>
    </row>
    <row r="257" ht="14.25">
      <c r="B257" s="104">
        <v>31108</v>
      </c>
      <c r="C257" s="105" t="s">
        <v>379</v>
      </c>
      <c r="D257" s="142">
        <v>0</v>
      </c>
    </row>
    <row r="258" ht="14.25">
      <c r="B258" s="107">
        <v>31109</v>
      </c>
      <c r="C258" s="108" t="s">
        <v>380</v>
      </c>
      <c r="D258" s="141">
        <v>0</v>
      </c>
    </row>
    <row r="259" ht="14.25">
      <c r="B259" s="104">
        <v>31110</v>
      </c>
      <c r="C259" s="105" t="s">
        <v>381</v>
      </c>
      <c r="D259" s="142">
        <v>0</v>
      </c>
    </row>
    <row r="260" ht="14.25">
      <c r="B260" s="107">
        <v>31111</v>
      </c>
      <c r="C260" s="108" t="s">
        <v>382</v>
      </c>
      <c r="D260" s="141">
        <v>0</v>
      </c>
    </row>
    <row r="261" ht="14.25">
      <c r="B261" s="104">
        <v>31112</v>
      </c>
      <c r="C261" s="105" t="s">
        <v>383</v>
      </c>
      <c r="D261" s="139">
        <v>57</v>
      </c>
    </row>
    <row r="262" ht="14.25">
      <c r="B262" s="107">
        <v>31113</v>
      </c>
      <c r="C262" s="108" t="s">
        <v>384</v>
      </c>
      <c r="D262" s="140">
        <v>5</v>
      </c>
    </row>
    <row r="263" ht="14.25">
      <c r="B263" s="104">
        <v>31114</v>
      </c>
      <c r="C263" s="105" t="s">
        <v>385</v>
      </c>
      <c r="D263" s="139">
        <v>5</v>
      </c>
    </row>
    <row r="264" ht="14.25">
      <c r="B264" s="110">
        <v>40101</v>
      </c>
      <c r="C264" s="111" t="s">
        <v>386</v>
      </c>
      <c r="D264" s="143">
        <v>0</v>
      </c>
    </row>
    <row r="265" ht="14.25">
      <c r="B265" s="107">
        <v>40102</v>
      </c>
      <c r="C265" s="108" t="s">
        <v>387</v>
      </c>
      <c r="D265" s="140">
        <v>3</v>
      </c>
    </row>
    <row r="266" ht="14.25">
      <c r="B266" s="110">
        <v>40103</v>
      </c>
      <c r="C266" s="111" t="s">
        <v>388</v>
      </c>
      <c r="D266" s="143">
        <v>0</v>
      </c>
    </row>
    <row r="267" ht="14.25">
      <c r="B267" s="107">
        <v>40104</v>
      </c>
      <c r="C267" s="108" t="s">
        <v>389</v>
      </c>
      <c r="D267" s="140">
        <v>1</v>
      </c>
    </row>
    <row r="268" ht="14.25">
      <c r="B268" s="110">
        <v>40105</v>
      </c>
      <c r="C268" s="111" t="s">
        <v>390</v>
      </c>
      <c r="D268" s="144">
        <v>0</v>
      </c>
    </row>
    <row r="269" ht="14.25">
      <c r="B269" s="107">
        <v>40106</v>
      </c>
      <c r="C269" s="108" t="s">
        <v>391</v>
      </c>
      <c r="D269" s="140">
        <v>15</v>
      </c>
    </row>
    <row r="270" ht="14.25">
      <c r="B270" s="110">
        <v>40107</v>
      </c>
      <c r="C270" s="111" t="s">
        <v>392</v>
      </c>
      <c r="D270" s="143">
        <v>11</v>
      </c>
    </row>
    <row r="271" ht="14.25">
      <c r="B271" s="107">
        <v>40108</v>
      </c>
      <c r="C271" s="108" t="s">
        <v>393</v>
      </c>
      <c r="D271" s="141">
        <v>0</v>
      </c>
    </row>
    <row r="272" ht="14.25">
      <c r="B272" s="110">
        <v>40109</v>
      </c>
      <c r="C272" s="111" t="s">
        <v>394</v>
      </c>
      <c r="D272" s="144">
        <v>0</v>
      </c>
    </row>
    <row r="273" ht="14.25">
      <c r="B273" s="107">
        <v>40110</v>
      </c>
      <c r="C273" s="108" t="s">
        <v>395</v>
      </c>
      <c r="D273" s="140">
        <v>4</v>
      </c>
    </row>
    <row r="274" ht="14.25">
      <c r="B274" s="113">
        <v>50101</v>
      </c>
      <c r="C274" s="114" t="s">
        <v>396</v>
      </c>
      <c r="D274" s="145">
        <v>5</v>
      </c>
    </row>
    <row r="275" ht="14.25">
      <c r="B275" s="107">
        <v>50102</v>
      </c>
      <c r="C275" s="108" t="s">
        <v>397</v>
      </c>
      <c r="D275" s="140">
        <v>7</v>
      </c>
    </row>
    <row r="276" ht="14.25">
      <c r="B276" s="113">
        <v>50103</v>
      </c>
      <c r="C276" s="114" t="s">
        <v>398</v>
      </c>
      <c r="D276" s="146">
        <v>0</v>
      </c>
    </row>
    <row r="277" ht="14.25">
      <c r="B277" s="107">
        <v>50104</v>
      </c>
      <c r="C277" s="108" t="s">
        <v>399</v>
      </c>
      <c r="D277" s="141">
        <v>1</v>
      </c>
    </row>
    <row r="278" ht="14.25">
      <c r="B278" s="113">
        <v>50105</v>
      </c>
      <c r="C278" s="114" t="s">
        <v>400</v>
      </c>
      <c r="D278" s="145">
        <v>54</v>
      </c>
    </row>
    <row r="279" ht="14.25">
      <c r="B279" s="107">
        <v>50106</v>
      </c>
      <c r="C279" s="108" t="s">
        <v>401</v>
      </c>
      <c r="D279" s="141">
        <v>0</v>
      </c>
    </row>
    <row r="280" ht="14.25">
      <c r="B280" s="113">
        <v>50107</v>
      </c>
      <c r="C280" s="114" t="s">
        <v>402</v>
      </c>
      <c r="D280" s="146">
        <v>0</v>
      </c>
    </row>
    <row r="281" ht="14.25">
      <c r="B281" s="107">
        <v>50108</v>
      </c>
      <c r="C281" s="108" t="s">
        <v>403</v>
      </c>
      <c r="D281" s="141">
        <v>0</v>
      </c>
    </row>
    <row r="282" ht="14.25">
      <c r="B282" s="113">
        <v>50201</v>
      </c>
      <c r="C282" s="114" t="s">
        <v>404</v>
      </c>
      <c r="D282" s="145">
        <v>0</v>
      </c>
    </row>
    <row r="283" ht="14.25">
      <c r="B283" s="107">
        <v>50202</v>
      </c>
      <c r="C283" s="108" t="s">
        <v>405</v>
      </c>
      <c r="D283" s="141">
        <v>0</v>
      </c>
    </row>
    <row r="284" ht="14.25">
      <c r="B284" s="113">
        <v>50203</v>
      </c>
      <c r="C284" s="114" t="s">
        <v>406</v>
      </c>
      <c r="D284" s="145">
        <v>1</v>
      </c>
    </row>
    <row r="285" ht="14.25">
      <c r="B285" s="107">
        <v>50301</v>
      </c>
      <c r="C285" s="108" t="s">
        <v>407</v>
      </c>
      <c r="D285" s="140">
        <v>100</v>
      </c>
    </row>
    <row r="286" ht="14.25">
      <c r="B286" s="113">
        <v>50302</v>
      </c>
      <c r="C286" s="114" t="s">
        <v>408</v>
      </c>
      <c r="D286" s="145">
        <v>0</v>
      </c>
    </row>
    <row r="287" ht="14.25">
      <c r="B287" s="107">
        <v>50303</v>
      </c>
      <c r="C287" s="108" t="s">
        <v>409</v>
      </c>
      <c r="D287" s="140">
        <v>7</v>
      </c>
    </row>
    <row r="288" ht="14.25">
      <c r="B288" s="113">
        <v>50304</v>
      </c>
      <c r="C288" s="114" t="s">
        <v>410</v>
      </c>
      <c r="D288" s="145">
        <v>2</v>
      </c>
    </row>
    <row r="289" ht="14.25">
      <c r="B289" s="107">
        <v>50305</v>
      </c>
      <c r="C289" s="108" t="s">
        <v>411</v>
      </c>
      <c r="D289" s="140">
        <v>3</v>
      </c>
    </row>
    <row r="290" ht="14.25">
      <c r="B290" s="113">
        <v>50306</v>
      </c>
      <c r="C290" s="114" t="s">
        <v>412</v>
      </c>
      <c r="D290" s="145">
        <v>17</v>
      </c>
    </row>
    <row r="291" ht="14.25">
      <c r="B291" s="116">
        <v>60101</v>
      </c>
      <c r="C291" s="117" t="s">
        <v>413</v>
      </c>
      <c r="D291" s="147">
        <v>0</v>
      </c>
    </row>
    <row r="292" ht="14.25">
      <c r="B292" s="107">
        <v>60102</v>
      </c>
      <c r="C292" s="108" t="s">
        <v>414</v>
      </c>
      <c r="D292" s="140">
        <v>1</v>
      </c>
    </row>
    <row r="293" ht="14.25">
      <c r="B293" s="116">
        <v>60103</v>
      </c>
      <c r="C293" s="117" t="s">
        <v>415</v>
      </c>
      <c r="D293" s="148">
        <v>86</v>
      </c>
    </row>
    <row r="294" ht="14.25">
      <c r="B294" s="119">
        <v>70101</v>
      </c>
      <c r="C294" s="120" t="s">
        <v>416</v>
      </c>
      <c r="D294" s="149">
        <v>1066</v>
      </c>
    </row>
    <row r="295" ht="14.25">
      <c r="B295" s="107">
        <v>70102</v>
      </c>
      <c r="C295" s="108" t="s">
        <v>417</v>
      </c>
      <c r="D295" s="140">
        <v>0</v>
      </c>
    </row>
    <row r="296" ht="14.25">
      <c r="B296" s="119">
        <v>70103</v>
      </c>
      <c r="C296" s="120" t="s">
        <v>418</v>
      </c>
      <c r="D296" s="149">
        <v>62</v>
      </c>
    </row>
    <row r="297" ht="14.25">
      <c r="B297" s="107">
        <v>70104</v>
      </c>
      <c r="C297" s="108" t="s">
        <v>419</v>
      </c>
      <c r="D297" s="140">
        <v>10296</v>
      </c>
    </row>
    <row r="298" ht="14.25">
      <c r="B298" s="119">
        <v>70105</v>
      </c>
      <c r="C298" s="120" t="s">
        <v>420</v>
      </c>
      <c r="D298" s="149">
        <v>20</v>
      </c>
    </row>
    <row r="299" ht="14.25">
      <c r="B299" s="107">
        <v>70106</v>
      </c>
      <c r="C299" s="108" t="s">
        <v>421</v>
      </c>
      <c r="D299" s="140">
        <v>127</v>
      </c>
    </row>
    <row r="300" ht="14.25">
      <c r="B300" s="119">
        <v>70107</v>
      </c>
      <c r="C300" s="120" t="s">
        <v>422</v>
      </c>
      <c r="D300" s="149">
        <v>208</v>
      </c>
    </row>
    <row r="301" ht="14.25">
      <c r="B301" s="122">
        <v>70108</v>
      </c>
      <c r="C301" s="123" t="s">
        <v>423</v>
      </c>
      <c r="D301" s="150">
        <v>845</v>
      </c>
    </row>
    <row r="302" ht="19.899999999999999" customHeight="1">
      <c r="B302" s="125" t="s">
        <v>424</v>
      </c>
      <c r="C302" s="126"/>
      <c r="D302" s="127">
        <f>SUM(D20:D301)</f>
        <v>15639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298 D301"/>
    <protectedRange name="Rango1_1" sqref="D299"/>
    <protectedRange name="Rango1_2" sqref="D300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65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9">
    <outlinePr applyStyles="0" summaryBelow="1" summaryRight="1" showOutlineSymbols="1"/>
    <pageSetUpPr autoPageBreaks="1" fitToPage="1"/>
  </sheetPr>
  <sheetViews>
    <sheetView showGridLines="0" view="pageBreakPreview" topLeftCell="A268" zoomScale="100" workbookViewId="0">
      <selection activeCell="F33" activeCellId="0" sqref="F33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Mayo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426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51">
        <v>0</v>
      </c>
    </row>
    <row r="21" ht="14.25">
      <c r="B21" s="94">
        <v>10102</v>
      </c>
      <c r="C21" s="95" t="s">
        <v>143</v>
      </c>
      <c r="D21" s="132">
        <v>0</v>
      </c>
    </row>
    <row r="22" ht="14.25">
      <c r="B22" s="91">
        <v>10103</v>
      </c>
      <c r="C22" s="92" t="s">
        <v>144</v>
      </c>
      <c r="D22" s="151">
        <v>62</v>
      </c>
    </row>
    <row r="23" ht="14.25">
      <c r="B23" s="94">
        <v>10104</v>
      </c>
      <c r="C23" s="95" t="s">
        <v>145</v>
      </c>
      <c r="D23" s="132">
        <v>31</v>
      </c>
    </row>
    <row r="24" ht="14.25">
      <c r="B24" s="91">
        <v>10105</v>
      </c>
      <c r="C24" s="92" t="s">
        <v>146</v>
      </c>
      <c r="D24" s="151">
        <v>0</v>
      </c>
    </row>
    <row r="25" ht="14.25">
      <c r="B25" s="94">
        <v>10106</v>
      </c>
      <c r="C25" s="95" t="s">
        <v>147</v>
      </c>
      <c r="D25" s="132">
        <v>0</v>
      </c>
    </row>
    <row r="26" ht="14.25">
      <c r="B26" s="91">
        <v>10107</v>
      </c>
      <c r="C26" s="92" t="s">
        <v>148</v>
      </c>
      <c r="D26" s="151">
        <v>0</v>
      </c>
    </row>
    <row r="27" ht="14.25">
      <c r="B27" s="94">
        <v>10108</v>
      </c>
      <c r="C27" s="95" t="s">
        <v>149</v>
      </c>
      <c r="D27" s="132">
        <v>0</v>
      </c>
    </row>
    <row r="28" ht="14.25">
      <c r="B28" s="91">
        <v>10109</v>
      </c>
      <c r="C28" s="92" t="s">
        <v>150</v>
      </c>
      <c r="D28" s="151">
        <v>0</v>
      </c>
    </row>
    <row r="29" ht="14.25">
      <c r="B29" s="94">
        <v>10110</v>
      </c>
      <c r="C29" s="95" t="s">
        <v>151</v>
      </c>
      <c r="D29" s="132">
        <v>0</v>
      </c>
    </row>
    <row r="30" ht="14.25">
      <c r="B30" s="91">
        <v>10111</v>
      </c>
      <c r="C30" s="92" t="s">
        <v>152</v>
      </c>
      <c r="D30" s="151">
        <v>0</v>
      </c>
    </row>
    <row r="31" ht="14.25">
      <c r="B31" s="94">
        <v>10112</v>
      </c>
      <c r="C31" s="95" t="s">
        <v>153</v>
      </c>
      <c r="D31" s="132">
        <v>0</v>
      </c>
    </row>
    <row r="32" ht="14.25">
      <c r="B32" s="91">
        <v>10113</v>
      </c>
      <c r="C32" s="92" t="s">
        <v>154</v>
      </c>
      <c r="D32" s="151">
        <v>0</v>
      </c>
    </row>
    <row r="33" ht="14.25">
      <c r="B33" s="94">
        <v>10114</v>
      </c>
      <c r="C33" s="95" t="s">
        <v>155</v>
      </c>
      <c r="D33" s="132">
        <v>0</v>
      </c>
    </row>
    <row r="34" ht="14.25">
      <c r="B34" s="91">
        <v>10115</v>
      </c>
      <c r="C34" s="92" t="s">
        <v>156</v>
      </c>
      <c r="D34" s="151">
        <v>0</v>
      </c>
    </row>
    <row r="35" ht="14.25">
      <c r="B35" s="94">
        <v>10116</v>
      </c>
      <c r="C35" s="95" t="s">
        <v>157</v>
      </c>
      <c r="D35" s="132">
        <v>4</v>
      </c>
    </row>
    <row r="36" ht="14.25">
      <c r="B36" s="91">
        <v>10117</v>
      </c>
      <c r="C36" s="92" t="s">
        <v>158</v>
      </c>
      <c r="D36" s="151">
        <v>0</v>
      </c>
    </row>
    <row r="37" ht="14.25">
      <c r="B37" s="94">
        <v>10118</v>
      </c>
      <c r="C37" s="95" t="s">
        <v>159</v>
      </c>
      <c r="D37" s="132">
        <v>0</v>
      </c>
    </row>
    <row r="38" ht="14.25">
      <c r="B38" s="91">
        <v>10119</v>
      </c>
      <c r="C38" s="92" t="s">
        <v>160</v>
      </c>
      <c r="D38" s="151">
        <v>0</v>
      </c>
    </row>
    <row r="39" ht="14.25">
      <c r="B39" s="94">
        <v>10120</v>
      </c>
      <c r="C39" s="95" t="s">
        <v>161</v>
      </c>
      <c r="D39" s="132">
        <v>0</v>
      </c>
    </row>
    <row r="40" ht="14.25">
      <c r="B40" s="91">
        <v>10121</v>
      </c>
      <c r="C40" s="92" t="s">
        <v>162</v>
      </c>
      <c r="D40" s="151">
        <v>2</v>
      </c>
    </row>
    <row r="41" ht="14.25">
      <c r="B41" s="94">
        <v>10201</v>
      </c>
      <c r="C41" s="95" t="s">
        <v>163</v>
      </c>
      <c r="D41" s="132">
        <v>1</v>
      </c>
    </row>
    <row r="42" ht="14.25">
      <c r="B42" s="91">
        <v>10202</v>
      </c>
      <c r="C42" s="92" t="s">
        <v>164</v>
      </c>
      <c r="D42" s="151">
        <v>0</v>
      </c>
    </row>
    <row r="43" ht="14.25">
      <c r="B43" s="94">
        <v>10203</v>
      </c>
      <c r="C43" s="95" t="s">
        <v>165</v>
      </c>
      <c r="D43" s="132">
        <v>0</v>
      </c>
    </row>
    <row r="44" ht="14.25">
      <c r="B44" s="91">
        <v>10204</v>
      </c>
      <c r="C44" s="92" t="s">
        <v>166</v>
      </c>
      <c r="D44" s="151">
        <v>13</v>
      </c>
    </row>
    <row r="45" ht="14.25">
      <c r="B45" s="94">
        <v>10205</v>
      </c>
      <c r="C45" s="95" t="s">
        <v>167</v>
      </c>
      <c r="D45" s="132">
        <v>0</v>
      </c>
    </row>
    <row r="46" ht="14.25">
      <c r="B46" s="91">
        <v>10206</v>
      </c>
      <c r="C46" s="92" t="s">
        <v>168</v>
      </c>
      <c r="D46" s="151">
        <v>4</v>
      </c>
    </row>
    <row r="47" ht="14.25">
      <c r="B47" s="94">
        <v>10207</v>
      </c>
      <c r="C47" s="95" t="s">
        <v>169</v>
      </c>
      <c r="D47" s="132">
        <v>1</v>
      </c>
    </row>
    <row r="48" ht="14.25">
      <c r="B48" s="91">
        <v>10208</v>
      </c>
      <c r="C48" s="92" t="s">
        <v>170</v>
      </c>
      <c r="D48" s="151">
        <v>8</v>
      </c>
    </row>
    <row r="49" ht="14.25">
      <c r="B49" s="94">
        <v>10209</v>
      </c>
      <c r="C49" s="95" t="s">
        <v>171</v>
      </c>
      <c r="D49" s="132">
        <v>0</v>
      </c>
    </row>
    <row r="50" ht="14.25">
      <c r="B50" s="91">
        <v>10210</v>
      </c>
      <c r="C50" s="92" t="s">
        <v>172</v>
      </c>
      <c r="D50" s="151">
        <v>1</v>
      </c>
    </row>
    <row r="51" ht="14.25">
      <c r="B51" s="94">
        <v>10211</v>
      </c>
      <c r="C51" s="95" t="s">
        <v>173</v>
      </c>
      <c r="D51" s="132">
        <v>0</v>
      </c>
    </row>
    <row r="52" ht="14.25">
      <c r="B52" s="91">
        <v>10212</v>
      </c>
      <c r="C52" s="92" t="s">
        <v>174</v>
      </c>
      <c r="D52" s="151">
        <v>1</v>
      </c>
    </row>
    <row r="53" ht="14.25">
      <c r="B53" s="94">
        <v>10213</v>
      </c>
      <c r="C53" s="95" t="s">
        <v>175</v>
      </c>
      <c r="D53" s="132">
        <v>1</v>
      </c>
    </row>
    <row r="54" ht="14.25">
      <c r="B54" s="91">
        <v>10214</v>
      </c>
      <c r="C54" s="92" t="s">
        <v>176</v>
      </c>
      <c r="D54" s="151">
        <v>0</v>
      </c>
    </row>
    <row r="55" ht="14.25">
      <c r="B55" s="94">
        <v>10215</v>
      </c>
      <c r="C55" s="95" t="s">
        <v>177</v>
      </c>
      <c r="D55" s="132">
        <v>0</v>
      </c>
    </row>
    <row r="56" ht="16.5" customHeight="1">
      <c r="B56" s="91">
        <v>10216</v>
      </c>
      <c r="C56" s="92" t="s">
        <v>178</v>
      </c>
      <c r="D56" s="151">
        <v>0</v>
      </c>
    </row>
    <row r="57" ht="14.25">
      <c r="B57" s="94">
        <v>10217</v>
      </c>
      <c r="C57" s="95" t="s">
        <v>179</v>
      </c>
      <c r="D57" s="132">
        <v>0</v>
      </c>
    </row>
    <row r="58" ht="14.25">
      <c r="B58" s="91">
        <v>10218</v>
      </c>
      <c r="C58" s="92" t="s">
        <v>180</v>
      </c>
      <c r="D58" s="151">
        <v>0</v>
      </c>
    </row>
    <row r="59" ht="14.25">
      <c r="B59" s="94">
        <v>10219</v>
      </c>
      <c r="C59" s="95" t="s">
        <v>181</v>
      </c>
      <c r="D59" s="132">
        <v>1</v>
      </c>
    </row>
    <row r="60" ht="14.25">
      <c r="B60" s="91">
        <v>10220</v>
      </c>
      <c r="C60" s="92" t="s">
        <v>182</v>
      </c>
      <c r="D60" s="151">
        <v>3</v>
      </c>
    </row>
    <row r="61" ht="14.25">
      <c r="B61" s="94">
        <v>10301</v>
      </c>
      <c r="C61" s="95" t="s">
        <v>183</v>
      </c>
      <c r="D61" s="132">
        <v>0</v>
      </c>
    </row>
    <row r="62" ht="14.25">
      <c r="B62" s="91">
        <v>10302</v>
      </c>
      <c r="C62" s="92" t="s">
        <v>184</v>
      </c>
      <c r="D62" s="151">
        <v>0</v>
      </c>
    </row>
    <row r="63" ht="14.25">
      <c r="B63" s="94">
        <v>10303</v>
      </c>
      <c r="C63" s="95" t="s">
        <v>185</v>
      </c>
      <c r="D63" s="132">
        <v>1</v>
      </c>
    </row>
    <row r="64" ht="14.25">
      <c r="B64" s="91">
        <v>10304</v>
      </c>
      <c r="C64" s="92" t="s">
        <v>186</v>
      </c>
      <c r="D64" s="151">
        <v>0</v>
      </c>
    </row>
    <row r="65" ht="16.5">
      <c r="B65" s="94">
        <v>10305</v>
      </c>
      <c r="C65" s="95" t="s">
        <v>187</v>
      </c>
      <c r="D65" s="132">
        <v>6</v>
      </c>
    </row>
    <row r="66" ht="16.5">
      <c r="B66" s="91">
        <v>10306</v>
      </c>
      <c r="C66" s="92" t="s">
        <v>188</v>
      </c>
      <c r="D66" s="151">
        <v>1</v>
      </c>
    </row>
    <row r="67" ht="16.5">
      <c r="B67" s="94">
        <v>10307</v>
      </c>
      <c r="C67" s="95" t="s">
        <v>189</v>
      </c>
      <c r="D67" s="132">
        <v>11</v>
      </c>
    </row>
    <row r="68" ht="16.5">
      <c r="B68" s="91">
        <v>10308</v>
      </c>
      <c r="C68" s="92" t="s">
        <v>190</v>
      </c>
      <c r="D68" s="151">
        <v>21</v>
      </c>
    </row>
    <row r="69" ht="16.5">
      <c r="B69" s="94">
        <v>10309</v>
      </c>
      <c r="C69" s="95" t="s">
        <v>191</v>
      </c>
      <c r="D69" s="132">
        <v>0</v>
      </c>
    </row>
    <row r="70" ht="16.5">
      <c r="B70" s="91">
        <v>10310</v>
      </c>
      <c r="C70" s="92" t="s">
        <v>192</v>
      </c>
      <c r="D70" s="151">
        <v>1</v>
      </c>
    </row>
    <row r="71" ht="16.5">
      <c r="B71" s="94">
        <v>10311</v>
      </c>
      <c r="C71" s="95" t="s">
        <v>193</v>
      </c>
      <c r="D71" s="132">
        <v>0</v>
      </c>
    </row>
    <row r="72" ht="16.5">
      <c r="B72" s="91">
        <v>10312</v>
      </c>
      <c r="C72" s="92" t="s">
        <v>194</v>
      </c>
      <c r="D72" s="151">
        <v>8</v>
      </c>
    </row>
    <row r="73" ht="16.5">
      <c r="B73" s="94">
        <v>10313</v>
      </c>
      <c r="C73" s="95" t="s">
        <v>195</v>
      </c>
      <c r="D73" s="132">
        <v>1</v>
      </c>
    </row>
    <row r="74" ht="16.5">
      <c r="B74" s="91">
        <v>10314</v>
      </c>
      <c r="C74" s="92" t="s">
        <v>196</v>
      </c>
      <c r="D74" s="151">
        <v>2</v>
      </c>
    </row>
    <row r="75" ht="16.5">
      <c r="B75" s="94">
        <v>10315</v>
      </c>
      <c r="C75" s="95" t="s">
        <v>197</v>
      </c>
      <c r="D75" s="132">
        <v>2</v>
      </c>
    </row>
    <row r="76" ht="16.5">
      <c r="B76" s="91">
        <v>10316</v>
      </c>
      <c r="C76" s="92" t="s">
        <v>198</v>
      </c>
      <c r="D76" s="151">
        <v>17</v>
      </c>
    </row>
    <row r="77" ht="16.5">
      <c r="B77" s="94">
        <v>10317</v>
      </c>
      <c r="C77" s="95" t="s">
        <v>199</v>
      </c>
      <c r="D77" s="132">
        <v>4</v>
      </c>
    </row>
    <row r="78" ht="16.5">
      <c r="B78" s="91">
        <v>10318</v>
      </c>
      <c r="C78" s="92" t="s">
        <v>200</v>
      </c>
      <c r="D78" s="151">
        <v>1</v>
      </c>
    </row>
    <row r="79" ht="16.5">
      <c r="B79" s="94">
        <v>10319</v>
      </c>
      <c r="C79" s="95" t="s">
        <v>201</v>
      </c>
      <c r="D79" s="132">
        <v>0</v>
      </c>
    </row>
    <row r="80" ht="16.5">
      <c r="B80" s="97">
        <v>20101</v>
      </c>
      <c r="C80" s="98" t="s">
        <v>202</v>
      </c>
      <c r="D80" s="152">
        <v>0</v>
      </c>
    </row>
    <row r="81" ht="16.5">
      <c r="B81" s="100">
        <v>20102</v>
      </c>
      <c r="C81" s="101" t="s">
        <v>203</v>
      </c>
      <c r="D81" s="153">
        <v>0</v>
      </c>
    </row>
    <row r="82" ht="16.5">
      <c r="B82" s="97">
        <v>20103</v>
      </c>
      <c r="C82" s="98" t="s">
        <v>204</v>
      </c>
      <c r="D82" s="152">
        <v>1</v>
      </c>
    </row>
    <row r="83" ht="16.5">
      <c r="B83" s="100">
        <v>20104</v>
      </c>
      <c r="C83" s="101" t="s">
        <v>205</v>
      </c>
      <c r="D83" s="153">
        <v>2</v>
      </c>
    </row>
    <row r="84" ht="16.5">
      <c r="B84" s="97">
        <v>20105</v>
      </c>
      <c r="C84" s="98" t="s">
        <v>206</v>
      </c>
      <c r="D84" s="152">
        <v>6</v>
      </c>
    </row>
    <row r="85" ht="16.5">
      <c r="B85" s="100">
        <v>20106</v>
      </c>
      <c r="C85" s="101" t="s">
        <v>207</v>
      </c>
      <c r="D85" s="153">
        <v>0</v>
      </c>
    </row>
    <row r="86" ht="16.5">
      <c r="B86" s="97">
        <v>20107</v>
      </c>
      <c r="C86" s="98" t="s">
        <v>208</v>
      </c>
      <c r="D86" s="152">
        <v>0</v>
      </c>
    </row>
    <row r="87" ht="16.5">
      <c r="B87" s="100">
        <v>20108</v>
      </c>
      <c r="C87" s="101" t="s">
        <v>209</v>
      </c>
      <c r="D87" s="153">
        <v>0</v>
      </c>
    </row>
    <row r="88" ht="16.5">
      <c r="B88" s="97">
        <v>20109</v>
      </c>
      <c r="C88" s="98" t="s">
        <v>210</v>
      </c>
      <c r="D88" s="152">
        <v>0</v>
      </c>
    </row>
    <row r="89" ht="16.5">
      <c r="B89" s="100">
        <v>20110</v>
      </c>
      <c r="C89" s="101" t="s">
        <v>211</v>
      </c>
      <c r="D89" s="153">
        <v>2</v>
      </c>
    </row>
    <row r="90" ht="16.5">
      <c r="B90" s="97">
        <v>20111</v>
      </c>
      <c r="C90" s="98" t="s">
        <v>212</v>
      </c>
      <c r="D90" s="152">
        <v>1</v>
      </c>
    </row>
    <row r="91" ht="16.5">
      <c r="B91" s="100">
        <v>20112</v>
      </c>
      <c r="C91" s="101" t="s">
        <v>213</v>
      </c>
      <c r="D91" s="153">
        <v>0</v>
      </c>
    </row>
    <row r="92" ht="16.5">
      <c r="B92" s="97">
        <v>20113</v>
      </c>
      <c r="C92" s="98" t="s">
        <v>214</v>
      </c>
      <c r="D92" s="152">
        <v>2</v>
      </c>
    </row>
    <row r="93" ht="16.5">
      <c r="B93" s="100">
        <v>20114</v>
      </c>
      <c r="C93" s="101" t="s">
        <v>215</v>
      </c>
      <c r="D93" s="153">
        <v>0</v>
      </c>
    </row>
    <row r="94" ht="16.5">
      <c r="B94" s="97">
        <v>20201</v>
      </c>
      <c r="C94" s="98" t="s">
        <v>216</v>
      </c>
      <c r="D94" s="152">
        <v>6</v>
      </c>
    </row>
    <row r="95" ht="16.5">
      <c r="B95" s="100">
        <v>20202</v>
      </c>
      <c r="C95" s="101" t="s">
        <v>217</v>
      </c>
      <c r="D95" s="153">
        <v>0</v>
      </c>
    </row>
    <row r="96" ht="16.5">
      <c r="B96" s="97">
        <v>20203</v>
      </c>
      <c r="C96" s="98" t="s">
        <v>218</v>
      </c>
      <c r="D96" s="152">
        <v>8</v>
      </c>
    </row>
    <row r="97" ht="16.5">
      <c r="B97" s="100">
        <v>20204</v>
      </c>
      <c r="C97" s="101" t="s">
        <v>219</v>
      </c>
      <c r="D97" s="153">
        <v>0</v>
      </c>
    </row>
    <row r="98" ht="16.5">
      <c r="B98" s="97">
        <v>20205</v>
      </c>
      <c r="C98" s="98" t="s">
        <v>220</v>
      </c>
      <c r="D98" s="152">
        <v>0</v>
      </c>
    </row>
    <row r="99" ht="16.5">
      <c r="B99" s="100">
        <v>20206</v>
      </c>
      <c r="C99" s="101" t="s">
        <v>221</v>
      </c>
      <c r="D99" s="153">
        <v>0</v>
      </c>
    </row>
    <row r="100" ht="16.5">
      <c r="B100" s="97">
        <v>20207</v>
      </c>
      <c r="C100" s="98" t="s">
        <v>222</v>
      </c>
      <c r="D100" s="152">
        <v>0</v>
      </c>
    </row>
    <row r="101" ht="16.5">
      <c r="B101" s="100">
        <v>20208</v>
      </c>
      <c r="C101" s="101" t="s">
        <v>223</v>
      </c>
      <c r="D101" s="153">
        <v>0</v>
      </c>
    </row>
    <row r="102" ht="16.5">
      <c r="B102" s="97">
        <v>20209</v>
      </c>
      <c r="C102" s="98" t="s">
        <v>224</v>
      </c>
      <c r="D102" s="152">
        <v>1</v>
      </c>
    </row>
    <row r="103" ht="16.5">
      <c r="B103" s="100">
        <v>20210</v>
      </c>
      <c r="C103" s="101" t="s">
        <v>225</v>
      </c>
      <c r="D103" s="153">
        <v>11</v>
      </c>
    </row>
    <row r="104" ht="16.5">
      <c r="B104" s="97">
        <v>20211</v>
      </c>
      <c r="C104" s="98" t="s">
        <v>226</v>
      </c>
      <c r="D104" s="152">
        <v>0</v>
      </c>
    </row>
    <row r="105" ht="16.5">
      <c r="B105" s="100">
        <v>20212</v>
      </c>
      <c r="C105" s="101" t="s">
        <v>227</v>
      </c>
      <c r="D105" s="153">
        <v>0</v>
      </c>
    </row>
    <row r="106" ht="16.5">
      <c r="B106" s="97">
        <v>20213</v>
      </c>
      <c r="C106" s="98" t="s">
        <v>228</v>
      </c>
      <c r="D106" s="152">
        <v>0</v>
      </c>
    </row>
    <row r="107" ht="16.5">
      <c r="B107" s="100">
        <v>20214</v>
      </c>
      <c r="C107" s="101" t="s">
        <v>229</v>
      </c>
      <c r="D107" s="153">
        <v>0</v>
      </c>
    </row>
    <row r="108" ht="16.5">
      <c r="B108" s="97">
        <v>20301</v>
      </c>
      <c r="C108" s="98" t="s">
        <v>230</v>
      </c>
      <c r="D108" s="152">
        <v>10</v>
      </c>
    </row>
    <row r="109" ht="16.5">
      <c r="B109" s="100">
        <v>20302</v>
      </c>
      <c r="C109" s="101" t="s">
        <v>231</v>
      </c>
      <c r="D109" s="153">
        <v>0</v>
      </c>
    </row>
    <row r="110" ht="16.5">
      <c r="B110" s="97">
        <v>20303</v>
      </c>
      <c r="C110" s="98" t="s">
        <v>232</v>
      </c>
      <c r="D110" s="152">
        <v>3</v>
      </c>
    </row>
    <row r="111" ht="16.5">
      <c r="B111" s="100">
        <v>20304</v>
      </c>
      <c r="C111" s="101" t="s">
        <v>233</v>
      </c>
      <c r="D111" s="153">
        <v>1</v>
      </c>
    </row>
    <row r="112" ht="16.5">
      <c r="B112" s="97">
        <v>20305</v>
      </c>
      <c r="C112" s="98" t="s">
        <v>234</v>
      </c>
      <c r="D112" s="152">
        <v>0</v>
      </c>
    </row>
    <row r="113" ht="16.5">
      <c r="B113" s="100">
        <v>20306</v>
      </c>
      <c r="C113" s="101" t="s">
        <v>235</v>
      </c>
      <c r="D113" s="153">
        <v>0</v>
      </c>
    </row>
    <row r="114" ht="16.5">
      <c r="B114" s="97">
        <v>20307</v>
      </c>
      <c r="C114" s="98" t="s">
        <v>236</v>
      </c>
      <c r="D114" s="152">
        <v>0</v>
      </c>
    </row>
    <row r="115" ht="16.5">
      <c r="B115" s="100">
        <v>20308</v>
      </c>
      <c r="C115" s="101" t="s">
        <v>237</v>
      </c>
      <c r="D115" s="153">
        <v>0</v>
      </c>
    </row>
    <row r="116" ht="16.5">
      <c r="B116" s="97">
        <v>20309</v>
      </c>
      <c r="C116" s="98" t="s">
        <v>238</v>
      </c>
      <c r="D116" s="152">
        <v>0</v>
      </c>
    </row>
    <row r="117" ht="16.5">
      <c r="B117" s="100">
        <v>20310</v>
      </c>
      <c r="C117" s="101" t="s">
        <v>239</v>
      </c>
      <c r="D117" s="153">
        <v>0</v>
      </c>
    </row>
    <row r="118" ht="16.5">
      <c r="B118" s="97">
        <v>20311</v>
      </c>
      <c r="C118" s="98" t="s">
        <v>240</v>
      </c>
      <c r="D118" s="152">
        <v>23</v>
      </c>
    </row>
    <row r="119" ht="16.5">
      <c r="B119" s="100">
        <v>20401</v>
      </c>
      <c r="C119" s="101" t="s">
        <v>241</v>
      </c>
      <c r="D119" s="153">
        <v>0</v>
      </c>
    </row>
    <row r="120" ht="16.5">
      <c r="B120" s="97">
        <v>20402</v>
      </c>
      <c r="C120" s="98" t="s">
        <v>242</v>
      </c>
      <c r="D120" s="152">
        <v>0</v>
      </c>
    </row>
    <row r="121" ht="16.5">
      <c r="B121" s="100">
        <v>20403</v>
      </c>
      <c r="C121" s="101" t="s">
        <v>243</v>
      </c>
      <c r="D121" s="153">
        <v>4</v>
      </c>
    </row>
    <row r="122" ht="16.5">
      <c r="B122" s="97">
        <v>20404</v>
      </c>
      <c r="C122" s="98" t="s">
        <v>244</v>
      </c>
      <c r="D122" s="152">
        <v>0</v>
      </c>
    </row>
    <row r="123" ht="16.5">
      <c r="B123" s="104">
        <v>30101</v>
      </c>
      <c r="C123" s="105" t="s">
        <v>245</v>
      </c>
      <c r="D123" s="154">
        <v>12</v>
      </c>
    </row>
    <row r="124" ht="16.5">
      <c r="B124" s="107">
        <v>30102</v>
      </c>
      <c r="C124" s="108" t="s">
        <v>246</v>
      </c>
      <c r="D124" s="155">
        <v>0</v>
      </c>
    </row>
    <row r="125" ht="16.5">
      <c r="B125" s="104">
        <v>30103</v>
      </c>
      <c r="C125" s="105" t="s">
        <v>247</v>
      </c>
      <c r="D125" s="154">
        <v>19</v>
      </c>
    </row>
    <row r="126" ht="16.5">
      <c r="B126" s="107">
        <v>30201</v>
      </c>
      <c r="C126" s="108" t="s">
        <v>248</v>
      </c>
      <c r="D126" s="155">
        <v>0</v>
      </c>
    </row>
    <row r="127" ht="16.5">
      <c r="B127" s="104">
        <v>30202</v>
      </c>
      <c r="C127" s="105" t="s">
        <v>249</v>
      </c>
      <c r="D127" s="154">
        <v>3</v>
      </c>
    </row>
    <row r="128" ht="16.5">
      <c r="B128" s="107">
        <v>30203</v>
      </c>
      <c r="C128" s="108" t="s">
        <v>250</v>
      </c>
      <c r="D128" s="155">
        <v>0</v>
      </c>
    </row>
    <row r="129" ht="16.5">
      <c r="B129" s="104">
        <v>30204</v>
      </c>
      <c r="C129" s="105" t="s">
        <v>251</v>
      </c>
      <c r="D129" s="154">
        <v>11</v>
      </c>
    </row>
    <row r="130" ht="16.5">
      <c r="B130" s="107">
        <v>30205</v>
      </c>
      <c r="C130" s="108" t="s">
        <v>252</v>
      </c>
      <c r="D130" s="155">
        <v>0</v>
      </c>
    </row>
    <row r="131" ht="16.5">
      <c r="B131" s="104">
        <v>30206</v>
      </c>
      <c r="C131" s="105" t="s">
        <v>253</v>
      </c>
      <c r="D131" s="154">
        <v>0</v>
      </c>
    </row>
    <row r="132" ht="16.5">
      <c r="B132" s="107">
        <v>30207</v>
      </c>
      <c r="C132" s="108" t="s">
        <v>254</v>
      </c>
      <c r="D132" s="155">
        <v>1</v>
      </c>
    </row>
    <row r="133" ht="16.5">
      <c r="B133" s="104">
        <v>30301</v>
      </c>
      <c r="C133" s="105" t="s">
        <v>255</v>
      </c>
      <c r="D133" s="154">
        <v>0</v>
      </c>
    </row>
    <row r="134" ht="16.5">
      <c r="B134" s="107">
        <v>30302</v>
      </c>
      <c r="C134" s="108" t="s">
        <v>256</v>
      </c>
      <c r="D134" s="155">
        <v>0</v>
      </c>
    </row>
    <row r="135" ht="16.5">
      <c r="B135" s="104">
        <v>30303</v>
      </c>
      <c r="C135" s="105" t="s">
        <v>257</v>
      </c>
      <c r="D135" s="154">
        <v>1</v>
      </c>
    </row>
    <row r="136" ht="16.5">
      <c r="B136" s="107">
        <v>30304</v>
      </c>
      <c r="C136" s="108" t="s">
        <v>258</v>
      </c>
      <c r="D136" s="155">
        <v>0</v>
      </c>
    </row>
    <row r="137" ht="16.5">
      <c r="B137" s="104">
        <v>30305</v>
      </c>
      <c r="C137" s="105" t="s">
        <v>259</v>
      </c>
      <c r="D137" s="154">
        <v>5</v>
      </c>
    </row>
    <row r="138" ht="16.5">
      <c r="B138" s="107">
        <v>30306</v>
      </c>
      <c r="C138" s="108" t="s">
        <v>260</v>
      </c>
      <c r="D138" s="155">
        <v>0</v>
      </c>
    </row>
    <row r="139" ht="16.5">
      <c r="B139" s="104">
        <v>30307</v>
      </c>
      <c r="C139" s="105" t="s">
        <v>261</v>
      </c>
      <c r="D139" s="154">
        <v>3</v>
      </c>
    </row>
    <row r="140" ht="16.5">
      <c r="B140" s="107">
        <v>30308</v>
      </c>
      <c r="C140" s="108" t="s">
        <v>262</v>
      </c>
      <c r="D140" s="155">
        <v>6</v>
      </c>
    </row>
    <row r="141" ht="16.5">
      <c r="B141" s="104">
        <v>30309</v>
      </c>
      <c r="C141" s="105" t="s">
        <v>263</v>
      </c>
      <c r="D141" s="154">
        <v>38</v>
      </c>
    </row>
    <row r="142" ht="16.5">
      <c r="B142" s="107">
        <v>30310</v>
      </c>
      <c r="C142" s="108" t="s">
        <v>264</v>
      </c>
      <c r="D142" s="155">
        <v>28</v>
      </c>
    </row>
    <row r="143" ht="16.5">
      <c r="B143" s="104">
        <v>30401</v>
      </c>
      <c r="C143" s="105" t="s">
        <v>265</v>
      </c>
      <c r="D143" s="154">
        <v>243</v>
      </c>
    </row>
    <row r="144" ht="16.5">
      <c r="B144" s="107">
        <v>30402</v>
      </c>
      <c r="C144" s="108" t="s">
        <v>266</v>
      </c>
      <c r="D144" s="155">
        <v>93</v>
      </c>
    </row>
    <row r="145" ht="16.5">
      <c r="B145" s="104">
        <v>30403</v>
      </c>
      <c r="C145" s="105" t="s">
        <v>267</v>
      </c>
      <c r="D145" s="154">
        <v>0</v>
      </c>
    </row>
    <row r="146" ht="16.5">
      <c r="B146" s="107">
        <v>30404</v>
      </c>
      <c r="C146" s="108" t="s">
        <v>268</v>
      </c>
      <c r="D146" s="155">
        <v>9</v>
      </c>
    </row>
    <row r="147" ht="16.5">
      <c r="B147" s="104">
        <v>30405</v>
      </c>
      <c r="C147" s="105" t="s">
        <v>269</v>
      </c>
      <c r="D147" s="154">
        <v>0</v>
      </c>
    </row>
    <row r="148" ht="16.5">
      <c r="B148" s="107">
        <v>30406</v>
      </c>
      <c r="C148" s="108" t="s">
        <v>270</v>
      </c>
      <c r="D148" s="155">
        <v>2</v>
      </c>
    </row>
    <row r="149" ht="16.5">
      <c r="B149" s="104">
        <v>30407</v>
      </c>
      <c r="C149" s="105" t="s">
        <v>271</v>
      </c>
      <c r="D149" s="154">
        <v>0</v>
      </c>
    </row>
    <row r="150" ht="16.5">
      <c r="B150" s="107">
        <v>30408</v>
      </c>
      <c r="C150" s="108" t="s">
        <v>272</v>
      </c>
      <c r="D150" s="155">
        <v>0</v>
      </c>
    </row>
    <row r="151" ht="16.5">
      <c r="B151" s="104">
        <v>30409</v>
      </c>
      <c r="C151" s="105" t="s">
        <v>273</v>
      </c>
      <c r="D151" s="154">
        <v>1</v>
      </c>
    </row>
    <row r="152" ht="16.5">
      <c r="B152" s="107">
        <v>30410</v>
      </c>
      <c r="C152" s="108" t="s">
        <v>274</v>
      </c>
      <c r="D152" s="155">
        <v>0</v>
      </c>
    </row>
    <row r="153" ht="16.5">
      <c r="B153" s="104">
        <v>30411</v>
      </c>
      <c r="C153" s="105" t="s">
        <v>275</v>
      </c>
      <c r="D153" s="154">
        <v>0</v>
      </c>
    </row>
    <row r="154" ht="16.5">
      <c r="B154" s="107">
        <v>30412</v>
      </c>
      <c r="C154" s="108" t="s">
        <v>276</v>
      </c>
      <c r="D154" s="155">
        <v>0</v>
      </c>
    </row>
    <row r="155" ht="16.5">
      <c r="B155" s="104">
        <v>30413</v>
      </c>
      <c r="C155" s="105" t="s">
        <v>277</v>
      </c>
      <c r="D155" s="154">
        <v>0</v>
      </c>
    </row>
    <row r="156" ht="16.5">
      <c r="B156" s="107">
        <v>30414</v>
      </c>
      <c r="C156" s="108" t="s">
        <v>278</v>
      </c>
      <c r="D156" s="155">
        <v>3</v>
      </c>
    </row>
    <row r="157" ht="16.5">
      <c r="B157" s="104">
        <v>30415</v>
      </c>
      <c r="C157" s="105" t="s">
        <v>279</v>
      </c>
      <c r="D157" s="154">
        <v>0</v>
      </c>
    </row>
    <row r="158" ht="16.5">
      <c r="B158" s="107">
        <v>30416</v>
      </c>
      <c r="C158" s="108" t="s">
        <v>280</v>
      </c>
      <c r="D158" s="155">
        <v>1</v>
      </c>
    </row>
    <row r="159" ht="16.5">
      <c r="B159" s="104">
        <v>30417</v>
      </c>
      <c r="C159" s="105" t="s">
        <v>281</v>
      </c>
      <c r="D159" s="154">
        <v>0</v>
      </c>
    </row>
    <row r="160" ht="16.5">
      <c r="B160" s="107">
        <v>30418</v>
      </c>
      <c r="C160" s="108" t="s">
        <v>282</v>
      </c>
      <c r="D160" s="155">
        <v>0</v>
      </c>
    </row>
    <row r="161" ht="16.5">
      <c r="B161" s="104">
        <v>30419</v>
      </c>
      <c r="C161" s="105" t="s">
        <v>283</v>
      </c>
      <c r="D161" s="154">
        <v>6</v>
      </c>
    </row>
    <row r="162" ht="16.5">
      <c r="B162" s="107">
        <v>30420</v>
      </c>
      <c r="C162" s="108" t="s">
        <v>284</v>
      </c>
      <c r="D162" s="155">
        <v>4</v>
      </c>
    </row>
    <row r="163" ht="16.5">
      <c r="B163" s="104">
        <v>30421</v>
      </c>
      <c r="C163" s="105" t="s">
        <v>285</v>
      </c>
      <c r="D163" s="154">
        <v>3</v>
      </c>
    </row>
    <row r="164" ht="16.5">
      <c r="B164" s="107">
        <v>30422</v>
      </c>
      <c r="C164" s="108" t="s">
        <v>286</v>
      </c>
      <c r="D164" s="155">
        <v>5</v>
      </c>
    </row>
    <row r="165" ht="16.5">
      <c r="B165" s="104">
        <v>30423</v>
      </c>
      <c r="C165" s="105" t="s">
        <v>287</v>
      </c>
      <c r="D165" s="154">
        <v>0</v>
      </c>
    </row>
    <row r="166" ht="16.5">
      <c r="B166" s="107">
        <v>30424</v>
      </c>
      <c r="C166" s="108" t="s">
        <v>288</v>
      </c>
      <c r="D166" s="155">
        <v>0</v>
      </c>
    </row>
    <row r="167" ht="16.5">
      <c r="B167" s="104">
        <v>30425</v>
      </c>
      <c r="C167" s="105" t="s">
        <v>289</v>
      </c>
      <c r="D167" s="154">
        <v>0</v>
      </c>
    </row>
    <row r="168" ht="16.5">
      <c r="B168" s="107">
        <v>30426</v>
      </c>
      <c r="C168" s="108" t="s">
        <v>290</v>
      </c>
      <c r="D168" s="155">
        <v>0</v>
      </c>
    </row>
    <row r="169" ht="16.5">
      <c r="B169" s="104">
        <v>30427</v>
      </c>
      <c r="C169" s="105" t="s">
        <v>291</v>
      </c>
      <c r="D169" s="154">
        <v>0</v>
      </c>
    </row>
    <row r="170" ht="16.5">
      <c r="B170" s="107">
        <v>30428</v>
      </c>
      <c r="C170" s="108" t="s">
        <v>292</v>
      </c>
      <c r="D170" s="155">
        <v>0</v>
      </c>
    </row>
    <row r="171" ht="16.5">
      <c r="B171" s="104">
        <v>30429</v>
      </c>
      <c r="C171" s="105" t="s">
        <v>293</v>
      </c>
      <c r="D171" s="154">
        <v>2</v>
      </c>
    </row>
    <row r="172" ht="16.5">
      <c r="B172" s="107">
        <v>30430</v>
      </c>
      <c r="C172" s="108" t="s">
        <v>294</v>
      </c>
      <c r="D172" s="155">
        <v>10</v>
      </c>
    </row>
    <row r="173" ht="16.5">
      <c r="B173" s="104">
        <v>30431</v>
      </c>
      <c r="C173" s="105" t="s">
        <v>295</v>
      </c>
      <c r="D173" s="154">
        <v>0</v>
      </c>
    </row>
    <row r="174" ht="16.5">
      <c r="B174" s="107">
        <v>30432</v>
      </c>
      <c r="C174" s="108" t="s">
        <v>296</v>
      </c>
      <c r="D174" s="155">
        <v>0</v>
      </c>
    </row>
    <row r="175" ht="16.5">
      <c r="B175" s="104">
        <v>30433</v>
      </c>
      <c r="C175" s="105" t="s">
        <v>297</v>
      </c>
      <c r="D175" s="154">
        <v>0</v>
      </c>
    </row>
    <row r="176" ht="16.5">
      <c r="B176" s="107">
        <v>30434</v>
      </c>
      <c r="C176" s="108" t="s">
        <v>298</v>
      </c>
      <c r="D176" s="155">
        <v>0</v>
      </c>
    </row>
    <row r="177" ht="16.5">
      <c r="B177" s="104">
        <v>30435</v>
      </c>
      <c r="C177" s="105" t="s">
        <v>299</v>
      </c>
      <c r="D177" s="154">
        <v>0</v>
      </c>
    </row>
    <row r="178" ht="16.5">
      <c r="B178" s="107">
        <v>30436</v>
      </c>
      <c r="C178" s="108" t="s">
        <v>300</v>
      </c>
      <c r="D178" s="155">
        <v>0</v>
      </c>
    </row>
    <row r="179" ht="16.5">
      <c r="B179" s="104">
        <v>30437</v>
      </c>
      <c r="C179" s="105" t="s">
        <v>301</v>
      </c>
      <c r="D179" s="154">
        <v>0</v>
      </c>
    </row>
    <row r="180" ht="16.5">
      <c r="B180" s="107">
        <v>30438</v>
      </c>
      <c r="C180" s="108" t="s">
        <v>302</v>
      </c>
      <c r="D180" s="155">
        <v>0</v>
      </c>
    </row>
    <row r="181" ht="16.5">
      <c r="B181" s="104">
        <v>30439</v>
      </c>
      <c r="C181" s="105" t="s">
        <v>303</v>
      </c>
      <c r="D181" s="154">
        <v>0</v>
      </c>
    </row>
    <row r="182" ht="16.5">
      <c r="B182" s="107">
        <v>30440</v>
      </c>
      <c r="C182" s="108" t="s">
        <v>304</v>
      </c>
      <c r="D182" s="155">
        <v>1</v>
      </c>
    </row>
    <row r="183" ht="16.5">
      <c r="B183" s="104">
        <v>30441</v>
      </c>
      <c r="C183" s="105" t="s">
        <v>305</v>
      </c>
      <c r="D183" s="154">
        <v>0</v>
      </c>
    </row>
    <row r="184" ht="16.5">
      <c r="B184" s="107">
        <v>30442</v>
      </c>
      <c r="C184" s="108" t="s">
        <v>306</v>
      </c>
      <c r="D184" s="155">
        <v>0</v>
      </c>
    </row>
    <row r="185" ht="16.5">
      <c r="B185" s="104">
        <v>30443</v>
      </c>
      <c r="C185" s="105" t="s">
        <v>307</v>
      </c>
      <c r="D185" s="154">
        <v>0</v>
      </c>
    </row>
    <row r="186" ht="16.5">
      <c r="B186" s="107">
        <v>30444</v>
      </c>
      <c r="C186" s="108" t="s">
        <v>308</v>
      </c>
      <c r="D186" s="155">
        <v>0</v>
      </c>
    </row>
    <row r="187" ht="16.5">
      <c r="B187" s="104">
        <v>30445</v>
      </c>
      <c r="C187" s="105" t="s">
        <v>309</v>
      </c>
      <c r="D187" s="154">
        <v>0</v>
      </c>
    </row>
    <row r="188" ht="16.5">
      <c r="B188" s="107">
        <v>30446</v>
      </c>
      <c r="C188" s="108" t="s">
        <v>310</v>
      </c>
      <c r="D188" s="155">
        <v>2</v>
      </c>
    </row>
    <row r="189" ht="16.5">
      <c r="B189" s="104">
        <v>30501</v>
      </c>
      <c r="C189" s="105" t="s">
        <v>311</v>
      </c>
      <c r="D189" s="154">
        <v>5</v>
      </c>
    </row>
    <row r="190" ht="16.5">
      <c r="B190" s="107">
        <v>30502</v>
      </c>
      <c r="C190" s="108" t="s">
        <v>312</v>
      </c>
      <c r="D190" s="155">
        <v>75</v>
      </c>
    </row>
    <row r="191" ht="16.5">
      <c r="B191" s="104">
        <v>30503</v>
      </c>
      <c r="C191" s="105" t="s">
        <v>313</v>
      </c>
      <c r="D191" s="154">
        <v>65</v>
      </c>
    </row>
    <row r="192" ht="16.5">
      <c r="B192" s="107">
        <v>30504</v>
      </c>
      <c r="C192" s="108" t="s">
        <v>314</v>
      </c>
      <c r="D192" s="155">
        <v>17</v>
      </c>
    </row>
    <row r="193" ht="16.5">
      <c r="B193" s="104">
        <v>30505</v>
      </c>
      <c r="C193" s="105" t="s">
        <v>315</v>
      </c>
      <c r="D193" s="154">
        <v>3</v>
      </c>
    </row>
    <row r="194" ht="16.5">
      <c r="B194" s="107">
        <v>30601</v>
      </c>
      <c r="C194" s="108" t="s">
        <v>316</v>
      </c>
      <c r="D194" s="155">
        <v>1</v>
      </c>
    </row>
    <row r="195" ht="16.5">
      <c r="B195" s="104">
        <v>30602</v>
      </c>
      <c r="C195" s="105" t="s">
        <v>317</v>
      </c>
      <c r="D195" s="154">
        <v>6</v>
      </c>
    </row>
    <row r="196" ht="16.5">
      <c r="B196" s="107">
        <v>30603</v>
      </c>
      <c r="C196" s="108" t="s">
        <v>318</v>
      </c>
      <c r="D196" s="155">
        <v>1</v>
      </c>
    </row>
    <row r="197" ht="16.5">
      <c r="B197" s="104">
        <v>30604</v>
      </c>
      <c r="C197" s="105" t="s">
        <v>319</v>
      </c>
      <c r="D197" s="154">
        <v>0</v>
      </c>
    </row>
    <row r="198" ht="16.5">
      <c r="B198" s="107">
        <v>30605</v>
      </c>
      <c r="C198" s="108" t="s">
        <v>320</v>
      </c>
      <c r="D198" s="155">
        <v>0</v>
      </c>
    </row>
    <row r="199" ht="16.5">
      <c r="B199" s="104">
        <v>30606</v>
      </c>
      <c r="C199" s="105" t="s">
        <v>321</v>
      </c>
      <c r="D199" s="154">
        <v>1</v>
      </c>
    </row>
    <row r="200" ht="16.5">
      <c r="B200" s="107">
        <v>30607</v>
      </c>
      <c r="C200" s="108" t="s">
        <v>322</v>
      </c>
      <c r="D200" s="155">
        <v>0</v>
      </c>
    </row>
    <row r="201" ht="16.5">
      <c r="B201" s="104">
        <v>30608</v>
      </c>
      <c r="C201" s="105" t="s">
        <v>323</v>
      </c>
      <c r="D201" s="154">
        <v>0</v>
      </c>
    </row>
    <row r="202" ht="16.5">
      <c r="B202" s="107">
        <v>30609</v>
      </c>
      <c r="C202" s="108" t="s">
        <v>324</v>
      </c>
      <c r="D202" s="155">
        <v>1</v>
      </c>
    </row>
    <row r="203" ht="16.5">
      <c r="B203" s="104">
        <v>30610</v>
      </c>
      <c r="C203" s="105" t="s">
        <v>325</v>
      </c>
      <c r="D203" s="154">
        <v>2</v>
      </c>
    </row>
    <row r="204" ht="16.5">
      <c r="B204" s="107">
        <v>30611</v>
      </c>
      <c r="C204" s="108" t="s">
        <v>326</v>
      </c>
      <c r="D204" s="155">
        <v>0</v>
      </c>
    </row>
    <row r="205" ht="16.5">
      <c r="B205" s="104">
        <v>30701</v>
      </c>
      <c r="C205" s="105" t="s">
        <v>327</v>
      </c>
      <c r="D205" s="154">
        <v>1</v>
      </c>
    </row>
    <row r="206" ht="16.5">
      <c r="B206" s="107">
        <v>30702</v>
      </c>
      <c r="C206" s="108" t="s">
        <v>328</v>
      </c>
      <c r="D206" s="155">
        <v>3</v>
      </c>
    </row>
    <row r="207" ht="16.5">
      <c r="B207" s="104">
        <v>30703</v>
      </c>
      <c r="C207" s="105" t="s">
        <v>329</v>
      </c>
      <c r="D207" s="154">
        <v>1</v>
      </c>
    </row>
    <row r="208" ht="16.5">
      <c r="B208" s="107">
        <v>30704</v>
      </c>
      <c r="C208" s="108" t="s">
        <v>330</v>
      </c>
      <c r="D208" s="155">
        <v>0</v>
      </c>
    </row>
    <row r="209" ht="16.5">
      <c r="B209" s="104">
        <v>30705</v>
      </c>
      <c r="C209" s="105" t="s">
        <v>331</v>
      </c>
      <c r="D209" s="154">
        <v>0</v>
      </c>
    </row>
    <row r="210" ht="16.5">
      <c r="B210" s="107">
        <v>30706</v>
      </c>
      <c r="C210" s="108" t="s">
        <v>332</v>
      </c>
      <c r="D210" s="155">
        <v>0</v>
      </c>
    </row>
    <row r="211" ht="16.5">
      <c r="B211" s="104">
        <v>30707</v>
      </c>
      <c r="C211" s="105" t="s">
        <v>333</v>
      </c>
      <c r="D211" s="154">
        <v>0</v>
      </c>
    </row>
    <row r="212" ht="16.5">
      <c r="B212" s="107">
        <v>30708</v>
      </c>
      <c r="C212" s="108" t="s">
        <v>334</v>
      </c>
      <c r="D212" s="155">
        <v>0</v>
      </c>
    </row>
    <row r="213" ht="16.5">
      <c r="B213" s="104">
        <v>30709</v>
      </c>
      <c r="C213" s="105" t="s">
        <v>335</v>
      </c>
      <c r="D213" s="154">
        <v>0</v>
      </c>
    </row>
    <row r="214" ht="16.5">
      <c r="B214" s="107">
        <v>30710</v>
      </c>
      <c r="C214" s="108" t="s">
        <v>336</v>
      </c>
      <c r="D214" s="155">
        <v>0</v>
      </c>
    </row>
    <row r="215" ht="16.5">
      <c r="B215" s="104">
        <v>30711</v>
      </c>
      <c r="C215" s="105" t="s">
        <v>337</v>
      </c>
      <c r="D215" s="154">
        <v>0</v>
      </c>
    </row>
    <row r="216" ht="16.5">
      <c r="B216" s="107">
        <v>30801</v>
      </c>
      <c r="C216" s="108" t="s">
        <v>338</v>
      </c>
      <c r="D216" s="155">
        <v>0</v>
      </c>
    </row>
    <row r="217" ht="16.5">
      <c r="B217" s="104">
        <v>30802</v>
      </c>
      <c r="C217" s="105" t="s">
        <v>339</v>
      </c>
      <c r="D217" s="154">
        <v>0</v>
      </c>
    </row>
    <row r="218" ht="16.5">
      <c r="B218" s="107">
        <v>30803</v>
      </c>
      <c r="C218" s="108" t="s">
        <v>340</v>
      </c>
      <c r="D218" s="155">
        <v>2</v>
      </c>
    </row>
    <row r="219" ht="16.5">
      <c r="B219" s="104">
        <v>30804</v>
      </c>
      <c r="C219" s="105" t="s">
        <v>341</v>
      </c>
      <c r="D219" s="154">
        <v>0</v>
      </c>
    </row>
    <row r="220" ht="16.5">
      <c r="B220" s="107">
        <v>30805</v>
      </c>
      <c r="C220" s="108" t="s">
        <v>342</v>
      </c>
      <c r="D220" s="155">
        <v>0</v>
      </c>
    </row>
    <row r="221" ht="16.5">
      <c r="B221" s="104">
        <v>30806</v>
      </c>
      <c r="C221" s="105" t="s">
        <v>343</v>
      </c>
      <c r="D221" s="154">
        <v>0</v>
      </c>
    </row>
    <row r="222" ht="16.5">
      <c r="B222" s="107">
        <v>30807</v>
      </c>
      <c r="C222" s="108" t="s">
        <v>344</v>
      </c>
      <c r="D222" s="155">
        <v>0</v>
      </c>
    </row>
    <row r="223" ht="16.5">
      <c r="B223" s="104">
        <v>30808</v>
      </c>
      <c r="C223" s="105" t="s">
        <v>345</v>
      </c>
      <c r="D223" s="154">
        <v>0</v>
      </c>
    </row>
    <row r="224" ht="16.5">
      <c r="B224" s="107">
        <v>30809</v>
      </c>
      <c r="C224" s="108" t="s">
        <v>346</v>
      </c>
      <c r="D224" s="155">
        <v>0</v>
      </c>
    </row>
    <row r="225" ht="16.5">
      <c r="B225" s="104">
        <v>30810</v>
      </c>
      <c r="C225" s="105" t="s">
        <v>347</v>
      </c>
      <c r="D225" s="154">
        <v>0</v>
      </c>
    </row>
    <row r="226" ht="16.5">
      <c r="B226" s="107">
        <v>30901</v>
      </c>
      <c r="C226" s="108" t="s">
        <v>348</v>
      </c>
      <c r="D226" s="155">
        <v>0</v>
      </c>
    </row>
    <row r="227" ht="16.5">
      <c r="B227" s="104">
        <v>30902</v>
      </c>
      <c r="C227" s="105" t="s">
        <v>349</v>
      </c>
      <c r="D227" s="154">
        <v>0</v>
      </c>
    </row>
    <row r="228" ht="16.5">
      <c r="B228" s="107">
        <v>30903</v>
      </c>
      <c r="C228" s="108" t="s">
        <v>350</v>
      </c>
      <c r="D228" s="155">
        <v>19</v>
      </c>
    </row>
    <row r="229" ht="16.5">
      <c r="B229" s="104">
        <v>30904</v>
      </c>
      <c r="C229" s="105" t="s">
        <v>351</v>
      </c>
      <c r="D229" s="154">
        <v>33</v>
      </c>
    </row>
    <row r="230" ht="16.5">
      <c r="B230" s="107">
        <v>30905</v>
      </c>
      <c r="C230" s="108" t="s">
        <v>352</v>
      </c>
      <c r="D230" s="155">
        <v>1</v>
      </c>
    </row>
    <row r="231" ht="16.5">
      <c r="B231" s="104">
        <v>30906</v>
      </c>
      <c r="C231" s="105" t="s">
        <v>353</v>
      </c>
      <c r="D231" s="154">
        <v>0</v>
      </c>
    </row>
    <row r="232" ht="16.5">
      <c r="B232" s="107">
        <v>30907</v>
      </c>
      <c r="C232" s="108" t="s">
        <v>354</v>
      </c>
      <c r="D232" s="155">
        <v>114</v>
      </c>
    </row>
    <row r="233" ht="16.5">
      <c r="B233" s="104">
        <v>30908</v>
      </c>
      <c r="C233" s="105" t="s">
        <v>355</v>
      </c>
      <c r="D233" s="154">
        <v>0</v>
      </c>
    </row>
    <row r="234" ht="16.5">
      <c r="B234" s="107">
        <v>30909</v>
      </c>
      <c r="C234" s="108" t="s">
        <v>356</v>
      </c>
      <c r="D234" s="155">
        <v>0</v>
      </c>
    </row>
    <row r="235" ht="16.5">
      <c r="B235" s="104">
        <v>31001</v>
      </c>
      <c r="C235" s="105" t="s">
        <v>357</v>
      </c>
      <c r="D235" s="154">
        <v>18</v>
      </c>
    </row>
    <row r="236" ht="16.5">
      <c r="B236" s="107">
        <v>31002</v>
      </c>
      <c r="C236" s="108" t="s">
        <v>358</v>
      </c>
      <c r="D236" s="155">
        <v>12</v>
      </c>
    </row>
    <row r="237" ht="16.5">
      <c r="B237" s="104">
        <v>31003</v>
      </c>
      <c r="C237" s="105" t="s">
        <v>359</v>
      </c>
      <c r="D237" s="154">
        <v>0</v>
      </c>
    </row>
    <row r="238" ht="16.5">
      <c r="B238" s="107">
        <v>31004</v>
      </c>
      <c r="C238" s="108" t="s">
        <v>360</v>
      </c>
      <c r="D238" s="155">
        <v>0</v>
      </c>
    </row>
    <row r="239" ht="16.5">
      <c r="B239" s="104">
        <v>31005</v>
      </c>
      <c r="C239" s="105" t="s">
        <v>361</v>
      </c>
      <c r="D239" s="154">
        <v>0</v>
      </c>
    </row>
    <row r="240" ht="16.5">
      <c r="B240" s="107">
        <v>31006</v>
      </c>
      <c r="C240" s="108" t="s">
        <v>362</v>
      </c>
      <c r="D240" s="155">
        <v>0</v>
      </c>
    </row>
    <row r="241" ht="16.5">
      <c r="B241" s="104">
        <v>31007</v>
      </c>
      <c r="C241" s="105" t="s">
        <v>363</v>
      </c>
      <c r="D241" s="154">
        <v>0</v>
      </c>
    </row>
    <row r="242" ht="16.5">
      <c r="B242" s="107">
        <v>31008</v>
      </c>
      <c r="C242" s="108" t="s">
        <v>364</v>
      </c>
      <c r="D242" s="155">
        <v>0</v>
      </c>
    </row>
    <row r="243" ht="16.5">
      <c r="B243" s="104">
        <v>31009</v>
      </c>
      <c r="C243" s="105" t="s">
        <v>365</v>
      </c>
      <c r="D243" s="154">
        <v>0</v>
      </c>
    </row>
    <row r="244" ht="16.5">
      <c r="B244" s="107">
        <v>31010</v>
      </c>
      <c r="C244" s="108" t="s">
        <v>366</v>
      </c>
      <c r="D244" s="155">
        <v>0</v>
      </c>
    </row>
    <row r="245" ht="16.5">
      <c r="B245" s="104">
        <v>31011</v>
      </c>
      <c r="C245" s="105" t="s">
        <v>367</v>
      </c>
      <c r="D245" s="154">
        <v>0</v>
      </c>
    </row>
    <row r="246" ht="16.5">
      <c r="B246" s="107">
        <v>31012</v>
      </c>
      <c r="C246" s="108" t="s">
        <v>368</v>
      </c>
      <c r="D246" s="155">
        <v>0</v>
      </c>
    </row>
    <row r="247" ht="16.5">
      <c r="B247" s="104">
        <v>31013</v>
      </c>
      <c r="C247" s="105" t="s">
        <v>369</v>
      </c>
      <c r="D247" s="154">
        <v>2</v>
      </c>
    </row>
    <row r="248" ht="16.5">
      <c r="B248" s="107">
        <v>31014</v>
      </c>
      <c r="C248" s="108" t="s">
        <v>370</v>
      </c>
      <c r="D248" s="155">
        <v>0</v>
      </c>
    </row>
    <row r="249" ht="16.5">
      <c r="B249" s="104">
        <v>31015</v>
      </c>
      <c r="C249" s="105" t="s">
        <v>371</v>
      </c>
      <c r="D249" s="154">
        <v>1</v>
      </c>
    </row>
    <row r="250" ht="16.5">
      <c r="B250" s="107">
        <v>31101</v>
      </c>
      <c r="C250" s="108" t="s">
        <v>372</v>
      </c>
      <c r="D250" s="155">
        <v>54</v>
      </c>
    </row>
    <row r="251" ht="16.5">
      <c r="B251" s="104">
        <v>31102</v>
      </c>
      <c r="C251" s="105" t="s">
        <v>373</v>
      </c>
      <c r="D251" s="154">
        <v>15</v>
      </c>
    </row>
    <row r="252" ht="16.5">
      <c r="B252" s="107">
        <v>31103</v>
      </c>
      <c r="C252" s="108" t="s">
        <v>374</v>
      </c>
      <c r="D252" s="155">
        <v>14</v>
      </c>
    </row>
    <row r="253" ht="16.5">
      <c r="B253" s="104">
        <v>31104</v>
      </c>
      <c r="C253" s="105" t="s">
        <v>375</v>
      </c>
      <c r="D253" s="154">
        <v>9</v>
      </c>
    </row>
    <row r="254" ht="16.5">
      <c r="B254" s="107">
        <v>31105</v>
      </c>
      <c r="C254" s="108" t="s">
        <v>376</v>
      </c>
      <c r="D254" s="155">
        <v>4</v>
      </c>
    </row>
    <row r="255" ht="16.5">
      <c r="B255" s="104">
        <v>31106</v>
      </c>
      <c r="C255" s="105" t="s">
        <v>377</v>
      </c>
      <c r="D255" s="154">
        <v>1</v>
      </c>
    </row>
    <row r="256" ht="16.5">
      <c r="B256" s="107">
        <v>31107</v>
      </c>
      <c r="C256" s="108" t="s">
        <v>378</v>
      </c>
      <c r="D256" s="155">
        <v>0</v>
      </c>
    </row>
    <row r="257" ht="14.25">
      <c r="B257" s="104">
        <v>31108</v>
      </c>
      <c r="C257" s="105" t="s">
        <v>379</v>
      </c>
      <c r="D257" s="154">
        <v>0</v>
      </c>
    </row>
    <row r="258" ht="14.25">
      <c r="B258" s="107">
        <v>31109</v>
      </c>
      <c r="C258" s="108" t="s">
        <v>380</v>
      </c>
      <c r="D258" s="155">
        <v>1</v>
      </c>
    </row>
    <row r="259" ht="14.25">
      <c r="B259" s="104">
        <v>31110</v>
      </c>
      <c r="C259" s="105" t="s">
        <v>381</v>
      </c>
      <c r="D259" s="154">
        <v>0</v>
      </c>
    </row>
    <row r="260" ht="14.25">
      <c r="B260" s="107">
        <v>31111</v>
      </c>
      <c r="C260" s="108" t="s">
        <v>382</v>
      </c>
      <c r="D260" s="155">
        <v>0</v>
      </c>
    </row>
    <row r="261" ht="14.25">
      <c r="B261" s="104">
        <v>31112</v>
      </c>
      <c r="C261" s="105" t="s">
        <v>383</v>
      </c>
      <c r="D261" s="154">
        <v>41</v>
      </c>
    </row>
    <row r="262" ht="14.25">
      <c r="B262" s="107">
        <v>31113</v>
      </c>
      <c r="C262" s="108" t="s">
        <v>384</v>
      </c>
      <c r="D262" s="155">
        <v>4</v>
      </c>
    </row>
    <row r="263" ht="14.25">
      <c r="B263" s="104">
        <v>31114</v>
      </c>
      <c r="C263" s="105" t="s">
        <v>385</v>
      </c>
      <c r="D263" s="154">
        <v>25</v>
      </c>
    </row>
    <row r="264" ht="14.25">
      <c r="B264" s="110">
        <v>40101</v>
      </c>
      <c r="C264" s="111" t="s">
        <v>386</v>
      </c>
      <c r="D264" s="156">
        <v>0</v>
      </c>
    </row>
    <row r="265" ht="14.25">
      <c r="B265" s="107">
        <v>40102</v>
      </c>
      <c r="C265" s="108" t="s">
        <v>387</v>
      </c>
      <c r="D265" s="155">
        <v>2</v>
      </c>
    </row>
    <row r="266" ht="14.25">
      <c r="B266" s="110">
        <v>40103</v>
      </c>
      <c r="C266" s="111" t="s">
        <v>388</v>
      </c>
      <c r="D266" s="156">
        <v>0</v>
      </c>
    </row>
    <row r="267" ht="14.25">
      <c r="B267" s="107">
        <v>40104</v>
      </c>
      <c r="C267" s="108" t="s">
        <v>389</v>
      </c>
      <c r="D267" s="155">
        <v>4</v>
      </c>
    </row>
    <row r="268" ht="14.25">
      <c r="B268" s="110">
        <v>40105</v>
      </c>
      <c r="C268" s="111" t="s">
        <v>390</v>
      </c>
      <c r="D268" s="156">
        <v>0</v>
      </c>
    </row>
    <row r="269" ht="14.25">
      <c r="B269" s="107">
        <v>40106</v>
      </c>
      <c r="C269" s="108" t="s">
        <v>391</v>
      </c>
      <c r="D269" s="155">
        <v>7</v>
      </c>
    </row>
    <row r="270" ht="14.25">
      <c r="B270" s="110">
        <v>40107</v>
      </c>
      <c r="C270" s="111" t="s">
        <v>392</v>
      </c>
      <c r="D270" s="156">
        <v>20</v>
      </c>
    </row>
    <row r="271" ht="14.25">
      <c r="B271" s="107">
        <v>40108</v>
      </c>
      <c r="C271" s="108" t="s">
        <v>393</v>
      </c>
      <c r="D271" s="155">
        <v>0</v>
      </c>
    </row>
    <row r="272" ht="14.25">
      <c r="B272" s="110">
        <v>40109</v>
      </c>
      <c r="C272" s="111" t="s">
        <v>394</v>
      </c>
      <c r="D272" s="156">
        <v>0</v>
      </c>
    </row>
    <row r="273" ht="14.25">
      <c r="B273" s="107">
        <v>40110</v>
      </c>
      <c r="C273" s="108" t="s">
        <v>395</v>
      </c>
      <c r="D273" s="155">
        <v>0</v>
      </c>
    </row>
    <row r="274" ht="14.25">
      <c r="B274" s="113">
        <v>50101</v>
      </c>
      <c r="C274" s="114" t="s">
        <v>396</v>
      </c>
      <c r="D274" s="157">
        <v>3</v>
      </c>
    </row>
    <row r="275" ht="14.25">
      <c r="B275" s="107">
        <v>50102</v>
      </c>
      <c r="C275" s="108" t="s">
        <v>397</v>
      </c>
      <c r="D275" s="155">
        <v>4</v>
      </c>
    </row>
    <row r="276" ht="14.25">
      <c r="B276" s="113">
        <v>50103</v>
      </c>
      <c r="C276" s="114" t="s">
        <v>398</v>
      </c>
      <c r="D276" s="157">
        <v>0</v>
      </c>
    </row>
    <row r="277" ht="14.25">
      <c r="B277" s="107">
        <v>50104</v>
      </c>
      <c r="C277" s="108" t="s">
        <v>399</v>
      </c>
      <c r="D277" s="155">
        <v>0</v>
      </c>
    </row>
    <row r="278" ht="14.25">
      <c r="B278" s="113">
        <v>50105</v>
      </c>
      <c r="C278" s="114" t="s">
        <v>400</v>
      </c>
      <c r="D278" s="157">
        <v>35</v>
      </c>
    </row>
    <row r="279" ht="14.25">
      <c r="B279" s="107">
        <v>50106</v>
      </c>
      <c r="C279" s="108" t="s">
        <v>401</v>
      </c>
      <c r="D279" s="155">
        <v>0</v>
      </c>
    </row>
    <row r="280" ht="14.25">
      <c r="B280" s="113">
        <v>50107</v>
      </c>
      <c r="C280" s="114" t="s">
        <v>402</v>
      </c>
      <c r="D280" s="157">
        <v>0</v>
      </c>
    </row>
    <row r="281" ht="14.25">
      <c r="B281" s="107">
        <v>50108</v>
      </c>
      <c r="C281" s="108" t="s">
        <v>403</v>
      </c>
      <c r="D281" s="155">
        <v>0</v>
      </c>
    </row>
    <row r="282" ht="14.25">
      <c r="B282" s="113">
        <v>50201</v>
      </c>
      <c r="C282" s="114" t="s">
        <v>404</v>
      </c>
      <c r="D282" s="157">
        <v>1</v>
      </c>
    </row>
    <row r="283" ht="14.25">
      <c r="B283" s="107">
        <v>50202</v>
      </c>
      <c r="C283" s="108" t="s">
        <v>405</v>
      </c>
      <c r="D283" s="155">
        <v>0</v>
      </c>
    </row>
    <row r="284" ht="14.25">
      <c r="B284" s="113">
        <v>50203</v>
      </c>
      <c r="C284" s="114" t="s">
        <v>406</v>
      </c>
      <c r="D284" s="157">
        <v>1</v>
      </c>
    </row>
    <row r="285" ht="14.25">
      <c r="B285" s="107">
        <v>50301</v>
      </c>
      <c r="C285" s="108" t="s">
        <v>407</v>
      </c>
      <c r="D285" s="155">
        <v>66</v>
      </c>
    </row>
    <row r="286" ht="14.25">
      <c r="B286" s="113">
        <v>50302</v>
      </c>
      <c r="C286" s="114" t="s">
        <v>408</v>
      </c>
      <c r="D286" s="157">
        <v>1</v>
      </c>
    </row>
    <row r="287" ht="14.25">
      <c r="B287" s="107">
        <v>50303</v>
      </c>
      <c r="C287" s="108" t="s">
        <v>409</v>
      </c>
      <c r="D287" s="155">
        <v>0</v>
      </c>
    </row>
    <row r="288" ht="14.25">
      <c r="B288" s="113">
        <v>50304</v>
      </c>
      <c r="C288" s="114" t="s">
        <v>410</v>
      </c>
      <c r="D288" s="157">
        <v>3</v>
      </c>
    </row>
    <row r="289" ht="14.25">
      <c r="B289" s="107">
        <v>50305</v>
      </c>
      <c r="C289" s="108" t="s">
        <v>411</v>
      </c>
      <c r="D289" s="155">
        <v>2</v>
      </c>
    </row>
    <row r="290" ht="14.25">
      <c r="B290" s="113">
        <v>50306</v>
      </c>
      <c r="C290" s="114" t="s">
        <v>412</v>
      </c>
      <c r="D290" s="157">
        <v>1</v>
      </c>
    </row>
    <row r="291" ht="14.25">
      <c r="B291" s="116">
        <v>60101</v>
      </c>
      <c r="C291" s="117" t="s">
        <v>413</v>
      </c>
      <c r="D291" s="158">
        <v>0</v>
      </c>
    </row>
    <row r="292" ht="14.25">
      <c r="B292" s="107">
        <v>60102</v>
      </c>
      <c r="C292" s="108" t="s">
        <v>414</v>
      </c>
      <c r="D292" s="155">
        <v>1</v>
      </c>
    </row>
    <row r="293" ht="14.25">
      <c r="B293" s="116">
        <v>60103</v>
      </c>
      <c r="C293" s="117" t="s">
        <v>415</v>
      </c>
      <c r="D293" s="158">
        <v>45</v>
      </c>
    </row>
    <row r="294" ht="14.25">
      <c r="B294" s="119">
        <v>70101</v>
      </c>
      <c r="C294" s="120" t="s">
        <v>416</v>
      </c>
      <c r="D294" s="159">
        <v>459</v>
      </c>
    </row>
    <row r="295" ht="14.25">
      <c r="B295" s="107">
        <v>70102</v>
      </c>
      <c r="C295" s="108" t="s">
        <v>417</v>
      </c>
      <c r="D295" s="155">
        <v>0</v>
      </c>
    </row>
    <row r="296" ht="14.25">
      <c r="B296" s="119">
        <v>70103</v>
      </c>
      <c r="C296" s="120" t="s">
        <v>418</v>
      </c>
      <c r="D296" s="159">
        <v>30</v>
      </c>
    </row>
    <row r="297" ht="14.25">
      <c r="B297" s="107">
        <v>70104</v>
      </c>
      <c r="C297" s="108" t="s">
        <v>419</v>
      </c>
      <c r="D297" s="155">
        <v>3261</v>
      </c>
    </row>
    <row r="298" ht="14.25">
      <c r="B298" s="119">
        <v>70105</v>
      </c>
      <c r="C298" s="120" t="s">
        <v>420</v>
      </c>
      <c r="D298" s="159">
        <v>15</v>
      </c>
    </row>
    <row r="299" ht="14.25">
      <c r="B299" s="107">
        <v>70106</v>
      </c>
      <c r="C299" s="108" t="s">
        <v>421</v>
      </c>
      <c r="D299" s="155">
        <v>34</v>
      </c>
    </row>
    <row r="300" ht="14.25">
      <c r="B300" s="119">
        <v>70107</v>
      </c>
      <c r="C300" s="120" t="s">
        <v>422</v>
      </c>
      <c r="D300" s="159">
        <v>837</v>
      </c>
    </row>
    <row r="301" ht="14.25">
      <c r="B301" s="122">
        <v>70108</v>
      </c>
      <c r="C301" s="123" t="s">
        <v>423</v>
      </c>
      <c r="D301" s="160">
        <v>144</v>
      </c>
    </row>
    <row r="302" ht="19.899999999999999" customHeight="1">
      <c r="B302" s="125" t="s">
        <v>424</v>
      </c>
      <c r="C302" s="126"/>
      <c r="D302" s="127">
        <v>9786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0">
    <outlinePr applyStyles="0" summaryBelow="1" summaryRight="1" showOutlineSymbols="1"/>
    <pageSetUpPr autoPageBreaks="1" fitToPage="1"/>
  </sheetPr>
  <sheetViews>
    <sheetView showGridLines="0" view="pageBreakPreview" topLeftCell="C262" zoomScale="100" workbookViewId="0">
      <selection activeCell="G24" activeCellId="0" sqref="G24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Mayo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427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61">
        <v>0</v>
      </c>
    </row>
    <row r="21" ht="14.25">
      <c r="B21" s="94">
        <v>10102</v>
      </c>
      <c r="C21" s="95" t="s">
        <v>143</v>
      </c>
      <c r="D21" s="162">
        <v>1</v>
      </c>
    </row>
    <row r="22" ht="14.25">
      <c r="B22" s="91">
        <v>10103</v>
      </c>
      <c r="C22" s="92" t="s">
        <v>144</v>
      </c>
      <c r="D22" s="161">
        <v>100</v>
      </c>
    </row>
    <row r="23" ht="14.25">
      <c r="B23" s="94">
        <v>10104</v>
      </c>
      <c r="C23" s="95" t="s">
        <v>145</v>
      </c>
      <c r="D23" s="162">
        <v>36</v>
      </c>
    </row>
    <row r="24" ht="14.25">
      <c r="B24" s="91">
        <v>10105</v>
      </c>
      <c r="C24" s="92" t="s">
        <v>146</v>
      </c>
      <c r="D24" s="161">
        <v>0</v>
      </c>
    </row>
    <row r="25" ht="14.25">
      <c r="B25" s="94">
        <v>10106</v>
      </c>
      <c r="C25" s="95" t="s">
        <v>147</v>
      </c>
      <c r="D25" s="162">
        <v>0</v>
      </c>
    </row>
    <row r="26" ht="14.25">
      <c r="B26" s="91">
        <v>10107</v>
      </c>
      <c r="C26" s="92" t="s">
        <v>148</v>
      </c>
      <c r="D26" s="161">
        <v>41</v>
      </c>
    </row>
    <row r="27" ht="14.25">
      <c r="B27" s="94">
        <v>10108</v>
      </c>
      <c r="C27" s="95" t="s">
        <v>149</v>
      </c>
      <c r="D27" s="162">
        <v>1</v>
      </c>
    </row>
    <row r="28" ht="14.25">
      <c r="B28" s="91">
        <v>10109</v>
      </c>
      <c r="C28" s="92" t="s">
        <v>150</v>
      </c>
      <c r="D28" s="161">
        <v>2</v>
      </c>
    </row>
    <row r="29" ht="14.25">
      <c r="B29" s="94">
        <v>10110</v>
      </c>
      <c r="C29" s="95" t="s">
        <v>151</v>
      </c>
      <c r="D29" s="162">
        <v>0</v>
      </c>
    </row>
    <row r="30" ht="14.25">
      <c r="B30" s="91">
        <v>10111</v>
      </c>
      <c r="C30" s="92" t="s">
        <v>152</v>
      </c>
      <c r="D30" s="161">
        <v>0</v>
      </c>
    </row>
    <row r="31" ht="14.25">
      <c r="B31" s="94">
        <v>10112</v>
      </c>
      <c r="C31" s="95" t="s">
        <v>153</v>
      </c>
      <c r="D31" s="162">
        <v>0</v>
      </c>
    </row>
    <row r="32" ht="14.25">
      <c r="B32" s="91">
        <v>10113</v>
      </c>
      <c r="C32" s="92" t="s">
        <v>154</v>
      </c>
      <c r="D32" s="161">
        <v>0</v>
      </c>
    </row>
    <row r="33" ht="14.25">
      <c r="B33" s="94">
        <v>10114</v>
      </c>
      <c r="C33" s="95" t="s">
        <v>155</v>
      </c>
      <c r="D33" s="162">
        <v>0</v>
      </c>
    </row>
    <row r="34" ht="14.25">
      <c r="B34" s="91">
        <v>10115</v>
      </c>
      <c r="C34" s="92" t="s">
        <v>156</v>
      </c>
      <c r="D34" s="161">
        <v>0</v>
      </c>
    </row>
    <row r="35" ht="14.25">
      <c r="B35" s="94">
        <v>10116</v>
      </c>
      <c r="C35" s="95" t="s">
        <v>157</v>
      </c>
      <c r="D35" s="162">
        <v>8</v>
      </c>
    </row>
    <row r="36" ht="14.25">
      <c r="B36" s="91">
        <v>10117</v>
      </c>
      <c r="C36" s="92" t="s">
        <v>158</v>
      </c>
      <c r="D36" s="161">
        <v>0</v>
      </c>
    </row>
    <row r="37" ht="14.25">
      <c r="B37" s="94">
        <v>10118</v>
      </c>
      <c r="C37" s="95" t="s">
        <v>159</v>
      </c>
      <c r="D37" s="162">
        <v>0</v>
      </c>
    </row>
    <row r="38" ht="14.25">
      <c r="B38" s="91">
        <v>10119</v>
      </c>
      <c r="C38" s="92" t="s">
        <v>160</v>
      </c>
      <c r="D38" s="161">
        <v>0</v>
      </c>
    </row>
    <row r="39" ht="14.25">
      <c r="B39" s="94">
        <v>10120</v>
      </c>
      <c r="C39" s="95" t="s">
        <v>161</v>
      </c>
      <c r="D39" s="162">
        <v>0</v>
      </c>
    </row>
    <row r="40" ht="14.25">
      <c r="B40" s="91">
        <v>10121</v>
      </c>
      <c r="C40" s="92" t="s">
        <v>162</v>
      </c>
      <c r="D40" s="161">
        <v>0</v>
      </c>
    </row>
    <row r="41" ht="14.25">
      <c r="B41" s="94">
        <v>10201</v>
      </c>
      <c r="C41" s="95" t="s">
        <v>163</v>
      </c>
      <c r="D41" s="162">
        <v>6</v>
      </c>
    </row>
    <row r="42" ht="14.25">
      <c r="B42" s="91">
        <v>10202</v>
      </c>
      <c r="C42" s="92" t="s">
        <v>164</v>
      </c>
      <c r="D42" s="161">
        <v>0</v>
      </c>
    </row>
    <row r="43" ht="14.25">
      <c r="B43" s="94">
        <v>10203</v>
      </c>
      <c r="C43" s="95" t="s">
        <v>165</v>
      </c>
      <c r="D43" s="162">
        <v>1</v>
      </c>
    </row>
    <row r="44" ht="14.25">
      <c r="B44" s="91">
        <v>10204</v>
      </c>
      <c r="C44" s="92" t="s">
        <v>166</v>
      </c>
      <c r="D44" s="161">
        <v>27</v>
      </c>
    </row>
    <row r="45" ht="14.25">
      <c r="B45" s="94">
        <v>10205</v>
      </c>
      <c r="C45" s="95" t="s">
        <v>167</v>
      </c>
      <c r="D45" s="162">
        <v>1</v>
      </c>
    </row>
    <row r="46" ht="14.25">
      <c r="B46" s="91">
        <v>10206</v>
      </c>
      <c r="C46" s="92" t="s">
        <v>168</v>
      </c>
      <c r="D46" s="161">
        <v>2</v>
      </c>
    </row>
    <row r="47" ht="14.25">
      <c r="B47" s="94">
        <v>10207</v>
      </c>
      <c r="C47" s="95" t="s">
        <v>169</v>
      </c>
      <c r="D47" s="162">
        <v>3</v>
      </c>
    </row>
    <row r="48" ht="14.25">
      <c r="B48" s="91">
        <v>10208</v>
      </c>
      <c r="C48" s="92" t="s">
        <v>170</v>
      </c>
      <c r="D48" s="161">
        <v>3</v>
      </c>
    </row>
    <row r="49" ht="14.25">
      <c r="B49" s="94">
        <v>10209</v>
      </c>
      <c r="C49" s="95" t="s">
        <v>171</v>
      </c>
      <c r="D49" s="162">
        <v>11</v>
      </c>
    </row>
    <row r="50" ht="14.25">
      <c r="B50" s="91">
        <v>10210</v>
      </c>
      <c r="C50" s="92" t="s">
        <v>172</v>
      </c>
      <c r="D50" s="161">
        <v>5</v>
      </c>
    </row>
    <row r="51" ht="14.25">
      <c r="B51" s="94">
        <v>10211</v>
      </c>
      <c r="C51" s="95" t="s">
        <v>173</v>
      </c>
      <c r="D51" s="162">
        <v>0</v>
      </c>
    </row>
    <row r="52" ht="14.25">
      <c r="B52" s="91">
        <v>10212</v>
      </c>
      <c r="C52" s="92" t="s">
        <v>174</v>
      </c>
      <c r="D52" s="161">
        <v>0</v>
      </c>
    </row>
    <row r="53" ht="14.25">
      <c r="B53" s="94">
        <v>10213</v>
      </c>
      <c r="C53" s="95" t="s">
        <v>175</v>
      </c>
      <c r="D53" s="162">
        <v>1</v>
      </c>
    </row>
    <row r="54" ht="14.25">
      <c r="B54" s="91">
        <v>10214</v>
      </c>
      <c r="C54" s="92" t="s">
        <v>176</v>
      </c>
      <c r="D54" s="161">
        <v>0</v>
      </c>
    </row>
    <row r="55" ht="14.25">
      <c r="B55" s="94">
        <v>10215</v>
      </c>
      <c r="C55" s="95" t="s">
        <v>177</v>
      </c>
      <c r="D55" s="162">
        <v>0</v>
      </c>
    </row>
    <row r="56" ht="16.5" customHeight="1">
      <c r="B56" s="91">
        <v>10216</v>
      </c>
      <c r="C56" s="92" t="s">
        <v>178</v>
      </c>
      <c r="D56" s="161">
        <v>0</v>
      </c>
    </row>
    <row r="57" ht="14.25">
      <c r="B57" s="94">
        <v>10217</v>
      </c>
      <c r="C57" s="95" t="s">
        <v>179</v>
      </c>
      <c r="D57" s="162">
        <v>0</v>
      </c>
    </row>
    <row r="58" ht="14.25">
      <c r="B58" s="91">
        <v>10218</v>
      </c>
      <c r="C58" s="92" t="s">
        <v>180</v>
      </c>
      <c r="D58" s="161">
        <v>0</v>
      </c>
    </row>
    <row r="59" ht="14.25">
      <c r="B59" s="94">
        <v>10219</v>
      </c>
      <c r="C59" s="95" t="s">
        <v>181</v>
      </c>
      <c r="D59" s="162">
        <v>0</v>
      </c>
    </row>
    <row r="60" ht="14.25">
      <c r="B60" s="91">
        <v>10220</v>
      </c>
      <c r="C60" s="92" t="s">
        <v>182</v>
      </c>
      <c r="D60" s="161">
        <v>9</v>
      </c>
    </row>
    <row r="61" ht="14.25">
      <c r="B61" s="94">
        <v>10301</v>
      </c>
      <c r="C61" s="95" t="s">
        <v>183</v>
      </c>
      <c r="D61" s="162">
        <v>2</v>
      </c>
    </row>
    <row r="62" ht="14.25">
      <c r="B62" s="91">
        <v>10302</v>
      </c>
      <c r="C62" s="92" t="s">
        <v>184</v>
      </c>
      <c r="D62" s="161">
        <v>1</v>
      </c>
    </row>
    <row r="63" ht="14.25">
      <c r="B63" s="94">
        <v>10303</v>
      </c>
      <c r="C63" s="95" t="s">
        <v>185</v>
      </c>
      <c r="D63" s="162">
        <v>1</v>
      </c>
    </row>
    <row r="64" ht="14.25">
      <c r="B64" s="91">
        <v>10304</v>
      </c>
      <c r="C64" s="92" t="s">
        <v>186</v>
      </c>
      <c r="D64" s="161">
        <v>0</v>
      </c>
    </row>
    <row r="65" ht="16.5">
      <c r="B65" s="94">
        <v>10305</v>
      </c>
      <c r="C65" s="95" t="s">
        <v>187</v>
      </c>
      <c r="D65" s="162">
        <v>8</v>
      </c>
    </row>
    <row r="66" ht="16.5">
      <c r="B66" s="91">
        <v>10306</v>
      </c>
      <c r="C66" s="92" t="s">
        <v>188</v>
      </c>
      <c r="D66" s="161">
        <v>0</v>
      </c>
    </row>
    <row r="67" ht="16.5">
      <c r="B67" s="94">
        <v>10307</v>
      </c>
      <c r="C67" s="95" t="s">
        <v>189</v>
      </c>
      <c r="D67" s="162">
        <v>10</v>
      </c>
    </row>
    <row r="68" ht="16.5">
      <c r="B68" s="91">
        <v>10308</v>
      </c>
      <c r="C68" s="92" t="s">
        <v>190</v>
      </c>
      <c r="D68" s="161">
        <v>25</v>
      </c>
    </row>
    <row r="69" ht="16.5">
      <c r="B69" s="94">
        <v>10309</v>
      </c>
      <c r="C69" s="95" t="s">
        <v>191</v>
      </c>
      <c r="D69" s="162">
        <v>1</v>
      </c>
    </row>
    <row r="70" ht="16.5">
      <c r="B70" s="91">
        <v>10310</v>
      </c>
      <c r="C70" s="92" t="s">
        <v>192</v>
      </c>
      <c r="D70" s="161">
        <v>0</v>
      </c>
    </row>
    <row r="71" ht="16.5">
      <c r="B71" s="94">
        <v>10311</v>
      </c>
      <c r="C71" s="95" t="s">
        <v>193</v>
      </c>
      <c r="D71" s="162">
        <v>0</v>
      </c>
    </row>
    <row r="72" ht="16.5">
      <c r="B72" s="91">
        <v>10312</v>
      </c>
      <c r="C72" s="92" t="s">
        <v>194</v>
      </c>
      <c r="D72" s="161">
        <v>3</v>
      </c>
    </row>
    <row r="73" ht="16.5">
      <c r="B73" s="94">
        <v>10313</v>
      </c>
      <c r="C73" s="95" t="s">
        <v>195</v>
      </c>
      <c r="D73" s="162">
        <v>1</v>
      </c>
    </row>
    <row r="74" ht="16.5">
      <c r="B74" s="91">
        <v>10314</v>
      </c>
      <c r="C74" s="92" t="s">
        <v>196</v>
      </c>
      <c r="D74" s="161">
        <v>1</v>
      </c>
    </row>
    <row r="75" ht="16.5">
      <c r="B75" s="94">
        <v>10315</v>
      </c>
      <c r="C75" s="95" t="s">
        <v>197</v>
      </c>
      <c r="D75" s="162">
        <v>4</v>
      </c>
    </row>
    <row r="76" ht="16.5">
      <c r="B76" s="91">
        <v>10316</v>
      </c>
      <c r="C76" s="92" t="s">
        <v>198</v>
      </c>
      <c r="D76" s="161">
        <v>38</v>
      </c>
    </row>
    <row r="77" ht="16.5">
      <c r="B77" s="94">
        <v>10317</v>
      </c>
      <c r="C77" s="95" t="s">
        <v>199</v>
      </c>
      <c r="D77" s="162">
        <v>0</v>
      </c>
    </row>
    <row r="78" ht="16.5">
      <c r="B78" s="91">
        <v>10318</v>
      </c>
      <c r="C78" s="92" t="s">
        <v>200</v>
      </c>
      <c r="D78" s="161">
        <v>1</v>
      </c>
    </row>
    <row r="79" ht="16.5">
      <c r="B79" s="94">
        <v>10319</v>
      </c>
      <c r="C79" s="95" t="s">
        <v>201</v>
      </c>
      <c r="D79" s="162">
        <v>0</v>
      </c>
    </row>
    <row r="80" ht="16.5">
      <c r="B80" s="97">
        <v>20101</v>
      </c>
      <c r="C80" s="98" t="s">
        <v>202</v>
      </c>
      <c r="D80" s="163">
        <v>0</v>
      </c>
    </row>
    <row r="81" ht="16.5">
      <c r="B81" s="100">
        <v>20102</v>
      </c>
      <c r="C81" s="101" t="s">
        <v>203</v>
      </c>
      <c r="D81" s="164">
        <v>0</v>
      </c>
    </row>
    <row r="82" ht="16.5">
      <c r="B82" s="97">
        <v>20103</v>
      </c>
      <c r="C82" s="98" t="s">
        <v>204</v>
      </c>
      <c r="D82" s="163">
        <v>4</v>
      </c>
    </row>
    <row r="83" ht="16.5">
      <c r="B83" s="100">
        <v>20104</v>
      </c>
      <c r="C83" s="101" t="s">
        <v>205</v>
      </c>
      <c r="D83" s="164">
        <v>1</v>
      </c>
    </row>
    <row r="84" ht="16.5">
      <c r="B84" s="97">
        <v>20105</v>
      </c>
      <c r="C84" s="98" t="s">
        <v>206</v>
      </c>
      <c r="D84" s="163">
        <v>0</v>
      </c>
    </row>
    <row r="85" ht="16.5">
      <c r="B85" s="100">
        <v>20106</v>
      </c>
      <c r="C85" s="101" t="s">
        <v>207</v>
      </c>
      <c r="D85" s="164">
        <v>0</v>
      </c>
    </row>
    <row r="86" ht="16.5">
      <c r="B86" s="97">
        <v>20107</v>
      </c>
      <c r="C86" s="98" t="s">
        <v>208</v>
      </c>
      <c r="D86" s="163">
        <v>0</v>
      </c>
    </row>
    <row r="87" ht="16.5">
      <c r="B87" s="100">
        <v>20108</v>
      </c>
      <c r="C87" s="101" t="s">
        <v>209</v>
      </c>
      <c r="D87" s="164">
        <v>5</v>
      </c>
    </row>
    <row r="88" ht="16.5">
      <c r="B88" s="97">
        <v>20109</v>
      </c>
      <c r="C88" s="98" t="s">
        <v>210</v>
      </c>
      <c r="D88" s="163">
        <v>0</v>
      </c>
    </row>
    <row r="89" ht="16.5">
      <c r="B89" s="100">
        <v>20110</v>
      </c>
      <c r="C89" s="101" t="s">
        <v>211</v>
      </c>
      <c r="D89" s="164">
        <v>1</v>
      </c>
    </row>
    <row r="90" ht="16.5">
      <c r="B90" s="97">
        <v>20111</v>
      </c>
      <c r="C90" s="98" t="s">
        <v>212</v>
      </c>
      <c r="D90" s="163">
        <v>3</v>
      </c>
    </row>
    <row r="91" ht="16.5">
      <c r="B91" s="100">
        <v>20112</v>
      </c>
      <c r="C91" s="101" t="s">
        <v>213</v>
      </c>
      <c r="D91" s="164">
        <v>0</v>
      </c>
    </row>
    <row r="92" ht="16.5">
      <c r="B92" s="97">
        <v>20113</v>
      </c>
      <c r="C92" s="98" t="s">
        <v>214</v>
      </c>
      <c r="D92" s="163">
        <v>0</v>
      </c>
    </row>
    <row r="93" ht="16.5">
      <c r="B93" s="100">
        <v>20114</v>
      </c>
      <c r="C93" s="101" t="s">
        <v>215</v>
      </c>
      <c r="D93" s="164">
        <v>0</v>
      </c>
    </row>
    <row r="94" ht="16.5">
      <c r="B94" s="97">
        <v>20201</v>
      </c>
      <c r="C94" s="98" t="s">
        <v>216</v>
      </c>
      <c r="D94" s="163">
        <v>8</v>
      </c>
    </row>
    <row r="95" ht="16.5">
      <c r="B95" s="100">
        <v>20202</v>
      </c>
      <c r="C95" s="101" t="s">
        <v>217</v>
      </c>
      <c r="D95" s="164">
        <v>1</v>
      </c>
    </row>
    <row r="96" ht="16.5">
      <c r="B96" s="97">
        <v>20203</v>
      </c>
      <c r="C96" s="98" t="s">
        <v>218</v>
      </c>
      <c r="D96" s="163">
        <v>51</v>
      </c>
    </row>
    <row r="97" ht="16.5">
      <c r="B97" s="100">
        <v>20204</v>
      </c>
      <c r="C97" s="101" t="s">
        <v>219</v>
      </c>
      <c r="D97" s="164">
        <v>0</v>
      </c>
    </row>
    <row r="98" ht="16.5">
      <c r="B98" s="97">
        <v>20205</v>
      </c>
      <c r="C98" s="98" t="s">
        <v>220</v>
      </c>
      <c r="D98" s="163">
        <v>0</v>
      </c>
    </row>
    <row r="99" ht="16.5">
      <c r="B99" s="100">
        <v>20206</v>
      </c>
      <c r="C99" s="101" t="s">
        <v>221</v>
      </c>
      <c r="D99" s="164">
        <v>0</v>
      </c>
    </row>
    <row r="100" ht="16.5">
      <c r="B100" s="97">
        <v>20207</v>
      </c>
      <c r="C100" s="98" t="s">
        <v>222</v>
      </c>
      <c r="D100" s="163">
        <v>0</v>
      </c>
    </row>
    <row r="101" ht="16.5">
      <c r="B101" s="100">
        <v>20208</v>
      </c>
      <c r="C101" s="101" t="s">
        <v>223</v>
      </c>
      <c r="D101" s="164">
        <v>0</v>
      </c>
    </row>
    <row r="102" ht="16.5">
      <c r="B102" s="97">
        <v>20209</v>
      </c>
      <c r="C102" s="98" t="s">
        <v>224</v>
      </c>
      <c r="D102" s="163">
        <v>4</v>
      </c>
    </row>
    <row r="103" ht="16.5">
      <c r="B103" s="100">
        <v>20210</v>
      </c>
      <c r="C103" s="101" t="s">
        <v>225</v>
      </c>
      <c r="D103" s="164">
        <v>8</v>
      </c>
    </row>
    <row r="104" ht="16.5">
      <c r="B104" s="97">
        <v>20211</v>
      </c>
      <c r="C104" s="98" t="s">
        <v>226</v>
      </c>
      <c r="D104" s="163">
        <v>0</v>
      </c>
    </row>
    <row r="105" ht="16.5">
      <c r="B105" s="100">
        <v>20212</v>
      </c>
      <c r="C105" s="101" t="s">
        <v>227</v>
      </c>
      <c r="D105" s="164">
        <v>0</v>
      </c>
    </row>
    <row r="106" ht="16.5">
      <c r="B106" s="97">
        <v>20213</v>
      </c>
      <c r="C106" s="98" t="s">
        <v>228</v>
      </c>
      <c r="D106" s="163">
        <v>0</v>
      </c>
    </row>
    <row r="107" ht="16.5">
      <c r="B107" s="100">
        <v>20214</v>
      </c>
      <c r="C107" s="101" t="s">
        <v>229</v>
      </c>
      <c r="D107" s="164">
        <v>0</v>
      </c>
    </row>
    <row r="108" ht="16.5">
      <c r="B108" s="97">
        <v>20301</v>
      </c>
      <c r="C108" s="98" t="s">
        <v>230</v>
      </c>
      <c r="D108" s="163">
        <v>4</v>
      </c>
    </row>
    <row r="109" ht="16.5">
      <c r="B109" s="100">
        <v>20302</v>
      </c>
      <c r="C109" s="101" t="s">
        <v>231</v>
      </c>
      <c r="D109" s="164">
        <v>0</v>
      </c>
    </row>
    <row r="110" ht="16.5">
      <c r="B110" s="97">
        <v>20303</v>
      </c>
      <c r="C110" s="98" t="s">
        <v>232</v>
      </c>
      <c r="D110" s="163">
        <v>5</v>
      </c>
    </row>
    <row r="111" ht="16.5">
      <c r="B111" s="100">
        <v>20304</v>
      </c>
      <c r="C111" s="101" t="s">
        <v>233</v>
      </c>
      <c r="D111" s="164">
        <v>4</v>
      </c>
    </row>
    <row r="112" ht="16.5">
      <c r="B112" s="97">
        <v>20305</v>
      </c>
      <c r="C112" s="98" t="s">
        <v>234</v>
      </c>
      <c r="D112" s="163">
        <v>0</v>
      </c>
    </row>
    <row r="113" ht="16.5">
      <c r="B113" s="100">
        <v>20306</v>
      </c>
      <c r="C113" s="101" t="s">
        <v>235</v>
      </c>
      <c r="D113" s="164">
        <v>0</v>
      </c>
    </row>
    <row r="114" ht="16.5">
      <c r="B114" s="97">
        <v>20307</v>
      </c>
      <c r="C114" s="98" t="s">
        <v>236</v>
      </c>
      <c r="D114" s="163">
        <v>8</v>
      </c>
    </row>
    <row r="115" ht="16.5">
      <c r="B115" s="100">
        <v>20308</v>
      </c>
      <c r="C115" s="101" t="s">
        <v>237</v>
      </c>
      <c r="D115" s="164">
        <v>10</v>
      </c>
    </row>
    <row r="116" ht="16.5">
      <c r="B116" s="97">
        <v>20309</v>
      </c>
      <c r="C116" s="98" t="s">
        <v>238</v>
      </c>
      <c r="D116" s="163">
        <v>0</v>
      </c>
    </row>
    <row r="117" ht="16.5">
      <c r="B117" s="100">
        <v>20310</v>
      </c>
      <c r="C117" s="101" t="s">
        <v>239</v>
      </c>
      <c r="D117" s="164">
        <v>0</v>
      </c>
    </row>
    <row r="118" ht="16.5">
      <c r="B118" s="97">
        <v>20311</v>
      </c>
      <c r="C118" s="98" t="s">
        <v>240</v>
      </c>
      <c r="D118" s="163">
        <v>60</v>
      </c>
    </row>
    <row r="119" ht="16.5">
      <c r="B119" s="100">
        <v>20401</v>
      </c>
      <c r="C119" s="101" t="s">
        <v>241</v>
      </c>
      <c r="D119" s="164">
        <v>0</v>
      </c>
    </row>
    <row r="120" ht="16.5">
      <c r="B120" s="97">
        <v>20402</v>
      </c>
      <c r="C120" s="98" t="s">
        <v>242</v>
      </c>
      <c r="D120" s="163">
        <v>0</v>
      </c>
    </row>
    <row r="121" ht="16.5">
      <c r="B121" s="100">
        <v>20403</v>
      </c>
      <c r="C121" s="101" t="s">
        <v>243</v>
      </c>
      <c r="D121" s="164">
        <v>13</v>
      </c>
    </row>
    <row r="122" ht="16.5">
      <c r="B122" s="97">
        <v>20404</v>
      </c>
      <c r="C122" s="98" t="s">
        <v>244</v>
      </c>
      <c r="D122" s="163">
        <v>3</v>
      </c>
    </row>
    <row r="123" ht="16.5">
      <c r="B123" s="104">
        <v>30101</v>
      </c>
      <c r="C123" s="105" t="s">
        <v>245</v>
      </c>
      <c r="D123" s="165">
        <v>12</v>
      </c>
    </row>
    <row r="124" ht="16.5">
      <c r="B124" s="107">
        <v>30102</v>
      </c>
      <c r="C124" s="108" t="s">
        <v>246</v>
      </c>
      <c r="D124" s="164">
        <v>0</v>
      </c>
    </row>
    <row r="125" ht="16.5">
      <c r="B125" s="104">
        <v>30103</v>
      </c>
      <c r="C125" s="105" t="s">
        <v>247</v>
      </c>
      <c r="D125" s="165">
        <v>19</v>
      </c>
    </row>
    <row r="126" ht="16.5">
      <c r="B126" s="107">
        <v>30201</v>
      </c>
      <c r="C126" s="108" t="s">
        <v>248</v>
      </c>
      <c r="D126" s="164">
        <v>0</v>
      </c>
    </row>
    <row r="127" ht="16.5">
      <c r="B127" s="104">
        <v>30202</v>
      </c>
      <c r="C127" s="105" t="s">
        <v>249</v>
      </c>
      <c r="D127" s="165">
        <v>21</v>
      </c>
    </row>
    <row r="128" ht="16.5">
      <c r="B128" s="107">
        <v>30203</v>
      </c>
      <c r="C128" s="108" t="s">
        <v>250</v>
      </c>
      <c r="D128" s="164">
        <v>0</v>
      </c>
    </row>
    <row r="129" ht="16.5">
      <c r="B129" s="104">
        <v>30204</v>
      </c>
      <c r="C129" s="105" t="s">
        <v>251</v>
      </c>
      <c r="D129" s="165">
        <v>12</v>
      </c>
    </row>
    <row r="130" ht="16.5">
      <c r="B130" s="107">
        <v>30205</v>
      </c>
      <c r="C130" s="108" t="s">
        <v>252</v>
      </c>
      <c r="D130" s="164">
        <v>1</v>
      </c>
    </row>
    <row r="131" ht="16.5">
      <c r="B131" s="104">
        <v>30206</v>
      </c>
      <c r="C131" s="105" t="s">
        <v>253</v>
      </c>
      <c r="D131" s="165">
        <v>0</v>
      </c>
    </row>
    <row r="132" ht="16.5">
      <c r="B132" s="107">
        <v>30207</v>
      </c>
      <c r="C132" s="108" t="s">
        <v>254</v>
      </c>
      <c r="D132" s="164">
        <v>0</v>
      </c>
    </row>
    <row r="133" ht="16.5">
      <c r="B133" s="104">
        <v>30301</v>
      </c>
      <c r="C133" s="105" t="s">
        <v>255</v>
      </c>
      <c r="D133" s="165">
        <v>0</v>
      </c>
    </row>
    <row r="134" ht="16.5">
      <c r="B134" s="107">
        <v>30302</v>
      </c>
      <c r="C134" s="108" t="s">
        <v>256</v>
      </c>
      <c r="D134" s="164">
        <v>3</v>
      </c>
    </row>
    <row r="135" ht="16.5">
      <c r="B135" s="104">
        <v>30303</v>
      </c>
      <c r="C135" s="105" t="s">
        <v>257</v>
      </c>
      <c r="D135" s="165">
        <v>0</v>
      </c>
    </row>
    <row r="136" ht="16.5">
      <c r="B136" s="107">
        <v>30304</v>
      </c>
      <c r="C136" s="108" t="s">
        <v>258</v>
      </c>
      <c r="D136" s="164">
        <v>0</v>
      </c>
    </row>
    <row r="137" ht="16.5">
      <c r="B137" s="104">
        <v>30305</v>
      </c>
      <c r="C137" s="105" t="s">
        <v>259</v>
      </c>
      <c r="D137" s="165">
        <v>3</v>
      </c>
    </row>
    <row r="138" ht="16.5">
      <c r="B138" s="107">
        <v>30306</v>
      </c>
      <c r="C138" s="108" t="s">
        <v>260</v>
      </c>
      <c r="D138" s="164">
        <v>1</v>
      </c>
    </row>
    <row r="139" ht="16.5">
      <c r="B139" s="104">
        <v>30307</v>
      </c>
      <c r="C139" s="105" t="s">
        <v>261</v>
      </c>
      <c r="D139" s="165">
        <v>7</v>
      </c>
    </row>
    <row r="140" ht="16.5">
      <c r="B140" s="107">
        <v>30308</v>
      </c>
      <c r="C140" s="108" t="s">
        <v>262</v>
      </c>
      <c r="D140" s="164">
        <v>7</v>
      </c>
    </row>
    <row r="141" ht="16.5">
      <c r="B141" s="104">
        <v>30309</v>
      </c>
      <c r="C141" s="105" t="s">
        <v>263</v>
      </c>
      <c r="D141" s="165">
        <v>37</v>
      </c>
    </row>
    <row r="142" ht="16.5">
      <c r="B142" s="107">
        <v>30310</v>
      </c>
      <c r="C142" s="108" t="s">
        <v>264</v>
      </c>
      <c r="D142" s="164">
        <v>28</v>
      </c>
    </row>
    <row r="143" ht="16.5">
      <c r="B143" s="104">
        <v>30401</v>
      </c>
      <c r="C143" s="105" t="s">
        <v>265</v>
      </c>
      <c r="D143" s="165">
        <v>669</v>
      </c>
    </row>
    <row r="144" ht="16.5">
      <c r="B144" s="107">
        <v>30402</v>
      </c>
      <c r="C144" s="108" t="s">
        <v>266</v>
      </c>
      <c r="D144" s="164">
        <v>3</v>
      </c>
    </row>
    <row r="145" ht="16.5">
      <c r="B145" s="104">
        <v>30403</v>
      </c>
      <c r="C145" s="105" t="s">
        <v>267</v>
      </c>
      <c r="D145" s="165">
        <v>0</v>
      </c>
    </row>
    <row r="146" ht="16.5">
      <c r="B146" s="107">
        <v>30404</v>
      </c>
      <c r="C146" s="108" t="s">
        <v>268</v>
      </c>
      <c r="D146" s="164">
        <v>2</v>
      </c>
    </row>
    <row r="147" ht="16.5">
      <c r="B147" s="104">
        <v>30405</v>
      </c>
      <c r="C147" s="105" t="s">
        <v>269</v>
      </c>
      <c r="D147" s="165">
        <v>0</v>
      </c>
    </row>
    <row r="148" ht="16.5">
      <c r="B148" s="107">
        <v>30406</v>
      </c>
      <c r="C148" s="108" t="s">
        <v>270</v>
      </c>
      <c r="D148" s="164">
        <v>1</v>
      </c>
    </row>
    <row r="149" ht="16.5">
      <c r="B149" s="104">
        <v>30407</v>
      </c>
      <c r="C149" s="105" t="s">
        <v>271</v>
      </c>
      <c r="D149" s="165">
        <v>3</v>
      </c>
    </row>
    <row r="150" ht="16.5">
      <c r="B150" s="107">
        <v>30408</v>
      </c>
      <c r="C150" s="108" t="s">
        <v>272</v>
      </c>
      <c r="D150" s="164">
        <v>0</v>
      </c>
    </row>
    <row r="151" ht="16.5">
      <c r="B151" s="104">
        <v>30409</v>
      </c>
      <c r="C151" s="105" t="s">
        <v>273</v>
      </c>
      <c r="D151" s="165">
        <v>0</v>
      </c>
    </row>
    <row r="152" ht="16.5">
      <c r="B152" s="107">
        <v>30410</v>
      </c>
      <c r="C152" s="108" t="s">
        <v>274</v>
      </c>
      <c r="D152" s="164">
        <v>0</v>
      </c>
    </row>
    <row r="153" ht="16.5">
      <c r="B153" s="104">
        <v>30411</v>
      </c>
      <c r="C153" s="105" t="s">
        <v>275</v>
      </c>
      <c r="D153" s="165">
        <v>0</v>
      </c>
    </row>
    <row r="154" ht="16.5">
      <c r="B154" s="107">
        <v>30412</v>
      </c>
      <c r="C154" s="108" t="s">
        <v>276</v>
      </c>
      <c r="D154" s="164">
        <v>0</v>
      </c>
    </row>
    <row r="155" ht="16.5">
      <c r="B155" s="104">
        <v>30413</v>
      </c>
      <c r="C155" s="105" t="s">
        <v>277</v>
      </c>
      <c r="D155" s="165">
        <v>1</v>
      </c>
    </row>
    <row r="156" ht="16.5">
      <c r="B156" s="107">
        <v>30414</v>
      </c>
      <c r="C156" s="108" t="s">
        <v>278</v>
      </c>
      <c r="D156" s="164">
        <v>5</v>
      </c>
    </row>
    <row r="157" ht="16.5">
      <c r="B157" s="104">
        <v>30415</v>
      </c>
      <c r="C157" s="105" t="s">
        <v>279</v>
      </c>
      <c r="D157" s="165">
        <v>0</v>
      </c>
    </row>
    <row r="158" ht="16.5">
      <c r="B158" s="107">
        <v>30416</v>
      </c>
      <c r="C158" s="108" t="s">
        <v>280</v>
      </c>
      <c r="D158" s="164">
        <v>0</v>
      </c>
    </row>
    <row r="159" ht="16.5">
      <c r="B159" s="104">
        <v>30417</v>
      </c>
      <c r="C159" s="105" t="s">
        <v>281</v>
      </c>
      <c r="D159" s="165">
        <v>0</v>
      </c>
    </row>
    <row r="160" ht="16.5">
      <c r="B160" s="107">
        <v>30418</v>
      </c>
      <c r="C160" s="108" t="s">
        <v>282</v>
      </c>
      <c r="D160" s="164">
        <v>0</v>
      </c>
    </row>
    <row r="161" ht="16.5">
      <c r="B161" s="104">
        <v>30419</v>
      </c>
      <c r="C161" s="105" t="s">
        <v>283</v>
      </c>
      <c r="D161" s="165">
        <v>0</v>
      </c>
    </row>
    <row r="162" ht="16.5">
      <c r="B162" s="107">
        <v>30420</v>
      </c>
      <c r="C162" s="108" t="s">
        <v>284</v>
      </c>
      <c r="D162" s="164">
        <v>2</v>
      </c>
    </row>
    <row r="163" ht="16.5">
      <c r="B163" s="104">
        <v>30421</v>
      </c>
      <c r="C163" s="105" t="s">
        <v>285</v>
      </c>
      <c r="D163" s="165">
        <v>2</v>
      </c>
    </row>
    <row r="164" ht="16.5">
      <c r="B164" s="107">
        <v>30422</v>
      </c>
      <c r="C164" s="108" t="s">
        <v>286</v>
      </c>
      <c r="D164" s="164">
        <v>7</v>
      </c>
    </row>
    <row r="165" ht="16.5">
      <c r="B165" s="104">
        <v>30423</v>
      </c>
      <c r="C165" s="105" t="s">
        <v>287</v>
      </c>
      <c r="D165" s="165">
        <v>0</v>
      </c>
    </row>
    <row r="166" ht="16.5">
      <c r="B166" s="107">
        <v>30424</v>
      </c>
      <c r="C166" s="108" t="s">
        <v>288</v>
      </c>
      <c r="D166" s="164">
        <v>0</v>
      </c>
    </row>
    <row r="167" ht="16.5">
      <c r="B167" s="104">
        <v>30425</v>
      </c>
      <c r="C167" s="105" t="s">
        <v>289</v>
      </c>
      <c r="D167" s="165">
        <v>0</v>
      </c>
    </row>
    <row r="168" ht="16.5">
      <c r="B168" s="107">
        <v>30426</v>
      </c>
      <c r="C168" s="108" t="s">
        <v>290</v>
      </c>
      <c r="D168" s="164">
        <v>0</v>
      </c>
    </row>
    <row r="169" ht="16.5">
      <c r="B169" s="104">
        <v>30427</v>
      </c>
      <c r="C169" s="105" t="s">
        <v>291</v>
      </c>
      <c r="D169" s="165">
        <v>0</v>
      </c>
    </row>
    <row r="170" ht="16.5">
      <c r="B170" s="107">
        <v>30428</v>
      </c>
      <c r="C170" s="108" t="s">
        <v>292</v>
      </c>
      <c r="D170" s="164">
        <v>0</v>
      </c>
    </row>
    <row r="171" ht="16.5">
      <c r="B171" s="104">
        <v>30429</v>
      </c>
      <c r="C171" s="105" t="s">
        <v>293</v>
      </c>
      <c r="D171" s="165">
        <v>1</v>
      </c>
    </row>
    <row r="172" ht="16.5">
      <c r="B172" s="107">
        <v>30430</v>
      </c>
      <c r="C172" s="108" t="s">
        <v>294</v>
      </c>
      <c r="D172" s="164">
        <v>9</v>
      </c>
    </row>
    <row r="173" ht="16.5">
      <c r="B173" s="104">
        <v>30431</v>
      </c>
      <c r="C173" s="105" t="s">
        <v>295</v>
      </c>
      <c r="D173" s="165">
        <v>0</v>
      </c>
    </row>
    <row r="174" ht="16.5">
      <c r="B174" s="107">
        <v>30432</v>
      </c>
      <c r="C174" s="108" t="s">
        <v>296</v>
      </c>
      <c r="D174" s="164">
        <v>0</v>
      </c>
    </row>
    <row r="175" ht="16.5">
      <c r="B175" s="104">
        <v>30433</v>
      </c>
      <c r="C175" s="105" t="s">
        <v>297</v>
      </c>
      <c r="D175" s="165">
        <v>0</v>
      </c>
    </row>
    <row r="176" ht="16.5">
      <c r="B176" s="107">
        <v>30434</v>
      </c>
      <c r="C176" s="108" t="s">
        <v>298</v>
      </c>
      <c r="D176" s="164">
        <v>0</v>
      </c>
    </row>
    <row r="177" ht="16.5">
      <c r="B177" s="104">
        <v>30435</v>
      </c>
      <c r="C177" s="105" t="s">
        <v>299</v>
      </c>
      <c r="D177" s="165">
        <v>0</v>
      </c>
    </row>
    <row r="178" ht="16.5">
      <c r="B178" s="107">
        <v>30436</v>
      </c>
      <c r="C178" s="108" t="s">
        <v>300</v>
      </c>
      <c r="D178" s="164">
        <v>0</v>
      </c>
    </row>
    <row r="179" ht="16.5">
      <c r="B179" s="104">
        <v>30437</v>
      </c>
      <c r="C179" s="105" t="s">
        <v>301</v>
      </c>
      <c r="D179" s="165">
        <v>0</v>
      </c>
    </row>
    <row r="180" ht="16.5">
      <c r="B180" s="107">
        <v>30438</v>
      </c>
      <c r="C180" s="108" t="s">
        <v>302</v>
      </c>
      <c r="D180" s="164">
        <v>0</v>
      </c>
    </row>
    <row r="181" ht="16.5">
      <c r="B181" s="104">
        <v>30439</v>
      </c>
      <c r="C181" s="105" t="s">
        <v>303</v>
      </c>
      <c r="D181" s="165">
        <v>0</v>
      </c>
    </row>
    <row r="182" ht="16.5">
      <c r="B182" s="107">
        <v>30440</v>
      </c>
      <c r="C182" s="108" t="s">
        <v>304</v>
      </c>
      <c r="D182" s="164">
        <v>0</v>
      </c>
    </row>
    <row r="183" ht="16.5">
      <c r="B183" s="104">
        <v>30441</v>
      </c>
      <c r="C183" s="105" t="s">
        <v>305</v>
      </c>
      <c r="D183" s="165">
        <v>0</v>
      </c>
    </row>
    <row r="184" ht="16.5">
      <c r="B184" s="107">
        <v>30442</v>
      </c>
      <c r="C184" s="108" t="s">
        <v>306</v>
      </c>
      <c r="D184" s="164">
        <v>0</v>
      </c>
    </row>
    <row r="185" ht="16.5">
      <c r="B185" s="104">
        <v>30443</v>
      </c>
      <c r="C185" s="105" t="s">
        <v>307</v>
      </c>
      <c r="D185" s="165">
        <v>0</v>
      </c>
    </row>
    <row r="186" ht="16.5">
      <c r="B186" s="107">
        <v>30444</v>
      </c>
      <c r="C186" s="108" t="s">
        <v>308</v>
      </c>
      <c r="D186" s="164">
        <v>0</v>
      </c>
    </row>
    <row r="187" ht="16.5">
      <c r="B187" s="104">
        <v>30445</v>
      </c>
      <c r="C187" s="105" t="s">
        <v>309</v>
      </c>
      <c r="D187" s="165">
        <v>0</v>
      </c>
    </row>
    <row r="188" ht="16.5">
      <c r="B188" s="107">
        <v>30446</v>
      </c>
      <c r="C188" s="108" t="s">
        <v>310</v>
      </c>
      <c r="D188" s="164">
        <v>2</v>
      </c>
    </row>
    <row r="189" ht="16.5">
      <c r="B189" s="104">
        <v>30501</v>
      </c>
      <c r="C189" s="105" t="s">
        <v>311</v>
      </c>
      <c r="D189" s="165">
        <v>0</v>
      </c>
    </row>
    <row r="190" ht="16.5">
      <c r="B190" s="107">
        <v>30502</v>
      </c>
      <c r="C190" s="108" t="s">
        <v>312</v>
      </c>
      <c r="D190" s="164">
        <v>82</v>
      </c>
    </row>
    <row r="191" ht="16.5">
      <c r="B191" s="104">
        <v>30503</v>
      </c>
      <c r="C191" s="105" t="s">
        <v>313</v>
      </c>
      <c r="D191" s="165">
        <v>71</v>
      </c>
    </row>
    <row r="192" ht="16.5">
      <c r="B192" s="107">
        <v>30504</v>
      </c>
      <c r="C192" s="108" t="s">
        <v>314</v>
      </c>
      <c r="D192" s="164">
        <v>5</v>
      </c>
    </row>
    <row r="193" ht="16.5">
      <c r="B193" s="104">
        <v>30505</v>
      </c>
      <c r="C193" s="105" t="s">
        <v>315</v>
      </c>
      <c r="D193" s="165">
        <v>0</v>
      </c>
    </row>
    <row r="194" ht="16.5">
      <c r="B194" s="107">
        <v>30601</v>
      </c>
      <c r="C194" s="108" t="s">
        <v>316</v>
      </c>
      <c r="D194" s="164">
        <v>3</v>
      </c>
    </row>
    <row r="195" ht="16.5">
      <c r="B195" s="104">
        <v>30602</v>
      </c>
      <c r="C195" s="105" t="s">
        <v>317</v>
      </c>
      <c r="D195" s="165">
        <v>4</v>
      </c>
    </row>
    <row r="196" ht="16.5">
      <c r="B196" s="107">
        <v>30603</v>
      </c>
      <c r="C196" s="108" t="s">
        <v>318</v>
      </c>
      <c r="D196" s="164">
        <v>1</v>
      </c>
    </row>
    <row r="197" ht="16.5">
      <c r="B197" s="104">
        <v>30604</v>
      </c>
      <c r="C197" s="105" t="s">
        <v>319</v>
      </c>
      <c r="D197" s="165">
        <v>0</v>
      </c>
    </row>
    <row r="198" ht="16.5">
      <c r="B198" s="107">
        <v>30605</v>
      </c>
      <c r="C198" s="108" t="s">
        <v>320</v>
      </c>
      <c r="D198" s="164">
        <v>0</v>
      </c>
    </row>
    <row r="199" ht="16.5">
      <c r="B199" s="104">
        <v>30606</v>
      </c>
      <c r="C199" s="105" t="s">
        <v>321</v>
      </c>
      <c r="D199" s="165">
        <v>7</v>
      </c>
    </row>
    <row r="200" ht="16.5">
      <c r="B200" s="107">
        <v>30607</v>
      </c>
      <c r="C200" s="108" t="s">
        <v>322</v>
      </c>
      <c r="D200" s="164">
        <v>1</v>
      </c>
    </row>
    <row r="201" ht="16.5">
      <c r="B201" s="104">
        <v>30608</v>
      </c>
      <c r="C201" s="105" t="s">
        <v>323</v>
      </c>
      <c r="D201" s="165">
        <v>0</v>
      </c>
    </row>
    <row r="202" ht="16.5">
      <c r="B202" s="107">
        <v>30609</v>
      </c>
      <c r="C202" s="108" t="s">
        <v>324</v>
      </c>
      <c r="D202" s="164">
        <v>0</v>
      </c>
    </row>
    <row r="203" ht="16.5">
      <c r="B203" s="104">
        <v>30610</v>
      </c>
      <c r="C203" s="105" t="s">
        <v>325</v>
      </c>
      <c r="D203" s="165">
        <v>0</v>
      </c>
    </row>
    <row r="204" ht="16.5">
      <c r="B204" s="107">
        <v>30611</v>
      </c>
      <c r="C204" s="108" t="s">
        <v>326</v>
      </c>
      <c r="D204" s="164">
        <v>3</v>
      </c>
    </row>
    <row r="205" ht="16.5">
      <c r="B205" s="104">
        <v>30701</v>
      </c>
      <c r="C205" s="105" t="s">
        <v>327</v>
      </c>
      <c r="D205" s="165">
        <v>0</v>
      </c>
    </row>
    <row r="206" ht="16.5">
      <c r="B206" s="107">
        <v>30702</v>
      </c>
      <c r="C206" s="108" t="s">
        <v>328</v>
      </c>
      <c r="D206" s="164">
        <v>5</v>
      </c>
    </row>
    <row r="207" ht="16.5">
      <c r="B207" s="104">
        <v>30703</v>
      </c>
      <c r="C207" s="105" t="s">
        <v>329</v>
      </c>
      <c r="D207" s="165">
        <v>0</v>
      </c>
    </row>
    <row r="208" ht="16.5">
      <c r="B208" s="107">
        <v>30704</v>
      </c>
      <c r="C208" s="108" t="s">
        <v>330</v>
      </c>
      <c r="D208" s="164">
        <v>0</v>
      </c>
    </row>
    <row r="209" ht="16.5">
      <c r="B209" s="104">
        <v>30705</v>
      </c>
      <c r="C209" s="105" t="s">
        <v>331</v>
      </c>
      <c r="D209" s="165">
        <v>0</v>
      </c>
    </row>
    <row r="210" ht="16.5">
      <c r="B210" s="107">
        <v>30706</v>
      </c>
      <c r="C210" s="108" t="s">
        <v>332</v>
      </c>
      <c r="D210" s="164">
        <v>0</v>
      </c>
    </row>
    <row r="211" ht="16.5">
      <c r="B211" s="104">
        <v>30707</v>
      </c>
      <c r="C211" s="105" t="s">
        <v>333</v>
      </c>
      <c r="D211" s="165">
        <v>0</v>
      </c>
    </row>
    <row r="212" ht="16.5">
      <c r="B212" s="107">
        <v>30708</v>
      </c>
      <c r="C212" s="108" t="s">
        <v>334</v>
      </c>
      <c r="D212" s="164">
        <v>0</v>
      </c>
    </row>
    <row r="213" ht="16.5">
      <c r="B213" s="104">
        <v>30709</v>
      </c>
      <c r="C213" s="105" t="s">
        <v>335</v>
      </c>
      <c r="D213" s="165">
        <v>0</v>
      </c>
    </row>
    <row r="214" ht="16.5">
      <c r="B214" s="107">
        <v>30710</v>
      </c>
      <c r="C214" s="108" t="s">
        <v>336</v>
      </c>
      <c r="D214" s="164">
        <v>0</v>
      </c>
    </row>
    <row r="215" ht="16.5">
      <c r="B215" s="104">
        <v>30711</v>
      </c>
      <c r="C215" s="105" t="s">
        <v>337</v>
      </c>
      <c r="D215" s="165">
        <v>1</v>
      </c>
    </row>
    <row r="216" ht="16.5">
      <c r="B216" s="107">
        <v>30801</v>
      </c>
      <c r="C216" s="108" t="s">
        <v>338</v>
      </c>
      <c r="D216" s="164">
        <v>0</v>
      </c>
    </row>
    <row r="217" ht="16.5">
      <c r="B217" s="104">
        <v>30802</v>
      </c>
      <c r="C217" s="105" t="s">
        <v>339</v>
      </c>
      <c r="D217" s="165">
        <v>0</v>
      </c>
    </row>
    <row r="218" ht="16.5">
      <c r="B218" s="107">
        <v>30803</v>
      </c>
      <c r="C218" s="108" t="s">
        <v>340</v>
      </c>
      <c r="D218" s="164">
        <v>0</v>
      </c>
    </row>
    <row r="219" ht="16.5">
      <c r="B219" s="104">
        <v>30804</v>
      </c>
      <c r="C219" s="105" t="s">
        <v>341</v>
      </c>
      <c r="D219" s="165">
        <v>0</v>
      </c>
    </row>
    <row r="220" ht="16.5">
      <c r="B220" s="107">
        <v>30805</v>
      </c>
      <c r="C220" s="108" t="s">
        <v>342</v>
      </c>
      <c r="D220" s="164">
        <v>0</v>
      </c>
    </row>
    <row r="221" ht="16.5">
      <c r="B221" s="104">
        <v>30806</v>
      </c>
      <c r="C221" s="105" t="s">
        <v>343</v>
      </c>
      <c r="D221" s="165">
        <v>0</v>
      </c>
    </row>
    <row r="222" ht="16.5">
      <c r="B222" s="107">
        <v>30807</v>
      </c>
      <c r="C222" s="108" t="s">
        <v>344</v>
      </c>
      <c r="D222" s="164">
        <v>0</v>
      </c>
    </row>
    <row r="223" ht="16.5">
      <c r="B223" s="104">
        <v>30808</v>
      </c>
      <c r="C223" s="105" t="s">
        <v>345</v>
      </c>
      <c r="D223" s="165">
        <v>0</v>
      </c>
    </row>
    <row r="224" ht="16.5">
      <c r="B224" s="107">
        <v>30809</v>
      </c>
      <c r="C224" s="108" t="s">
        <v>346</v>
      </c>
      <c r="D224" s="164">
        <v>0</v>
      </c>
    </row>
    <row r="225" ht="16.5">
      <c r="B225" s="104">
        <v>30810</v>
      </c>
      <c r="C225" s="105" t="s">
        <v>347</v>
      </c>
      <c r="D225" s="165">
        <v>0</v>
      </c>
    </row>
    <row r="226" ht="16.5">
      <c r="B226" s="107">
        <v>30901</v>
      </c>
      <c r="C226" s="108" t="s">
        <v>348</v>
      </c>
      <c r="D226" s="164">
        <v>1</v>
      </c>
    </row>
    <row r="227" ht="16.5">
      <c r="B227" s="104">
        <v>30902</v>
      </c>
      <c r="C227" s="105" t="s">
        <v>349</v>
      </c>
      <c r="D227" s="165">
        <v>0</v>
      </c>
    </row>
    <row r="228" ht="16.5">
      <c r="B228" s="107">
        <v>30903</v>
      </c>
      <c r="C228" s="108" t="s">
        <v>350</v>
      </c>
      <c r="D228" s="164">
        <v>49</v>
      </c>
    </row>
    <row r="229" ht="16.5">
      <c r="B229" s="104">
        <v>30904</v>
      </c>
      <c r="C229" s="105" t="s">
        <v>351</v>
      </c>
      <c r="D229" s="165">
        <v>17</v>
      </c>
    </row>
    <row r="230" ht="16.5">
      <c r="B230" s="107">
        <v>30905</v>
      </c>
      <c r="C230" s="108" t="s">
        <v>352</v>
      </c>
      <c r="D230" s="164">
        <v>0</v>
      </c>
    </row>
    <row r="231" ht="16.5">
      <c r="B231" s="104">
        <v>30906</v>
      </c>
      <c r="C231" s="105" t="s">
        <v>353</v>
      </c>
      <c r="D231" s="165">
        <v>5</v>
      </c>
    </row>
    <row r="232" ht="16.5">
      <c r="B232" s="107">
        <v>30907</v>
      </c>
      <c r="C232" s="108" t="s">
        <v>354</v>
      </c>
      <c r="D232" s="164">
        <v>94</v>
      </c>
    </row>
    <row r="233" ht="16.5">
      <c r="B233" s="104">
        <v>30908</v>
      </c>
      <c r="C233" s="105" t="s">
        <v>355</v>
      </c>
      <c r="D233" s="165">
        <v>2</v>
      </c>
    </row>
    <row r="234" ht="16.5">
      <c r="B234" s="107">
        <v>30909</v>
      </c>
      <c r="C234" s="108" t="s">
        <v>356</v>
      </c>
      <c r="D234" s="164">
        <v>0</v>
      </c>
    </row>
    <row r="235" ht="16.5">
      <c r="B235" s="104">
        <v>31001</v>
      </c>
      <c r="C235" s="105" t="s">
        <v>357</v>
      </c>
      <c r="D235" s="165">
        <v>15</v>
      </c>
    </row>
    <row r="236" ht="16.5">
      <c r="B236" s="107">
        <v>31002</v>
      </c>
      <c r="C236" s="108" t="s">
        <v>358</v>
      </c>
      <c r="D236" s="164">
        <v>11</v>
      </c>
    </row>
    <row r="237" ht="16.5">
      <c r="B237" s="104">
        <v>31003</v>
      </c>
      <c r="C237" s="105" t="s">
        <v>359</v>
      </c>
      <c r="D237" s="165">
        <v>0</v>
      </c>
    </row>
    <row r="238" ht="16.5">
      <c r="B238" s="107">
        <v>31004</v>
      </c>
      <c r="C238" s="108" t="s">
        <v>360</v>
      </c>
      <c r="D238" s="164">
        <v>1</v>
      </c>
    </row>
    <row r="239" ht="16.5">
      <c r="B239" s="104">
        <v>31005</v>
      </c>
      <c r="C239" s="105" t="s">
        <v>361</v>
      </c>
      <c r="D239" s="165">
        <v>2</v>
      </c>
    </row>
    <row r="240" ht="16.5">
      <c r="B240" s="107">
        <v>31006</v>
      </c>
      <c r="C240" s="108" t="s">
        <v>362</v>
      </c>
      <c r="D240" s="164">
        <v>0</v>
      </c>
    </row>
    <row r="241" ht="16.5">
      <c r="B241" s="104">
        <v>31007</v>
      </c>
      <c r="C241" s="105" t="s">
        <v>363</v>
      </c>
      <c r="D241" s="165">
        <v>0</v>
      </c>
    </row>
    <row r="242" ht="16.5">
      <c r="B242" s="107">
        <v>31008</v>
      </c>
      <c r="C242" s="108" t="s">
        <v>364</v>
      </c>
      <c r="D242" s="164">
        <v>0</v>
      </c>
    </row>
    <row r="243" ht="16.5">
      <c r="B243" s="104">
        <v>31009</v>
      </c>
      <c r="C243" s="105" t="s">
        <v>365</v>
      </c>
      <c r="D243" s="165">
        <v>0</v>
      </c>
    </row>
    <row r="244" ht="16.5">
      <c r="B244" s="107">
        <v>31010</v>
      </c>
      <c r="C244" s="108" t="s">
        <v>366</v>
      </c>
      <c r="D244" s="164">
        <v>3</v>
      </c>
    </row>
    <row r="245" ht="16.5">
      <c r="B245" s="104">
        <v>31011</v>
      </c>
      <c r="C245" s="105" t="s">
        <v>367</v>
      </c>
      <c r="D245" s="165">
        <v>0</v>
      </c>
    </row>
    <row r="246" ht="16.5">
      <c r="B246" s="107">
        <v>31012</v>
      </c>
      <c r="C246" s="108" t="s">
        <v>368</v>
      </c>
      <c r="D246" s="164">
        <v>0</v>
      </c>
    </row>
    <row r="247" ht="16.5">
      <c r="B247" s="104">
        <v>31013</v>
      </c>
      <c r="C247" s="105" t="s">
        <v>369</v>
      </c>
      <c r="D247" s="165">
        <v>0</v>
      </c>
    </row>
    <row r="248" ht="16.5">
      <c r="B248" s="107">
        <v>31014</v>
      </c>
      <c r="C248" s="108" t="s">
        <v>370</v>
      </c>
      <c r="D248" s="164">
        <v>2</v>
      </c>
    </row>
    <row r="249" ht="16.5">
      <c r="B249" s="104">
        <v>31015</v>
      </c>
      <c r="C249" s="105" t="s">
        <v>371</v>
      </c>
      <c r="D249" s="165">
        <v>0</v>
      </c>
    </row>
    <row r="250" ht="16.5">
      <c r="B250" s="107">
        <v>31101</v>
      </c>
      <c r="C250" s="108" t="s">
        <v>372</v>
      </c>
      <c r="D250" s="164">
        <v>104</v>
      </c>
    </row>
    <row r="251" ht="16.5">
      <c r="B251" s="104">
        <v>31102</v>
      </c>
      <c r="C251" s="105" t="s">
        <v>373</v>
      </c>
      <c r="D251" s="165">
        <v>11</v>
      </c>
    </row>
    <row r="252" ht="16.5">
      <c r="B252" s="107">
        <v>31103</v>
      </c>
      <c r="C252" s="108" t="s">
        <v>374</v>
      </c>
      <c r="D252" s="164">
        <v>11</v>
      </c>
    </row>
    <row r="253" ht="16.5">
      <c r="B253" s="104">
        <v>31104</v>
      </c>
      <c r="C253" s="105" t="s">
        <v>375</v>
      </c>
      <c r="D253" s="165">
        <v>6</v>
      </c>
    </row>
    <row r="254" ht="16.5">
      <c r="B254" s="107">
        <v>31105</v>
      </c>
      <c r="C254" s="108" t="s">
        <v>376</v>
      </c>
      <c r="D254" s="164">
        <v>12</v>
      </c>
    </row>
    <row r="255" ht="16.5">
      <c r="B255" s="104">
        <v>31106</v>
      </c>
      <c r="C255" s="105" t="s">
        <v>377</v>
      </c>
      <c r="D255" s="165">
        <v>0</v>
      </c>
    </row>
    <row r="256" ht="16.5">
      <c r="B256" s="107">
        <v>31107</v>
      </c>
      <c r="C256" s="108" t="s">
        <v>378</v>
      </c>
      <c r="D256" s="164">
        <v>0</v>
      </c>
    </row>
    <row r="257" ht="14.25">
      <c r="B257" s="104">
        <v>31108</v>
      </c>
      <c r="C257" s="105" t="s">
        <v>379</v>
      </c>
      <c r="D257" s="165">
        <v>0</v>
      </c>
    </row>
    <row r="258" ht="14.25">
      <c r="B258" s="107">
        <v>31109</v>
      </c>
      <c r="C258" s="108" t="s">
        <v>380</v>
      </c>
      <c r="D258" s="164">
        <v>0</v>
      </c>
    </row>
    <row r="259" ht="14.25">
      <c r="B259" s="104">
        <v>31110</v>
      </c>
      <c r="C259" s="105" t="s">
        <v>381</v>
      </c>
      <c r="D259" s="165">
        <v>0</v>
      </c>
    </row>
    <row r="260" ht="14.25">
      <c r="B260" s="107">
        <v>31111</v>
      </c>
      <c r="C260" s="108" t="s">
        <v>382</v>
      </c>
      <c r="D260" s="164">
        <v>0</v>
      </c>
    </row>
    <row r="261" ht="14.25">
      <c r="B261" s="104">
        <v>31112</v>
      </c>
      <c r="C261" s="105" t="s">
        <v>383</v>
      </c>
      <c r="D261" s="165">
        <v>51</v>
      </c>
    </row>
    <row r="262" ht="14.25">
      <c r="B262" s="107">
        <v>31113</v>
      </c>
      <c r="C262" s="108" t="s">
        <v>384</v>
      </c>
      <c r="D262" s="164">
        <v>2</v>
      </c>
    </row>
    <row r="263" ht="14.25">
      <c r="B263" s="104">
        <v>31114</v>
      </c>
      <c r="C263" s="105" t="s">
        <v>385</v>
      </c>
      <c r="D263" s="165">
        <v>11</v>
      </c>
    </row>
    <row r="264" ht="14.25">
      <c r="B264" s="110">
        <v>40101</v>
      </c>
      <c r="C264" s="111" t="s">
        <v>386</v>
      </c>
      <c r="D264" s="166">
        <v>0</v>
      </c>
    </row>
    <row r="265" ht="14.25">
      <c r="B265" s="107">
        <v>40102</v>
      </c>
      <c r="C265" s="108" t="s">
        <v>387</v>
      </c>
      <c r="D265" s="164">
        <v>0</v>
      </c>
    </row>
    <row r="266" ht="14.25">
      <c r="B266" s="110">
        <v>40103</v>
      </c>
      <c r="C266" s="111" t="s">
        <v>388</v>
      </c>
      <c r="D266" s="166">
        <v>0</v>
      </c>
    </row>
    <row r="267" ht="14.25">
      <c r="B267" s="107">
        <v>40104</v>
      </c>
      <c r="C267" s="108" t="s">
        <v>389</v>
      </c>
      <c r="D267" s="164">
        <v>1</v>
      </c>
    </row>
    <row r="268" ht="14.25">
      <c r="B268" s="110">
        <v>40105</v>
      </c>
      <c r="C268" s="111" t="s">
        <v>390</v>
      </c>
      <c r="D268" s="166">
        <v>0</v>
      </c>
    </row>
    <row r="269" ht="14.25">
      <c r="B269" s="107">
        <v>40106</v>
      </c>
      <c r="C269" s="108" t="s">
        <v>391</v>
      </c>
      <c r="D269" s="164">
        <v>1</v>
      </c>
    </row>
    <row r="270" ht="14.25">
      <c r="B270" s="110">
        <v>40107</v>
      </c>
      <c r="C270" s="111" t="s">
        <v>392</v>
      </c>
      <c r="D270" s="166">
        <v>18</v>
      </c>
    </row>
    <row r="271" ht="14.25">
      <c r="B271" s="107">
        <v>40108</v>
      </c>
      <c r="C271" s="108" t="s">
        <v>393</v>
      </c>
      <c r="D271" s="164">
        <v>0</v>
      </c>
    </row>
    <row r="272" ht="14.25">
      <c r="B272" s="110">
        <v>40109</v>
      </c>
      <c r="C272" s="111" t="s">
        <v>394</v>
      </c>
      <c r="D272" s="166">
        <v>8</v>
      </c>
    </row>
    <row r="273" ht="14.25">
      <c r="B273" s="107">
        <v>40110</v>
      </c>
      <c r="C273" s="108" t="s">
        <v>395</v>
      </c>
      <c r="D273" s="164">
        <v>1</v>
      </c>
    </row>
    <row r="274" ht="14.25">
      <c r="B274" s="113">
        <v>50101</v>
      </c>
      <c r="C274" s="114" t="s">
        <v>396</v>
      </c>
      <c r="D274" s="167">
        <v>3</v>
      </c>
    </row>
    <row r="275" ht="14.25">
      <c r="B275" s="107">
        <v>50102</v>
      </c>
      <c r="C275" s="108" t="s">
        <v>397</v>
      </c>
      <c r="D275" s="164">
        <v>4</v>
      </c>
    </row>
    <row r="276" ht="14.25">
      <c r="B276" s="113">
        <v>50103</v>
      </c>
      <c r="C276" s="114" t="s">
        <v>398</v>
      </c>
      <c r="D276" s="167">
        <v>0</v>
      </c>
    </row>
    <row r="277" ht="14.25">
      <c r="B277" s="107">
        <v>50104</v>
      </c>
      <c r="C277" s="108" t="s">
        <v>399</v>
      </c>
      <c r="D277" s="164">
        <v>1</v>
      </c>
    </row>
    <row r="278" ht="14.25">
      <c r="B278" s="113">
        <v>50105</v>
      </c>
      <c r="C278" s="114" t="s">
        <v>400</v>
      </c>
      <c r="D278" s="167">
        <v>30</v>
      </c>
    </row>
    <row r="279" ht="14.25">
      <c r="B279" s="107">
        <v>50106</v>
      </c>
      <c r="C279" s="108" t="s">
        <v>401</v>
      </c>
      <c r="D279" s="164">
        <v>0</v>
      </c>
    </row>
    <row r="280" ht="14.25">
      <c r="B280" s="113">
        <v>50107</v>
      </c>
      <c r="C280" s="114" t="s">
        <v>402</v>
      </c>
      <c r="D280" s="167">
        <v>3</v>
      </c>
    </row>
    <row r="281" ht="14.25">
      <c r="B281" s="107">
        <v>50108</v>
      </c>
      <c r="C281" s="108" t="s">
        <v>403</v>
      </c>
      <c r="D281" s="164">
        <v>5</v>
      </c>
    </row>
    <row r="282" ht="14.25">
      <c r="B282" s="113">
        <v>50201</v>
      </c>
      <c r="C282" s="114" t="s">
        <v>404</v>
      </c>
      <c r="D282" s="167">
        <v>0</v>
      </c>
    </row>
    <row r="283" ht="14.25">
      <c r="B283" s="107">
        <v>50202</v>
      </c>
      <c r="C283" s="108" t="s">
        <v>405</v>
      </c>
      <c r="D283" s="164">
        <v>0</v>
      </c>
    </row>
    <row r="284" ht="14.25">
      <c r="B284" s="113">
        <v>50203</v>
      </c>
      <c r="C284" s="114" t="s">
        <v>406</v>
      </c>
      <c r="D284" s="167">
        <v>0</v>
      </c>
    </row>
    <row r="285" ht="14.25">
      <c r="B285" s="107">
        <v>50301</v>
      </c>
      <c r="C285" s="108" t="s">
        <v>407</v>
      </c>
      <c r="D285" s="164">
        <v>103</v>
      </c>
    </row>
    <row r="286" ht="14.25">
      <c r="B286" s="113">
        <v>50302</v>
      </c>
      <c r="C286" s="114" t="s">
        <v>408</v>
      </c>
      <c r="D286" s="167">
        <v>2</v>
      </c>
    </row>
    <row r="287" ht="14.25">
      <c r="B287" s="107">
        <v>50303</v>
      </c>
      <c r="C287" s="108" t="s">
        <v>409</v>
      </c>
      <c r="D287" s="164">
        <v>3</v>
      </c>
    </row>
    <row r="288" ht="14.25">
      <c r="B288" s="113">
        <v>50304</v>
      </c>
      <c r="C288" s="114" t="s">
        <v>410</v>
      </c>
      <c r="D288" s="167">
        <v>6</v>
      </c>
    </row>
    <row r="289" ht="14.25">
      <c r="B289" s="107">
        <v>50305</v>
      </c>
      <c r="C289" s="108" t="s">
        <v>411</v>
      </c>
      <c r="D289" s="164">
        <v>47</v>
      </c>
    </row>
    <row r="290" ht="14.25">
      <c r="B290" s="113">
        <v>50306</v>
      </c>
      <c r="C290" s="114" t="s">
        <v>412</v>
      </c>
      <c r="D290" s="167">
        <v>7</v>
      </c>
    </row>
    <row r="291" ht="14.25">
      <c r="B291" s="116">
        <v>60101</v>
      </c>
      <c r="C291" s="117" t="s">
        <v>413</v>
      </c>
      <c r="D291" s="168">
        <v>0</v>
      </c>
    </row>
    <row r="292" ht="14.25">
      <c r="B292" s="107">
        <v>60102</v>
      </c>
      <c r="C292" s="108" t="s">
        <v>414</v>
      </c>
      <c r="D292" s="164">
        <v>0</v>
      </c>
    </row>
    <row r="293" ht="14.25">
      <c r="B293" s="116">
        <v>60103</v>
      </c>
      <c r="C293" s="117" t="s">
        <v>415</v>
      </c>
      <c r="D293" s="168">
        <v>116</v>
      </c>
    </row>
    <row r="294" ht="14.25">
      <c r="B294" s="119">
        <v>70101</v>
      </c>
      <c r="C294" s="120" t="s">
        <v>416</v>
      </c>
      <c r="D294" s="169">
        <v>375</v>
      </c>
    </row>
    <row r="295" ht="14.25">
      <c r="B295" s="107">
        <v>70102</v>
      </c>
      <c r="C295" s="108" t="s">
        <v>417</v>
      </c>
      <c r="D295" s="164">
        <v>0</v>
      </c>
    </row>
    <row r="296" ht="14.25">
      <c r="B296" s="119">
        <v>70103</v>
      </c>
      <c r="C296" s="120" t="s">
        <v>418</v>
      </c>
      <c r="D296" s="169">
        <v>37</v>
      </c>
    </row>
    <row r="297" ht="14.25">
      <c r="B297" s="107">
        <v>70104</v>
      </c>
      <c r="C297" s="108" t="s">
        <v>419</v>
      </c>
      <c r="D297" s="164">
        <v>2609</v>
      </c>
    </row>
    <row r="298" ht="14.25">
      <c r="B298" s="119">
        <v>70105</v>
      </c>
      <c r="C298" s="120" t="s">
        <v>420</v>
      </c>
      <c r="D298" s="169">
        <v>5</v>
      </c>
    </row>
    <row r="299" ht="14.25">
      <c r="B299" s="107">
        <v>70106</v>
      </c>
      <c r="C299" s="108" t="s">
        <v>421</v>
      </c>
      <c r="D299" s="164">
        <v>37</v>
      </c>
    </row>
    <row r="300" ht="14.25">
      <c r="B300" s="119">
        <v>70107</v>
      </c>
      <c r="C300" s="120" t="s">
        <v>422</v>
      </c>
      <c r="D300" s="169">
        <v>512</v>
      </c>
    </row>
    <row r="301" ht="14.25">
      <c r="B301" s="122">
        <v>70108</v>
      </c>
      <c r="C301" s="123" t="s">
        <v>423</v>
      </c>
      <c r="D301" s="170">
        <v>109</v>
      </c>
    </row>
    <row r="302" ht="19.899999999999999" customHeight="1">
      <c r="B302" s="125" t="s">
        <v>424</v>
      </c>
      <c r="C302" s="126"/>
      <c r="D302" s="127">
        <f>SUM(D20:D301)</f>
        <v>6041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1">
    <outlinePr applyStyles="0" summaryBelow="1" summaryRight="1" showOutlineSymbols="1"/>
    <pageSetUpPr autoPageBreaks="1" fitToPage="1"/>
  </sheetPr>
  <sheetViews>
    <sheetView showGridLines="0" view="pageBreakPreview" topLeftCell="A267" zoomScale="100" workbookViewId="0">
      <selection activeCell="G36" activeCellId="0" sqref="G36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Mayo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428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61">
        <v>0</v>
      </c>
    </row>
    <row r="21" ht="14.25">
      <c r="B21" s="94">
        <v>10102</v>
      </c>
      <c r="C21" s="95" t="s">
        <v>143</v>
      </c>
      <c r="D21" s="162">
        <v>0</v>
      </c>
    </row>
    <row r="22" ht="14.25">
      <c r="B22" s="91">
        <v>10103</v>
      </c>
      <c r="C22" s="92" t="s">
        <v>144</v>
      </c>
      <c r="D22" s="161">
        <v>53</v>
      </c>
    </row>
    <row r="23" ht="14.25">
      <c r="B23" s="94">
        <v>10104</v>
      </c>
      <c r="C23" s="95" t="s">
        <v>145</v>
      </c>
      <c r="D23" s="162">
        <v>31</v>
      </c>
    </row>
    <row r="24" ht="14.25">
      <c r="B24" s="91">
        <v>10105</v>
      </c>
      <c r="C24" s="92" t="s">
        <v>146</v>
      </c>
      <c r="D24" s="161">
        <v>0</v>
      </c>
    </row>
    <row r="25" ht="14.25">
      <c r="B25" s="94">
        <v>10106</v>
      </c>
      <c r="C25" s="95" t="s">
        <v>147</v>
      </c>
      <c r="D25" s="162">
        <v>0</v>
      </c>
    </row>
    <row r="26" ht="14.25">
      <c r="B26" s="91">
        <v>10107</v>
      </c>
      <c r="C26" s="92" t="s">
        <v>148</v>
      </c>
      <c r="D26" s="161">
        <v>0</v>
      </c>
    </row>
    <row r="27" ht="14.25">
      <c r="B27" s="94">
        <v>10108</v>
      </c>
      <c r="C27" s="95" t="s">
        <v>149</v>
      </c>
      <c r="D27" s="162">
        <v>0</v>
      </c>
    </row>
    <row r="28" ht="14.25">
      <c r="B28" s="91">
        <v>10109</v>
      </c>
      <c r="C28" s="92" t="s">
        <v>150</v>
      </c>
      <c r="D28" s="161">
        <v>0</v>
      </c>
    </row>
    <row r="29" ht="14.25">
      <c r="B29" s="94">
        <v>10110</v>
      </c>
      <c r="C29" s="95" t="s">
        <v>151</v>
      </c>
      <c r="D29" s="162">
        <v>0</v>
      </c>
    </row>
    <row r="30" ht="14.25">
      <c r="B30" s="91">
        <v>10111</v>
      </c>
      <c r="C30" s="92" t="s">
        <v>152</v>
      </c>
      <c r="D30" s="161">
        <v>0</v>
      </c>
    </row>
    <row r="31" ht="14.25">
      <c r="B31" s="94">
        <v>10112</v>
      </c>
      <c r="C31" s="95" t="s">
        <v>153</v>
      </c>
      <c r="D31" s="162">
        <v>0</v>
      </c>
    </row>
    <row r="32" ht="14.25">
      <c r="B32" s="91">
        <v>10113</v>
      </c>
      <c r="C32" s="92" t="s">
        <v>154</v>
      </c>
      <c r="D32" s="161">
        <v>0</v>
      </c>
    </row>
    <row r="33" ht="14.25">
      <c r="B33" s="94">
        <v>10114</v>
      </c>
      <c r="C33" s="95" t="s">
        <v>155</v>
      </c>
      <c r="D33" s="162">
        <v>0</v>
      </c>
    </row>
    <row r="34" ht="14.25">
      <c r="B34" s="91">
        <v>10115</v>
      </c>
      <c r="C34" s="92" t="s">
        <v>156</v>
      </c>
      <c r="D34" s="161">
        <v>0</v>
      </c>
    </row>
    <row r="35" ht="14.25">
      <c r="B35" s="94">
        <v>10116</v>
      </c>
      <c r="C35" s="95" t="s">
        <v>157</v>
      </c>
      <c r="D35" s="162">
        <v>7</v>
      </c>
    </row>
    <row r="36" ht="14.25">
      <c r="B36" s="91">
        <v>10117</v>
      </c>
      <c r="C36" s="92" t="s">
        <v>158</v>
      </c>
      <c r="D36" s="161">
        <v>0</v>
      </c>
    </row>
    <row r="37" ht="14.25">
      <c r="B37" s="94">
        <v>10118</v>
      </c>
      <c r="C37" s="95" t="s">
        <v>159</v>
      </c>
      <c r="D37" s="162">
        <v>0</v>
      </c>
    </row>
    <row r="38" ht="14.25">
      <c r="B38" s="91">
        <v>10119</v>
      </c>
      <c r="C38" s="92" t="s">
        <v>160</v>
      </c>
      <c r="D38" s="161">
        <v>0</v>
      </c>
    </row>
    <row r="39" ht="14.25">
      <c r="B39" s="94">
        <v>10120</v>
      </c>
      <c r="C39" s="95" t="s">
        <v>161</v>
      </c>
      <c r="D39" s="162">
        <v>0</v>
      </c>
    </row>
    <row r="40" ht="14.25">
      <c r="B40" s="91">
        <v>10121</v>
      </c>
      <c r="C40" s="92" t="s">
        <v>162</v>
      </c>
      <c r="D40" s="161">
        <v>0</v>
      </c>
    </row>
    <row r="41" ht="14.25">
      <c r="B41" s="94">
        <v>10201</v>
      </c>
      <c r="C41" s="95" t="s">
        <v>163</v>
      </c>
      <c r="D41" s="162">
        <v>1</v>
      </c>
    </row>
    <row r="42" ht="14.25">
      <c r="B42" s="91">
        <v>10202</v>
      </c>
      <c r="C42" s="92" t="s">
        <v>164</v>
      </c>
      <c r="D42" s="161">
        <v>0</v>
      </c>
    </row>
    <row r="43" ht="14.25">
      <c r="B43" s="94">
        <v>10203</v>
      </c>
      <c r="C43" s="95" t="s">
        <v>165</v>
      </c>
      <c r="D43" s="162">
        <v>1</v>
      </c>
    </row>
    <row r="44" ht="14.25">
      <c r="B44" s="91">
        <v>10204</v>
      </c>
      <c r="C44" s="92" t="s">
        <v>166</v>
      </c>
      <c r="D44" s="161">
        <v>30</v>
      </c>
    </row>
    <row r="45" ht="14.25">
      <c r="B45" s="94">
        <v>10205</v>
      </c>
      <c r="C45" s="95" t="s">
        <v>167</v>
      </c>
      <c r="D45" s="162">
        <v>0</v>
      </c>
    </row>
    <row r="46" ht="14.25">
      <c r="B46" s="91">
        <v>10206</v>
      </c>
      <c r="C46" s="92" t="s">
        <v>168</v>
      </c>
      <c r="D46" s="161">
        <v>0</v>
      </c>
    </row>
    <row r="47" ht="14.25">
      <c r="B47" s="94">
        <v>10207</v>
      </c>
      <c r="C47" s="95" t="s">
        <v>169</v>
      </c>
      <c r="D47" s="162">
        <v>0</v>
      </c>
    </row>
    <row r="48" ht="14.25">
      <c r="B48" s="91">
        <v>10208</v>
      </c>
      <c r="C48" s="92" t="s">
        <v>170</v>
      </c>
      <c r="D48" s="161">
        <v>3</v>
      </c>
    </row>
    <row r="49" ht="14.25">
      <c r="B49" s="94">
        <v>10209</v>
      </c>
      <c r="C49" s="95" t="s">
        <v>171</v>
      </c>
      <c r="D49" s="162">
        <v>3</v>
      </c>
    </row>
    <row r="50" ht="14.25">
      <c r="B50" s="91">
        <v>10210</v>
      </c>
      <c r="C50" s="92" t="s">
        <v>172</v>
      </c>
      <c r="D50" s="161">
        <v>7</v>
      </c>
    </row>
    <row r="51" ht="14.25">
      <c r="B51" s="94">
        <v>10211</v>
      </c>
      <c r="C51" s="95" t="s">
        <v>173</v>
      </c>
      <c r="D51" s="162">
        <v>0</v>
      </c>
    </row>
    <row r="52" ht="14.25">
      <c r="B52" s="91">
        <v>10212</v>
      </c>
      <c r="C52" s="92" t="s">
        <v>174</v>
      </c>
      <c r="D52" s="161">
        <v>0</v>
      </c>
    </row>
    <row r="53" ht="14.25">
      <c r="B53" s="94">
        <v>10213</v>
      </c>
      <c r="C53" s="95" t="s">
        <v>175</v>
      </c>
      <c r="D53" s="162">
        <v>0</v>
      </c>
    </row>
    <row r="54" ht="14.25">
      <c r="B54" s="91">
        <v>10214</v>
      </c>
      <c r="C54" s="92" t="s">
        <v>176</v>
      </c>
      <c r="D54" s="161">
        <v>0</v>
      </c>
    </row>
    <row r="55" ht="14.25">
      <c r="B55" s="94">
        <v>10215</v>
      </c>
      <c r="C55" s="95" t="s">
        <v>177</v>
      </c>
      <c r="D55" s="162">
        <v>0</v>
      </c>
    </row>
    <row r="56" ht="16.5" customHeight="1">
      <c r="B56" s="91">
        <v>10216</v>
      </c>
      <c r="C56" s="92" t="s">
        <v>178</v>
      </c>
      <c r="D56" s="161">
        <v>0</v>
      </c>
    </row>
    <row r="57" ht="14.25">
      <c r="B57" s="94">
        <v>10217</v>
      </c>
      <c r="C57" s="95" t="s">
        <v>179</v>
      </c>
      <c r="D57" s="162">
        <v>0</v>
      </c>
    </row>
    <row r="58" ht="14.25">
      <c r="B58" s="91">
        <v>10218</v>
      </c>
      <c r="C58" s="92" t="s">
        <v>180</v>
      </c>
      <c r="D58" s="161">
        <v>0</v>
      </c>
    </row>
    <row r="59" ht="14.25">
      <c r="B59" s="94">
        <v>10219</v>
      </c>
      <c r="C59" s="95" t="s">
        <v>181</v>
      </c>
      <c r="D59" s="162">
        <v>1</v>
      </c>
    </row>
    <row r="60" ht="14.25">
      <c r="B60" s="91">
        <v>10220</v>
      </c>
      <c r="C60" s="92" t="s">
        <v>182</v>
      </c>
      <c r="D60" s="161">
        <v>5</v>
      </c>
    </row>
    <row r="61" ht="14.25">
      <c r="B61" s="94">
        <v>10301</v>
      </c>
      <c r="C61" s="95" t="s">
        <v>183</v>
      </c>
      <c r="D61" s="162">
        <v>1</v>
      </c>
    </row>
    <row r="62" ht="14.25">
      <c r="B62" s="91">
        <v>10302</v>
      </c>
      <c r="C62" s="92" t="s">
        <v>184</v>
      </c>
      <c r="D62" s="161">
        <v>0</v>
      </c>
    </row>
    <row r="63" ht="14.25">
      <c r="B63" s="94">
        <v>10303</v>
      </c>
      <c r="C63" s="95" t="s">
        <v>185</v>
      </c>
      <c r="D63" s="162">
        <v>1</v>
      </c>
    </row>
    <row r="64" ht="14.25">
      <c r="B64" s="91">
        <v>10304</v>
      </c>
      <c r="C64" s="92" t="s">
        <v>186</v>
      </c>
      <c r="D64" s="161">
        <v>0</v>
      </c>
    </row>
    <row r="65" ht="16.5">
      <c r="B65" s="94">
        <v>10305</v>
      </c>
      <c r="C65" s="95" t="s">
        <v>187</v>
      </c>
      <c r="D65" s="162">
        <v>5</v>
      </c>
    </row>
    <row r="66" ht="16.5">
      <c r="B66" s="91">
        <v>10306</v>
      </c>
      <c r="C66" s="92" t="s">
        <v>188</v>
      </c>
      <c r="D66" s="161">
        <v>0</v>
      </c>
    </row>
    <row r="67" ht="16.5">
      <c r="B67" s="94">
        <v>10307</v>
      </c>
      <c r="C67" s="95" t="s">
        <v>189</v>
      </c>
      <c r="D67" s="162">
        <v>11</v>
      </c>
    </row>
    <row r="68" ht="16.5">
      <c r="B68" s="91">
        <v>10308</v>
      </c>
      <c r="C68" s="92" t="s">
        <v>190</v>
      </c>
      <c r="D68" s="161">
        <v>7</v>
      </c>
    </row>
    <row r="69" ht="16.5">
      <c r="B69" s="94">
        <v>10309</v>
      </c>
      <c r="C69" s="95" t="s">
        <v>191</v>
      </c>
      <c r="D69" s="162">
        <v>2</v>
      </c>
    </row>
    <row r="70" ht="16.5">
      <c r="B70" s="91">
        <v>10310</v>
      </c>
      <c r="C70" s="92" t="s">
        <v>192</v>
      </c>
      <c r="D70" s="161">
        <v>0</v>
      </c>
    </row>
    <row r="71" ht="16.5">
      <c r="B71" s="94">
        <v>10311</v>
      </c>
      <c r="C71" s="95" t="s">
        <v>193</v>
      </c>
      <c r="D71" s="162">
        <v>1</v>
      </c>
    </row>
    <row r="72" ht="16.5">
      <c r="B72" s="91">
        <v>10312</v>
      </c>
      <c r="C72" s="92" t="s">
        <v>194</v>
      </c>
      <c r="D72" s="161">
        <v>1</v>
      </c>
    </row>
    <row r="73" ht="16.5">
      <c r="B73" s="94">
        <v>10313</v>
      </c>
      <c r="C73" s="95" t="s">
        <v>195</v>
      </c>
      <c r="D73" s="162">
        <v>0</v>
      </c>
    </row>
    <row r="74" ht="16.5">
      <c r="B74" s="91">
        <v>10314</v>
      </c>
      <c r="C74" s="92" t="s">
        <v>196</v>
      </c>
      <c r="D74" s="161">
        <v>0</v>
      </c>
    </row>
    <row r="75" ht="16.5">
      <c r="B75" s="94">
        <v>10315</v>
      </c>
      <c r="C75" s="95" t="s">
        <v>197</v>
      </c>
      <c r="D75" s="162">
        <v>1</v>
      </c>
    </row>
    <row r="76" ht="16.5">
      <c r="B76" s="91">
        <v>10316</v>
      </c>
      <c r="C76" s="92" t="s">
        <v>198</v>
      </c>
      <c r="D76" s="161">
        <v>49</v>
      </c>
    </row>
    <row r="77" ht="16.5">
      <c r="B77" s="94">
        <v>10317</v>
      </c>
      <c r="C77" s="95" t="s">
        <v>199</v>
      </c>
      <c r="D77" s="162">
        <v>0</v>
      </c>
    </row>
    <row r="78" ht="16.5">
      <c r="B78" s="91">
        <v>10318</v>
      </c>
      <c r="C78" s="92" t="s">
        <v>200</v>
      </c>
      <c r="D78" s="161">
        <v>17</v>
      </c>
    </row>
    <row r="79" ht="16.5">
      <c r="B79" s="94">
        <v>10319</v>
      </c>
      <c r="C79" s="95" t="s">
        <v>201</v>
      </c>
      <c r="D79" s="162">
        <v>0</v>
      </c>
    </row>
    <row r="80" ht="16.5">
      <c r="B80" s="97">
        <v>20101</v>
      </c>
      <c r="C80" s="98" t="s">
        <v>202</v>
      </c>
      <c r="D80" s="163">
        <v>0</v>
      </c>
    </row>
    <row r="81" ht="16.5">
      <c r="B81" s="100">
        <v>20102</v>
      </c>
      <c r="C81" s="101" t="s">
        <v>203</v>
      </c>
      <c r="D81" s="164">
        <v>0</v>
      </c>
    </row>
    <row r="82" ht="16.5">
      <c r="B82" s="97">
        <v>20103</v>
      </c>
      <c r="C82" s="98" t="s">
        <v>204</v>
      </c>
      <c r="D82" s="163">
        <v>15</v>
      </c>
    </row>
    <row r="83" ht="16.5">
      <c r="B83" s="100">
        <v>20104</v>
      </c>
      <c r="C83" s="101" t="s">
        <v>205</v>
      </c>
      <c r="D83" s="164">
        <v>10</v>
      </c>
    </row>
    <row r="84" ht="16.5">
      <c r="B84" s="97">
        <v>20105</v>
      </c>
      <c r="C84" s="98" t="s">
        <v>206</v>
      </c>
      <c r="D84" s="163">
        <v>0</v>
      </c>
    </row>
    <row r="85" ht="16.5">
      <c r="B85" s="100">
        <v>20106</v>
      </c>
      <c r="C85" s="101" t="s">
        <v>207</v>
      </c>
      <c r="D85" s="164">
        <v>0</v>
      </c>
    </row>
    <row r="86" ht="16.5">
      <c r="B86" s="97">
        <v>20107</v>
      </c>
      <c r="C86" s="98" t="s">
        <v>208</v>
      </c>
      <c r="D86" s="163">
        <v>1</v>
      </c>
    </row>
    <row r="87" ht="16.5">
      <c r="B87" s="100">
        <v>20108</v>
      </c>
      <c r="C87" s="101" t="s">
        <v>209</v>
      </c>
      <c r="D87" s="164">
        <v>4</v>
      </c>
    </row>
    <row r="88" ht="16.5">
      <c r="B88" s="97">
        <v>20109</v>
      </c>
      <c r="C88" s="98" t="s">
        <v>210</v>
      </c>
      <c r="D88" s="163">
        <v>0</v>
      </c>
    </row>
    <row r="89" ht="16.5">
      <c r="B89" s="100">
        <v>20110</v>
      </c>
      <c r="C89" s="101" t="s">
        <v>211</v>
      </c>
      <c r="D89" s="164">
        <v>0</v>
      </c>
    </row>
    <row r="90" ht="16.5">
      <c r="B90" s="97">
        <v>20111</v>
      </c>
      <c r="C90" s="98" t="s">
        <v>212</v>
      </c>
      <c r="D90" s="163">
        <v>2</v>
      </c>
    </row>
    <row r="91" ht="16.5">
      <c r="B91" s="100">
        <v>20112</v>
      </c>
      <c r="C91" s="101" t="s">
        <v>213</v>
      </c>
      <c r="D91" s="164">
        <v>0</v>
      </c>
    </row>
    <row r="92" ht="16.5">
      <c r="B92" s="97">
        <v>20113</v>
      </c>
      <c r="C92" s="98" t="s">
        <v>214</v>
      </c>
      <c r="D92" s="163">
        <v>0</v>
      </c>
    </row>
    <row r="93" ht="16.5">
      <c r="B93" s="100">
        <v>20114</v>
      </c>
      <c r="C93" s="101" t="s">
        <v>215</v>
      </c>
      <c r="D93" s="164">
        <v>0</v>
      </c>
    </row>
    <row r="94" ht="16.5">
      <c r="B94" s="97">
        <v>20201</v>
      </c>
      <c r="C94" s="98" t="s">
        <v>216</v>
      </c>
      <c r="D94" s="163">
        <v>59</v>
      </c>
    </row>
    <row r="95" ht="16.5">
      <c r="B95" s="100">
        <v>20202</v>
      </c>
      <c r="C95" s="101" t="s">
        <v>217</v>
      </c>
      <c r="D95" s="164">
        <v>1</v>
      </c>
    </row>
    <row r="96" ht="16.5">
      <c r="B96" s="97">
        <v>20203</v>
      </c>
      <c r="C96" s="98" t="s">
        <v>218</v>
      </c>
      <c r="D96" s="163">
        <v>9</v>
      </c>
    </row>
    <row r="97" ht="16.5">
      <c r="B97" s="100">
        <v>20204</v>
      </c>
      <c r="C97" s="101" t="s">
        <v>219</v>
      </c>
      <c r="D97" s="164">
        <v>0</v>
      </c>
    </row>
    <row r="98" ht="16.5">
      <c r="B98" s="97">
        <v>20205</v>
      </c>
      <c r="C98" s="98" t="s">
        <v>220</v>
      </c>
      <c r="D98" s="163">
        <v>0</v>
      </c>
    </row>
    <row r="99" ht="16.5">
      <c r="B99" s="100">
        <v>20206</v>
      </c>
      <c r="C99" s="101" t="s">
        <v>221</v>
      </c>
      <c r="D99" s="164">
        <v>0</v>
      </c>
    </row>
    <row r="100" ht="16.5">
      <c r="B100" s="97">
        <v>20207</v>
      </c>
      <c r="C100" s="98" t="s">
        <v>222</v>
      </c>
      <c r="D100" s="163">
        <v>0</v>
      </c>
    </row>
    <row r="101" ht="16.5">
      <c r="B101" s="100">
        <v>20208</v>
      </c>
      <c r="C101" s="101" t="s">
        <v>223</v>
      </c>
      <c r="D101" s="164">
        <v>0</v>
      </c>
    </row>
    <row r="102" ht="16.5">
      <c r="B102" s="97">
        <v>20209</v>
      </c>
      <c r="C102" s="98" t="s">
        <v>224</v>
      </c>
      <c r="D102" s="163">
        <v>3</v>
      </c>
    </row>
    <row r="103" ht="16.5">
      <c r="B103" s="100">
        <v>20210</v>
      </c>
      <c r="C103" s="101" t="s">
        <v>225</v>
      </c>
      <c r="D103" s="164">
        <v>10</v>
      </c>
    </row>
    <row r="104" ht="16.5">
      <c r="B104" s="97">
        <v>20211</v>
      </c>
      <c r="C104" s="98" t="s">
        <v>226</v>
      </c>
      <c r="D104" s="163">
        <v>0</v>
      </c>
    </row>
    <row r="105" ht="16.5">
      <c r="B105" s="100">
        <v>20212</v>
      </c>
      <c r="C105" s="101" t="s">
        <v>227</v>
      </c>
      <c r="D105" s="164">
        <v>0</v>
      </c>
    </row>
    <row r="106" ht="16.5">
      <c r="B106" s="97">
        <v>20213</v>
      </c>
      <c r="C106" s="98" t="s">
        <v>228</v>
      </c>
      <c r="D106" s="163">
        <v>0</v>
      </c>
    </row>
    <row r="107" ht="16.5">
      <c r="B107" s="100">
        <v>20214</v>
      </c>
      <c r="C107" s="101" t="s">
        <v>229</v>
      </c>
      <c r="D107" s="164">
        <v>0</v>
      </c>
    </row>
    <row r="108" ht="16.5">
      <c r="B108" s="97">
        <v>20301</v>
      </c>
      <c r="C108" s="98" t="s">
        <v>230</v>
      </c>
      <c r="D108" s="163">
        <v>6</v>
      </c>
    </row>
    <row r="109" ht="16.5">
      <c r="B109" s="100">
        <v>20302</v>
      </c>
      <c r="C109" s="101" t="s">
        <v>231</v>
      </c>
      <c r="D109" s="164">
        <v>0</v>
      </c>
    </row>
    <row r="110" ht="16.5">
      <c r="B110" s="97">
        <v>20303</v>
      </c>
      <c r="C110" s="98" t="s">
        <v>232</v>
      </c>
      <c r="D110" s="163">
        <v>5</v>
      </c>
    </row>
    <row r="111" ht="16.5">
      <c r="B111" s="100">
        <v>20304</v>
      </c>
      <c r="C111" s="101" t="s">
        <v>233</v>
      </c>
      <c r="D111" s="164">
        <v>0</v>
      </c>
    </row>
    <row r="112" ht="16.5">
      <c r="B112" s="97">
        <v>20305</v>
      </c>
      <c r="C112" s="98" t="s">
        <v>234</v>
      </c>
      <c r="D112" s="163">
        <v>0</v>
      </c>
    </row>
    <row r="113" ht="16.5">
      <c r="B113" s="100">
        <v>20306</v>
      </c>
      <c r="C113" s="101" t="s">
        <v>235</v>
      </c>
      <c r="D113" s="164">
        <v>0</v>
      </c>
    </row>
    <row r="114" ht="16.5">
      <c r="B114" s="97">
        <v>20307</v>
      </c>
      <c r="C114" s="98" t="s">
        <v>236</v>
      </c>
      <c r="D114" s="163">
        <v>2</v>
      </c>
    </row>
    <row r="115" ht="16.5">
      <c r="B115" s="100">
        <v>20308</v>
      </c>
      <c r="C115" s="101" t="s">
        <v>237</v>
      </c>
      <c r="D115" s="164">
        <v>0</v>
      </c>
    </row>
    <row r="116" ht="16.5">
      <c r="B116" s="97">
        <v>20309</v>
      </c>
      <c r="C116" s="98" t="s">
        <v>238</v>
      </c>
      <c r="D116" s="163">
        <v>0</v>
      </c>
    </row>
    <row r="117" ht="16.5">
      <c r="B117" s="100">
        <v>20310</v>
      </c>
      <c r="C117" s="101" t="s">
        <v>239</v>
      </c>
      <c r="D117" s="164">
        <v>0</v>
      </c>
    </row>
    <row r="118" ht="16.5">
      <c r="B118" s="97">
        <v>20311</v>
      </c>
      <c r="C118" s="98" t="s">
        <v>240</v>
      </c>
      <c r="D118" s="163">
        <v>31</v>
      </c>
    </row>
    <row r="119" ht="16.5">
      <c r="B119" s="100">
        <v>20401</v>
      </c>
      <c r="C119" s="101" t="s">
        <v>241</v>
      </c>
      <c r="D119" s="164">
        <v>0</v>
      </c>
    </row>
    <row r="120" ht="16.5">
      <c r="B120" s="97">
        <v>20402</v>
      </c>
      <c r="C120" s="98" t="s">
        <v>242</v>
      </c>
      <c r="D120" s="163">
        <v>1</v>
      </c>
    </row>
    <row r="121" ht="16.5">
      <c r="B121" s="100">
        <v>20403</v>
      </c>
      <c r="C121" s="101" t="s">
        <v>243</v>
      </c>
      <c r="D121" s="164">
        <v>11</v>
      </c>
    </row>
    <row r="122" ht="16.5">
      <c r="B122" s="97">
        <v>20404</v>
      </c>
      <c r="C122" s="98" t="s">
        <v>244</v>
      </c>
      <c r="D122" s="163">
        <v>0</v>
      </c>
    </row>
    <row r="123" ht="16.5">
      <c r="B123" s="104">
        <v>30101</v>
      </c>
      <c r="C123" s="105" t="s">
        <v>245</v>
      </c>
      <c r="D123" s="165">
        <v>8</v>
      </c>
    </row>
    <row r="124" ht="16.5">
      <c r="B124" s="107">
        <v>30102</v>
      </c>
      <c r="C124" s="108" t="s">
        <v>246</v>
      </c>
      <c r="D124" s="164">
        <v>3</v>
      </c>
    </row>
    <row r="125" ht="16.5">
      <c r="B125" s="104">
        <v>30103</v>
      </c>
      <c r="C125" s="105" t="s">
        <v>247</v>
      </c>
      <c r="D125" s="165">
        <v>49</v>
      </c>
    </row>
    <row r="126" ht="16.5">
      <c r="B126" s="107">
        <v>30201</v>
      </c>
      <c r="C126" s="108" t="s">
        <v>248</v>
      </c>
      <c r="D126" s="164">
        <v>0</v>
      </c>
    </row>
    <row r="127" ht="16.5">
      <c r="B127" s="104">
        <v>30202</v>
      </c>
      <c r="C127" s="105" t="s">
        <v>249</v>
      </c>
      <c r="D127" s="165">
        <v>48</v>
      </c>
    </row>
    <row r="128" ht="16.5">
      <c r="B128" s="107">
        <v>30203</v>
      </c>
      <c r="C128" s="108" t="s">
        <v>250</v>
      </c>
      <c r="D128" s="164">
        <v>0</v>
      </c>
    </row>
    <row r="129" ht="16.5">
      <c r="B129" s="104">
        <v>30204</v>
      </c>
      <c r="C129" s="105" t="s">
        <v>251</v>
      </c>
      <c r="D129" s="165">
        <v>25</v>
      </c>
    </row>
    <row r="130" ht="16.5">
      <c r="B130" s="107">
        <v>30205</v>
      </c>
      <c r="C130" s="108" t="s">
        <v>252</v>
      </c>
      <c r="D130" s="164">
        <v>3</v>
      </c>
    </row>
    <row r="131" ht="16.5">
      <c r="B131" s="104">
        <v>30206</v>
      </c>
      <c r="C131" s="105" t="s">
        <v>253</v>
      </c>
      <c r="D131" s="165">
        <v>0</v>
      </c>
    </row>
    <row r="132" ht="16.5">
      <c r="B132" s="107">
        <v>30207</v>
      </c>
      <c r="C132" s="108" t="s">
        <v>254</v>
      </c>
      <c r="D132" s="164">
        <v>0</v>
      </c>
    </row>
    <row r="133" ht="16.5">
      <c r="B133" s="104">
        <v>30301</v>
      </c>
      <c r="C133" s="105" t="s">
        <v>255</v>
      </c>
      <c r="D133" s="165">
        <v>0</v>
      </c>
    </row>
    <row r="134" ht="16.5">
      <c r="B134" s="107">
        <v>30302</v>
      </c>
      <c r="C134" s="108" t="s">
        <v>256</v>
      </c>
      <c r="D134" s="164">
        <v>27</v>
      </c>
    </row>
    <row r="135" ht="16.5">
      <c r="B135" s="104">
        <v>30303</v>
      </c>
      <c r="C135" s="105" t="s">
        <v>257</v>
      </c>
      <c r="D135" s="165">
        <v>5</v>
      </c>
    </row>
    <row r="136" ht="16.5">
      <c r="B136" s="107">
        <v>30304</v>
      </c>
      <c r="C136" s="108" t="s">
        <v>258</v>
      </c>
      <c r="D136" s="164">
        <v>6</v>
      </c>
    </row>
    <row r="137" ht="16.5">
      <c r="B137" s="104">
        <v>30305</v>
      </c>
      <c r="C137" s="105" t="s">
        <v>259</v>
      </c>
      <c r="D137" s="165">
        <v>11</v>
      </c>
    </row>
    <row r="138" ht="16.5">
      <c r="B138" s="107">
        <v>30306</v>
      </c>
      <c r="C138" s="108" t="s">
        <v>260</v>
      </c>
      <c r="D138" s="164">
        <v>1</v>
      </c>
    </row>
    <row r="139" ht="16.5">
      <c r="B139" s="104">
        <v>30307</v>
      </c>
      <c r="C139" s="105" t="s">
        <v>261</v>
      </c>
      <c r="D139" s="165">
        <v>34</v>
      </c>
    </row>
    <row r="140" ht="16.5">
      <c r="B140" s="107">
        <v>30308</v>
      </c>
      <c r="C140" s="108" t="s">
        <v>262</v>
      </c>
      <c r="D140" s="164">
        <v>33</v>
      </c>
    </row>
    <row r="141" ht="16.5">
      <c r="B141" s="104">
        <v>30309</v>
      </c>
      <c r="C141" s="105" t="s">
        <v>263</v>
      </c>
      <c r="D141" s="165">
        <v>107</v>
      </c>
    </row>
    <row r="142" ht="16.5">
      <c r="B142" s="107">
        <v>30310</v>
      </c>
      <c r="C142" s="108" t="s">
        <v>264</v>
      </c>
      <c r="D142" s="164">
        <v>115</v>
      </c>
    </row>
    <row r="143" ht="16.5">
      <c r="B143" s="104">
        <v>30401</v>
      </c>
      <c r="C143" s="105" t="s">
        <v>265</v>
      </c>
      <c r="D143" s="165">
        <v>457</v>
      </c>
    </row>
    <row r="144" ht="16.5">
      <c r="B144" s="107">
        <v>30402</v>
      </c>
      <c r="C144" s="108" t="s">
        <v>266</v>
      </c>
      <c r="D144" s="164">
        <v>0</v>
      </c>
    </row>
    <row r="145" ht="16.5">
      <c r="B145" s="104">
        <v>30403</v>
      </c>
      <c r="C145" s="105" t="s">
        <v>267</v>
      </c>
      <c r="D145" s="165">
        <v>5</v>
      </c>
    </row>
    <row r="146" ht="16.5">
      <c r="B146" s="107">
        <v>30404</v>
      </c>
      <c r="C146" s="108" t="s">
        <v>268</v>
      </c>
      <c r="D146" s="164">
        <v>7</v>
      </c>
    </row>
    <row r="147" ht="16.5">
      <c r="B147" s="104">
        <v>30405</v>
      </c>
      <c r="C147" s="105" t="s">
        <v>269</v>
      </c>
      <c r="D147" s="165">
        <v>0</v>
      </c>
    </row>
    <row r="148" ht="16.5">
      <c r="B148" s="107">
        <v>30406</v>
      </c>
      <c r="C148" s="108" t="s">
        <v>270</v>
      </c>
      <c r="D148" s="164">
        <v>0</v>
      </c>
    </row>
    <row r="149" ht="16.5">
      <c r="B149" s="104">
        <v>30407</v>
      </c>
      <c r="C149" s="105" t="s">
        <v>271</v>
      </c>
      <c r="D149" s="165">
        <v>0</v>
      </c>
    </row>
    <row r="150" ht="16.5">
      <c r="B150" s="107">
        <v>30408</v>
      </c>
      <c r="C150" s="108" t="s">
        <v>272</v>
      </c>
      <c r="D150" s="164">
        <v>0</v>
      </c>
    </row>
    <row r="151" ht="16.5">
      <c r="B151" s="104">
        <v>30409</v>
      </c>
      <c r="C151" s="105" t="s">
        <v>273</v>
      </c>
      <c r="D151" s="165">
        <v>0</v>
      </c>
    </row>
    <row r="152" ht="16.5">
      <c r="B152" s="107">
        <v>30410</v>
      </c>
      <c r="C152" s="108" t="s">
        <v>274</v>
      </c>
      <c r="D152" s="164">
        <v>0</v>
      </c>
    </row>
    <row r="153" ht="16.5">
      <c r="B153" s="104">
        <v>30411</v>
      </c>
      <c r="C153" s="105" t="s">
        <v>275</v>
      </c>
      <c r="D153" s="165">
        <v>0</v>
      </c>
    </row>
    <row r="154" ht="16.5">
      <c r="B154" s="107">
        <v>30412</v>
      </c>
      <c r="C154" s="108" t="s">
        <v>276</v>
      </c>
      <c r="D154" s="164">
        <v>0</v>
      </c>
    </row>
    <row r="155" ht="16.5">
      <c r="B155" s="104">
        <v>30413</v>
      </c>
      <c r="C155" s="105" t="s">
        <v>277</v>
      </c>
      <c r="D155" s="165">
        <v>0</v>
      </c>
    </row>
    <row r="156" ht="16.5">
      <c r="B156" s="107">
        <v>30414</v>
      </c>
      <c r="C156" s="108" t="s">
        <v>278</v>
      </c>
      <c r="D156" s="164">
        <v>8</v>
      </c>
    </row>
    <row r="157" ht="16.5">
      <c r="B157" s="104">
        <v>30415</v>
      </c>
      <c r="C157" s="105" t="s">
        <v>279</v>
      </c>
      <c r="D157" s="165">
        <v>1</v>
      </c>
    </row>
    <row r="158" ht="16.5">
      <c r="B158" s="107">
        <v>30416</v>
      </c>
      <c r="C158" s="108" t="s">
        <v>280</v>
      </c>
      <c r="D158" s="164">
        <v>0</v>
      </c>
    </row>
    <row r="159" ht="16.5">
      <c r="B159" s="104">
        <v>30417</v>
      </c>
      <c r="C159" s="105" t="s">
        <v>281</v>
      </c>
      <c r="D159" s="165">
        <v>0</v>
      </c>
    </row>
    <row r="160" ht="16.5">
      <c r="B160" s="107">
        <v>30418</v>
      </c>
      <c r="C160" s="108" t="s">
        <v>282</v>
      </c>
      <c r="D160" s="164">
        <v>0</v>
      </c>
    </row>
    <row r="161" ht="16.5">
      <c r="B161" s="104">
        <v>30419</v>
      </c>
      <c r="C161" s="105" t="s">
        <v>283</v>
      </c>
      <c r="D161" s="165">
        <v>3</v>
      </c>
    </row>
    <row r="162" ht="16.5">
      <c r="B162" s="107">
        <v>30420</v>
      </c>
      <c r="C162" s="108" t="s">
        <v>284</v>
      </c>
      <c r="D162" s="164">
        <v>5</v>
      </c>
    </row>
    <row r="163" ht="16.5">
      <c r="B163" s="104">
        <v>30421</v>
      </c>
      <c r="C163" s="105" t="s">
        <v>285</v>
      </c>
      <c r="D163" s="165">
        <v>2</v>
      </c>
    </row>
    <row r="164" ht="16.5">
      <c r="B164" s="107">
        <v>30422</v>
      </c>
      <c r="C164" s="108" t="s">
        <v>286</v>
      </c>
      <c r="D164" s="164">
        <v>6</v>
      </c>
    </row>
    <row r="165" ht="16.5">
      <c r="B165" s="104">
        <v>30423</v>
      </c>
      <c r="C165" s="105" t="s">
        <v>287</v>
      </c>
      <c r="D165" s="165">
        <v>0</v>
      </c>
    </row>
    <row r="166" ht="16.5">
      <c r="B166" s="107">
        <v>30424</v>
      </c>
      <c r="C166" s="108" t="s">
        <v>288</v>
      </c>
      <c r="D166" s="164">
        <v>0</v>
      </c>
    </row>
    <row r="167" ht="16.5">
      <c r="B167" s="104">
        <v>30425</v>
      </c>
      <c r="C167" s="105" t="s">
        <v>289</v>
      </c>
      <c r="D167" s="165">
        <v>0</v>
      </c>
    </row>
    <row r="168" ht="16.5">
      <c r="B168" s="107">
        <v>30426</v>
      </c>
      <c r="C168" s="108" t="s">
        <v>290</v>
      </c>
      <c r="D168" s="164">
        <v>0</v>
      </c>
    </row>
    <row r="169" ht="16.5">
      <c r="B169" s="104">
        <v>30427</v>
      </c>
      <c r="C169" s="105" t="s">
        <v>291</v>
      </c>
      <c r="D169" s="165">
        <v>1</v>
      </c>
    </row>
    <row r="170" ht="16.5">
      <c r="B170" s="107">
        <v>30428</v>
      </c>
      <c r="C170" s="108" t="s">
        <v>292</v>
      </c>
      <c r="D170" s="164">
        <v>0</v>
      </c>
    </row>
    <row r="171" ht="16.5">
      <c r="B171" s="104">
        <v>30429</v>
      </c>
      <c r="C171" s="105" t="s">
        <v>293</v>
      </c>
      <c r="D171" s="165">
        <v>3</v>
      </c>
    </row>
    <row r="172" ht="16.5">
      <c r="B172" s="107">
        <v>30430</v>
      </c>
      <c r="C172" s="108" t="s">
        <v>294</v>
      </c>
      <c r="D172" s="164">
        <v>17</v>
      </c>
    </row>
    <row r="173" ht="16.5">
      <c r="B173" s="104">
        <v>30431</v>
      </c>
      <c r="C173" s="105" t="s">
        <v>295</v>
      </c>
      <c r="D173" s="165">
        <v>0</v>
      </c>
    </row>
    <row r="174" ht="16.5">
      <c r="B174" s="107">
        <v>30432</v>
      </c>
      <c r="C174" s="108" t="s">
        <v>296</v>
      </c>
      <c r="D174" s="164">
        <v>0</v>
      </c>
    </row>
    <row r="175" ht="16.5">
      <c r="B175" s="104">
        <v>30433</v>
      </c>
      <c r="C175" s="105" t="s">
        <v>297</v>
      </c>
      <c r="D175" s="165">
        <v>0</v>
      </c>
    </row>
    <row r="176" ht="16.5">
      <c r="B176" s="107">
        <v>30434</v>
      </c>
      <c r="C176" s="108" t="s">
        <v>298</v>
      </c>
      <c r="D176" s="164">
        <v>0</v>
      </c>
    </row>
    <row r="177" ht="16.5">
      <c r="B177" s="104">
        <v>30435</v>
      </c>
      <c r="C177" s="105" t="s">
        <v>299</v>
      </c>
      <c r="D177" s="165">
        <v>0</v>
      </c>
    </row>
    <row r="178" ht="16.5">
      <c r="B178" s="107">
        <v>30436</v>
      </c>
      <c r="C178" s="108" t="s">
        <v>300</v>
      </c>
      <c r="D178" s="164">
        <v>0</v>
      </c>
    </row>
    <row r="179" ht="16.5">
      <c r="B179" s="104">
        <v>30437</v>
      </c>
      <c r="C179" s="105" t="s">
        <v>301</v>
      </c>
      <c r="D179" s="165">
        <v>0</v>
      </c>
    </row>
    <row r="180" ht="16.5">
      <c r="B180" s="107">
        <v>30438</v>
      </c>
      <c r="C180" s="108" t="s">
        <v>302</v>
      </c>
      <c r="D180" s="164">
        <v>0</v>
      </c>
    </row>
    <row r="181" ht="16.5">
      <c r="B181" s="104">
        <v>30439</v>
      </c>
      <c r="C181" s="105" t="s">
        <v>303</v>
      </c>
      <c r="D181" s="165">
        <v>0</v>
      </c>
    </row>
    <row r="182" ht="16.5">
      <c r="B182" s="107">
        <v>30440</v>
      </c>
      <c r="C182" s="108" t="s">
        <v>304</v>
      </c>
      <c r="D182" s="164">
        <v>1</v>
      </c>
    </row>
    <row r="183" ht="16.5">
      <c r="B183" s="104">
        <v>30441</v>
      </c>
      <c r="C183" s="105" t="s">
        <v>305</v>
      </c>
      <c r="D183" s="165">
        <v>0</v>
      </c>
    </row>
    <row r="184" ht="16.5">
      <c r="B184" s="107">
        <v>30442</v>
      </c>
      <c r="C184" s="108" t="s">
        <v>306</v>
      </c>
      <c r="D184" s="164">
        <v>0</v>
      </c>
    </row>
    <row r="185" ht="16.5">
      <c r="B185" s="104">
        <v>30443</v>
      </c>
      <c r="C185" s="105" t="s">
        <v>307</v>
      </c>
      <c r="D185" s="165">
        <v>0</v>
      </c>
    </row>
    <row r="186" ht="16.5">
      <c r="B186" s="107">
        <v>30444</v>
      </c>
      <c r="C186" s="108" t="s">
        <v>308</v>
      </c>
      <c r="D186" s="164">
        <v>0</v>
      </c>
    </row>
    <row r="187" ht="16.5">
      <c r="B187" s="104">
        <v>30445</v>
      </c>
      <c r="C187" s="105" t="s">
        <v>309</v>
      </c>
      <c r="D187" s="165">
        <v>0</v>
      </c>
    </row>
    <row r="188" ht="16.5">
      <c r="B188" s="107">
        <v>30446</v>
      </c>
      <c r="C188" s="108" t="s">
        <v>310</v>
      </c>
      <c r="D188" s="164">
        <v>0</v>
      </c>
    </row>
    <row r="189" ht="16.5">
      <c r="B189" s="104">
        <v>30501</v>
      </c>
      <c r="C189" s="105" t="s">
        <v>311</v>
      </c>
      <c r="D189" s="165">
        <v>0</v>
      </c>
    </row>
    <row r="190" ht="16.5">
      <c r="B190" s="107">
        <v>30502</v>
      </c>
      <c r="C190" s="108" t="s">
        <v>312</v>
      </c>
      <c r="D190" s="164">
        <v>40</v>
      </c>
    </row>
    <row r="191" ht="16.5">
      <c r="B191" s="104">
        <v>30503</v>
      </c>
      <c r="C191" s="105" t="s">
        <v>313</v>
      </c>
      <c r="D191" s="165">
        <v>46</v>
      </c>
    </row>
    <row r="192" ht="16.5">
      <c r="B192" s="107">
        <v>30504</v>
      </c>
      <c r="C192" s="108" t="s">
        <v>314</v>
      </c>
      <c r="D192" s="164">
        <v>0</v>
      </c>
    </row>
    <row r="193" ht="16.5">
      <c r="B193" s="104">
        <v>30505</v>
      </c>
      <c r="C193" s="105" t="s">
        <v>315</v>
      </c>
      <c r="D193" s="165">
        <v>5</v>
      </c>
    </row>
    <row r="194" ht="16.5">
      <c r="B194" s="107">
        <v>30601</v>
      </c>
      <c r="C194" s="108" t="s">
        <v>316</v>
      </c>
      <c r="D194" s="164">
        <v>2</v>
      </c>
    </row>
    <row r="195" ht="16.5">
      <c r="B195" s="104">
        <v>30602</v>
      </c>
      <c r="C195" s="105" t="s">
        <v>317</v>
      </c>
      <c r="D195" s="165">
        <v>1</v>
      </c>
    </row>
    <row r="196" ht="16.5">
      <c r="B196" s="107">
        <v>30603</v>
      </c>
      <c r="C196" s="108" t="s">
        <v>318</v>
      </c>
      <c r="D196" s="164">
        <v>1</v>
      </c>
    </row>
    <row r="197" ht="16.5">
      <c r="B197" s="104">
        <v>30604</v>
      </c>
      <c r="C197" s="105" t="s">
        <v>319</v>
      </c>
      <c r="D197" s="165">
        <v>0</v>
      </c>
    </row>
    <row r="198" ht="16.5">
      <c r="B198" s="107">
        <v>30605</v>
      </c>
      <c r="C198" s="108" t="s">
        <v>320</v>
      </c>
      <c r="D198" s="164">
        <v>0</v>
      </c>
    </row>
    <row r="199" ht="16.5">
      <c r="B199" s="104">
        <v>30606</v>
      </c>
      <c r="C199" s="105" t="s">
        <v>321</v>
      </c>
      <c r="D199" s="165">
        <v>2</v>
      </c>
    </row>
    <row r="200" ht="16.5">
      <c r="B200" s="107">
        <v>30607</v>
      </c>
      <c r="C200" s="108" t="s">
        <v>322</v>
      </c>
      <c r="D200" s="164">
        <v>0</v>
      </c>
    </row>
    <row r="201" ht="16.5">
      <c r="B201" s="104">
        <v>30608</v>
      </c>
      <c r="C201" s="105" t="s">
        <v>323</v>
      </c>
      <c r="D201" s="165">
        <v>0</v>
      </c>
    </row>
    <row r="202" ht="16.5">
      <c r="B202" s="107">
        <v>30609</v>
      </c>
      <c r="C202" s="108" t="s">
        <v>324</v>
      </c>
      <c r="D202" s="164">
        <v>0</v>
      </c>
    </row>
    <row r="203" ht="16.5">
      <c r="B203" s="104">
        <v>30610</v>
      </c>
      <c r="C203" s="105" t="s">
        <v>325</v>
      </c>
      <c r="D203" s="165">
        <v>0</v>
      </c>
    </row>
    <row r="204" ht="16.5">
      <c r="B204" s="107">
        <v>30611</v>
      </c>
      <c r="C204" s="108" t="s">
        <v>326</v>
      </c>
      <c r="D204" s="164">
        <v>1</v>
      </c>
    </row>
    <row r="205" ht="16.5">
      <c r="B205" s="104">
        <v>30701</v>
      </c>
      <c r="C205" s="105" t="s">
        <v>327</v>
      </c>
      <c r="D205" s="165">
        <v>0</v>
      </c>
    </row>
    <row r="206" ht="16.5">
      <c r="B206" s="107">
        <v>30702</v>
      </c>
      <c r="C206" s="108" t="s">
        <v>328</v>
      </c>
      <c r="D206" s="164">
        <v>7</v>
      </c>
    </row>
    <row r="207" ht="16.5">
      <c r="B207" s="104">
        <v>30703</v>
      </c>
      <c r="C207" s="105" t="s">
        <v>329</v>
      </c>
      <c r="D207" s="165">
        <v>0</v>
      </c>
    </row>
    <row r="208" ht="16.5">
      <c r="B208" s="107">
        <v>30704</v>
      </c>
      <c r="C208" s="108" t="s">
        <v>330</v>
      </c>
      <c r="D208" s="164">
        <v>0</v>
      </c>
    </row>
    <row r="209" ht="16.5">
      <c r="B209" s="104">
        <v>30705</v>
      </c>
      <c r="C209" s="105" t="s">
        <v>331</v>
      </c>
      <c r="D209" s="165">
        <v>0</v>
      </c>
    </row>
    <row r="210" ht="16.5">
      <c r="B210" s="107">
        <v>30706</v>
      </c>
      <c r="C210" s="108" t="s">
        <v>332</v>
      </c>
      <c r="D210" s="164">
        <v>0</v>
      </c>
    </row>
    <row r="211" ht="16.5">
      <c r="B211" s="104">
        <v>30707</v>
      </c>
      <c r="C211" s="105" t="s">
        <v>333</v>
      </c>
      <c r="D211" s="165">
        <v>0</v>
      </c>
    </row>
    <row r="212" ht="16.5">
      <c r="B212" s="107">
        <v>30708</v>
      </c>
      <c r="C212" s="108" t="s">
        <v>334</v>
      </c>
      <c r="D212" s="164">
        <v>0</v>
      </c>
    </row>
    <row r="213" ht="16.5">
      <c r="B213" s="104">
        <v>30709</v>
      </c>
      <c r="C213" s="105" t="s">
        <v>335</v>
      </c>
      <c r="D213" s="165">
        <v>0</v>
      </c>
    </row>
    <row r="214" ht="16.5">
      <c r="B214" s="107">
        <v>30710</v>
      </c>
      <c r="C214" s="108" t="s">
        <v>336</v>
      </c>
      <c r="D214" s="164">
        <v>0</v>
      </c>
    </row>
    <row r="215" ht="16.5">
      <c r="B215" s="104">
        <v>30711</v>
      </c>
      <c r="C215" s="105" t="s">
        <v>337</v>
      </c>
      <c r="D215" s="165">
        <v>0</v>
      </c>
    </row>
    <row r="216" ht="16.5">
      <c r="B216" s="107">
        <v>30801</v>
      </c>
      <c r="C216" s="108" t="s">
        <v>338</v>
      </c>
      <c r="D216" s="164">
        <v>0</v>
      </c>
    </row>
    <row r="217" ht="16.5">
      <c r="B217" s="104">
        <v>30802</v>
      </c>
      <c r="C217" s="105" t="s">
        <v>339</v>
      </c>
      <c r="D217" s="165">
        <v>0</v>
      </c>
    </row>
    <row r="218" ht="16.5">
      <c r="B218" s="107">
        <v>30803</v>
      </c>
      <c r="C218" s="108" t="s">
        <v>340</v>
      </c>
      <c r="D218" s="164">
        <v>0</v>
      </c>
    </row>
    <row r="219" ht="16.5">
      <c r="B219" s="104">
        <v>30804</v>
      </c>
      <c r="C219" s="105" t="s">
        <v>341</v>
      </c>
      <c r="D219" s="165">
        <v>0</v>
      </c>
    </row>
    <row r="220" ht="16.5">
      <c r="B220" s="107">
        <v>30805</v>
      </c>
      <c r="C220" s="108" t="s">
        <v>342</v>
      </c>
      <c r="D220" s="164">
        <v>0</v>
      </c>
    </row>
    <row r="221" ht="16.5">
      <c r="B221" s="104">
        <v>30806</v>
      </c>
      <c r="C221" s="105" t="s">
        <v>343</v>
      </c>
      <c r="D221" s="165">
        <v>0</v>
      </c>
    </row>
    <row r="222" ht="16.5">
      <c r="B222" s="107">
        <v>30807</v>
      </c>
      <c r="C222" s="108" t="s">
        <v>344</v>
      </c>
      <c r="D222" s="164">
        <v>0</v>
      </c>
    </row>
    <row r="223" ht="16.5">
      <c r="B223" s="104">
        <v>30808</v>
      </c>
      <c r="C223" s="105" t="s">
        <v>345</v>
      </c>
      <c r="D223" s="165">
        <v>0</v>
      </c>
    </row>
    <row r="224" ht="16.5">
      <c r="B224" s="107">
        <v>30809</v>
      </c>
      <c r="C224" s="108" t="s">
        <v>346</v>
      </c>
      <c r="D224" s="164">
        <v>0</v>
      </c>
    </row>
    <row r="225" ht="16.5">
      <c r="B225" s="104">
        <v>30810</v>
      </c>
      <c r="C225" s="105" t="s">
        <v>347</v>
      </c>
      <c r="D225" s="165">
        <v>0</v>
      </c>
    </row>
    <row r="226" ht="16.5">
      <c r="B226" s="107">
        <v>30901</v>
      </c>
      <c r="C226" s="108" t="s">
        <v>348</v>
      </c>
      <c r="D226" s="164">
        <v>0</v>
      </c>
    </row>
    <row r="227" ht="16.5">
      <c r="B227" s="104">
        <v>30902</v>
      </c>
      <c r="C227" s="105" t="s">
        <v>349</v>
      </c>
      <c r="D227" s="165">
        <v>0</v>
      </c>
    </row>
    <row r="228" ht="16.5">
      <c r="B228" s="107">
        <v>30903</v>
      </c>
      <c r="C228" s="108" t="s">
        <v>350</v>
      </c>
      <c r="D228" s="164">
        <v>73</v>
      </c>
    </row>
    <row r="229" ht="16.5">
      <c r="B229" s="104">
        <v>30904</v>
      </c>
      <c r="C229" s="105" t="s">
        <v>351</v>
      </c>
      <c r="D229" s="165">
        <v>94</v>
      </c>
    </row>
    <row r="230" ht="16.5">
      <c r="B230" s="107">
        <v>30905</v>
      </c>
      <c r="C230" s="108" t="s">
        <v>352</v>
      </c>
      <c r="D230" s="164">
        <v>2</v>
      </c>
    </row>
    <row r="231" ht="16.5">
      <c r="B231" s="104">
        <v>30906</v>
      </c>
      <c r="C231" s="105" t="s">
        <v>353</v>
      </c>
      <c r="D231" s="165">
        <v>2</v>
      </c>
    </row>
    <row r="232" ht="16.5">
      <c r="B232" s="107">
        <v>30907</v>
      </c>
      <c r="C232" s="108" t="s">
        <v>354</v>
      </c>
      <c r="D232" s="164">
        <v>203</v>
      </c>
    </row>
    <row r="233" ht="16.5">
      <c r="B233" s="104">
        <v>30908</v>
      </c>
      <c r="C233" s="105" t="s">
        <v>355</v>
      </c>
      <c r="D233" s="165">
        <v>0</v>
      </c>
    </row>
    <row r="234" ht="16.5">
      <c r="B234" s="107">
        <v>30909</v>
      </c>
      <c r="C234" s="108" t="s">
        <v>356</v>
      </c>
      <c r="D234" s="164">
        <v>0</v>
      </c>
    </row>
    <row r="235" ht="16.5">
      <c r="B235" s="104">
        <v>31001</v>
      </c>
      <c r="C235" s="105" t="s">
        <v>357</v>
      </c>
      <c r="D235" s="165">
        <v>24</v>
      </c>
    </row>
    <row r="236" ht="16.5">
      <c r="B236" s="107">
        <v>31002</v>
      </c>
      <c r="C236" s="108" t="s">
        <v>358</v>
      </c>
      <c r="D236" s="164">
        <v>7</v>
      </c>
    </row>
    <row r="237" ht="16.5">
      <c r="B237" s="104">
        <v>31003</v>
      </c>
      <c r="C237" s="105" t="s">
        <v>359</v>
      </c>
      <c r="D237" s="165">
        <v>1</v>
      </c>
    </row>
    <row r="238" ht="16.5">
      <c r="B238" s="107">
        <v>31004</v>
      </c>
      <c r="C238" s="108" t="s">
        <v>360</v>
      </c>
      <c r="D238" s="164">
        <v>0</v>
      </c>
    </row>
    <row r="239" ht="16.5">
      <c r="B239" s="104">
        <v>31005</v>
      </c>
      <c r="C239" s="105" t="s">
        <v>361</v>
      </c>
      <c r="D239" s="165">
        <v>0</v>
      </c>
    </row>
    <row r="240" ht="16.5">
      <c r="B240" s="107">
        <v>31006</v>
      </c>
      <c r="C240" s="108" t="s">
        <v>362</v>
      </c>
      <c r="D240" s="164">
        <v>0</v>
      </c>
    </row>
    <row r="241" ht="16.5">
      <c r="B241" s="104">
        <v>31007</v>
      </c>
      <c r="C241" s="105" t="s">
        <v>363</v>
      </c>
      <c r="D241" s="165">
        <v>0</v>
      </c>
    </row>
    <row r="242" ht="16.5">
      <c r="B242" s="107">
        <v>31008</v>
      </c>
      <c r="C242" s="108" t="s">
        <v>364</v>
      </c>
      <c r="D242" s="164">
        <v>4</v>
      </c>
    </row>
    <row r="243" ht="16.5">
      <c r="B243" s="104">
        <v>31009</v>
      </c>
      <c r="C243" s="105" t="s">
        <v>365</v>
      </c>
      <c r="D243" s="165">
        <v>0</v>
      </c>
    </row>
    <row r="244" ht="16.5">
      <c r="B244" s="107">
        <v>31010</v>
      </c>
      <c r="C244" s="108" t="s">
        <v>366</v>
      </c>
      <c r="D244" s="164">
        <v>0</v>
      </c>
    </row>
    <row r="245" ht="16.5">
      <c r="B245" s="104">
        <v>31011</v>
      </c>
      <c r="C245" s="105" t="s">
        <v>367</v>
      </c>
      <c r="D245" s="165">
        <v>0</v>
      </c>
    </row>
    <row r="246" ht="16.5">
      <c r="B246" s="107">
        <v>31012</v>
      </c>
      <c r="C246" s="108" t="s">
        <v>368</v>
      </c>
      <c r="D246" s="164">
        <v>0</v>
      </c>
    </row>
    <row r="247" ht="16.5">
      <c r="B247" s="104">
        <v>31013</v>
      </c>
      <c r="C247" s="105" t="s">
        <v>369</v>
      </c>
      <c r="D247" s="165">
        <v>0</v>
      </c>
    </row>
    <row r="248" ht="16.5">
      <c r="B248" s="107">
        <v>31014</v>
      </c>
      <c r="C248" s="108" t="s">
        <v>370</v>
      </c>
      <c r="D248" s="164">
        <v>0</v>
      </c>
    </row>
    <row r="249" ht="16.5">
      <c r="B249" s="104">
        <v>31015</v>
      </c>
      <c r="C249" s="105" t="s">
        <v>371</v>
      </c>
      <c r="D249" s="165">
        <v>0</v>
      </c>
    </row>
    <row r="250" ht="16.5">
      <c r="B250" s="107">
        <v>31101</v>
      </c>
      <c r="C250" s="108" t="s">
        <v>372</v>
      </c>
      <c r="D250" s="164">
        <v>112</v>
      </c>
    </row>
    <row r="251" ht="16.5">
      <c r="B251" s="104">
        <v>31102</v>
      </c>
      <c r="C251" s="105" t="s">
        <v>373</v>
      </c>
      <c r="D251" s="165">
        <v>9</v>
      </c>
    </row>
    <row r="252" ht="16.5">
      <c r="B252" s="107">
        <v>31103</v>
      </c>
      <c r="C252" s="108" t="s">
        <v>374</v>
      </c>
      <c r="D252" s="164">
        <v>48</v>
      </c>
    </row>
    <row r="253" ht="16.5">
      <c r="B253" s="104">
        <v>31104</v>
      </c>
      <c r="C253" s="105" t="s">
        <v>375</v>
      </c>
      <c r="D253" s="165">
        <v>41</v>
      </c>
    </row>
    <row r="254" ht="16.5">
      <c r="B254" s="107">
        <v>31105</v>
      </c>
      <c r="C254" s="108" t="s">
        <v>376</v>
      </c>
      <c r="D254" s="164">
        <v>20</v>
      </c>
    </row>
    <row r="255" ht="16.5">
      <c r="B255" s="104">
        <v>31106</v>
      </c>
      <c r="C255" s="105" t="s">
        <v>377</v>
      </c>
      <c r="D255" s="165">
        <v>0</v>
      </c>
    </row>
    <row r="256" ht="16.5">
      <c r="B256" s="107">
        <v>31107</v>
      </c>
      <c r="C256" s="108" t="s">
        <v>378</v>
      </c>
      <c r="D256" s="164">
        <v>0</v>
      </c>
    </row>
    <row r="257" ht="14.25">
      <c r="B257" s="104">
        <v>31108</v>
      </c>
      <c r="C257" s="105" t="s">
        <v>379</v>
      </c>
      <c r="D257" s="165">
        <v>1</v>
      </c>
    </row>
    <row r="258" ht="14.25">
      <c r="B258" s="107">
        <v>31109</v>
      </c>
      <c r="C258" s="108" t="s">
        <v>380</v>
      </c>
      <c r="D258" s="164">
        <v>0</v>
      </c>
    </row>
    <row r="259" ht="14.25">
      <c r="B259" s="104">
        <v>31110</v>
      </c>
      <c r="C259" s="105" t="s">
        <v>381</v>
      </c>
      <c r="D259" s="165">
        <v>0</v>
      </c>
    </row>
    <row r="260" ht="14.25">
      <c r="B260" s="107">
        <v>31111</v>
      </c>
      <c r="C260" s="108" t="s">
        <v>382</v>
      </c>
      <c r="D260" s="164">
        <v>0</v>
      </c>
    </row>
    <row r="261" ht="14.25">
      <c r="B261" s="104">
        <v>31112</v>
      </c>
      <c r="C261" s="105" t="s">
        <v>383</v>
      </c>
      <c r="D261" s="165">
        <v>81</v>
      </c>
    </row>
    <row r="262" ht="14.25">
      <c r="B262" s="107">
        <v>31113</v>
      </c>
      <c r="C262" s="108" t="s">
        <v>384</v>
      </c>
      <c r="D262" s="164">
        <v>2</v>
      </c>
    </row>
    <row r="263" ht="14.25">
      <c r="B263" s="104">
        <v>31114</v>
      </c>
      <c r="C263" s="105" t="s">
        <v>385</v>
      </c>
      <c r="D263" s="165">
        <v>12</v>
      </c>
    </row>
    <row r="264" ht="14.25">
      <c r="B264" s="110">
        <v>40101</v>
      </c>
      <c r="C264" s="111" t="s">
        <v>386</v>
      </c>
      <c r="D264" s="166">
        <v>0</v>
      </c>
    </row>
    <row r="265" ht="14.25">
      <c r="B265" s="107">
        <v>40102</v>
      </c>
      <c r="C265" s="108" t="s">
        <v>387</v>
      </c>
      <c r="D265" s="164">
        <v>3</v>
      </c>
    </row>
    <row r="266" ht="14.25">
      <c r="B266" s="110">
        <v>40103</v>
      </c>
      <c r="C266" s="111" t="s">
        <v>388</v>
      </c>
      <c r="D266" s="166">
        <v>0</v>
      </c>
    </row>
    <row r="267" ht="14.25">
      <c r="B267" s="107">
        <v>40104</v>
      </c>
      <c r="C267" s="108" t="s">
        <v>389</v>
      </c>
      <c r="D267" s="164">
        <v>15</v>
      </c>
    </row>
    <row r="268" ht="14.25">
      <c r="B268" s="110">
        <v>40105</v>
      </c>
      <c r="C268" s="111" t="s">
        <v>390</v>
      </c>
      <c r="D268" s="166">
        <v>4</v>
      </c>
    </row>
    <row r="269" ht="14.25">
      <c r="B269" s="107">
        <v>40106</v>
      </c>
      <c r="C269" s="108" t="s">
        <v>391</v>
      </c>
      <c r="D269" s="164">
        <v>9</v>
      </c>
    </row>
    <row r="270" ht="14.25">
      <c r="B270" s="110">
        <v>40107</v>
      </c>
      <c r="C270" s="111" t="s">
        <v>392</v>
      </c>
      <c r="D270" s="166">
        <v>11</v>
      </c>
    </row>
    <row r="271" ht="14.25">
      <c r="B271" s="107">
        <v>40108</v>
      </c>
      <c r="C271" s="108" t="s">
        <v>393</v>
      </c>
      <c r="D271" s="164">
        <v>0</v>
      </c>
    </row>
    <row r="272" ht="14.25">
      <c r="B272" s="110">
        <v>40109</v>
      </c>
      <c r="C272" s="111" t="s">
        <v>394</v>
      </c>
      <c r="D272" s="166">
        <v>0</v>
      </c>
    </row>
    <row r="273" ht="14.25">
      <c r="B273" s="107">
        <v>40110</v>
      </c>
      <c r="C273" s="108" t="s">
        <v>395</v>
      </c>
      <c r="D273" s="164">
        <v>0</v>
      </c>
    </row>
    <row r="274" ht="14.25">
      <c r="B274" s="113">
        <v>50101</v>
      </c>
      <c r="C274" s="114" t="s">
        <v>396</v>
      </c>
      <c r="D274" s="167">
        <v>2</v>
      </c>
    </row>
    <row r="275" ht="14.25">
      <c r="B275" s="107">
        <v>50102</v>
      </c>
      <c r="C275" s="108" t="s">
        <v>397</v>
      </c>
      <c r="D275" s="164">
        <v>21</v>
      </c>
    </row>
    <row r="276" ht="14.25">
      <c r="B276" s="113">
        <v>50103</v>
      </c>
      <c r="C276" s="114" t="s">
        <v>398</v>
      </c>
      <c r="D276" s="167">
        <v>0</v>
      </c>
    </row>
    <row r="277" ht="14.25">
      <c r="B277" s="107">
        <v>50104</v>
      </c>
      <c r="C277" s="108" t="s">
        <v>399</v>
      </c>
      <c r="D277" s="164">
        <v>0</v>
      </c>
    </row>
    <row r="278" ht="14.25">
      <c r="B278" s="113">
        <v>50105</v>
      </c>
      <c r="C278" s="114" t="s">
        <v>400</v>
      </c>
      <c r="D278" s="167">
        <v>93</v>
      </c>
    </row>
    <row r="279" ht="14.25">
      <c r="B279" s="107">
        <v>50106</v>
      </c>
      <c r="C279" s="108" t="s">
        <v>401</v>
      </c>
      <c r="D279" s="164">
        <v>0</v>
      </c>
    </row>
    <row r="280" ht="14.25">
      <c r="B280" s="113">
        <v>50107</v>
      </c>
      <c r="C280" s="114" t="s">
        <v>402</v>
      </c>
      <c r="D280" s="167">
        <v>1</v>
      </c>
    </row>
    <row r="281" ht="14.25">
      <c r="B281" s="107">
        <v>50108</v>
      </c>
      <c r="C281" s="108" t="s">
        <v>403</v>
      </c>
      <c r="D281" s="164">
        <v>0</v>
      </c>
    </row>
    <row r="282" ht="14.25">
      <c r="B282" s="113">
        <v>50201</v>
      </c>
      <c r="C282" s="114" t="s">
        <v>404</v>
      </c>
      <c r="D282" s="167">
        <v>0</v>
      </c>
    </row>
    <row r="283" ht="14.25">
      <c r="B283" s="107">
        <v>50202</v>
      </c>
      <c r="C283" s="108" t="s">
        <v>405</v>
      </c>
      <c r="D283" s="164">
        <v>0</v>
      </c>
    </row>
    <row r="284" ht="14.25">
      <c r="B284" s="113">
        <v>50203</v>
      </c>
      <c r="C284" s="114" t="s">
        <v>406</v>
      </c>
      <c r="D284" s="167">
        <v>5</v>
      </c>
    </row>
    <row r="285" ht="14.25">
      <c r="B285" s="107">
        <v>50301</v>
      </c>
      <c r="C285" s="108" t="s">
        <v>407</v>
      </c>
      <c r="D285" s="164">
        <v>384</v>
      </c>
    </row>
    <row r="286" ht="14.25">
      <c r="B286" s="113">
        <v>50302</v>
      </c>
      <c r="C286" s="114" t="s">
        <v>408</v>
      </c>
      <c r="D286" s="167">
        <v>0</v>
      </c>
    </row>
    <row r="287" ht="14.25">
      <c r="B287" s="107">
        <v>50303</v>
      </c>
      <c r="C287" s="108" t="s">
        <v>409</v>
      </c>
      <c r="D287" s="164">
        <v>7</v>
      </c>
    </row>
    <row r="288" ht="14.25">
      <c r="B288" s="113">
        <v>50304</v>
      </c>
      <c r="C288" s="114" t="s">
        <v>410</v>
      </c>
      <c r="D288" s="167">
        <v>4</v>
      </c>
    </row>
    <row r="289" ht="14.25">
      <c r="B289" s="107">
        <v>50305</v>
      </c>
      <c r="C289" s="108" t="s">
        <v>411</v>
      </c>
      <c r="D289" s="164">
        <v>4</v>
      </c>
    </row>
    <row r="290" ht="14.25">
      <c r="B290" s="113">
        <v>50306</v>
      </c>
      <c r="C290" s="114" t="s">
        <v>412</v>
      </c>
      <c r="D290" s="167">
        <v>5</v>
      </c>
    </row>
    <row r="291" ht="14.25">
      <c r="B291" s="116">
        <v>60101</v>
      </c>
      <c r="C291" s="117" t="s">
        <v>413</v>
      </c>
      <c r="D291" s="168">
        <v>1</v>
      </c>
    </row>
    <row r="292" ht="14.25">
      <c r="B292" s="107">
        <v>60102</v>
      </c>
      <c r="C292" s="108" t="s">
        <v>414</v>
      </c>
      <c r="D292" s="164">
        <v>12</v>
      </c>
    </row>
    <row r="293" ht="14.25">
      <c r="B293" s="116">
        <v>60103</v>
      </c>
      <c r="C293" s="117" t="s">
        <v>415</v>
      </c>
      <c r="D293" s="168">
        <v>51</v>
      </c>
    </row>
    <row r="294" ht="14.25">
      <c r="B294" s="119">
        <v>70101</v>
      </c>
      <c r="C294" s="120" t="s">
        <v>416</v>
      </c>
      <c r="D294" s="169">
        <v>520</v>
      </c>
    </row>
    <row r="295" ht="14.25">
      <c r="B295" s="107">
        <v>70102</v>
      </c>
      <c r="C295" s="108" t="s">
        <v>417</v>
      </c>
      <c r="D295" s="164">
        <v>2</v>
      </c>
    </row>
    <row r="296" ht="14.25">
      <c r="B296" s="119">
        <v>70103</v>
      </c>
      <c r="C296" s="120" t="s">
        <v>418</v>
      </c>
      <c r="D296" s="169">
        <v>10</v>
      </c>
    </row>
    <row r="297" ht="14.25">
      <c r="B297" s="107">
        <v>70104</v>
      </c>
      <c r="C297" s="108" t="s">
        <v>419</v>
      </c>
      <c r="D297" s="171">
        <v>2479</v>
      </c>
    </row>
    <row r="298" ht="14.25">
      <c r="B298" s="119">
        <v>70105</v>
      </c>
      <c r="C298" s="120" t="s">
        <v>420</v>
      </c>
      <c r="D298" s="169">
        <v>3</v>
      </c>
    </row>
    <row r="299" ht="14.25">
      <c r="B299" s="107">
        <v>70106</v>
      </c>
      <c r="C299" s="108" t="s">
        <v>421</v>
      </c>
      <c r="D299" s="164">
        <v>34</v>
      </c>
    </row>
    <row r="300" ht="14.25">
      <c r="B300" s="119">
        <v>70107</v>
      </c>
      <c r="C300" s="120" t="s">
        <v>422</v>
      </c>
      <c r="D300" s="169">
        <v>43</v>
      </c>
    </row>
    <row r="301" ht="14.25">
      <c r="B301" s="122">
        <v>70108</v>
      </c>
      <c r="C301" s="123" t="s">
        <v>423</v>
      </c>
      <c r="D301" s="170">
        <v>495</v>
      </c>
    </row>
    <row r="302" ht="19.899999999999999" customHeight="1">
      <c r="B302" s="125" t="s">
        <v>424</v>
      </c>
      <c r="C302" s="126"/>
      <c r="D302" s="127">
        <f>SUM(D20:D301)</f>
        <v>6458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>Sistema Nacional de Seguridad Pública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revision>21</cp:revision>
  <dcterms:created xsi:type="dcterms:W3CDTF">1999-03-11T18:07:10Z</dcterms:created>
  <dcterms:modified xsi:type="dcterms:W3CDTF">2026-06-05T02:42:44Z</dcterms:modified>
</cp:coreProperties>
</file>