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codeName="ThisWorkbook"/>
  <mc:AlternateContent xmlns:mc="http://schemas.openxmlformats.org/markup-compatibility/2006">
    <mc:Choice Requires="x15">
      <x15ac:absPath xmlns:x15ac="http://schemas.microsoft.com/office/spreadsheetml/2010/11/ac" url="Z:\Carpeta analisis\5. Claudia\Documentos\SIG\FESE\2026\05 MAYO 2026\"/>
    </mc:Choice>
  </mc:AlternateContent>
  <xr:revisionPtr revIDLastSave="0" documentId="13_ncr:2000001_{4C3EF227-C6E1-42BC-95C0-52D23101CCED}" xr6:coauthVersionLast="47" xr6:coauthVersionMax="47" xr10:uidLastSave="{00000000-0000-0000-0000-000000000000}"/>
  <workbookProtection workbookAlgorithmName="SHA-512" workbookHashValue="NLpkUAzmEhRN7exiLa3ybDKlVvPAyxGm+x5X+cWN8Yx77Z16TNu/bz7LC5VNOujn2ER2fC1mSgCUpE/ay+nf6g==" workbookSaltValue="8UBb9QnXr67FfJL9JyyHzw==" workbookSpinCount="100000" lockStructure="1"/>
  <bookViews>
    <workbookView xWindow="28680" yWindow="-60" windowWidth="29040" windowHeight="15840" tabRatio="892" activeTab="6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</sheets>
  <definedNames>
    <definedName name="_xlnm.Print_Area" localSheetId="6">'C01'!$B$1:$D$302</definedName>
    <definedName name="_xlnm.Print_Area" localSheetId="2">INSTRUCCIONES!$B$2:$O$25</definedName>
    <definedName name="_xlnm.Print_Area" localSheetId="0">PORTADA!$B$2:$K$43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2" hidden="1">INSTRUCCIONES!$B$6:$O$25</definedName>
    <definedName name="Z_857CB3B9_618A_49FD_8D38_75EE2A4021B4_.wvu.PrintArea" localSheetId="0" hidden="1">PORTADA!$B$2:$K$43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D14" i="4" l="1"/>
  <c r="D16" i="7" l="1"/>
  <c r="D13" i="4" l="1"/>
  <c r="D12" i="4"/>
  <c r="E16" i="7" l="1"/>
  <c r="G16" i="7"/>
  <c r="C16" i="7"/>
  <c r="B16" i="7"/>
  <c r="A16" i="7"/>
  <c r="F16" i="7"/>
  <c r="C13" i="7" l="1"/>
  <c r="D302" i="4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<sst xmlns="http://schemas.openxmlformats.org/spreadsheetml/2006/main" count="466" uniqueCount="426">
  <si>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</si>
  <si>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</si>
  <si>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</si>
  <si>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</si>
  <si>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</si>
  <si>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</si>
  <si>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</si>
  <si>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</si>
  <si>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</si>
  <si>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</si>
  <si>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</si>
  <si>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</si>
  <si>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</si>
  <si>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</si>
  <si>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</si>
  <si>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</si>
  <si>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</si>
  <si>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</si>
  <si>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</si>
  <si>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</si>
  <si>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</si>
  <si>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</si>
  <si>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</si>
  <si>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</si>
  <si>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</si>
  <si>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</si>
  <si>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</si>
  <si>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</si>
  <si>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</si>
  <si>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</si>
  <si>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</si>
  <si>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</si>
  <si>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</si>
  <si>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</si>
  <si>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</si>
  <si>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</si>
  <si>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</si>
  <si>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</si>
  <si>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</si>
  <si>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</si>
  <si>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</si>
  <si>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</si>
  <si>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</si>
  <si>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</si>
  <si>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</si>
  <si>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</si>
  <si>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</si>
  <si>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</si>
  <si>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</si>
  <si>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</si>
  <si>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</si>
  <si>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</si>
  <si>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</si>
  <si>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</si>
  <si>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</si>
  <si>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</si>
  <si>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</si>
  <si>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</si>
  <si>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</si>
  <si>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</si>
  <si>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</si>
  <si>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</si>
  <si>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</si>
  <si>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</si>
  <si>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</si>
  <si>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</si>
  <si>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</si>
  <si>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</si>
  <si>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</si>
  <si>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</si>
  <si>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</si>
  <si>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</si>
  <si>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</si>
  <si>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</si>
  <si>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</si>
  <si>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</si>
  <si>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</si>
  <si>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</si>
  <si>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</si>
  <si>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</si>
  <si>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</si>
  <si>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</si>
  <si>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</si>
  <si>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</si>
  <si>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</si>
  <si>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</si>
  <si>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</si>
  <si>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</si>
  <si>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</si>
  <si>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</si>
  <si>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</si>
  <si>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</si>
  <si>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</si>
  <si>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</si>
  <si>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</si>
  <si>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</si>
  <si>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</si>
  <si>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</si>
  <si>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</si>
  <si>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</si>
  <si>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</si>
  <si>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</si>
  <si>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</si>
  <si>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</si>
  <si>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</si>
  <si>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</si>
  <si>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</si>
  <si>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</si>
  <si>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</si>
  <si>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</si>
  <si>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</si>
  <si>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</si>
  <si>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</si>
  <si>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</si>
  <si>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</si>
  <si>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</si>
  <si>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</si>
  <si>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</si>
  <si>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</si>
  <si>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</si>
  <si>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</si>
  <si>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</si>
  <si>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</si>
  <si>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</si>
  <si>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</si>
  <si>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</si>
  <si>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</si>
  <si>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</si>
  <si>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</si>
  <si>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</si>
  <si>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</si>
  <si>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</si>
  <si>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</si>
  <si>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</si>
  <si>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</si>
  <si>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</si>
  <si>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</si>
  <si>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</si>
  <si>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</si>
  <si>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</si>
  <si>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</si>
  <si>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</si>
  <si>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</si>
  <si>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</si>
  <si>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</si>
  <si>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</si>
  <si>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</si>
  <si>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</si>
  <si>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</si>
  <si>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</si>
  <si>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</si>
  <si>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</si>
  <si>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</si>
  <si>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</si>
  <si>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</si>
  <si>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</si>
  <si>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</si>
  <si>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</si>
  <si>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</si>
  <si>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</si>
  <si>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</si>
  <si>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</si>
  <si>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</si>
  <si>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</si>
  <si>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</si>
  <si>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</si>
  <si>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</si>
  <si>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</si>
  <si>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</si>
  <si>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</si>
  <si>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</si>
  <si>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</si>
  <si>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</si>
  <si>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</si>
  <si>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</si>
  <si>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</si>
  <si>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</si>
  <si>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</si>
  <si>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</si>
  <si>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</si>
  <si>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</si>
  <si>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</si>
  <si>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</si>
  <si>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</si>
  <si>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</si>
  <si>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</si>
  <si>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</si>
  <si>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</si>
  <si>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</si>
  <si>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</si>
  <si>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</si>
  <si>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</si>
  <si>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</si>
  <si>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</si>
  <si>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</si>
  <si>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</si>
  <si>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</si>
  <si>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</si>
  <si>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</si>
  <si>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</si>
  <si>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</si>
  <si>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</si>
  <si>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</si>
  <si>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</si>
  <si>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</si>
  <si>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</si>
  <si>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</si>
  <si>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</si>
  <si>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</si>
  <si>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</si>
  <si>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</si>
  <si>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</si>
  <si>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</si>
  <si>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</si>
  <si>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</si>
  <si>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</si>
  <si>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</si>
  <si>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</si>
  <si>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</si>
  <si>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</si>
  <si>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</si>
  <si>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</si>
  <si>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</si>
  <si>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</si>
  <si>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</si>
  <si>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</si>
  <si>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</si>
  <si>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</si>
  <si>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</si>
  <si>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</si>
  <si>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</si>
  <si>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</si>
  <si>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</si>
  <si>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</si>
  <si>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</si>
  <si>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</si>
  <si>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</si>
  <si>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</si>
  <si>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</si>
  <si>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</si>
  <si>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</si>
  <si>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</si>
  <si>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</si>
  <si>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</si>
  <si>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</si>
  <si>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</si>
  <si>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</si>
  <si>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</si>
  <si>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</si>
  <si>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</si>
  <si>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</si>
  <si>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</si>
  <si>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</si>
  <si>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</si>
  <si>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</si>
  <si>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</si>
  <si>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</si>
  <si>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</si>
  <si>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</si>
  <si>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</si>
  <si>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</si>
  <si>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</si>
  <si>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</si>
  <si>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</si>
  <si>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</si>
  <si>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</si>
  <si>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</si>
  <si>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</si>
  <si>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</si>
  <si>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</si>
  <si>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</si>
  <si>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</si>
  <si>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</si>
  <si>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</si>
  <si>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</si>
  <si>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</si>
  <si>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</si>
  <si>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</si>
  <si>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</si>
  <si>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</si>
  <si>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</si>
  <si>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</si>
  <si>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</si>
  <si>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</si>
  <si>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</si>
  <si>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</si>
  <si>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</si>
  <si>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</si>
  <si>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</si>
  <si>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</si>
  <si>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</si>
  <si>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</si>
  <si>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</si>
  <si>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</si>
  <si>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</si>
  <si>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</si>
  <si>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</si>
  <si>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</si>
  <si>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</si>
  <si>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</si>
  <si>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</si>
  <si>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</si>
  <si>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</si>
  <si>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</si>
  <si>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</si>
  <si>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</si>
  <si>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</si>
  <si>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</si>
  <si>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</si>
  <si>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</si>
  <si>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</si>
  <si>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</si>
  <si>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</si>
  <si>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</si>
  <si>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</si>
  <si>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</si>
  <si>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</si>
  <si>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</si>
  <si>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</si>
  <si>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</si>
  <si>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</si>
  <si>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</si>
  <si>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</si>
  <si>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</si>
  <si>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</si>
  <si>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</si>
  <si>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</si>
  <si>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</si>
  <si>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</si>
  <si>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</si>
  <si>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</si>
  <si>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</si>
  <si>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</si>
  <si>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</si>
  <si>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</si>
  <si>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</si>
  <si>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</si>
  <si>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</si>
  <si>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</si>
  <si>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</si>
  <si>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</si>
  <si>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</si>
  <si>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</si>
  <si>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</si>
  <si>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</si>
  <si>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</si>
  <si>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</si>
  <si>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</si>
  <si>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</si>
  <si>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</si>
  <si>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</si>
  <si>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</si>
  <si>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</si>
  <si>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</si>
  <si>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</si>
  <si>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</si>
  <si>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</si>
  <si>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</si>
  <si>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</si>
  <si>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</si>
  <si>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</si>
  <si>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</si>
  <si>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</si>
  <si>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</si>
  <si>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</si>
  <si>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</si>
  <si>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</si>
  <si>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</si>
  <si>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</si>
  <si>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</si>
  <si>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</si>
  <si>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</si>
  <si>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</si>
  <si>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</si>
  <si>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</si>
  <si>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</si>
  <si>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</si>
  <si>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</si>
  <si>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</si>
  <si>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</si>
  <si>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</si>
  <si>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</si>
  <si>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</si>
  <si>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</si>
  <si>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</si>
  <si>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</si>
  <si>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</si>
  <si>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</si>
  <si>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</si>
  <si>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</si>
  <si>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</si>
  <si>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</si>
  <si>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</si>
  <si>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</si>
  <si>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</si>
  <si>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</si>
  <si>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</si>
  <si>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</si>
  <si>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</si>
  <si>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</si>
  <si>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</si>
  <si>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</si>
  <si>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</si>
  <si>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</si>
  <si>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</si>
  <si>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</si>
  <si>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</si>
  <si>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</si>
  <si>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</si>
  <si>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</si>
  <si>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</si>
  <si>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</si>
  <si>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</si>
  <si>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</si>
  <si>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</si>
  <si>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</si>
  <si>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</si>
  <si>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</si>
  <si>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</si>
  <si>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</si>
  <si>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</si>
  <si>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</si>
  <si>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</si>
  <si>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Tlaxcala</t>
  </si>
  <si>
    <t>SECRETARIA DE SEGURIDAD Y PROTECCIÓN CIUDADANA</t>
  </si>
  <si>
    <t xml:space="preserve">Integrar, analizar  y explotar  la información generada de los tipos de incidentes de los Centros de Atención de Llamadas de Emergencia 911 que operan a nivel nacional.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</si>
</sst>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2" fillId="0" borderId="0" applyFont="0" applyFill="0" applyBorder="0" applyAlignment="0" applyProtection="0"/>
  </cellStyleXfs>
  <cellXfs count="132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10" fillId="0" borderId="0" xfId="2" applyFo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5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Border="1" applyAlignment="1">
      <alignment horizontal="center"/>
    </xf>
    <xf numFmtId="165" fontId="23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20" fillId="2" borderId="0" xfId="8" applyFont="1" applyFill="1" applyAlignment="1">
      <alignment horizontal="right" wrapText="1" indent="1"/>
    </xf>
    <xf numFmtId="166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9" fillId="2" borderId="0" xfId="0" applyFont="1" applyFill="1"/>
    <xf numFmtId="0" fontId="5" fillId="2" borderId="0" xfId="8" applyFill="1"/>
    <xf numFmtId="165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Alignment="1">
      <alignment horizontal="center" vertical="center" wrapText="1"/>
    </xf>
    <xf numFmtId="21" fontId="38" fillId="2" borderId="0" xfId="0" applyNumberFormat="1" applyFont="1" applyFill="1" applyAlignment="1">
      <alignment horizontal="center" vertical="center" wrapText="1"/>
    </xf>
    <xf numFmtId="0" fontId="21" fillId="2" borderId="0" xfId="8" applyFont="1" applyFill="1" applyAlignment="1">
      <alignment horizontal="right" wrapText="1" indent="1"/>
    </xf>
    <xf numFmtId="0" fontId="20" fillId="2" borderId="0" xfId="8" applyFont="1" applyFill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1" fillId="0" borderId="0" xfId="2" applyFont="1" applyAlignment="1">
      <alignment horizontal="right"/>
    </xf>
    <xf numFmtId="0" fontId="37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20" fillId="2" borderId="0" xfId="1" applyNumberFormat="1" applyFont="1" applyFill="1" applyBorder="1" applyAlignment="1" applyProtection="1">
      <alignment horizontal="center"/>
    </xf>
    <xf numFmtId="166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Border="1" applyAlignment="1">
      <alignment horizontal="left" wrapText="1" indent="3"/>
    </xf>
    <xf numFmtId="0" fontId="22" fillId="5" borderId="6" xfId="8" applyFont="1" applyFill="1" applyBorder="1" applyAlignment="1">
      <alignment horizontal="center" wrapText="1"/>
    </xf>
    <xf numFmtId="0" fontId="22" fillId="5" borderId="9" xfId="8" applyFont="1" applyFill="1" applyBorder="1" applyAlignment="1">
      <alignment horizontal="left" wrapText="1" indent="6"/>
    </xf>
    <xf numFmtId="0" fontId="22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wrapText="1"/>
    </xf>
    <xf numFmtId="0" fontId="40" fillId="6" borderId="1" xfId="8" applyFont="1" applyFill="1" applyBorder="1" applyAlignment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7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7" fillId="8" borderId="21" xfId="8" applyFont="1" applyFill="1" applyBorder="1" applyAlignment="1" applyProtection="1">
      <alignment horizontal="center" vertical="center"/>
      <protection locked="0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Alignment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165" fontId="5" fillId="2" borderId="0" xfId="1" applyNumberFormat="1" applyFont="1" applyFill="1" applyBorder="1" applyAlignment="1">
      <alignment horizontal="center"/>
    </xf>
    <xf numFmtId="0" fontId="28" fillId="7" borderId="0" xfId="0" applyFont="1" applyFill="1" applyAlignment="1">
      <alignment horizontal="center" vertical="center" wrapText="1"/>
    </xf>
    <xf numFmtId="0" fontId="24" fillId="0" borderId="3" xfId="8" applyFont="1" applyBorder="1" applyAlignment="1">
      <alignment horizontal="right" wrapText="1" indent="2"/>
    </xf>
    <xf numFmtId="0" fontId="24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1" fillId="0" borderId="0" xfId="1" applyNumberFormat="1" applyFont="1" applyBorder="1" applyAlignment="1" applyProtection="1">
      <alignment horizontal="center"/>
    </xf>
    <xf numFmtId="165" fontId="36" fillId="0" borderId="0" xfId="1" applyNumberFormat="1" applyFont="1" applyBorder="1" applyAlignment="1" applyProtection="1">
      <alignment horizontal="center"/>
    </xf>
    <xf numFmtId="0" fontId="24" fillId="0" borderId="5" xfId="8" applyFont="1" applyBorder="1" applyAlignment="1">
      <alignment horizontal="right" wrapText="1" indent="2"/>
    </xf>
    <xf numFmtId="0" fontId="24" fillId="0" borderId="7" xfId="8" applyFont="1" applyBorder="1" applyAlignment="1">
      <alignment horizontal="right" wrapText="1" indent="2"/>
    </xf>
    <xf numFmtId="0" fontId="22" fillId="5" borderId="5" xfId="8" applyFont="1" applyFill="1" applyBorder="1" applyAlignment="1">
      <alignment horizontal="center" wrapText="1"/>
    </xf>
    <xf numFmtId="0" fontId="22" fillId="5" borderId="4" xfId="8" applyFont="1" applyFill="1" applyBorder="1" applyAlignment="1">
      <alignment horizontal="center" wrapText="1"/>
    </xf>
    <xf numFmtId="0" fontId="22" fillId="5" borderId="7" xfId="8" applyFont="1" applyFill="1" applyBorder="1" applyAlignment="1">
      <alignment horizontal="center" wrapText="1"/>
    </xf>
    <xf numFmtId="0" fontId="9" fillId="0" borderId="0" xfId="2" applyFont="1" applyAlignment="1">
      <alignment horizontal="center"/>
    </xf>
    <xf numFmtId="0" fontId="27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0" fontId="35" fillId="2" borderId="0" xfId="7" applyFont="1" applyFill="1" applyAlignment="1" applyProtection="1">
      <alignment horizontal="center" vertical="top" wrapText="1"/>
      <protection hidden="1"/>
    </xf>
  </cellXfs>
  <cellStyles count="10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_Zac ene 6 del 2000" xfId="7" xr:uid="{00000000-0005-0000-0000-000008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752475</xdr:colOff>
      <xdr:row>1</xdr:row>
      <xdr:rowOff>123825</xdr:rowOff>
    </xdr:from>
    <xdr:to>
      <xdr:col>10</xdr:col>
      <xdr:colOff>316168</xdr:colOff>
      <xdr:row>7</xdr:row>
      <xdr:rowOff>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3143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42334</xdr:colOff>
      <xdr:row>1</xdr:row>
      <xdr:rowOff>52917</xdr:rowOff>
    </xdr:from>
    <xdr:to>
      <xdr:col>12</xdr:col>
      <xdr:colOff>264584</xdr:colOff>
      <xdr:row>5</xdr:row>
      <xdr:rowOff>94192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084" y="296334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685800</xdr:colOff>
      <xdr:row>1</xdr:row>
      <xdr:rowOff>47625</xdr:rowOff>
    </xdr:from>
    <xdr:to>
      <xdr:col>13</xdr:col>
      <xdr:colOff>621307</xdr:colOff>
      <xdr:row>7</xdr:row>
      <xdr:rowOff>47625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28575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28575</xdr:rowOff>
    </xdr:from>
    <xdr:to>
      <xdr:col>5</xdr:col>
      <xdr:colOff>1481719</xdr:colOff>
      <xdr:row>3</xdr:row>
      <xdr:rowOff>84605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2857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142875</xdr:rowOff>
    </xdr:from>
    <xdr:to>
      <xdr:col>3</xdr:col>
      <xdr:colOff>1803400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1428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topLeftCell="A11" zoomScale="70" zoomScaleNormal="70" zoomScaleSheetLayoutView="70" zoomScalePageLayoutView="82" workbookViewId="0">
      <selection activeCell="K44" sqref="K44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26.25">
      <c r="B8" s="109"/>
      <c r="C8" s="109"/>
      <c r="D8" s="109"/>
      <c r="E8" s="109"/>
      <c r="F8" s="109"/>
      <c r="G8" s="109"/>
      <c r="H8" s="109"/>
      <c r="I8" s="109"/>
      <c r="J8" s="109"/>
      <c r="K8" s="109"/>
    </row>
    <row r="9" spans="2:11" ht="26.25">
      <c r="B9" s="109"/>
      <c r="C9" s="109"/>
      <c r="D9" s="109"/>
      <c r="E9" s="109"/>
      <c r="F9" s="109"/>
      <c r="G9" s="109"/>
      <c r="H9" s="109"/>
      <c r="I9" s="109"/>
      <c r="J9" s="109"/>
      <c r="K9" s="109"/>
    </row>
    <row r="10" spans="2:11" ht="92.25">
      <c r="F10" s="111"/>
      <c r="G10" s="111"/>
    </row>
    <row r="14" spans="2:11">
      <c r="B14" s="110" t="s">
        <v>261</v>
      </c>
      <c r="C14" s="110"/>
      <c r="D14" s="110"/>
      <c r="E14" s="110"/>
      <c r="F14" s="110"/>
      <c r="G14" s="110"/>
      <c r="H14" s="110"/>
      <c r="I14" s="110"/>
      <c r="J14" s="110"/>
      <c r="K14" s="110"/>
    </row>
    <row r="15" spans="2:11">
      <c r="B15" s="110"/>
      <c r="C15" s="110"/>
      <c r="D15" s="110"/>
      <c r="E15" s="110"/>
      <c r="F15" s="110"/>
      <c r="G15" s="110"/>
      <c r="H15" s="110"/>
      <c r="I15" s="110"/>
      <c r="J15" s="110"/>
      <c r="K15" s="110"/>
    </row>
    <row r="16" spans="2:11" ht="15" customHeight="1">
      <c r="B16" s="110"/>
      <c r="C16" s="110"/>
      <c r="D16" s="110"/>
      <c r="E16" s="110"/>
      <c r="F16" s="110"/>
      <c r="G16" s="110"/>
      <c r="H16" s="110"/>
      <c r="I16" s="110"/>
      <c r="J16" s="110"/>
      <c r="K16" s="110"/>
    </row>
    <row r="17" spans="2:11" ht="15" customHeight="1">
      <c r="B17" s="110"/>
      <c r="C17" s="110"/>
      <c r="D17" s="110"/>
      <c r="E17" s="110"/>
      <c r="F17" s="110"/>
      <c r="G17" s="110"/>
      <c r="H17" s="110"/>
      <c r="I17" s="110"/>
      <c r="J17" s="110"/>
      <c r="K17" s="110"/>
    </row>
    <row r="18" spans="2:11" ht="15" customHeight="1">
      <c r="B18" s="110"/>
      <c r="C18" s="110"/>
      <c r="D18" s="110"/>
      <c r="E18" s="110"/>
      <c r="F18" s="110"/>
      <c r="G18" s="110"/>
      <c r="H18" s="110"/>
      <c r="I18" s="110"/>
      <c r="J18" s="110"/>
      <c r="K18" s="110"/>
    </row>
    <row r="19" spans="2:11" ht="15" customHeight="1">
      <c r="B19" s="110"/>
      <c r="C19" s="110"/>
      <c r="D19" s="110"/>
      <c r="E19" s="110"/>
      <c r="F19" s="110"/>
      <c r="G19" s="110"/>
      <c r="H19" s="110"/>
      <c r="I19" s="110"/>
      <c r="J19" s="110"/>
      <c r="K19" s="110"/>
    </row>
    <row r="20" spans="2:11" ht="15" customHeight="1">
      <c r="B20" s="110"/>
      <c r="C20" s="110"/>
      <c r="D20" s="110"/>
      <c r="E20" s="110"/>
      <c r="F20" s="110"/>
      <c r="G20" s="110"/>
      <c r="H20" s="110"/>
      <c r="I20" s="110"/>
      <c r="J20" s="110"/>
      <c r="K20" s="110"/>
    </row>
    <row r="21" spans="2:11" ht="15" customHeight="1">
      <c r="B21" s="110"/>
      <c r="C21" s="110"/>
      <c r="D21" s="110"/>
      <c r="E21" s="110"/>
      <c r="F21" s="110"/>
      <c r="G21" s="110"/>
      <c r="H21" s="110"/>
      <c r="I21" s="110"/>
      <c r="J21" s="110"/>
      <c r="K21" s="110"/>
    </row>
    <row r="22" spans="2:11" ht="15" customHeight="1">
      <c r="B22" s="110"/>
      <c r="C22" s="110"/>
      <c r="D22" s="110"/>
      <c r="E22" s="110"/>
      <c r="F22" s="110"/>
      <c r="G22" s="110"/>
      <c r="H22" s="110"/>
      <c r="I22" s="110"/>
      <c r="J22" s="110"/>
      <c r="K22" s="110"/>
    </row>
    <row r="23" spans="2:11" ht="15" customHeight="1">
      <c r="B23" s="110"/>
      <c r="C23" s="110"/>
      <c r="D23" s="110"/>
      <c r="E23" s="110"/>
      <c r="F23" s="110"/>
      <c r="G23" s="110"/>
      <c r="H23" s="110"/>
      <c r="I23" s="110"/>
      <c r="J23" s="110"/>
      <c r="K23" s="110"/>
    </row>
    <row r="24" spans="2:11" ht="15" customHeight="1">
      <c r="B24" s="110"/>
      <c r="C24" s="110"/>
      <c r="D24" s="110"/>
      <c r="E24" s="110"/>
      <c r="F24" s="110"/>
      <c r="G24" s="110"/>
      <c r="H24" s="110"/>
      <c r="I24" s="110"/>
      <c r="J24" s="110"/>
      <c r="K24" s="110"/>
    </row>
    <row r="25" spans="2:11" ht="15" customHeight="1">
      <c r="B25" s="110"/>
      <c r="C25" s="110"/>
      <c r="D25" s="110"/>
      <c r="E25" s="110"/>
      <c r="F25" s="110"/>
      <c r="G25" s="110"/>
      <c r="H25" s="110"/>
      <c r="I25" s="110"/>
      <c r="J25" s="110"/>
      <c r="K25" s="110"/>
    </row>
    <row r="26" spans="2:11" ht="15" customHeight="1">
      <c r="B26" s="110"/>
      <c r="C26" s="110"/>
      <c r="D26" s="110"/>
      <c r="E26" s="110"/>
      <c r="F26" s="110"/>
      <c r="G26" s="110"/>
      <c r="H26" s="110"/>
      <c r="I26" s="110"/>
      <c r="J26" s="110"/>
      <c r="K26" s="110"/>
    </row>
    <row r="27" spans="2:11" ht="15" customHeight="1">
      <c r="B27" s="110"/>
      <c r="C27" s="110"/>
      <c r="D27" s="110"/>
      <c r="E27" s="110"/>
      <c r="F27" s="110"/>
      <c r="G27" s="110"/>
      <c r="H27" s="110"/>
      <c r="I27" s="110"/>
      <c r="J27" s="110"/>
      <c r="K27" s="110"/>
    </row>
    <row r="28" spans="2:11" ht="15" customHeight="1">
      <c r="B28" s="110"/>
      <c r="C28" s="110"/>
      <c r="D28" s="110"/>
      <c r="E28" s="110"/>
      <c r="F28" s="110"/>
      <c r="G28" s="110"/>
      <c r="H28" s="110"/>
      <c r="I28" s="110"/>
      <c r="J28" s="110"/>
      <c r="K28" s="110"/>
    </row>
    <row r="29" spans="2:11" ht="15" customHeight="1">
      <c r="B29" s="110"/>
      <c r="C29" s="110"/>
      <c r="D29" s="110"/>
      <c r="E29" s="110"/>
      <c r="F29" s="110"/>
      <c r="G29" s="110"/>
      <c r="H29" s="110"/>
      <c r="I29" s="110"/>
      <c r="J29" s="110"/>
      <c r="K29" s="110"/>
    </row>
    <row r="30" spans="2:11" ht="15" customHeight="1">
      <c r="B30" s="110"/>
      <c r="C30" s="110"/>
      <c r="D30" s="110"/>
      <c r="E30" s="110"/>
      <c r="F30" s="110"/>
      <c r="G30" s="110"/>
      <c r="H30" s="110"/>
      <c r="I30" s="110"/>
      <c r="J30" s="110"/>
      <c r="K30" s="110"/>
    </row>
    <row r="31" spans="2:11" ht="15" customHeight="1">
      <c r="B31" s="110"/>
      <c r="C31" s="110"/>
      <c r="D31" s="110"/>
      <c r="E31" s="110"/>
      <c r="F31" s="110"/>
      <c r="G31" s="110"/>
      <c r="H31" s="110"/>
      <c r="I31" s="110"/>
      <c r="J31" s="110"/>
      <c r="K31" s="110"/>
    </row>
    <row r="32" spans="2:11" ht="15" customHeight="1">
      <c r="B32" s="110"/>
      <c r="C32" s="110"/>
      <c r="D32" s="110"/>
      <c r="E32" s="110"/>
      <c r="F32" s="110"/>
      <c r="G32" s="110"/>
      <c r="H32" s="110"/>
      <c r="I32" s="110"/>
      <c r="J32" s="110"/>
      <c r="K32" s="110"/>
    </row>
    <row r="33" spans="9:11" ht="15" customHeight="1"/>
    <row r="40" spans="9:11" ht="23.25">
      <c r="I40" s="7"/>
      <c r="J40" s="7"/>
      <c r="K40" s="8" t="s">
        <v>54</v>
      </c>
    </row>
    <row r="41" spans="9:11" ht="23.25">
      <c r="K41" s="8" t="s">
        <v>69</v>
      </c>
    </row>
    <row r="43" spans="9:11" ht="26.25">
      <c r="K43" s="43">
        <v>2024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topLeftCell="A37" zoomScale="90" zoomScaleNormal="80" zoomScaleSheetLayoutView="90" workbookViewId="0">
      <selection activeCell="B13" sqref="B13:O15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13" t="s">
        <v>0</v>
      </c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</row>
    <row r="8" spans="2:30">
      <c r="B8" s="114" t="s">
        <v>55</v>
      </c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</row>
    <row r="9" spans="2:30" s="10" customFormat="1" ht="60.75" customHeight="1">
      <c r="B9" s="115" t="s">
        <v>233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</row>
    <row r="10" spans="2:30" ht="23.25">
      <c r="B10" s="117" t="s">
        <v>260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</row>
    <row r="12" spans="2:30">
      <c r="B12" s="112" t="s">
        <v>56</v>
      </c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</row>
    <row r="13" spans="2:30" ht="15" customHeight="1">
      <c r="B13" s="120" t="s">
        <v>425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</row>
    <row r="14" spans="2:30" ht="15" customHeight="1"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</row>
    <row r="15" spans="2:30" ht="15" customHeight="1"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</row>
    <row r="17" spans="2:30" ht="18.75" customHeight="1">
      <c r="B17" s="121" t="s">
        <v>58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</row>
    <row r="18" spans="2:30" ht="18.75" customHeight="1">
      <c r="B18" s="120" t="s">
        <v>66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</row>
    <row r="19" spans="2:30"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1" t="s">
        <v>59</v>
      </c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0" t="s">
        <v>235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21" t="s">
        <v>60</v>
      </c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0" t="s">
        <v>262</v>
      </c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1" t="s">
        <v>61</v>
      </c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0" t="s">
        <v>68</v>
      </c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1" t="s">
        <v>62</v>
      </c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</row>
    <row r="52" spans="2:30" ht="54.75" customHeight="1">
      <c r="B52" s="120" t="s">
        <v>67</v>
      </c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Normal="70" zoomScaleSheetLayoutView="100" workbookViewId="0">
      <selection activeCell="Q10" sqref="Q10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13" t="s">
        <v>0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</row>
    <row r="9" spans="2:15">
      <c r="B9" s="122" t="s">
        <v>55</v>
      </c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</row>
    <row r="10" spans="2:15" ht="19.5">
      <c r="B10" s="115" t="s">
        <v>57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</row>
    <row r="11" spans="2:15" ht="23.25">
      <c r="B11" s="117" t="s">
        <v>260</v>
      </c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</row>
    <row r="13" spans="2:15" ht="19.5">
      <c r="B13" s="124" t="s">
        <v>64</v>
      </c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</row>
    <row r="14" spans="2:15" s="10" customFormat="1" ht="46.5" customHeight="1">
      <c r="B14" s="115" t="s">
        <v>236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</row>
    <row r="15" spans="2:15" ht="33" customHeight="1">
      <c r="B15" s="26"/>
      <c r="C15" s="128" t="s">
        <v>237</v>
      </c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27"/>
    </row>
    <row r="16" spans="2:15" ht="48" customHeight="1">
      <c r="B16" s="26"/>
      <c r="C16" s="129" t="s">
        <v>234</v>
      </c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12" t="s">
        <v>65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</row>
    <row r="19" spans="2:15">
      <c r="B19" s="16">
        <v>1</v>
      </c>
      <c r="C19" s="125" t="s">
        <v>240</v>
      </c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2:15">
      <c r="B20" s="16">
        <v>2</v>
      </c>
      <c r="C20" s="120" t="s">
        <v>241</v>
      </c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</row>
    <row r="21" spans="2:15">
      <c r="B21" s="16">
        <v>3</v>
      </c>
      <c r="C21" s="126" t="s">
        <v>238</v>
      </c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</row>
    <row r="22" spans="2:15">
      <c r="B22" s="16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</row>
    <row r="23" spans="2:15">
      <c r="B23" s="16"/>
      <c r="C23" s="127" t="s">
        <v>239</v>
      </c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201</v>
      </c>
      <c r="B1" s="21" t="s">
        <v>9</v>
      </c>
      <c r="C1" t="s">
        <v>3</v>
      </c>
    </row>
    <row r="2" spans="1:3">
      <c r="A2" t="s">
        <v>202</v>
      </c>
      <c r="B2" s="21" t="s">
        <v>10</v>
      </c>
      <c r="C2" t="s">
        <v>4</v>
      </c>
    </row>
    <row r="3" spans="1:3">
      <c r="A3" t="s">
        <v>203</v>
      </c>
      <c r="B3" s="21" t="s">
        <v>11</v>
      </c>
      <c r="C3" t="s">
        <v>232</v>
      </c>
    </row>
    <row r="4" spans="1:3">
      <c r="A4" t="s">
        <v>204</v>
      </c>
      <c r="B4" s="21" t="s">
        <v>12</v>
      </c>
    </row>
    <row r="5" spans="1:3">
      <c r="A5" t="s">
        <v>205</v>
      </c>
      <c r="B5" s="21" t="s">
        <v>13</v>
      </c>
    </row>
    <row r="6" spans="1:3">
      <c r="A6" t="s">
        <v>206</v>
      </c>
      <c r="B6" s="21" t="s">
        <v>14</v>
      </c>
    </row>
    <row r="7" spans="1:3">
      <c r="A7" t="s">
        <v>207</v>
      </c>
      <c r="B7" s="21" t="s">
        <v>15</v>
      </c>
    </row>
    <row r="8" spans="1:3">
      <c r="A8" t="s">
        <v>208</v>
      </c>
      <c r="B8" s="21" t="s">
        <v>16</v>
      </c>
    </row>
    <row r="9" spans="1:3">
      <c r="A9" t="s">
        <v>209</v>
      </c>
      <c r="B9" s="21" t="s">
        <v>17</v>
      </c>
    </row>
    <row r="10" spans="1:3">
      <c r="A10" t="s">
        <v>210</v>
      </c>
      <c r="B10" s="21" t="s">
        <v>18</v>
      </c>
    </row>
    <row r="11" spans="1:3">
      <c r="A11" t="s">
        <v>211</v>
      </c>
      <c r="B11" s="21" t="s">
        <v>19</v>
      </c>
    </row>
    <row r="12" spans="1:3">
      <c r="A12" t="s">
        <v>212</v>
      </c>
      <c r="B12" s="21" t="s">
        <v>20</v>
      </c>
    </row>
    <row r="13" spans="1:3">
      <c r="A13" t="s">
        <v>213</v>
      </c>
      <c r="B13" s="21" t="s">
        <v>21</v>
      </c>
    </row>
    <row r="14" spans="1:3">
      <c r="A14" t="s">
        <v>70</v>
      </c>
      <c r="B14" s="21" t="s">
        <v>10</v>
      </c>
    </row>
    <row r="15" spans="1:3">
      <c r="A15" t="s">
        <v>214</v>
      </c>
      <c r="B15" s="21" t="s">
        <v>11</v>
      </c>
    </row>
    <row r="16" spans="1:3">
      <c r="A16" t="s">
        <v>215</v>
      </c>
      <c r="B16" s="21" t="s">
        <v>12</v>
      </c>
    </row>
    <row r="17" spans="1:2">
      <c r="A17" t="s">
        <v>216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217</v>
      </c>
      <c r="B19" s="21" t="s">
        <v>15</v>
      </c>
    </row>
    <row r="20" spans="1:2">
      <c r="A20" t="s">
        <v>218</v>
      </c>
      <c r="B20" s="21" t="s">
        <v>16</v>
      </c>
    </row>
    <row r="21" spans="1:2">
      <c r="A21" t="s">
        <v>219</v>
      </c>
      <c r="B21" s="21" t="s">
        <v>17</v>
      </c>
    </row>
    <row r="22" spans="1:2">
      <c r="A22" t="s">
        <v>220</v>
      </c>
      <c r="B22" s="21" t="s">
        <v>18</v>
      </c>
    </row>
    <row r="23" spans="1:2">
      <c r="A23" t="s">
        <v>221</v>
      </c>
      <c r="B23" s="21" t="s">
        <v>19</v>
      </c>
    </row>
    <row r="24" spans="1:2">
      <c r="A24" t="s">
        <v>222</v>
      </c>
      <c r="B24" s="21" t="s">
        <v>20</v>
      </c>
    </row>
    <row r="25" spans="1:2">
      <c r="A25" t="s">
        <v>223</v>
      </c>
      <c r="B25" s="21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view="pageBreakPreview" zoomScaleNormal="100" zoomScaleSheetLayoutView="100" workbookViewId="0">
      <selection activeCell="E16" sqref="E16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97" t="s">
        <v>424</v>
      </c>
      <c r="C4" s="97"/>
      <c r="D4" s="97"/>
    </row>
    <row r="5" spans="1:228" ht="12.75" customHeight="1">
      <c r="B5" s="41" t="s">
        <v>247</v>
      </c>
      <c r="C5" s="41"/>
    </row>
    <row r="6" spans="1:228" s="17" customFormat="1" ht="18" customHeight="1">
      <c r="A6" s="34"/>
      <c r="B6" s="97" t="s">
        <v>0</v>
      </c>
      <c r="C6" s="97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31" t="s">
        <v>248</v>
      </c>
      <c r="B8" s="131"/>
      <c r="C8" s="131"/>
      <c r="D8" s="131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242</v>
      </c>
      <c r="C10" s="94" t="s">
        <v>228</v>
      </c>
      <c r="D10" s="36"/>
      <c r="E10" s="36"/>
      <c r="F10" s="36"/>
    </row>
    <row r="11" spans="1:228" ht="18">
      <c r="A11" s="36"/>
      <c r="B11" s="30" t="s">
        <v>243</v>
      </c>
      <c r="C11" s="31">
        <v>2026</v>
      </c>
      <c r="D11" s="36"/>
      <c r="E11" s="36"/>
      <c r="F11" s="36"/>
    </row>
    <row r="12" spans="1:228" ht="18">
      <c r="A12" s="36"/>
      <c r="B12" s="30" t="s">
        <v>244</v>
      </c>
      <c r="C12" s="96" t="s">
        <v>14</v>
      </c>
      <c r="D12" s="36"/>
      <c r="E12" s="36"/>
      <c r="F12" s="36"/>
    </row>
    <row r="13" spans="1:228" ht="18">
      <c r="A13" s="36"/>
      <c r="B13" s="30" t="s">
        <v>249</v>
      </c>
      <c r="C13" s="95">
        <f>A16+B16+C16+D16+E16+F16+G16</f>
        <v>52846</v>
      </c>
    </row>
    <row r="15" spans="1:228" ht="63.6" customHeight="1">
      <c r="A15" s="22" t="s">
        <v>255</v>
      </c>
      <c r="B15" s="22" t="s">
        <v>256</v>
      </c>
      <c r="C15" s="22" t="s">
        <v>257</v>
      </c>
      <c r="D15" s="22" t="s">
        <v>258</v>
      </c>
      <c r="E15" s="22" t="s">
        <v>419</v>
      </c>
      <c r="F15" s="22" t="s">
        <v>420</v>
      </c>
      <c r="G15" s="22" t="s">
        <v>259</v>
      </c>
    </row>
    <row r="16" spans="1:228" ht="16.5">
      <c r="A16" s="54">
        <f>SUM('C01'!D20:'C01'!D79)</f>
        <v>1682</v>
      </c>
      <c r="B16" s="54">
        <f>SUM('C01'!D80:'C01'!D122)</f>
        <v>740</v>
      </c>
      <c r="C16" s="54">
        <f>SUM('C01'!D123:'C01'!D263)</f>
        <v>7922</v>
      </c>
      <c r="D16" s="54">
        <f>SUM('C01'!D264:D273)</f>
        <v>86</v>
      </c>
      <c r="E16" s="54">
        <f>SUM('C01'!D274:'C01'!D290)</f>
        <v>2063</v>
      </c>
      <c r="F16" s="54">
        <f>SUM('C01'!D291:'C01'!D293)</f>
        <v>145</v>
      </c>
      <c r="G16" s="54">
        <f>SUM('C01'!D294:'C01'!D301)</f>
        <v>40208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93"/>
      <c r="F18" s="93"/>
    </row>
    <row r="19" spans="1:7" s="42" customFormat="1" ht="38.25">
      <c r="A19" s="56" t="s">
        <v>250</v>
      </c>
      <c r="B19" s="56" t="s">
        <v>251</v>
      </c>
      <c r="C19" s="56" t="s">
        <v>252</v>
      </c>
      <c r="D19" s="56" t="s">
        <v>253</v>
      </c>
      <c r="E19" s="56" t="s">
        <v>421</v>
      </c>
      <c r="F19" s="56" t="s">
        <v>422</v>
      </c>
      <c r="G19" s="56" t="s">
        <v>254</v>
      </c>
    </row>
    <row r="20" spans="1:7" ht="30">
      <c r="A20" s="57">
        <f>IFERROR(A16/$C$13,0)</f>
        <v>3.1828331377966167E-2</v>
      </c>
      <c r="B20" s="57">
        <f>IFERROR(B16/$C$13,0)</f>
        <v>1.4002951973659312E-2</v>
      </c>
      <c r="C20" s="57">
        <f t="shared" ref="C20:G20" si="0">IFERROR(C16/$C$13,0)</f>
        <v>0.14990727775044468</v>
      </c>
      <c r="D20" s="57">
        <f t="shared" si="0"/>
        <v>1.6273700942360822E-3</v>
      </c>
      <c r="E20" s="57">
        <f t="shared" si="0"/>
        <v>3.9037959353593457E-2</v>
      </c>
      <c r="F20" s="57">
        <f t="shared" si="0"/>
        <v>2.7438216705143246E-3</v>
      </c>
      <c r="G20" s="57">
        <f t="shared" si="0"/>
        <v>0.76085228777958591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tabSelected="1" view="pageBreakPreview" topLeftCell="A283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1" t="s">
        <v>247</v>
      </c>
      <c r="C7" s="102"/>
      <c r="D7" s="10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1" t="s">
        <v>0</v>
      </c>
      <c r="C8" s="102"/>
      <c r="D8" s="102"/>
      <c r="E8" s="1"/>
      <c r="F8" s="98"/>
      <c r="G8" s="98"/>
      <c r="H8" s="98"/>
      <c r="I8" s="98"/>
      <c r="J8" s="9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1"/>
      <c r="C9" s="102"/>
      <c r="D9" s="10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3" t="s">
        <v>418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Tlaxcala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6" t="s">
        <v>2</v>
      </c>
      <c r="C16" s="107"/>
      <c r="D16" s="108"/>
    </row>
    <row r="17" spans="2:7" ht="15">
      <c r="B17" s="104" t="s">
        <v>245</v>
      </c>
      <c r="C17" s="105"/>
      <c r="D17" s="50" t="s">
        <v>4</v>
      </c>
    </row>
    <row r="18" spans="2:7" ht="15">
      <c r="B18" s="99" t="s">
        <v>246</v>
      </c>
      <c r="C18" s="100"/>
      <c r="D18" s="50" t="s">
        <v>423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213</v>
      </c>
    </row>
    <row r="23" spans="2:7" ht="16.5">
      <c r="B23" s="58">
        <v>10104</v>
      </c>
      <c r="C23" s="59" t="s">
        <v>267</v>
      </c>
      <c r="D23" s="65">
        <v>314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7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15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1</v>
      </c>
    </row>
    <row r="31" spans="2:7" ht="16.5">
      <c r="B31" s="58">
        <v>10112</v>
      </c>
      <c r="C31" s="59" t="s">
        <v>275</v>
      </c>
      <c r="D31" s="65">
        <v>4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69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4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3</v>
      </c>
    </row>
    <row r="44" spans="2:4" ht="16.5">
      <c r="B44" s="72">
        <v>10204</v>
      </c>
      <c r="C44" s="73" t="s">
        <v>288</v>
      </c>
      <c r="D44" s="74">
        <v>174</v>
      </c>
    </row>
    <row r="45" spans="2:4" ht="16.5">
      <c r="B45" s="58">
        <v>10205</v>
      </c>
      <c r="C45" s="59" t="s">
        <v>289</v>
      </c>
      <c r="D45" s="65">
        <v>1</v>
      </c>
    </row>
    <row r="46" spans="2:4" ht="16.5">
      <c r="B46" s="72">
        <v>10206</v>
      </c>
      <c r="C46" s="73" t="s">
        <v>290</v>
      </c>
      <c r="D46" s="74">
        <v>7</v>
      </c>
    </row>
    <row r="47" spans="2:4" ht="16.5">
      <c r="B47" s="58">
        <v>10207</v>
      </c>
      <c r="C47" s="59" t="s">
        <v>291</v>
      </c>
      <c r="D47" s="65">
        <v>17</v>
      </c>
    </row>
    <row r="48" spans="2:4" ht="16.5">
      <c r="B48" s="72">
        <v>10208</v>
      </c>
      <c r="C48" s="73" t="s">
        <v>292</v>
      </c>
      <c r="D48" s="74">
        <v>15</v>
      </c>
    </row>
    <row r="49" spans="2:4" ht="16.5">
      <c r="B49" s="58">
        <v>10209</v>
      </c>
      <c r="C49" s="59" t="s">
        <v>293</v>
      </c>
      <c r="D49" s="65">
        <v>5</v>
      </c>
    </row>
    <row r="50" spans="2:4" ht="16.5">
      <c r="B50" s="72">
        <v>10210</v>
      </c>
      <c r="C50" s="73" t="s">
        <v>294</v>
      </c>
      <c r="D50" s="74">
        <v>23</v>
      </c>
    </row>
    <row r="51" spans="2:4" ht="16.5">
      <c r="B51" s="58">
        <v>10211</v>
      </c>
      <c r="C51" s="59" t="s">
        <v>76</v>
      </c>
      <c r="D51" s="65">
        <v>5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1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11</v>
      </c>
    </row>
    <row r="60" spans="2:4" ht="16.5">
      <c r="B60" s="72">
        <v>10220</v>
      </c>
      <c r="C60" s="73" t="s">
        <v>303</v>
      </c>
      <c r="D60" s="74">
        <v>48</v>
      </c>
    </row>
    <row r="61" spans="2:4" ht="16.5">
      <c r="B61" s="58">
        <v>10301</v>
      </c>
      <c r="C61" s="59" t="s">
        <v>304</v>
      </c>
      <c r="D61" s="65">
        <v>10</v>
      </c>
    </row>
    <row r="62" spans="2:4" ht="16.5">
      <c r="B62" s="72">
        <v>10302</v>
      </c>
      <c r="C62" s="73" t="s">
        <v>305</v>
      </c>
      <c r="D62" s="74">
        <v>1</v>
      </c>
    </row>
    <row r="63" spans="2:4" ht="16.5">
      <c r="B63" s="58">
        <v>10303</v>
      </c>
      <c r="C63" s="59" t="s">
        <v>306</v>
      </c>
      <c r="D63" s="65">
        <v>13</v>
      </c>
    </row>
    <row r="64" spans="2:4" ht="16.5">
      <c r="B64" s="72">
        <v>10304</v>
      </c>
      <c r="C64" s="73" t="s">
        <v>307</v>
      </c>
      <c r="D64" s="74">
        <v>3</v>
      </c>
    </row>
    <row r="65" spans="2:4" ht="16.5">
      <c r="B65" s="58">
        <v>10305</v>
      </c>
      <c r="C65" s="59" t="s">
        <v>308</v>
      </c>
      <c r="D65" s="65">
        <v>64</v>
      </c>
    </row>
    <row r="66" spans="2:4" ht="16.5">
      <c r="B66" s="72">
        <v>10306</v>
      </c>
      <c r="C66" s="73" t="s">
        <v>309</v>
      </c>
      <c r="D66" s="74">
        <v>14</v>
      </c>
    </row>
    <row r="67" spans="2:4" ht="16.5">
      <c r="B67" s="58">
        <v>10307</v>
      </c>
      <c r="C67" s="59" t="s">
        <v>74</v>
      </c>
      <c r="D67" s="65">
        <v>92</v>
      </c>
    </row>
    <row r="68" spans="2:4" ht="16.5">
      <c r="B68" s="72">
        <v>10308</v>
      </c>
      <c r="C68" s="73" t="s">
        <v>310</v>
      </c>
      <c r="D68" s="74">
        <v>148</v>
      </c>
    </row>
    <row r="69" spans="2:4" ht="16.5">
      <c r="B69" s="58">
        <v>10309</v>
      </c>
      <c r="C69" s="59" t="s">
        <v>311</v>
      </c>
      <c r="D69" s="65">
        <v>2</v>
      </c>
    </row>
    <row r="70" spans="2:4" ht="16.5">
      <c r="B70" s="72">
        <v>10310</v>
      </c>
      <c r="C70" s="73" t="s">
        <v>312</v>
      </c>
      <c r="D70" s="74">
        <v>44</v>
      </c>
    </row>
    <row r="71" spans="2:4" ht="16.5">
      <c r="B71" s="58">
        <v>10311</v>
      </c>
      <c r="C71" s="59" t="s">
        <v>313</v>
      </c>
      <c r="D71" s="65">
        <v>21</v>
      </c>
    </row>
    <row r="72" spans="2:4" ht="16.5">
      <c r="B72" s="72">
        <v>10312</v>
      </c>
      <c r="C72" s="73" t="s">
        <v>314</v>
      </c>
      <c r="D72" s="74">
        <v>45</v>
      </c>
    </row>
    <row r="73" spans="2:4" ht="16.5">
      <c r="B73" s="58">
        <v>10313</v>
      </c>
      <c r="C73" s="59" t="s">
        <v>315</v>
      </c>
      <c r="D73" s="65">
        <v>3</v>
      </c>
    </row>
    <row r="74" spans="2:4" ht="16.5">
      <c r="B74" s="72">
        <v>10314</v>
      </c>
      <c r="C74" s="73" t="s">
        <v>316</v>
      </c>
      <c r="D74" s="74">
        <v>18</v>
      </c>
    </row>
    <row r="75" spans="2:4" ht="16.5">
      <c r="B75" s="58">
        <v>10315</v>
      </c>
      <c r="C75" s="59" t="s">
        <v>317</v>
      </c>
      <c r="D75" s="65">
        <v>16</v>
      </c>
    </row>
    <row r="76" spans="2:4" ht="16.5">
      <c r="B76" s="72">
        <v>10316</v>
      </c>
      <c r="C76" s="73" t="s">
        <v>318</v>
      </c>
      <c r="D76" s="74">
        <v>193</v>
      </c>
    </row>
    <row r="77" spans="2:4" ht="16.5">
      <c r="B77" s="58">
        <v>10317</v>
      </c>
      <c r="C77" s="59" t="s">
        <v>319</v>
      </c>
      <c r="D77" s="65">
        <v>16</v>
      </c>
    </row>
    <row r="78" spans="2:4" ht="16.5">
      <c r="B78" s="72">
        <v>10318</v>
      </c>
      <c r="C78" s="73" t="s">
        <v>320</v>
      </c>
      <c r="D78" s="74">
        <v>42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46</v>
      </c>
    </row>
    <row r="83" spans="2:4" ht="16.5">
      <c r="B83" s="61">
        <v>20104</v>
      </c>
      <c r="C83" s="62" t="s">
        <v>79</v>
      </c>
      <c r="D83" s="60">
        <v>15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3</v>
      </c>
    </row>
    <row r="86" spans="2:4" ht="16.5">
      <c r="B86" s="75">
        <v>20107</v>
      </c>
      <c r="C86" s="76" t="s">
        <v>81</v>
      </c>
      <c r="D86" s="77">
        <v>9</v>
      </c>
    </row>
    <row r="87" spans="2:4" ht="16.5">
      <c r="B87" s="61">
        <v>20108</v>
      </c>
      <c r="C87" s="62" t="s">
        <v>324</v>
      </c>
      <c r="D87" s="60">
        <v>72</v>
      </c>
    </row>
    <row r="88" spans="2:4" ht="16.5">
      <c r="B88" s="75">
        <v>20109</v>
      </c>
      <c r="C88" s="76" t="s">
        <v>325</v>
      </c>
      <c r="D88" s="77">
        <v>1</v>
      </c>
    </row>
    <row r="89" spans="2:4" ht="16.5">
      <c r="B89" s="61">
        <v>20110</v>
      </c>
      <c r="C89" s="62" t="s">
        <v>326</v>
      </c>
      <c r="D89" s="60">
        <v>0</v>
      </c>
    </row>
    <row r="90" spans="2:4" ht="16.5">
      <c r="B90" s="75">
        <v>20111</v>
      </c>
      <c r="C90" s="76" t="s">
        <v>327</v>
      </c>
      <c r="D90" s="77">
        <v>35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2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53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45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168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28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26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14</v>
      </c>
    </row>
    <row r="111" spans="2:4" ht="16.5">
      <c r="B111" s="61">
        <v>20304</v>
      </c>
      <c r="C111" s="62" t="s">
        <v>334</v>
      </c>
      <c r="D111" s="60">
        <v>4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16</v>
      </c>
    </row>
    <row r="115" spans="2:4" ht="16.5">
      <c r="B115" s="61">
        <v>20308</v>
      </c>
      <c r="C115" s="62" t="s">
        <v>338</v>
      </c>
      <c r="D115" s="60">
        <v>7</v>
      </c>
    </row>
    <row r="116" spans="2:4" ht="16.5">
      <c r="B116" s="75">
        <v>20309</v>
      </c>
      <c r="C116" s="76" t="s">
        <v>339</v>
      </c>
      <c r="D116" s="77">
        <v>1</v>
      </c>
    </row>
    <row r="117" spans="2:4" ht="16.5">
      <c r="B117" s="61">
        <v>20310</v>
      </c>
      <c r="C117" s="62" t="s">
        <v>340</v>
      </c>
      <c r="D117" s="60">
        <v>2</v>
      </c>
    </row>
    <row r="118" spans="2:4" ht="16.5">
      <c r="B118" s="75">
        <v>20311</v>
      </c>
      <c r="C118" s="76" t="s">
        <v>341</v>
      </c>
      <c r="D118" s="77">
        <v>128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55</v>
      </c>
    </row>
    <row r="122" spans="2:4" ht="16.5">
      <c r="B122" s="75">
        <v>20404</v>
      </c>
      <c r="C122" s="76" t="s">
        <v>345</v>
      </c>
      <c r="D122" s="77">
        <v>10</v>
      </c>
    </row>
    <row r="123" spans="2:4" ht="16.5">
      <c r="B123" s="66">
        <v>30101</v>
      </c>
      <c r="C123" s="67" t="s">
        <v>346</v>
      </c>
      <c r="D123" s="68">
        <v>58</v>
      </c>
    </row>
    <row r="124" spans="2:4" ht="16.5">
      <c r="B124" s="63">
        <v>30102</v>
      </c>
      <c r="C124" s="64" t="s">
        <v>95</v>
      </c>
      <c r="D124" s="60">
        <v>42</v>
      </c>
    </row>
    <row r="125" spans="2:4" ht="16.5">
      <c r="B125" s="66">
        <v>30103</v>
      </c>
      <c r="C125" s="67" t="s">
        <v>75</v>
      </c>
      <c r="D125" s="68">
        <v>176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236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193</v>
      </c>
    </row>
    <row r="130" spans="2:4" ht="16.5">
      <c r="B130" s="63">
        <v>30205</v>
      </c>
      <c r="C130" s="64" t="s">
        <v>348</v>
      </c>
      <c r="D130" s="60">
        <v>13</v>
      </c>
    </row>
    <row r="131" spans="2:4" ht="16.5">
      <c r="B131" s="66">
        <v>30206</v>
      </c>
      <c r="C131" s="67" t="s">
        <v>349</v>
      </c>
      <c r="D131" s="68">
        <v>1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43</v>
      </c>
    </row>
    <row r="135" spans="2:4" ht="16.5">
      <c r="B135" s="66">
        <v>30303</v>
      </c>
      <c r="C135" s="67" t="s">
        <v>351</v>
      </c>
      <c r="D135" s="68">
        <v>5</v>
      </c>
    </row>
    <row r="136" spans="2:4" ht="16.5">
      <c r="B136" s="63">
        <v>30304</v>
      </c>
      <c r="C136" s="64" t="s">
        <v>101</v>
      </c>
      <c r="D136" s="60">
        <v>8</v>
      </c>
    </row>
    <row r="137" spans="2:4" ht="16.5">
      <c r="B137" s="66">
        <v>30305</v>
      </c>
      <c r="C137" s="67" t="s">
        <v>102</v>
      </c>
      <c r="D137" s="68">
        <v>67</v>
      </c>
    </row>
    <row r="138" spans="2:4" ht="16.5">
      <c r="B138" s="63">
        <v>30306</v>
      </c>
      <c r="C138" s="64" t="s">
        <v>103</v>
      </c>
      <c r="D138" s="60">
        <v>21</v>
      </c>
    </row>
    <row r="139" spans="2:4" ht="16.5">
      <c r="B139" s="66">
        <v>30307</v>
      </c>
      <c r="C139" s="67" t="s">
        <v>104</v>
      </c>
      <c r="D139" s="68">
        <v>613</v>
      </c>
    </row>
    <row r="140" spans="2:4" ht="16.5">
      <c r="B140" s="63">
        <v>30308</v>
      </c>
      <c r="C140" s="64" t="s">
        <v>352</v>
      </c>
      <c r="D140" s="60">
        <v>242</v>
      </c>
    </row>
    <row r="141" spans="2:4" ht="16.5">
      <c r="B141" s="66">
        <v>30309</v>
      </c>
      <c r="C141" s="67" t="s">
        <v>353</v>
      </c>
      <c r="D141" s="68">
        <v>566</v>
      </c>
    </row>
    <row r="142" spans="2:4" ht="16.5">
      <c r="B142" s="63">
        <v>30310</v>
      </c>
      <c r="C142" s="64" t="s">
        <v>354</v>
      </c>
      <c r="D142" s="60">
        <v>109</v>
      </c>
    </row>
    <row r="143" spans="2:4" ht="16.5">
      <c r="B143" s="66">
        <v>30401</v>
      </c>
      <c r="C143" s="67" t="s">
        <v>355</v>
      </c>
      <c r="D143" s="68">
        <v>502</v>
      </c>
    </row>
    <row r="144" spans="2:4" ht="16.5">
      <c r="B144" s="63">
        <v>30402</v>
      </c>
      <c r="C144" s="64" t="s">
        <v>356</v>
      </c>
      <c r="D144" s="60">
        <v>6</v>
      </c>
    </row>
    <row r="145" spans="2:4" ht="16.5">
      <c r="B145" s="66">
        <v>30403</v>
      </c>
      <c r="C145" s="67" t="s">
        <v>357</v>
      </c>
      <c r="D145" s="68">
        <v>8</v>
      </c>
    </row>
    <row r="146" spans="2:4" ht="16.5">
      <c r="B146" s="63">
        <v>30404</v>
      </c>
      <c r="C146" s="64" t="s">
        <v>105</v>
      </c>
      <c r="D146" s="60">
        <v>73</v>
      </c>
    </row>
    <row r="147" spans="2:4" ht="16.5">
      <c r="B147" s="66">
        <v>30405</v>
      </c>
      <c r="C147" s="67" t="s">
        <v>106</v>
      </c>
      <c r="D147" s="68">
        <v>5</v>
      </c>
    </row>
    <row r="148" spans="2:4" ht="16.5">
      <c r="B148" s="63">
        <v>30406</v>
      </c>
      <c r="C148" s="64" t="s">
        <v>107</v>
      </c>
      <c r="D148" s="60">
        <v>4</v>
      </c>
    </row>
    <row r="149" spans="2:4" ht="16.5">
      <c r="B149" s="66">
        <v>30407</v>
      </c>
      <c r="C149" s="67" t="s">
        <v>358</v>
      </c>
      <c r="D149" s="68">
        <v>23</v>
      </c>
    </row>
    <row r="150" spans="2:4" ht="16.5">
      <c r="B150" s="63">
        <v>30408</v>
      </c>
      <c r="C150" s="64" t="s">
        <v>359</v>
      </c>
      <c r="D150" s="60">
        <v>1</v>
      </c>
    </row>
    <row r="151" spans="2:4" ht="16.5">
      <c r="B151" s="66">
        <v>30409</v>
      </c>
      <c r="C151" s="67" t="s">
        <v>109</v>
      </c>
      <c r="D151" s="68">
        <v>1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28</v>
      </c>
    </row>
    <row r="154" spans="2:4" ht="16.5">
      <c r="B154" s="63">
        <v>30412</v>
      </c>
      <c r="C154" s="64" t="s">
        <v>111</v>
      </c>
      <c r="D154" s="60">
        <v>8</v>
      </c>
    </row>
    <row r="155" spans="2:4" ht="16.5">
      <c r="B155" s="66">
        <v>30413</v>
      </c>
      <c r="C155" s="67" t="s">
        <v>112</v>
      </c>
      <c r="D155" s="68">
        <v>7</v>
      </c>
    </row>
    <row r="156" spans="2:4" ht="16.5">
      <c r="B156" s="63">
        <v>30414</v>
      </c>
      <c r="C156" s="64" t="s">
        <v>113</v>
      </c>
      <c r="D156" s="60">
        <v>34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4</v>
      </c>
    </row>
    <row r="159" spans="2:4" ht="16.5">
      <c r="B159" s="66">
        <v>30417</v>
      </c>
      <c r="C159" s="67" t="s">
        <v>116</v>
      </c>
      <c r="D159" s="68">
        <v>6</v>
      </c>
    </row>
    <row r="160" spans="2:4" ht="16.5">
      <c r="B160" s="63">
        <v>30418</v>
      </c>
      <c r="C160" s="64" t="s">
        <v>117</v>
      </c>
      <c r="D160" s="60">
        <v>2</v>
      </c>
    </row>
    <row r="161" spans="2:4" ht="16.5">
      <c r="B161" s="66">
        <v>30419</v>
      </c>
      <c r="C161" s="67" t="s">
        <v>118</v>
      </c>
      <c r="D161" s="68">
        <v>34</v>
      </c>
    </row>
    <row r="162" spans="2:4" ht="16.5">
      <c r="B162" s="63">
        <v>30420</v>
      </c>
      <c r="C162" s="64" t="s">
        <v>119</v>
      </c>
      <c r="D162" s="60">
        <v>26</v>
      </c>
    </row>
    <row r="163" spans="2:4" ht="16.5">
      <c r="B163" s="66">
        <v>30421</v>
      </c>
      <c r="C163" s="67" t="s">
        <v>120</v>
      </c>
      <c r="D163" s="68">
        <v>39</v>
      </c>
    </row>
    <row r="164" spans="2:4" ht="16.5">
      <c r="B164" s="63">
        <v>30422</v>
      </c>
      <c r="C164" s="64" t="s">
        <v>121</v>
      </c>
      <c r="D164" s="60">
        <v>8</v>
      </c>
    </row>
    <row r="165" spans="2:4" ht="16.5">
      <c r="B165" s="66">
        <v>30423</v>
      </c>
      <c r="C165" s="67" t="s">
        <v>122</v>
      </c>
      <c r="D165" s="68">
        <v>5</v>
      </c>
    </row>
    <row r="166" spans="2:4" ht="16.5">
      <c r="B166" s="63">
        <v>30424</v>
      </c>
      <c r="C166" s="64" t="s">
        <v>123</v>
      </c>
      <c r="D166" s="60">
        <v>1</v>
      </c>
    </row>
    <row r="167" spans="2:4" ht="16.5">
      <c r="B167" s="66">
        <v>30425</v>
      </c>
      <c r="C167" s="67" t="s">
        <v>124</v>
      </c>
      <c r="D167" s="68">
        <v>1</v>
      </c>
    </row>
    <row r="168" spans="2:4" ht="16.5">
      <c r="B168" s="63">
        <v>30426</v>
      </c>
      <c r="C168" s="64" t="s">
        <v>125</v>
      </c>
      <c r="D168" s="60">
        <v>1</v>
      </c>
    </row>
    <row r="169" spans="2:4" ht="16.5">
      <c r="B169" s="66">
        <v>30427</v>
      </c>
      <c r="C169" s="67" t="s">
        <v>126</v>
      </c>
      <c r="D169" s="68">
        <v>25</v>
      </c>
    </row>
    <row r="170" spans="2:4" ht="16.5">
      <c r="B170" s="63">
        <v>30428</v>
      </c>
      <c r="C170" s="64" t="s">
        <v>127</v>
      </c>
      <c r="D170" s="60">
        <v>1</v>
      </c>
    </row>
    <row r="171" spans="2:4" ht="16.5">
      <c r="B171" s="66">
        <v>30429</v>
      </c>
      <c r="C171" s="67" t="s">
        <v>128</v>
      </c>
      <c r="D171" s="68">
        <v>44</v>
      </c>
    </row>
    <row r="172" spans="2:4" ht="16.5">
      <c r="B172" s="63">
        <v>30430</v>
      </c>
      <c r="C172" s="64" t="s">
        <v>129</v>
      </c>
      <c r="D172" s="60">
        <v>132</v>
      </c>
    </row>
    <row r="173" spans="2:4" ht="16.5">
      <c r="B173" s="66">
        <v>30431</v>
      </c>
      <c r="C173" s="67" t="s">
        <v>130</v>
      </c>
      <c r="D173" s="68">
        <v>9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1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1</v>
      </c>
    </row>
    <row r="188" spans="2:4" ht="16.5">
      <c r="B188" s="63">
        <v>30446</v>
      </c>
      <c r="C188" s="64" t="s">
        <v>367</v>
      </c>
      <c r="D188" s="60">
        <v>183</v>
      </c>
    </row>
    <row r="189" spans="2:4" ht="16.5">
      <c r="B189" s="66">
        <v>30501</v>
      </c>
      <c r="C189" s="67" t="s">
        <v>139</v>
      </c>
      <c r="D189" s="68">
        <v>3</v>
      </c>
    </row>
    <row r="190" spans="2:4" ht="16.5">
      <c r="B190" s="63">
        <v>30502</v>
      </c>
      <c r="C190" s="64" t="s">
        <v>140</v>
      </c>
      <c r="D190" s="60">
        <v>493</v>
      </c>
    </row>
    <row r="191" spans="2:4" ht="16.5">
      <c r="B191" s="66">
        <v>30503</v>
      </c>
      <c r="C191" s="67" t="s">
        <v>141</v>
      </c>
      <c r="D191" s="68">
        <v>87</v>
      </c>
    </row>
    <row r="192" spans="2:4" ht="16.5">
      <c r="B192" s="63">
        <v>30504</v>
      </c>
      <c r="C192" s="64" t="s">
        <v>368</v>
      </c>
      <c r="D192" s="60">
        <v>62</v>
      </c>
    </row>
    <row r="193" spans="2:4" ht="16.5">
      <c r="B193" s="66">
        <v>30505</v>
      </c>
      <c r="C193" s="67" t="s">
        <v>369</v>
      </c>
      <c r="D193" s="68">
        <v>33</v>
      </c>
    </row>
    <row r="194" spans="2:4" ht="16.5">
      <c r="B194" s="63">
        <v>30601</v>
      </c>
      <c r="C194" s="64" t="s">
        <v>142</v>
      </c>
      <c r="D194" s="60">
        <v>35</v>
      </c>
    </row>
    <row r="195" spans="2:4" ht="16.5">
      <c r="B195" s="66">
        <v>30602</v>
      </c>
      <c r="C195" s="67" t="s">
        <v>143</v>
      </c>
      <c r="D195" s="68">
        <v>64</v>
      </c>
    </row>
    <row r="196" spans="2:4" ht="16.5">
      <c r="B196" s="63">
        <v>30603</v>
      </c>
      <c r="C196" s="64" t="s">
        <v>144</v>
      </c>
      <c r="D196" s="60">
        <v>1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61</v>
      </c>
    </row>
    <row r="200" spans="2:4" ht="16.5">
      <c r="B200" s="63">
        <v>30607</v>
      </c>
      <c r="C200" s="64" t="s">
        <v>146</v>
      </c>
      <c r="D200" s="60">
        <v>3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34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11</v>
      </c>
    </row>
    <row r="206" spans="2:4" ht="16.5">
      <c r="B206" s="63">
        <v>30702</v>
      </c>
      <c r="C206" s="64" t="s">
        <v>149</v>
      </c>
      <c r="D206" s="60">
        <v>10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1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2</v>
      </c>
    </row>
    <row r="212" spans="2:4" ht="16.5">
      <c r="B212" s="63">
        <v>30708</v>
      </c>
      <c r="C212" s="64" t="s">
        <v>375</v>
      </c>
      <c r="D212" s="60">
        <v>8</v>
      </c>
    </row>
    <row r="213" spans="2:4" ht="16.5">
      <c r="B213" s="66">
        <v>30709</v>
      </c>
      <c r="C213" s="67" t="s">
        <v>158</v>
      </c>
      <c r="D213" s="68">
        <v>1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49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3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12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130</v>
      </c>
    </row>
    <row r="229" spans="2:4" ht="16.5">
      <c r="B229" s="66">
        <v>30904</v>
      </c>
      <c r="C229" s="67" t="s">
        <v>183</v>
      </c>
      <c r="D229" s="68">
        <v>600</v>
      </c>
    </row>
    <row r="230" spans="2:4" ht="16.5">
      <c r="B230" s="63">
        <v>30905</v>
      </c>
      <c r="C230" s="64" t="s">
        <v>159</v>
      </c>
      <c r="D230" s="60">
        <v>37</v>
      </c>
    </row>
    <row r="231" spans="2:4" ht="16.5">
      <c r="B231" s="66">
        <v>30906</v>
      </c>
      <c r="C231" s="67" t="s">
        <v>160</v>
      </c>
      <c r="D231" s="68">
        <v>9</v>
      </c>
    </row>
    <row r="232" spans="2:4" ht="16.5">
      <c r="B232" s="63">
        <v>30907</v>
      </c>
      <c r="C232" s="64" t="s">
        <v>161</v>
      </c>
      <c r="D232" s="60">
        <v>831</v>
      </c>
    </row>
    <row r="233" spans="2:4" ht="16.5">
      <c r="B233" s="66">
        <v>30908</v>
      </c>
      <c r="C233" s="67" t="s">
        <v>162</v>
      </c>
      <c r="D233" s="68">
        <v>7</v>
      </c>
    </row>
    <row r="234" spans="2:4" ht="16.5">
      <c r="B234" s="63">
        <v>30909</v>
      </c>
      <c r="C234" s="64" t="s">
        <v>383</v>
      </c>
      <c r="D234" s="60">
        <v>89</v>
      </c>
    </row>
    <row r="235" spans="2:4" ht="16.5">
      <c r="B235" s="66">
        <v>31001</v>
      </c>
      <c r="C235" s="67" t="s">
        <v>164</v>
      </c>
      <c r="D235" s="68">
        <v>101</v>
      </c>
    </row>
    <row r="236" spans="2:4" ht="16.5">
      <c r="B236" s="63">
        <v>31002</v>
      </c>
      <c r="C236" s="64" t="s">
        <v>384</v>
      </c>
      <c r="D236" s="60">
        <v>18</v>
      </c>
    </row>
    <row r="237" spans="2:4" ht="16.5">
      <c r="B237" s="66">
        <v>31003</v>
      </c>
      <c r="C237" s="67" t="s">
        <v>165</v>
      </c>
      <c r="D237" s="68">
        <v>3</v>
      </c>
    </row>
    <row r="238" spans="2:4" ht="16.5">
      <c r="B238" s="63">
        <v>31004</v>
      </c>
      <c r="C238" s="64" t="s">
        <v>166</v>
      </c>
      <c r="D238" s="60">
        <v>1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15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1</v>
      </c>
    </row>
    <row r="244" spans="2:4" ht="16.5">
      <c r="B244" s="63">
        <v>31010</v>
      </c>
      <c r="C244" s="64" t="s">
        <v>92</v>
      </c>
      <c r="D244" s="60">
        <v>8</v>
      </c>
    </row>
    <row r="245" spans="2:4" ht="16.5">
      <c r="B245" s="66">
        <v>31011</v>
      </c>
      <c r="C245" s="67" t="s">
        <v>387</v>
      </c>
      <c r="D245" s="68">
        <v>146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1</v>
      </c>
    </row>
    <row r="249" spans="2:4" ht="16.5">
      <c r="B249" s="66">
        <v>31015</v>
      </c>
      <c r="C249" s="67" t="s">
        <v>391</v>
      </c>
      <c r="D249" s="68">
        <v>148</v>
      </c>
    </row>
    <row r="250" spans="2:4" ht="16.5">
      <c r="B250" s="63">
        <v>31101</v>
      </c>
      <c r="C250" s="64" t="s">
        <v>172</v>
      </c>
      <c r="D250" s="60">
        <v>461</v>
      </c>
    </row>
    <row r="251" spans="2:4" ht="16.5">
      <c r="B251" s="66">
        <v>31102</v>
      </c>
      <c r="C251" s="67" t="s">
        <v>173</v>
      </c>
      <c r="D251" s="68">
        <v>84</v>
      </c>
    </row>
    <row r="252" spans="2:4" ht="16.5">
      <c r="B252" s="63">
        <v>31103</v>
      </c>
      <c r="C252" s="64" t="s">
        <v>175</v>
      </c>
      <c r="D252" s="60">
        <v>106</v>
      </c>
    </row>
    <row r="253" spans="2:4" ht="16.5">
      <c r="B253" s="66">
        <v>31104</v>
      </c>
      <c r="C253" s="67" t="s">
        <v>176</v>
      </c>
      <c r="D253" s="68">
        <v>133</v>
      </c>
    </row>
    <row r="254" spans="2:4" ht="16.5">
      <c r="B254" s="63">
        <v>31105</v>
      </c>
      <c r="C254" s="64" t="s">
        <v>177</v>
      </c>
      <c r="D254" s="60">
        <v>53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4</v>
      </c>
    </row>
    <row r="258" spans="2:4" ht="16.5">
      <c r="B258" s="63">
        <v>31109</v>
      </c>
      <c r="C258" s="64" t="s">
        <v>178</v>
      </c>
      <c r="D258" s="60">
        <v>7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2</v>
      </c>
    </row>
    <row r="261" spans="2:4" ht="16.5">
      <c r="B261" s="66">
        <v>31112</v>
      </c>
      <c r="C261" s="67" t="s">
        <v>395</v>
      </c>
      <c r="D261" s="68">
        <v>302</v>
      </c>
    </row>
    <row r="262" spans="2:4" ht="16.5">
      <c r="B262" s="63">
        <v>31113</v>
      </c>
      <c r="C262" s="64" t="s">
        <v>181</v>
      </c>
      <c r="D262" s="60">
        <v>22</v>
      </c>
    </row>
    <row r="263" spans="2:4" ht="16.5">
      <c r="B263" s="66">
        <v>31114</v>
      </c>
      <c r="C263" s="67" t="s">
        <v>396</v>
      </c>
      <c r="D263" s="68">
        <v>14</v>
      </c>
    </row>
    <row r="264" spans="2:4" ht="16.5">
      <c r="B264" s="69">
        <v>40101</v>
      </c>
      <c r="C264" s="70" t="s">
        <v>187</v>
      </c>
      <c r="D264" s="71">
        <v>2</v>
      </c>
    </row>
    <row r="265" spans="2:4" ht="16.5">
      <c r="B265" s="63">
        <v>40102</v>
      </c>
      <c r="C265" s="64" t="s">
        <v>397</v>
      </c>
      <c r="D265" s="60">
        <v>18</v>
      </c>
    </row>
    <row r="266" spans="2:4" ht="16.5">
      <c r="B266" s="69">
        <v>40103</v>
      </c>
      <c r="C266" s="70" t="s">
        <v>188</v>
      </c>
      <c r="D266" s="71">
        <v>2</v>
      </c>
    </row>
    <row r="267" spans="2:4" ht="16.5">
      <c r="B267" s="63">
        <v>40104</v>
      </c>
      <c r="C267" s="64" t="s">
        <v>189</v>
      </c>
      <c r="D267" s="60">
        <v>6</v>
      </c>
    </row>
    <row r="268" spans="2:4" ht="16.5">
      <c r="B268" s="69">
        <v>40105</v>
      </c>
      <c r="C268" s="70" t="s">
        <v>191</v>
      </c>
      <c r="D268" s="71">
        <v>4</v>
      </c>
    </row>
    <row r="269" spans="2:4" ht="16.5">
      <c r="B269" s="63">
        <v>40106</v>
      </c>
      <c r="C269" s="64" t="s">
        <v>194</v>
      </c>
      <c r="D269" s="60">
        <v>22</v>
      </c>
    </row>
    <row r="270" spans="2:4" ht="16.5">
      <c r="B270" s="69">
        <v>40107</v>
      </c>
      <c r="C270" s="70" t="s">
        <v>196</v>
      </c>
      <c r="D270" s="71">
        <v>22</v>
      </c>
    </row>
    <row r="271" spans="2:4" ht="16.5">
      <c r="B271" s="63">
        <v>40108</v>
      </c>
      <c r="C271" s="64" t="s">
        <v>197</v>
      </c>
      <c r="D271" s="60">
        <v>3</v>
      </c>
    </row>
    <row r="272" spans="2:4" ht="16.5">
      <c r="B272" s="69">
        <v>40109</v>
      </c>
      <c r="C272" s="70" t="s">
        <v>77</v>
      </c>
      <c r="D272" s="71">
        <v>2</v>
      </c>
    </row>
    <row r="273" spans="2:4" ht="16.5">
      <c r="B273" s="63">
        <v>40110</v>
      </c>
      <c r="C273" s="64" t="s">
        <v>190</v>
      </c>
      <c r="D273" s="60">
        <v>5</v>
      </c>
    </row>
    <row r="274" spans="2:4" ht="16.5">
      <c r="B274" s="78">
        <v>50101</v>
      </c>
      <c r="C274" s="79" t="s">
        <v>398</v>
      </c>
      <c r="D274" s="80">
        <v>60</v>
      </c>
    </row>
    <row r="275" spans="2:4" ht="16.5">
      <c r="B275" s="63">
        <v>50102</v>
      </c>
      <c r="C275" s="64" t="s">
        <v>399</v>
      </c>
      <c r="D275" s="60">
        <v>66</v>
      </c>
    </row>
    <row r="276" spans="2:4" ht="16.5">
      <c r="B276" s="78">
        <v>50103</v>
      </c>
      <c r="C276" s="79" t="s">
        <v>400</v>
      </c>
      <c r="D276" s="80">
        <v>8</v>
      </c>
    </row>
    <row r="277" spans="2:4" ht="16.5">
      <c r="B277" s="63">
        <v>50104</v>
      </c>
      <c r="C277" s="64" t="s">
        <v>108</v>
      </c>
      <c r="D277" s="60">
        <v>8</v>
      </c>
    </row>
    <row r="278" spans="2:4" ht="16.5">
      <c r="B278" s="78">
        <v>50105</v>
      </c>
      <c r="C278" s="79" t="s">
        <v>182</v>
      </c>
      <c r="D278" s="80">
        <v>202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41</v>
      </c>
    </row>
    <row r="281" spans="2:4" ht="16.5">
      <c r="B281" s="63">
        <v>50108</v>
      </c>
      <c r="C281" s="64" t="s">
        <v>402</v>
      </c>
      <c r="D281" s="60">
        <v>28</v>
      </c>
    </row>
    <row r="282" spans="2:4" ht="16.5">
      <c r="B282" s="78">
        <v>50201</v>
      </c>
      <c r="C282" s="79" t="s">
        <v>403</v>
      </c>
      <c r="D282" s="80">
        <v>2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47</v>
      </c>
    </row>
    <row r="285" spans="2:4" ht="16.5">
      <c r="B285" s="63">
        <v>50301</v>
      </c>
      <c r="C285" s="64" t="s">
        <v>406</v>
      </c>
      <c r="D285" s="60">
        <v>430</v>
      </c>
    </row>
    <row r="286" spans="2:4" ht="16.5">
      <c r="B286" s="78">
        <v>50302</v>
      </c>
      <c r="C286" s="79" t="s">
        <v>407</v>
      </c>
      <c r="D286" s="80">
        <v>55</v>
      </c>
    </row>
    <row r="287" spans="2:4" ht="16.5">
      <c r="B287" s="63">
        <v>50303</v>
      </c>
      <c r="C287" s="64" t="s">
        <v>185</v>
      </c>
      <c r="D287" s="60">
        <v>43</v>
      </c>
    </row>
    <row r="288" spans="2:4" ht="16.5">
      <c r="B288" s="78">
        <v>50304</v>
      </c>
      <c r="C288" s="79" t="s">
        <v>186</v>
      </c>
      <c r="D288" s="80">
        <v>7</v>
      </c>
    </row>
    <row r="289" spans="2:4" ht="16.5">
      <c r="B289" s="63">
        <v>50305</v>
      </c>
      <c r="C289" s="64" t="s">
        <v>408</v>
      </c>
      <c r="D289" s="60">
        <v>1007</v>
      </c>
    </row>
    <row r="290" spans="2:4" ht="16.5">
      <c r="B290" s="78">
        <v>50306</v>
      </c>
      <c r="C290" s="79" t="s">
        <v>409</v>
      </c>
      <c r="D290" s="80">
        <v>59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16</v>
      </c>
    </row>
    <row r="293" spans="2:4" ht="16.5">
      <c r="B293" s="81">
        <v>60103</v>
      </c>
      <c r="C293" s="82" t="s">
        <v>411</v>
      </c>
      <c r="D293" s="83">
        <v>129</v>
      </c>
    </row>
    <row r="294" spans="2:4" ht="16.5">
      <c r="B294" s="84">
        <v>70101</v>
      </c>
      <c r="C294" s="85" t="s">
        <v>412</v>
      </c>
      <c r="D294" s="86">
        <v>2014</v>
      </c>
    </row>
    <row r="295" spans="2:4" ht="16.5">
      <c r="B295" s="63">
        <v>70102</v>
      </c>
      <c r="C295" s="64" t="s">
        <v>198</v>
      </c>
      <c r="D295" s="60">
        <v>21</v>
      </c>
    </row>
    <row r="296" spans="2:4" ht="16.5">
      <c r="B296" s="84">
        <v>70103</v>
      </c>
      <c r="C296" s="85" t="s">
        <v>199</v>
      </c>
      <c r="D296" s="86">
        <v>227</v>
      </c>
    </row>
    <row r="297" spans="2:4" ht="16.5">
      <c r="B297" s="63">
        <v>70104</v>
      </c>
      <c r="C297" s="64" t="s">
        <v>413</v>
      </c>
      <c r="D297" s="60">
        <v>24216</v>
      </c>
    </row>
    <row r="298" spans="2:4" ht="16.5">
      <c r="B298" s="84">
        <v>70105</v>
      </c>
      <c r="C298" s="85" t="s">
        <v>200</v>
      </c>
      <c r="D298" s="86">
        <v>2533</v>
      </c>
    </row>
    <row r="299" spans="2:4" ht="16.5">
      <c r="B299" s="63">
        <v>70106</v>
      </c>
      <c r="C299" s="64" t="s">
        <v>414</v>
      </c>
      <c r="D299" s="60">
        <v>100</v>
      </c>
    </row>
    <row r="300" spans="2:4" ht="16.5">
      <c r="B300" s="84">
        <v>70107</v>
      </c>
      <c r="C300" s="85" t="s">
        <v>415</v>
      </c>
      <c r="D300" s="86">
        <v>1315</v>
      </c>
    </row>
    <row r="301" spans="2:4" ht="17.25" thickBot="1">
      <c r="B301" s="87">
        <v>70108</v>
      </c>
      <c r="C301" s="88" t="s">
        <v>416</v>
      </c>
      <c r="D301" s="89">
        <v>9782</v>
      </c>
    </row>
    <row r="302" spans="2:4" ht="19.899999999999999" customHeight="1" thickBot="1">
      <c r="B302" s="90" t="s">
        <v>1</v>
      </c>
      <c r="C302" s="91"/>
      <c r="D302" s="92">
        <f>SUM(D20:D301)</f>
        <v>52846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2" manualBreakCount="2">
    <brk id="178" min="1" max="3" man="1"/>
    <brk id="238" min="1" max="3" man="1"/>
  </rowBreaks>
  <colBreaks count="1" manualBreakCount="1">
    <brk id="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Claudia Reyes Zamora</cp:lastModifiedBy>
  <cp:lastPrinted>2015-12-19T01:31:18Z</cp:lastPrinted>
  <dcterms:created xsi:type="dcterms:W3CDTF">1999-03-11T18:07:10Z</dcterms:created>
  <dcterms:modified xsi:type="dcterms:W3CDTF">2026-06-02T17:31:17Z</dcterms:modified>
</cp:coreProperties>
</file>